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nabil\Downloads\SolarYieldPro-main\kodingan pv string\raw data input\"/>
    </mc:Choice>
  </mc:AlternateContent>
  <xr:revisionPtr revIDLastSave="0" documentId="13_ncr:1_{6A0E0030-FE77-4F0E-B8D5-012CC75FFFB5}" xr6:coauthVersionLast="47" xr6:coauthVersionMax="47" xr10:uidLastSave="{00000000-0000-0000-0000-000000000000}"/>
  <bookViews>
    <workbookView xWindow="-120" yWindow="-120" windowWidth="20730" windowHeight="11040" firstSheet="3" activeTab="3" xr2:uid="{DB4A77E9-263D-4B9F-A690-BC662B4FE035}"/>
  </bookViews>
  <sheets>
    <sheet name="Targets Daily 2025" sheetId="15" state="hidden" r:id="rId1"/>
    <sheet name="Detail1" sheetId="21" state="hidden" r:id="rId2"/>
    <sheet name="Detail2" sheetId="22" state="hidden" r:id="rId3"/>
    <sheet name="Summary (PV)" sheetId="7" r:id="rId4"/>
    <sheet name="Sheet2" sheetId="25" state="hidden" r:id="rId5"/>
    <sheet name="Sheet5" sheetId="29" state="hidden" r:id="rId6"/>
    <sheet name="Sheet6" sheetId="30" state="hidden" r:id="rId7"/>
    <sheet name="Detail3" sheetId="33" state="hidden" r:id="rId8"/>
  </sheets>
  <definedNames>
    <definedName name="_xlnm._FilterDatabase" localSheetId="3" hidden="1">'Summary (PV)'!$A$2:$P$1654</definedName>
  </definedNames>
  <calcPr calcId="191028"/>
  <pivotCaches>
    <pivotCache cacheId="0"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429" i="7" l="1"/>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428" i="7"/>
  <c r="R427"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221"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178"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36"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30" i="7"/>
  <c r="L353" i="7"/>
  <c r="L368" i="7"/>
  <c r="L265" i="7"/>
  <c r="L268" i="7"/>
  <c r="L269" i="7"/>
  <c r="L242" i="7"/>
  <c r="L249" i="7"/>
  <c r="L224" i="7"/>
  <c r="L209" i="7"/>
  <c r="E18" i="15"/>
  <c r="L63" i="7"/>
  <c r="L37" i="7"/>
  <c r="C22" i="15"/>
  <c r="A4" i="15"/>
  <c r="L46" i="7"/>
  <c r="L24" i="7"/>
  <c r="C18" i="15"/>
  <c r="L4" i="7"/>
  <c r="L5" i="7"/>
  <c r="L6" i="7"/>
  <c r="L7" i="7"/>
  <c r="L8" i="7"/>
  <c r="L9" i="7"/>
  <c r="L10" i="7"/>
  <c r="L11" i="7"/>
  <c r="L12" i="7"/>
  <c r="L13" i="7"/>
  <c r="L14" i="7"/>
  <c r="L15" i="7"/>
  <c r="L16" i="7"/>
  <c r="L17" i="7"/>
  <c r="L18" i="7"/>
  <c r="L19" i="7"/>
  <c r="L20" i="7"/>
  <c r="L21" i="7"/>
  <c r="L22" i="7"/>
  <c r="L23" i="7"/>
  <c r="L25" i="7"/>
  <c r="L26" i="7"/>
  <c r="L27" i="7"/>
  <c r="L28" i="7"/>
  <c r="L29" i="7"/>
  <c r="L30" i="7"/>
  <c r="L31" i="7"/>
  <c r="L32" i="7"/>
  <c r="L33" i="7"/>
  <c r="L34" i="7"/>
  <c r="L35" i="7"/>
  <c r="L36" i="7"/>
  <c r="L38" i="7"/>
  <c r="L39" i="7"/>
  <c r="L40" i="7"/>
  <c r="L41" i="7"/>
  <c r="L42" i="7"/>
  <c r="L43" i="7"/>
  <c r="L44" i="7"/>
  <c r="L45" i="7"/>
  <c r="L47" i="7"/>
  <c r="L48" i="7"/>
  <c r="L49" i="7"/>
  <c r="L50" i="7"/>
  <c r="L51" i="7"/>
  <c r="L52" i="7"/>
  <c r="L53" i="7"/>
  <c r="L54" i="7"/>
  <c r="L55" i="7"/>
  <c r="L56" i="7"/>
  <c r="L57" i="7"/>
  <c r="L58" i="7"/>
  <c r="L59" i="7"/>
  <c r="L60" i="7"/>
  <c r="L61" i="7"/>
  <c r="L62"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10" i="7"/>
  <c r="L211" i="7"/>
  <c r="L212" i="7"/>
  <c r="L213" i="7"/>
  <c r="L214" i="7"/>
  <c r="L215" i="7"/>
  <c r="L216" i="7"/>
  <c r="L217" i="7"/>
  <c r="L218" i="7"/>
  <c r="L219" i="7"/>
  <c r="L220" i="7"/>
  <c r="L221" i="7"/>
  <c r="L222" i="7"/>
  <c r="L223" i="7"/>
  <c r="L225" i="7"/>
  <c r="L226" i="7"/>
  <c r="L228" i="7"/>
  <c r="L229" i="7"/>
  <c r="L230" i="7"/>
  <c r="L231" i="7"/>
  <c r="L232" i="7"/>
  <c r="L233" i="7"/>
  <c r="L234" i="7"/>
  <c r="L235" i="7"/>
  <c r="L236" i="7"/>
  <c r="L237" i="7"/>
  <c r="L238" i="7"/>
  <c r="L239" i="7"/>
  <c r="L240" i="7"/>
  <c r="L241" i="7"/>
  <c r="L243" i="7"/>
  <c r="L244" i="7"/>
  <c r="L245" i="7"/>
  <c r="L246" i="7"/>
  <c r="L247" i="7"/>
  <c r="L248" i="7"/>
  <c r="L250" i="7"/>
  <c r="L251" i="7"/>
  <c r="L252" i="7"/>
  <c r="L253" i="7"/>
  <c r="L254" i="7"/>
  <c r="L255" i="7"/>
  <c r="L256" i="7"/>
  <c r="L257" i="7"/>
  <c r="L258" i="7"/>
  <c r="L259" i="7"/>
  <c r="L260" i="7"/>
  <c r="L261" i="7"/>
  <c r="L262" i="7"/>
  <c r="L263" i="7"/>
  <c r="L264" i="7"/>
  <c r="L266" i="7"/>
  <c r="L267"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4" i="7"/>
  <c r="L355" i="7"/>
  <c r="L356" i="7"/>
  <c r="L357" i="7"/>
  <c r="L358" i="7"/>
  <c r="L359" i="7"/>
  <c r="L360" i="7"/>
  <c r="L361" i="7"/>
  <c r="L362" i="7"/>
  <c r="L363" i="7"/>
  <c r="L364" i="7"/>
  <c r="L365" i="7"/>
  <c r="L366" i="7"/>
  <c r="L367"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3" i="7"/>
  <c r="E22" i="15"/>
  <c r="E54" i="15"/>
  <c r="C39" i="15"/>
  <c r="D39" i="15"/>
  <c r="C40" i="15"/>
  <c r="D40" i="15"/>
  <c r="C41" i="15"/>
  <c r="D41" i="15"/>
  <c r="C42" i="15"/>
  <c r="D42" i="15"/>
  <c r="C43" i="15"/>
  <c r="D43" i="15"/>
  <c r="C44" i="15"/>
  <c r="D44" i="15"/>
  <c r="C45" i="15"/>
  <c r="D45" i="15"/>
  <c r="C46" i="15"/>
  <c r="D46" i="15"/>
  <c r="C47" i="15"/>
  <c r="D47" i="15"/>
  <c r="C48" i="15"/>
  <c r="D48" i="15"/>
  <c r="C49" i="15"/>
  <c r="D49" i="15"/>
  <c r="C50" i="15"/>
  <c r="D50" i="15"/>
  <c r="C51" i="15"/>
  <c r="D51" i="15"/>
  <c r="C52" i="15"/>
  <c r="D52" i="15"/>
  <c r="C53" i="15"/>
  <c r="D53" i="15"/>
  <c r="C54" i="15"/>
  <c r="D54" i="15"/>
  <c r="C55" i="15"/>
  <c r="D55" i="15"/>
  <c r="C56" i="15"/>
  <c r="D56" i="15"/>
  <c r="C57" i="15"/>
  <c r="D57" i="15"/>
  <c r="C58" i="15"/>
  <c r="D58" i="15"/>
  <c r="C59" i="15"/>
  <c r="D59" i="15"/>
  <c r="C60" i="15"/>
  <c r="D60" i="15"/>
  <c r="C61" i="15"/>
  <c r="D61" i="15"/>
  <c r="C62" i="15"/>
  <c r="D62" i="15"/>
  <c r="C63" i="15"/>
  <c r="D63" i="15"/>
  <c r="C64" i="15"/>
  <c r="D64" i="15"/>
  <c r="C65" i="15"/>
  <c r="D65" i="15"/>
  <c r="C66" i="15"/>
  <c r="D66" i="15"/>
  <c r="C67" i="15"/>
  <c r="D67" i="15"/>
  <c r="C68" i="15"/>
  <c r="D68" i="15"/>
  <c r="C69" i="15"/>
  <c r="D69" i="15"/>
  <c r="C70" i="15"/>
  <c r="D70" i="15"/>
  <c r="C71" i="15"/>
  <c r="D71" i="15"/>
  <c r="C72" i="15"/>
  <c r="D72" i="15"/>
  <c r="C73" i="15"/>
  <c r="D73" i="15"/>
  <c r="C74" i="15"/>
  <c r="D74" i="15"/>
  <c r="C75" i="15"/>
  <c r="D75" i="15"/>
  <c r="C76" i="15"/>
  <c r="D76" i="15"/>
  <c r="C77" i="15"/>
  <c r="D77" i="15"/>
  <c r="C78" i="15"/>
  <c r="D78" i="15"/>
  <c r="C79" i="15"/>
  <c r="D79" i="15"/>
  <c r="C80" i="15"/>
  <c r="D80" i="15"/>
  <c r="C81" i="15"/>
  <c r="D81" i="15"/>
  <c r="C82" i="15"/>
  <c r="D82" i="15"/>
  <c r="C83" i="15"/>
  <c r="D83" i="15"/>
  <c r="C84" i="15"/>
  <c r="D84" i="15"/>
  <c r="C85" i="15"/>
  <c r="D85" i="15"/>
  <c r="C86" i="15"/>
  <c r="D86" i="15"/>
  <c r="C87" i="15"/>
  <c r="D87" i="15"/>
  <c r="C88" i="15"/>
  <c r="D88" i="15"/>
  <c r="C89" i="15"/>
  <c r="D89" i="15"/>
  <c r="C90" i="15"/>
  <c r="D90" i="15"/>
  <c r="C91" i="15"/>
  <c r="D91" i="15"/>
  <c r="C92" i="15"/>
  <c r="D92" i="15"/>
  <c r="C93" i="15"/>
  <c r="D93" i="15"/>
  <c r="C94" i="15"/>
  <c r="D94" i="15"/>
  <c r="C95" i="15"/>
  <c r="D95" i="15"/>
  <c r="C96" i="15"/>
  <c r="D96" i="15"/>
  <c r="C97" i="15"/>
  <c r="D97" i="15"/>
  <c r="C98" i="15"/>
  <c r="D98" i="15"/>
  <c r="C99" i="15"/>
  <c r="D99" i="15"/>
  <c r="C100" i="15"/>
  <c r="D100" i="15"/>
  <c r="C101" i="15"/>
  <c r="D101" i="15"/>
  <c r="C102" i="15"/>
  <c r="D102" i="15"/>
  <c r="C103" i="15"/>
  <c r="D103" i="15"/>
  <c r="C104" i="15"/>
  <c r="D104" i="15"/>
  <c r="C105" i="15"/>
  <c r="D105" i="15"/>
  <c r="C106" i="15"/>
  <c r="D106" i="15"/>
  <c r="C107" i="15"/>
  <c r="D107" i="15"/>
  <c r="C23" i="15"/>
  <c r="D23" i="15"/>
  <c r="C24" i="15"/>
  <c r="D24" i="15"/>
  <c r="C25" i="15"/>
  <c r="D25" i="15"/>
  <c r="C26" i="15"/>
  <c r="D26" i="15"/>
  <c r="C27" i="15"/>
  <c r="D27" i="15"/>
  <c r="C28" i="15"/>
  <c r="D28" i="15"/>
  <c r="C29" i="15"/>
  <c r="D29" i="15"/>
  <c r="C30" i="15"/>
  <c r="D30" i="15"/>
  <c r="C31" i="15"/>
  <c r="D31" i="15"/>
  <c r="C32" i="15"/>
  <c r="D32" i="15"/>
  <c r="C33" i="15"/>
  <c r="D33" i="15"/>
  <c r="C34" i="15"/>
  <c r="D34" i="15"/>
  <c r="C35" i="15"/>
  <c r="D35" i="15"/>
  <c r="C36" i="15"/>
  <c r="D36" i="15"/>
  <c r="C37" i="15"/>
  <c r="D37" i="15"/>
  <c r="C38" i="15"/>
  <c r="D38" i="15"/>
  <c r="D19" i="15"/>
  <c r="D20" i="15"/>
  <c r="D21" i="15"/>
  <c r="D22" i="15"/>
  <c r="C20" i="15"/>
  <c r="C21" i="15"/>
  <c r="C19" i="15"/>
  <c r="N757" i="7" l="1"/>
  <c r="N749" i="7"/>
  <c r="N741" i="7"/>
  <c r="N733" i="7"/>
  <c r="N725" i="7"/>
  <c r="N717" i="7"/>
  <c r="N709" i="7"/>
  <c r="N701" i="7"/>
  <c r="N693" i="7"/>
  <c r="N685" i="7"/>
  <c r="N677" i="7"/>
  <c r="N669" i="7"/>
  <c r="N661" i="7"/>
  <c r="N653" i="7"/>
  <c r="N645" i="7"/>
  <c r="N637" i="7"/>
  <c r="N629" i="7"/>
  <c r="N621" i="7"/>
  <c r="N613" i="7"/>
  <c r="N605" i="7"/>
  <c r="N597" i="7"/>
  <c r="N589" i="7"/>
  <c r="N581" i="7"/>
  <c r="N573" i="7"/>
  <c r="N565" i="7"/>
  <c r="N557" i="7"/>
  <c r="N549" i="7"/>
  <c r="N541" i="7"/>
  <c r="N533" i="7"/>
  <c r="N525" i="7"/>
  <c r="N517" i="7"/>
  <c r="N509" i="7"/>
  <c r="N501" i="7"/>
  <c r="N493" i="7"/>
  <c r="N485" i="7"/>
  <c r="N477" i="7"/>
  <c r="N469" i="7"/>
  <c r="N461" i="7"/>
  <c r="N453" i="7"/>
  <c r="N445" i="7"/>
  <c r="N437" i="7"/>
  <c r="N429" i="7"/>
  <c r="N421" i="7"/>
  <c r="N413" i="7"/>
  <c r="N405" i="7"/>
  <c r="N41" i="7"/>
  <c r="N23" i="7"/>
  <c r="N15" i="7"/>
  <c r="N7" i="7"/>
  <c r="N740" i="7"/>
  <c r="N716" i="7"/>
  <c r="N692" i="7"/>
  <c r="N668" i="7"/>
  <c r="N644" i="7"/>
  <c r="N620" i="7"/>
  <c r="N596" i="7"/>
  <c r="N572" i="7"/>
  <c r="N548" i="7"/>
  <c r="N524" i="7"/>
  <c r="N500" i="7"/>
  <c r="N476" i="7"/>
  <c r="N452" i="7"/>
  <c r="N428" i="7"/>
  <c r="N404" i="7"/>
  <c r="N22" i="7"/>
  <c r="N14" i="7"/>
  <c r="N6" i="7"/>
  <c r="N747" i="7"/>
  <c r="N723" i="7"/>
  <c r="N699" i="7"/>
  <c r="N675" i="7"/>
  <c r="N651" i="7"/>
  <c r="N627" i="7"/>
  <c r="N603" i="7"/>
  <c r="N579" i="7"/>
  <c r="N555" i="7"/>
  <c r="N531" i="7"/>
  <c r="N507" i="7"/>
  <c r="N483" i="7"/>
  <c r="N459" i="7"/>
  <c r="N435" i="7"/>
  <c r="N411" i="7"/>
  <c r="N21" i="7"/>
  <c r="N13" i="7"/>
  <c r="N5" i="7"/>
  <c r="N746" i="7"/>
  <c r="N722" i="7"/>
  <c r="N698" i="7"/>
  <c r="N674" i="7"/>
  <c r="N650" i="7"/>
  <c r="N626" i="7"/>
  <c r="N602" i="7"/>
  <c r="N578" i="7"/>
  <c r="N554" i="7"/>
  <c r="N530" i="7"/>
  <c r="N506" i="7"/>
  <c r="N482" i="7"/>
  <c r="N458" i="7"/>
  <c r="N434" i="7"/>
  <c r="N410" i="7"/>
  <c r="N29" i="7"/>
  <c r="N20" i="7"/>
  <c r="N12" i="7"/>
  <c r="N4" i="7"/>
  <c r="N761" i="7"/>
  <c r="N753" i="7"/>
  <c r="N745" i="7"/>
  <c r="N737" i="7"/>
  <c r="N729" i="7"/>
  <c r="N721" i="7"/>
  <c r="N713" i="7"/>
  <c r="N705" i="7"/>
  <c r="N697" i="7"/>
  <c r="N689" i="7"/>
  <c r="N681" i="7"/>
  <c r="N673" i="7"/>
  <c r="N665" i="7"/>
  <c r="N657" i="7"/>
  <c r="N649" i="7"/>
  <c r="N641" i="7"/>
  <c r="N633" i="7"/>
  <c r="N625" i="7"/>
  <c r="N617" i="7"/>
  <c r="N609" i="7"/>
  <c r="N601" i="7"/>
  <c r="N593" i="7"/>
  <c r="N585" i="7"/>
  <c r="N577" i="7"/>
  <c r="N569" i="7"/>
  <c r="N561" i="7"/>
  <c r="N553" i="7"/>
  <c r="N545" i="7"/>
  <c r="N537" i="7"/>
  <c r="N529" i="7"/>
  <c r="N521" i="7"/>
  <c r="N513" i="7"/>
  <c r="N505" i="7"/>
  <c r="N497" i="7"/>
  <c r="N489" i="7"/>
  <c r="N481" i="7"/>
  <c r="N473" i="7"/>
  <c r="N465" i="7"/>
  <c r="N457" i="7"/>
  <c r="N449" i="7"/>
  <c r="N441" i="7"/>
  <c r="N433" i="7"/>
  <c r="N425" i="7"/>
  <c r="N417" i="7"/>
  <c r="N409" i="7"/>
  <c r="N401" i="7"/>
  <c r="N45" i="7"/>
  <c r="N28" i="7"/>
  <c r="N19" i="7"/>
  <c r="N11" i="7"/>
  <c r="N752" i="7"/>
  <c r="N728" i="7"/>
  <c r="N704" i="7"/>
  <c r="N680" i="7"/>
  <c r="N656" i="7"/>
  <c r="N632" i="7"/>
  <c r="N608" i="7"/>
  <c r="N584" i="7"/>
  <c r="N560" i="7"/>
  <c r="N536" i="7"/>
  <c r="N512" i="7"/>
  <c r="N488" i="7"/>
  <c r="N464" i="7"/>
  <c r="N440" i="7"/>
  <c r="N416" i="7"/>
  <c r="N44" i="7"/>
  <c r="N27" i="7"/>
  <c r="N18" i="7"/>
  <c r="N10" i="7"/>
  <c r="N24" i="7"/>
  <c r="N3" i="7"/>
  <c r="N759" i="7"/>
  <c r="N735" i="7"/>
  <c r="N711" i="7"/>
  <c r="N687" i="7"/>
  <c r="N663" i="7"/>
  <c r="N639" i="7"/>
  <c r="N615" i="7"/>
  <c r="N591" i="7"/>
  <c r="N567" i="7"/>
  <c r="N543" i="7"/>
  <c r="N519" i="7"/>
  <c r="N495" i="7"/>
  <c r="N471" i="7"/>
  <c r="N447" i="7"/>
  <c r="N423" i="7"/>
  <c r="N26" i="7"/>
  <c r="N17" i="7"/>
  <c r="N9" i="7"/>
  <c r="N758" i="7"/>
  <c r="N734" i="7"/>
  <c r="N710" i="7"/>
  <c r="N686" i="7"/>
  <c r="N662" i="7"/>
  <c r="N638" i="7"/>
  <c r="N614" i="7"/>
  <c r="N590" i="7"/>
  <c r="N566" i="7"/>
  <c r="N542" i="7"/>
  <c r="N518" i="7"/>
  <c r="N494" i="7"/>
  <c r="N470" i="7"/>
  <c r="N446" i="7"/>
  <c r="N422" i="7"/>
  <c r="N42" i="7"/>
  <c r="N25" i="7"/>
  <c r="N16" i="7"/>
  <c r="N8" i="7"/>
  <c r="L227" i="7"/>
  <c r="N763" i="7"/>
  <c r="N762" i="7"/>
  <c r="N760" i="7"/>
  <c r="N756" i="7"/>
  <c r="N755" i="7"/>
  <c r="N754" i="7"/>
  <c r="N751" i="7"/>
  <c r="N750" i="7"/>
  <c r="N748" i="7"/>
  <c r="N744" i="7"/>
  <c r="N743" i="7"/>
  <c r="N742" i="7"/>
  <c r="N739" i="7"/>
  <c r="N738" i="7"/>
  <c r="N736" i="7"/>
  <c r="N732" i="7"/>
  <c r="N731" i="7"/>
  <c r="N730" i="7"/>
  <c r="N727" i="7"/>
  <c r="N726" i="7"/>
  <c r="N724" i="7"/>
  <c r="N720" i="7"/>
  <c r="N719" i="7"/>
  <c r="N718" i="7"/>
  <c r="N715" i="7"/>
  <c r="N714" i="7"/>
  <c r="N712" i="7"/>
  <c r="N708" i="7"/>
  <c r="N707" i="7"/>
  <c r="N706" i="7"/>
  <c r="N703" i="7"/>
  <c r="N702" i="7"/>
  <c r="N700" i="7"/>
  <c r="N696" i="7"/>
  <c r="N695" i="7"/>
  <c r="N694" i="7"/>
  <c r="N691" i="7"/>
  <c r="N690" i="7"/>
  <c r="N688" i="7"/>
  <c r="N684" i="7"/>
  <c r="N683" i="7"/>
  <c r="N682" i="7"/>
  <c r="N679" i="7"/>
  <c r="N678" i="7"/>
  <c r="N676" i="7"/>
  <c r="N672" i="7"/>
  <c r="N671" i="7"/>
  <c r="N670" i="7"/>
  <c r="N667" i="7"/>
  <c r="N666" i="7"/>
  <c r="N664" i="7"/>
  <c r="N660" i="7"/>
  <c r="N659" i="7"/>
  <c r="N658" i="7"/>
  <c r="N655" i="7"/>
  <c r="N654" i="7"/>
  <c r="N652" i="7"/>
  <c r="N648" i="7"/>
  <c r="N647" i="7"/>
  <c r="N646" i="7"/>
  <c r="N643" i="7"/>
  <c r="N642" i="7"/>
  <c r="N640" i="7"/>
  <c r="N636" i="7"/>
  <c r="N635" i="7"/>
  <c r="N634" i="7"/>
  <c r="N631" i="7"/>
  <c r="N630" i="7"/>
  <c r="N628" i="7"/>
  <c r="N624" i="7"/>
  <c r="N623" i="7"/>
  <c r="N622" i="7"/>
  <c r="N619" i="7"/>
  <c r="N618" i="7"/>
  <c r="N616" i="7"/>
  <c r="N612" i="7"/>
  <c r="N611" i="7"/>
  <c r="N610" i="7"/>
  <c r="N607" i="7"/>
  <c r="N606" i="7"/>
  <c r="N604" i="7"/>
  <c r="N600" i="7"/>
  <c r="N599" i="7"/>
  <c r="N598" i="7"/>
  <c r="N595" i="7"/>
  <c r="N594" i="7"/>
  <c r="N592" i="7"/>
  <c r="N588" i="7"/>
  <c r="N587" i="7"/>
  <c r="N586" i="7"/>
  <c r="N583" i="7"/>
  <c r="N582" i="7"/>
  <c r="N580" i="7"/>
  <c r="N576" i="7"/>
  <c r="N575" i="7"/>
  <c r="N574" i="7"/>
  <c r="N571" i="7"/>
  <c r="N570" i="7"/>
  <c r="N568" i="7"/>
  <c r="N564" i="7"/>
  <c r="N563" i="7"/>
  <c r="N562" i="7"/>
  <c r="N559" i="7"/>
  <c r="N558" i="7"/>
  <c r="N556" i="7"/>
  <c r="N552" i="7"/>
  <c r="N551" i="7"/>
  <c r="N550" i="7"/>
  <c r="N547" i="7"/>
  <c r="N546" i="7"/>
  <c r="N544" i="7"/>
  <c r="N540" i="7"/>
  <c r="N539" i="7"/>
  <c r="N538" i="7"/>
  <c r="N535" i="7"/>
  <c r="N534" i="7"/>
  <c r="N532" i="7"/>
  <c r="N528" i="7"/>
  <c r="N527" i="7"/>
  <c r="N526" i="7"/>
  <c r="N523" i="7"/>
  <c r="N522" i="7"/>
  <c r="N520" i="7"/>
  <c r="N516" i="7"/>
  <c r="N515" i="7"/>
  <c r="N514" i="7"/>
  <c r="N511" i="7"/>
  <c r="N510" i="7"/>
  <c r="N508" i="7"/>
  <c r="N504" i="7"/>
  <c r="N503" i="7"/>
  <c r="N502" i="7"/>
  <c r="N499" i="7"/>
  <c r="N498" i="7"/>
  <c r="N496" i="7"/>
  <c r="N492" i="7"/>
  <c r="N491" i="7"/>
  <c r="N490" i="7"/>
  <c r="N487" i="7"/>
  <c r="N486" i="7"/>
  <c r="N484" i="7"/>
  <c r="N480" i="7"/>
  <c r="N479" i="7"/>
  <c r="N478" i="7"/>
  <c r="N475" i="7"/>
  <c r="N474" i="7"/>
  <c r="N472" i="7"/>
  <c r="N468" i="7"/>
  <c r="N467" i="7"/>
  <c r="N466" i="7"/>
  <c r="N463" i="7"/>
  <c r="N462" i="7"/>
  <c r="N460" i="7"/>
  <c r="N456" i="7"/>
  <c r="N455" i="7"/>
  <c r="N454" i="7"/>
  <c r="N444" i="7"/>
  <c r="N443" i="7"/>
  <c r="N442" i="7"/>
  <c r="N439" i="7"/>
  <c r="N438" i="7"/>
  <c r="N436" i="7"/>
  <c r="N432" i="7"/>
  <c r="N431" i="7"/>
  <c r="N430" i="7"/>
  <c r="N427" i="7"/>
  <c r="N426" i="7"/>
  <c r="N424" i="7"/>
  <c r="N420" i="7"/>
  <c r="N419" i="7"/>
  <c r="N418" i="7"/>
  <c r="N415" i="7"/>
  <c r="N414" i="7"/>
  <c r="N412" i="7"/>
  <c r="N408" i="7"/>
  <c r="N407" i="7"/>
  <c r="N406" i="7"/>
  <c r="N403" i="7"/>
  <c r="N402" i="7"/>
  <c r="N400" i="7"/>
  <c r="N47" i="7"/>
  <c r="N43" i="7"/>
  <c r="N40" i="7"/>
  <c r="N38" i="7"/>
  <c r="N30" i="7"/>
  <c r="N31" i="7"/>
  <c r="N32" i="7"/>
  <c r="N33" i="7"/>
  <c r="N34" i="7"/>
  <c r="N35" i="7"/>
  <c r="N36" i="7"/>
  <c r="N37" i="7"/>
  <c r="N39" i="7"/>
  <c r="N46"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451" i="7"/>
  <c r="N450" i="7"/>
  <c r="N448" i="7"/>
  <c r="B10" i="15"/>
  <c r="E19" i="15"/>
  <c r="E20" i="15"/>
  <c r="E21"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D18" i="15"/>
  <c r="A2" i="15" s="1"/>
  <c r="N227" i="7" l="1"/>
  <c r="B2" i="15"/>
  <c r="B8" i="15" s="1"/>
  <c r="B14" i="15" s="1"/>
  <c r="A8" i="15" l="1"/>
  <c r="A14" i="15" s="1"/>
  <c r="B6" i="15"/>
  <c r="A6" i="15"/>
  <c r="A12"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tc={A2216A3B-2EAF-419A-BB6F-58A3D77F7CE9}</author>
  </authors>
  <commentList>
    <comment ref="A12" authorId="0" shapeId="0" xr:uid="{A2216A3B-2EAF-419A-BB6F-58A3D77F7CE9}">
      <text>
        <t>[Threaded comment]
Your version of Excel allows you to read this threaded comment; however, any edits to it will get removed if the file is opened in a newer version of Excel. Learn more: https://go.microsoft.com/fwlink/?linkid=870924
Comment:
    (Total Meter Generation
/
(No. of days in year-Remaining Days in Year))
/
((Shortfall to Contractual Lower
/
Remaining Days in Year))
-1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tc={FFCBD199-2204-43BD-B081-748438597D5D}</author>
  </authors>
  <commentList>
    <comment ref="B1" authorId="0" shapeId="0" xr:uid="{FFCBD199-2204-43BD-B081-748438597D5D}">
      <text>
        <t>[Threaded comment]
Your version of Excel allows you to read this threaded comment; however, any edits to it will get removed if the file is opened in a newer version of Excel. Learn more: https://go.microsoft.com/fwlink/?linkid=870924
Comment:
    Daily production of each STS takes place from approximately 6:00 a.m. to 6:00 p.m.</t>
      </text>
    </comment>
  </commentList>
</comments>
</file>

<file path=xl/sharedStrings.xml><?xml version="1.0" encoding="utf-8"?>
<sst xmlns="http://schemas.openxmlformats.org/spreadsheetml/2006/main" count="686" uniqueCount="219">
  <si>
    <t>Total PCS Generation (GWh)</t>
  </si>
  <si>
    <t>Total Meter Generation (GWh)</t>
  </si>
  <si>
    <t>Contractual Target (Lower) (GWh)</t>
  </si>
  <si>
    <t>Contractual Target (GWh)</t>
  </si>
  <si>
    <t>Lower Bound Pct Completion</t>
  </si>
  <si>
    <t>Contractual Target Pct Completion</t>
  </si>
  <si>
    <t>Shortfall to Contractual Lower (GWh)</t>
  </si>
  <si>
    <t>Shortfall to Contractual Target (GWh)</t>
  </si>
  <si>
    <t>Current Year</t>
  </si>
  <si>
    <t>Remaining Days in Year</t>
  </si>
  <si>
    <t>% on track Lower</t>
  </si>
  <si>
    <t>% on track Upper</t>
  </si>
  <si>
    <t>Average Daily MWh to LowerBound</t>
  </si>
  <si>
    <t>Average Daily MWh to Contractual Target</t>
  </si>
  <si>
    <t>Date</t>
  </si>
  <si>
    <t>PCS Generation (MWh)</t>
  </si>
  <si>
    <t>Meter Generation (MWh)</t>
  </si>
  <si>
    <t>Details for Sum of Average GHI - Months (Date): Jun, Years (Date): 2025</t>
  </si>
  <si>
    <t>Energy (kWh)</t>
  </si>
  <si>
    <t>GHI</t>
  </si>
  <si>
    <t>SY</t>
  </si>
  <si>
    <t>PR</t>
  </si>
  <si>
    <t>Availability</t>
  </si>
  <si>
    <t>OG1</t>
  </si>
  <si>
    <t>OG2</t>
  </si>
  <si>
    <t>OG3</t>
  </si>
  <si>
    <t>OG4</t>
  </si>
  <si>
    <t>OG5</t>
  </si>
  <si>
    <t>Total Meter Generation (kWh)</t>
  </si>
  <si>
    <t>PAE Energy (kWh)</t>
  </si>
  <si>
    <t>Curtailed Energy (kWh)</t>
  </si>
  <si>
    <t>Corrected Meter Generation (kWh)</t>
  </si>
  <si>
    <t>STS1</t>
  </si>
  <si>
    <t>STS2</t>
  </si>
  <si>
    <t>STS3</t>
  </si>
  <si>
    <t>STS4</t>
  </si>
  <si>
    <t>STS5</t>
  </si>
  <si>
    <t>STS6</t>
  </si>
  <si>
    <t>STS7</t>
  </si>
  <si>
    <t>STS8</t>
  </si>
  <si>
    <t>STS9</t>
  </si>
  <si>
    <t>STS10</t>
  </si>
  <si>
    <t>Total STS Generation (kWh)</t>
  </si>
  <si>
    <t>Corrected STS Generation (kWh)</t>
  </si>
  <si>
    <t>STS12</t>
  </si>
  <si>
    <t>STS22</t>
  </si>
  <si>
    <t>STS32</t>
  </si>
  <si>
    <t>STS42</t>
  </si>
  <si>
    <t>STS52</t>
  </si>
  <si>
    <t>STS62</t>
  </si>
  <si>
    <t>STS72</t>
  </si>
  <si>
    <t>STS82</t>
  </si>
  <si>
    <t>STS92</t>
  </si>
  <si>
    <t>STS102</t>
  </si>
  <si>
    <t>MTR-STS Ratio (Mtr/Inv)</t>
  </si>
  <si>
    <t>Daily Specific Yield</t>
  </si>
  <si>
    <t>WS01</t>
  </si>
  <si>
    <t>WS02</t>
  </si>
  <si>
    <t>WS03</t>
  </si>
  <si>
    <t>WS04</t>
  </si>
  <si>
    <t>WS05</t>
  </si>
  <si>
    <t>Average GHI</t>
  </si>
  <si>
    <t>Plant Performance Ratio (PR)</t>
  </si>
  <si>
    <t>Corrected Plant PR</t>
  </si>
  <si>
    <t>System Availability (%)</t>
  </si>
  <si>
    <t xml:space="preserve">PV Capacity (kWp) </t>
  </si>
  <si>
    <t>AC Capacity</t>
  </si>
  <si>
    <t>Special remarks (any event happened causing low Performance?)</t>
  </si>
  <si>
    <t xml:space="preserve"> -	The measurement at Weather Station 5 (STS-2) is not normal. 
-	Power limitation on Busbar 1 (STS1-STS5) due to considerations of the feeder line capacity.</t>
  </si>
  <si>
    <t xml:space="preserve"> -The measurement at Weather Station 3 (STS-6) and 5 (STS-2) is not normal. 
-	Power limitation on Busbar 1 (STS1-STS5) due to considerations of the feeder line capacity. 
-	Power limitation on Busbar 2 (STS6-STS10) due to considerations of the feeder line capacity.
-	The PR calculation for STS 1 &amp; STS 2 is done manually because WS 5 is still under repair (since 1 June 2025)</t>
  </si>
  <si>
    <t xml:space="preserve"> -  The measurement at Weather Station 3 (STS-6) and 5 (STS-2) is not normal.
-The PR calculation for STS 6 &amp; STS 8 is done manually because WS 3 is still under repair (since 15 March 2025)
-The PR calculation for STS 1 &amp; STS 2 is done manually because WS 5 is still under repair (since 1 June 2025)
-Power limitation on Busbar 1 (STS1-STS5) due to considerations of the feeder line capacity. Busbar 1 just operate 1 20 kV coupler (OG.1)
sts1 and sts2 are set with maximum performance for their output power and do not affect the setpoint for busbar 1 which remains at 22 MW. 
-Power limitation on Busbar 2 due to considerations of the feeder line capacity. Busbar 2 just operate 2 20 kV coupler (OG.4 &amp; OG.5)
</t>
  </si>
  <si>
    <t xml:space="preserve"> -  The measurement at Weather Station 3 (STS-6) and 5 (STS-2) is not normal.
-The PR calculation for STS 6 &amp; STS 8 is done manually because WS 3 is still under repair (since 15 March 2025)
-The PR calculation for STS 1 &amp; STS 2 is done manually because WS 5 is still under repair (since 1 June 2025)
-Power limitation on Busbar 1 (STS1-STS5) due to considerations of the feeder line capacity. Busbar 1 just operate 1 20 kV coupler (OG.1)
sts1 and sts2 are set with maximum performance for their output power and do not affect the setpoint for busbar 1 which remains at 22 MW. 
</t>
  </si>
  <si>
    <t xml:space="preserve"> -  The measurement at Weather Station 3 (STS-6) and 5 (STS-2) is not normal.
-The PR calculation for STS 6 &amp; STS 8 is done manually because WS 3 is still under repair (since 15 March 2025)
-The PR calculation for STS 1 &amp; STS 2 is done manually because WS 5 is still under repair (since 1 June 2025)
-sts1 and sts2 are set with maximum performance for their output power and do not affect the setpoint for busbar 1 which remains at 22 MW. </t>
  </si>
  <si>
    <t xml:space="preserve"> -  The measurement at Weather Station 3 (STS-6) and 5 (STS-2) is not normal.
-The PR calculation for STS 6 &amp; STS 8 is done manually because WS 3 is still under repair (since 15 March 2025)
-The PR calculation for STS 1 &amp; STS 2 is done manually because WS 5 is still under repair (since 1 June 2025)
-Power limitation on Busbar 1 (STS1-STS5) due to considerations of the feeder line capacity. Busbar 1 just operate 1 20 kV coupler (OG.2)
sts1 and sts2 are set with maximum performance for their output power and do not affect the setpoint for busbar 1 which remains at 22 MW. 
- External Outage at OG.1, Trip Earth Fault at OG.1 and GSK.3 due to disturbances at GSK.3 20 kV network distribution</t>
  </si>
  <si>
    <t xml:space="preserve"> -  The measurement at Weather Station 3 (STS-6) and 5 (STS-2) is not normal.
-The PR calculation for STS 6 &amp; STS 8 is done manually because WS 3 is still under repair (since 15 March 2025)
-The PR calculation for STS 1 &amp; STS 2 is done manually because WS 5 is still under repair (since 1 June 2025)
-Power limitation on Busbar 1 (STS1-STS5) due to considerations of the feeder line capacity.
sts1 and sts2 are set with maximum performance for their output power and do not affect the setpoint for busbar 1 which remains at 22 MW.</t>
  </si>
  <si>
    <t>-	The measurement at Weather Station 3 (STS-6) and 5 (STS-2) is not normal. 
-	Power limitation on Busbar 1 (STS1-STS5) due to considerations of the feeder line capacity. External Outage, Trip Earth Fault at GSK.2
-	Power limitation on Busbar 2 (STS6-STS10) due to considerations of the feeder line capacity. Due to disturbances in NST.3 and NST.5 networks, Busbar 2 only transmits energy through OG.4 to NST.2
-	The PR calculation for STS 6 &amp; STS 8 is done manually because WS 3 is still under repair (since 15 March 2025)
-	The PR calculation for STS 1 &amp; STS 2 is done manually because WS 5 is still under repair (since 1 June 2025)</t>
  </si>
  <si>
    <t xml:space="preserve"> -  The measurement at Weather Station 3 (STS-6) and 5 (STS-2) is not normal.
-The PR calculation for STS 6 &amp; STS 8 is done manually because WS 3 is still under repair (since 15 March 2025)
-Power limitation on Busbar 1 (STS1-STS5) due to considerations of the feeder line capacity.
sts1 and sts2 are set with maximum performance for their output power and do not affect the setpoint for busbar 1 which remains at 22 MW.
- Trip Overcurrent stage 2 at OG.4, a fault on the OG.4 line towards NST.2 caused the OG.4 LBS and circuit breaker to trip. After further investigation, it was found that the fault originated from the OG.3 line, where one of the poles had collapsed due to being hit by a truck.</t>
  </si>
  <si>
    <t>Details for Sum of Total STS Generation (kWh) - Months (Date): Jun, Years (Date): 2025</t>
  </si>
  <si>
    <t>STS Generation (kWh)</t>
  </si>
  <si>
    <t>Propotional Setpoint (kW)</t>
  </si>
  <si>
    <t>Total Meter Generation (kWh) (Technical)</t>
  </si>
  <si>
    <t>Total Meter Generation (kWh) (PLN Billing)</t>
  </si>
  <si>
    <t>PAE Energy (kWh) from 10 am to 10 am</t>
  </si>
  <si>
    <t>PAE Energy - Total Meter Generation (kWh)</t>
  </si>
  <si>
    <t>Generation (kWh) (Technical)</t>
  </si>
  <si>
    <t>PLN Meter Generation (kWh)</t>
  </si>
  <si>
    <t>PAE Energy (kWh) from 00.00 to 24.00</t>
  </si>
  <si>
    <t>Generation STS (kWh)</t>
  </si>
  <si>
    <t>Auxiliary Energy (kWh)</t>
  </si>
  <si>
    <t>Daily Specific Yield (Technical)</t>
  </si>
  <si>
    <t>Daily Specific Yield (PLN Billing)</t>
  </si>
  <si>
    <t>Busbar 1 (STS 1 - 5)</t>
  </si>
  <si>
    <t>Busbar 2 (STS 6 - 10)</t>
  </si>
  <si>
    <t>- STS 3, STS 4, STS 5 : The STS setpoint setting is limited to 2500kW (50,51%) due to outgoing feeder specification.</t>
  </si>
  <si>
    <t>- STS 3 : LV-A its unable to close by Local, Enspire and SCADA
- ⁠STS 5 : VCB G2, LV-A and LV-B its unable to close by Enspire and SCADA</t>
  </si>
  <si>
    <t>- STS 3 : LV-A its unable to close by Local, Enspire and SCADA
- ⁠STS 5 : VCB G2, LV-A and LV-B its unable to close by Enspire and SCADA
- STS 6 : Limited power due to adjusts the outgoing load given by dispatcher
- STS 7 and 9 : Limited power because in load profile test 
- STS 8 and 10 : Limited power because in reliability run (RR)</t>
  </si>
  <si>
    <t>- STS 3 : LV-A its unable to close by Local, Enspire and SCADA
- ⁠STS 5 : VCB G2, LV-A and LV-B its unable to close by Enspire and SCADA
- STS 6, 8 and 9 : Limited power due to adjusts the outgoing load given by dispatcher</t>
  </si>
  <si>
    <t>- STS 1-5 : Limited power due to adjusts the outgoing load given by dispatcher
- ⁠STS 6-10 : Power limitations due to the STS BESS 1 charge and discharge process then adjust the outgoing load given by the dispatcher</t>
  </si>
  <si>
    <t>STS 6 Limited power due to adjusts the outgoing load given by dispatcher</t>
  </si>
  <si>
    <t>STS 2, 6 and 8 Limited power due to adjusts the outgoing load given by dispatcher</t>
  </si>
  <si>
    <t>STS 2 and 6 Limited power due to adjusts the outgoing load given by dispatcher</t>
  </si>
  <si>
    <t>STS 9 produces a small energy yield and has a small maximum setpoint.</t>
  </si>
  <si>
    <t>- STS 1-5 request outage Outgoing Busbar 1 to PH, OG.1 GSK 3, and OG.2 GSK 2 due to change of Tap CT Ratio and Reconfiguration of GFR Protection Function in GSK Substation
- STS 6 limited power due to adjusts the outgoing load given by Dispatcher</t>
  </si>
  <si>
    <t>STS 1-5 there was an overcurrent trip for 50 minutes caused by internal solar plant</t>
  </si>
  <si>
    <t>Overcurrent trip at OG.4 and OG.5 for 60 minutes caused by internal solar plant</t>
  </si>
  <si>
    <t>There was a power outage at busbar 1 (STS1-STS5) due to a request from GI Gresik for 76 minutes</t>
  </si>
  <si>
    <t>There is a power limitation on STS3, STS4 and STS5</t>
  </si>
  <si>
    <t>- There is a power limitation on STS3, STS4 and STS5
- Request outage OG.1 GSK.3 due to repair work of A3CS Medium Voltage Air Line (SUTM) cable that was detached from the insulator and fell into the traves</t>
  </si>
  <si>
    <t>- There is a power limitation on STS3, STS4 and STS5
- Request outage OG.4 NST.2 due to Relocation of Medium Voltage Cable Line (SKTM) affected by the KIPP Project and Rest Poll Jumper Configuration</t>
  </si>
  <si>
    <t>- There is a power limitation on STS3, STS4 and STS5. 
- There is a power limitation on the STS6-STS10 because only one feeder line is available</t>
  </si>
  <si>
    <t xml:space="preserve">There is a power limitation on STS3, STS4 and STS5. </t>
  </si>
  <si>
    <t xml:space="preserve">There is a power limitation on STS3 - STS10. </t>
  </si>
  <si>
    <t>- There is an outage on busbar 1
- There is a power limitation on the busbar 2</t>
  </si>
  <si>
    <t xml:space="preserve">There is a power limitation on STS3, STS4, STS5, STS6, STS7, STS8, and STS10. </t>
  </si>
  <si>
    <t>Request outage OG.3 and OG.4 because relocation of 20 kV Medium Voltage Network (JTM) due to IKN toll road project</t>
  </si>
  <si>
    <t>Power limitation on Busbar 1 (STS1-STS5) due to considerations of the feeder line capacity.</t>
  </si>
  <si>
    <t>- Rectifier Charger 110 VDC panel lost its supply, causing the control system, energy meter ION8650, and relay protection on the 20 kV panel to become inoperative
- Power limitation on Busbar 1 (STS1-STS5) due to considerations of the feeder line capacity.</t>
  </si>
  <si>
    <t>- Power limitation on Busbar 1 (STS1-STS5) due to considerations of the feeder line capacity.
- The measurement at Weather Station 3 (STS-6) is not normal.</t>
  </si>
  <si>
    <t>- Power limitation on Busbar 1 (STS1-STS5) due to considerations of the feeder line capacity.
- The measurement at Weather Station 3 (STS-6) is not normal.
- Loss communication on STS6 caused measurement not recorded.</t>
  </si>
  <si>
    <t>- The measurement at Weather Station 3 (STS-6) is not normal.
- Loss communication on STS6 caused measurement not recorded.</t>
  </si>
  <si>
    <t>Power limitation on Busbar 1 (STS1-STS5) due to considerations of the feeder line capacity.
The measurement at Weather Station 3 (STS-6) is not normal.
The PR calculation for STS 6 &amp; STS 8 is done manually because WS 3 is still under repair (since 15 March 2025)</t>
  </si>
  <si>
    <t>The measurement at Weather Station 3 (STS-6) is not normal.
Commisioning at STS 9
The PR calculation for STS 6 &amp; STS 8 is done manually because WS 3 is still under repair (since 15 March 2025)</t>
  </si>
  <si>
    <t>The measurement at Weather Station 3 (STS-6) is not normal.
The PR calculation for STS 6 &amp; STS 8 is done manually because WS 3 is still under repair (since 15 March 2025)</t>
  </si>
  <si>
    <t>The measurement at Weather Station 3 (STS-6) is not normal.
Power limitation on Busbar 1 (STS1-STS5) due to considerations of the feeder line capacity
The PR calculation for STS 6 &amp; STS 8 is done manually because WS 3 is still under repair (since 15 March 2025)</t>
  </si>
  <si>
    <t>The measurement at Weather Station 3 (STS-6) is not normal.
Outage on Busbar 1 (STS1-STS5) due to trip at GSK.2 (line to OG.2).
The PR calculation for STS 6 &amp; STS 8 is done manually because WS 3 is still under repair (since 15 March 2025)</t>
  </si>
  <si>
    <t>The measurement at Weather Station 3 (STS-6) is not normal.
Outage on Busbar 1 (STS1-STS5) due to trip at GSK.2 (line to OG.2 and OG 1).
The PR calculation for STS 6 &amp; STS 8 is done manually because WS 3 is still under repair (since 15 March 2025)</t>
  </si>
  <si>
    <t>The measurement at Weather Station 3 (STS-6) is not normal.
Power limitation on Busbar 1 (STS1-STS5) due to considerations of the feeder line capacity.
The PR calculation for STS 6 &amp; STS 8 is done manually because WS 3 is still under repair (since 15 March 2025)</t>
  </si>
  <si>
    <t>The measurement at Weather Station 3 (STS-6) is not normal.
Trip at OG.3 due to auto reclose at NST.5.
The PR calculation for STS 6 &amp; STS 8 is done manually because WS 3 is still under repair (since 15 March 2025)</t>
  </si>
  <si>
    <t>The measurement at Weather Station 3 (STS-6) is not normal.
Power limitation on Busbar 1 and 2 (STS1-STS10) due to considerations of the feeder line capacity.
Intermittent on the connector phase T-OG.4.
The PR calculation for STS 6 &amp; STS 8 is done manually because WS 3 is still under repair (since 15 March 2025)</t>
  </si>
  <si>
    <t>The measurement at Weather Station 3 (STS-6) is not normal.
Power limitation on Busbar 1 and 2 (STS1-STS10) due to considerations of the feeder line capacity.
The PR calculation for STS 6 &amp; STS 8 is done manually because WS 3 is still under repair (since 15 March 2025)</t>
  </si>
  <si>
    <t>The measurement at Weather Station 3 (STS-6) is not normal.
Request outage OG.2 GSK.2 due to coupler maintenance at GI Gersik
The PR calculation for STS 6 &amp; STS 8 is done manually because WS 3 is still under repair (since 15 March 2025)</t>
  </si>
  <si>
    <t>The measurement at Weather Station 3 (STS-6) is not normal.
The PR calculation for STS 6 &amp; STS 8 is done manually because WS 3 is still under repair (since 15 March 2025)
Power limitation on Busbar 1 (STS1-STS5) due to considerations of the feeder line capacity.</t>
  </si>
  <si>
    <t xml:space="preserve"> -  The measurement at Weather Station 3 (STS-6) is not normal.
-The PR calculation for STS 6 &amp; STS 8 is done manually because WS 3 is still under repair (since 15 March 2025)
-Power limitation on Busbar 1 (STS1-STS5) due to considerations of the feeder line capacity.
sts1 and sts2 are set with maximum performance for their output power and do not affect the setpoint for busbar 1 which remains at 20 MW.</t>
  </si>
  <si>
    <t xml:space="preserve"> -  The measurement at Weather Station 3 (STS-6) is not normal.
-The PR calculation for STS 6 &amp; STS 8 is done manually because WS 3 is still under repair (since 15 March 2025)
-Power limitation on Busbar 1 (STS1-STS5) due to considerations of the feeder line capacity.
sts1 and sts2 are set with maximum performance for their output power and do not affect the setpoint for busbar 1 which remains at 22 MW.</t>
  </si>
  <si>
    <t xml:space="preserve"> -  The measurement at Weather Station 3 (STS-6) is not normal.
-The PR calculation for STS 6 &amp; STS 8 is done manually because WS 3 is still under repair (since 15 March 2025)
-Power limitation on Busbar 1 (STS1-STS5) due to considerations of the feeder line capacity.
sts1 and sts2 are set with maximum performance for their output power and do not affect the setpoint for busbar 1 which remains at 22 MW.
- Trip Overcurrent stage 2 at OG.4, and OG.5 due to Earth Fault on NST.5 in GIS Subtation</t>
  </si>
  <si>
    <t xml:space="preserve"> -	The measurement at Weather Station 5 (STS-2) is not normal. 
-	Power limitation on Busbar 1 (STS1-STS5) due to considerations of the feeder line capacity.
- Request Outage OG.4 NST.2 and OG.5 NST.3 due to Relocation of the 20 kV Medium Voltage Overhead Line (SUTM) due to the impact of a road construction project.
- OG.2 has been outage due to trip Overcurrent Stage 1 Lockout at GSK.2 and GSK.3 at July 14, 17:49 due to disturbances at 20 kV network distribution</t>
  </si>
  <si>
    <t>-	The measurement at Weather Station 5 (STS-2) is not normal. 
-	Power limitation on Busbar 1 (STS1-STS5) due to considerations of the feeder line capacity.
- Request Outage OG.1 – GSK.3 due to jointing repair work on the 20 kV distribution line from GSK.2 to OG.2. OG.2 has been outaged since July 14th at 17:49.
- Request Outage OG.3 NST.5, OG.4 NST.2, and OG.5 NST.3 due to disturbances at 20 kV network distribution from 9.43 to 11.51</t>
  </si>
  <si>
    <t>-	The measurement at Weather Station 5 (STS-2) is not normal. 
-	Power limitation on Busbar 1 (STS1-STS5) due to considerations of the feeder line capacity.
- OG.2 has been outaged since July 14th at 17:49 until July 17th at 9:07.
- In relation to the relocation work of the 20 kV Medium Voltage Overhead Line (SUTM) Eucalyptus Rise Pole, which was affected by the East Axis (Sumbu Timur) Road Construction Project by the Ministry of Public Works (PU), the 20 kV distribution network on the OG.5 to NST.3 line was disconnected in the middle by the Dispatcher. OG.5 remains in a closed Circuit Breaker (CB) position, has not experienced an outage, and is still receiving voltage feedback.</t>
  </si>
  <si>
    <t>-	The measurement at Weather Station 5 (STS-2) is not normal. 
-	Power limitation on Busbar 1 (STS1-STS5) due to considerations of the feeder line capacity.
- In relation to the relocation work of the 20 kV Medium Voltage Overhead Line (SUTM) Eucalyptus Rise Pole, which was affected by the East Axis (Sumbu Timur) Road Construction Project by the Ministry of Public Works (PU), the 20 kV distribution network on the OG.5 to NST.3 line was disconnected in the middle by the Dispatcher. OG.5 remains in a closed Circuit Breaker (CB) position, has not experienced an outage, and is still receiving voltage feedback.</t>
  </si>
  <si>
    <t>-	Power limitation on Busbar 1 (STS1-STS5) due to considerations of the feeder line capacity.</t>
  </si>
  <si>
    <t>-	Power limitation on Busbar 1 (STS1-STS5) due to considerations of the feeder line capacity.
- Auto-reclose on GSK.3 and OG.1 temporarily lost voltage feedback before regaining it shortly afterward. OG.1 remained in the CB closed position and did not experience an outage trip.
- Loss of feedback voltage at busbar 2. External Outage, Trip Earth Fault stage 1 at OG.3, NST.2, and NST.3 due to disturbances at 20 kV network distribution</t>
  </si>
  <si>
    <t>-	Power limitation on Busbar 1 (STS1-STS5) due to considerations of the feeder line capacity.
- The request to lower the setpoint on busbar 1 was made due to manuver work to de-energize transformer 1 at Gersik Substation. Busbar 1 remained in normal operation with two couplers, OG.1 and OG.2, and no outage occurred.</t>
  </si>
  <si>
    <t>-	Power limitation on Busbar 1 (STS1-STS5) due to considerations of the feeder line capacity.
- The request to lower the setpoint on busbar 1 was made to ensure the reliability of the 20 kV distribution network in connection with a VVIP visit at IKN Airport. Busbar 1 remained in normal operation with two couplers, OG.1 and OG.2, and no outage occurred.</t>
  </si>
  <si>
    <t>-	Power limitation on Busbar 1 (STS1-STS5) due to considerations of the feeder line capacity.
- External Outage, Trip at NST.5, OG.4, and OG.5 due to a fault was identified at the 20 kV medium voltage overhead line (SUTM) termination in GIS.4 Substation.</t>
  </si>
  <si>
    <t xml:space="preserve">-	Power limitation on Busbar 1 (STS1-STS5) due to considerations of the feeder line capacity.
- Loss of feedback voltage at busbar 1. External Outage, Trip at GSK.3 and GSK.2 due to disturbances at 20 kV network distribution
- OG.3 NST.5 has been outage from July 31 at 16.35 due to a fault was identified at the 20 kV medium voltage overhead line (SUTM) termination in GIS.4 Substation. OG.3 normalized in August 1th at 17.39 </t>
  </si>
  <si>
    <t>-	Power limitation on Busbar 1 (STS1-STS5) due to considerations of the feeder line capacity.
-Loss of feedback voltage at busbar 1. External Outage, Trip at GSK.3 due to disturbances at 20 kV network distribution. OG.2 has been outaged since August 1th at 12:34
- The power cable of the pyranometer at Weather Station 5 is suspected to be faulty.</t>
  </si>
  <si>
    <t>-	Power limitation on Busbar 1 (STS1-STS5) due to considerations of the feeder line capacity.
- OG.2 has been outaged since August 1th at 12:34 due to External Outage, Trip at GSK.3 and GSK.2 at August 1th, 12:34 due to disturbances at 20 kV network distribution.
- The power cable of the pyranometer at Weather Station 5 is suspected to be faulty.</t>
  </si>
  <si>
    <t>-	Power limitation on Busbar 1 (STS1-STS5) due to considerations of the feeder line capacity.
- The power cable of the pyranometer at Weather Station 5 is suspected to be faulty.</t>
  </si>
  <si>
    <t>-	Power limitation on Busbar 1 (STS1-STS5) due to considerations of the feeder line capacity. 
-	The power cable of the pyranometer at Weather Station 5 is suspected to be faulty</t>
  </si>
  <si>
    <t>-	Power limitation on Busbar 1 (STS1-STS5) due to considerations of the feeder line capacity.
-Loss of feedback voltage at busbar 1. External Outage, Trip at GSK.3 due to disturbances at 20 kV network distribution. OG.2 remained get feedback voltage from GSK as result of auto reclose
- The power cable of the pyranometer at Weather Station 5 is suspected to be faulty.</t>
  </si>
  <si>
    <t>-	Power limitation on Busbar 1 (STS1-STS5) due to considerations of the feeder line capacity.
-Loss of feedback voltage at busbar 1. External Outage, Trip at GSK.3 due to disturbances at 20 kV network distribution. OG.2 remained get feedback voltage from GSK as result of auto reclose
- Loss of feedback voltage at busbar 2. External Outage, OG3, OG4, and OG5 experienced a loss of voltage due to a disturbance in the PMCB ini 20kV network distribution
- The power cable of the pyranometer at Weather Station 5 is suspected to be faulty</t>
  </si>
  <si>
    <t>-	Power limitation on Busbar 1 (STS1-STS5) due to considerations of the feeder line capacity.
-Loss of feedback voltage at busbar 1. External Outage, Trip at GSK.3 due to disturbances at 20 kV network distribution. OG.2 remained get feedback voltage from GSK as result of auto reclose
- The power cable of the pyranometer at Weather Station 5 is suspected to be faulty</t>
  </si>
  <si>
    <t>-	Power limitation on Busbar 1 (STS1-STS5) due to considerations of the feeder line capacity.
- The power cable of the pyranometer at Weather Station 5 is suspected to be faulty</t>
  </si>
  <si>
    <t>-	Power limitation on Busbar 1 (STS1-STS5) due to considerations of the feeder line capacity.
- Loss of feedback voltage at busbar 2. External Outage, OG3, OG4, and OG5 experienced a loss of voltage due to a disturbance in the MVTIC (Medium Voltage Twisted Insulated Cable) in 20kV network distribution
- The power cable of the pyranometer at Weather Station 5 is suspected to be faulty</t>
  </si>
  <si>
    <t>-	Power limitation on Busbar 1 (STS1-STS5) due to considerations of the feeder line capacity.
- Power limitation on Busbar 2 (STS6-STS10) due to Emergency shutdown to perform jointing repair on the SKTM work at the OG3-NST5 network distribution.
- The power cable of the pyranometer at Weather Station 5 is suspected to be faulty</t>
  </si>
  <si>
    <t>-	Power limitation on Busbar 1 (STS1-STS5) due to considerations of the feeder line capacity.
- Power limitation on Busbar 2 (STS6-STS10) due to energizing of parallel Transformer #2 at the Gresik Mobile Substation..
- The power cable of the pyranometer at Weather Station 5 is suspected to be faulty</t>
  </si>
  <si>
    <t>-	Power limitation on Busbar 1 (STS1-STS5) due to considerations of the feeder line capacity.
- Outage on Busbar 2  (OG3, OG4, OG5 and STS6-STS10) due to ensure system reliability during the Independence Day at IKN
- The power cable of the pyranometer at Weather Station 5 is suspected to be faulty</t>
  </si>
  <si>
    <t>-	Power limitation on Busbar 1 (STS1-STS5) due to considerations of the feeder line capacity.
- Loss of feedback voltage at busbar 1. External Outage, Trip Earth Fault stage 1 at OG.1-GSK.3 and Overcurrent stage 2 at OG.2 due to disturbances at 20 kV network distribution. An attempt was made to energize OG1 via GSK3; however, GSK3 tripped upon operation. OG2 remained get feedback voltage as a result of the auto-reclose mechanism of GSK2
- OG.3, OG.4, and OG.5 experienced a temporary voltage loss (CB remained in the closed position and did not trip) due to an autoreclose disturbance at GIS.4 - Kariangau
- The power cable of the pyranometer at Weather Station 5 is suspected to be faulty</t>
  </si>
  <si>
    <t>-	Power limitation on Busbar 1 (STS1-STS5) due to considerations of the feeder line capacity.
- Loss of feedback voltage at busbar 2. External Outage, OG3, OG4, and OG5 experienced a loss of voltage due to a disturbance in the MVTIC (Medium Voltage Twisted Insukated Cable) in 20kV network distribution, while the circuit breaker remained in the CLOSED position
- The power cable of the pyranometer at Weather Station 5 is suspected to be faulty</t>
  </si>
  <si>
    <t>-	Power limitation on Busbar 1 (STS1-STS5) due to considerations of the feeder line capacity.
- Loss of feedback voltage at busbar 1. External Outage, Trip Earth Fault stage 1 at OG.1 and GSK.2 due to disturbances at 20 kV network distribution.
- The power cable of the pyranometer at Weather Station 5 is suspected to be faulty</t>
  </si>
  <si>
    <t>-	Power limitation on Busbar 1 (STS1-STS5) due to considerations of the feeder line capacity.
- Loss of feedback voltage at busbar 1. External Outage, Trip Overcurrent stage 2 at OG.1, GSK.3, and OG.2 due to disturbances at 20 kV network distribution.</t>
  </si>
  <si>
    <t>-	Power limitation on Busbar 1 (STS1-STS5) due to considerations of the feeder line capacity.
- External Outage, Trip Ground Fault stage 1 at OG.1 and GSK.3 due to disturbances at 20 kV network distribution.
- The power cable of the pyranometer at Weather Station 5 is suspected to be faulty</t>
  </si>
  <si>
    <t>-	Power limitation on Busbar 1 (STS1-STS5) due to considerations of the feeder line capacity.
- OG.3 is currently in a closed Circuit Breaker (CB) position, not experiencing an outage, and still receiving feedback voltage from NST.5. However, a disturbance occurred at the Switching Substation (GH), causing OG.3 and NST.5 to become unsynchronized. As a result, the OG.3 to NST.5 line is unable to deliver the generated power from the solar power plant (PLTS).
- The power cable of the pyranometer at Weather Station 5 is suspected to be faulty</t>
  </si>
  <si>
    <t>-	Power limitation on Busbar 1 (STS1-STS5) due to considerations of the feeder line capacity.
- OG.4 dan OG.5 is currently in a closed Circuit Breaker (CB) position, not experiencing an outage, and still receiving feedback voltage from NST.2 and NST.3. However, a disturbance occurred at the Switching Substation (GH), causing OG.4 NST.2 and OG.5 NST.3 to become unsynchronized. As a result, the OG.4 to NST.2 and OG.5 to NST.3 line is unable to deliver the generated power from the solar power plant (PLTS).
- The power cable of the pyranometer at Weather Station 5 is suspected to be faulty</t>
  </si>
  <si>
    <t>-	Power limitation on Busbar 1 (STS1-STS5) due to considerations of the feeder line capacity.
- OG.4 dan OG.5 is currently in a closed Circuit Breaker (CB) position, not experiencing an outage, and still receiving feedback voltage from NST.2 and NST.3. However, a disturbance occurred at the Switching Substation (GH), causing OG.4 NST.2 and OG.5 NST.3 to become unsynchronized. As a result, the OG.4 to NST.2 and OG.5 to NST.3 line is unable to deliver the generated power from the solar power plant (PLTS).
- The request to lower the setpoint on busbar 2 was made due to maintaining the reliability of the 20 kV distribution network on busbar 2 in relation to a fault occurring in the MVTIC (Medium Voltage Twisted Insukated Cable) at 20 kV network distribution.
- The power cable of the pyranometer at Weather Station 5 is suspected to be faulty</t>
  </si>
  <si>
    <t>-	Power limitation on Busbar 1 (STS1-STS5) due to considerations of the feeder line capacity.
- Loss of feedback voltage at busbar 2. External Outage, OG3, OG4, and OG5 experienced a loss of voltage due to a disturbance in the MVTIC (Medium Voltage Twisted Insukated Cable) in 20kV network distribution, while the circuit breaker remained in the CLOSED position
- The request to lower the setpoint on busbar 2 was made due to maintaining the reliability of the 20 kV distribution network on busbar 2 in relation to a fault occurring in the MVTIC (Medium Voltage Twisted Insukated Cable) at 20 kV network distribution.
- The power cable of the pyranometer at Weather Station 5 is suspected to be faulty</t>
  </si>
  <si>
    <t>-	Power limitation on Busbar 1 (STS1-STS5) due to considerations of the feeder line capacity.
- External Outage, Trip Earth Fault stage 1 at OG.1 and GSK.3 due to disturbances at 20 kV network distribution.
- Loss of feedback voltage at busbar 2. External Outage, OG3, OG4, and OG5 experienced a loss of voltage due to a disturbance in the MVTIC (Medium Voltage Twisted Insukated Cable) in 20kV network distribution, while the circuit breaker remained in the CLOSED position
- The power cable of the pyranometer at Weather Station 5 is suspected to be faulty</t>
  </si>
  <si>
    <t>-	Power limitation on Busbar 1 (STS1-STS5) due to considerations of the feeder line capacity.
- Loss of feedback voltage at busbar 1. External Outage, Trip Overcurrent stage 2 at OG.1, GSK.3, and OG.2 due to disturbances at 20 kV network distribution.
- The power cable of the pyranometer at Weather Station 5 is suspected to be faulty</t>
  </si>
  <si>
    <t>-	Power limitation on Busbar 1 (STS1-STS5) due to considerations of the feeder line capacity.
- Loss of feedback voltage at busbar 1. External Outage, Trip Overcurrent stage 2 at OG.1, GSK.3, and OG.2 due to disturbances at 20 kV network distribution. OG.1 has been outaged since September 22 at 12.36
- The power cable of the pyranometer at Weather Station 5 is suspected to be faulty</t>
  </si>
  <si>
    <t>-	Power limitation on Busbar 1 (STS1-STS5) due to considerations of the feeder line capacity.
- Loss of feedback voltage at busbar 1. External Outage, Trip Overcurrent stage 2 at OG.1, GSK.3, and OG.2 due to disturbances at 20 kV network distribution. OG.1 has been outaged since September 22 at 12.36
- OG.3 is currently in a closed Circuit Breaker (CB) position, not experiencing an outage, and still receiving feedback voltage from NST.5. However, a disturbance occurred at the Switching Substation (GH), causing OG.3 and NST.5 to become unsynchronized. As a result, the OG.3 to NST.5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
- The power cable of the pyranometer at Weather Station 5 is suspected to be faulty</t>
  </si>
  <si>
    <t>-	Power limitation on Busbar 1 (STS1-STS5) due to considerations of the feeder line capacity.
- OG.5 is currently in a closed Circuit Breaker (CB) position, not experiencing an outage, and still receiving feedback voltage from NST.3. However, a disturbance occurred at the Switching Substation (GH), causing OG.5 and NST.3 to become unsynchronized. As a result, the OG.5 to NST.3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
- The power cable of the pyranometer at Weather Station 5 is suspected to be faulty</t>
  </si>
  <si>
    <t>-	Power limitation on Busbar 1 (STS1-STS5) due to considerations of the feeder line capacity.
- OG.5 is currently in a closed Circuit Breaker (CB) position, not experiencing an outage, and still receiving feedback voltage from NST.3. However, a disturbance occurred at the Switching Substation (GH), causing OG.5 and NST.3 to become unsynchronized. As a result, the OG.5 to NST.3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
- Request outage STS 6-10 and STS BESS 1-3 at busbar 2 due to BESS commissioning at GIS.4
- The power cable of the pyranometer at Weather Station 5 is suspected to be faulty</t>
  </si>
  <si>
    <t>-	Power limitation on Busbar 1 (STS1-STS5) due to considerations of the feeder line capacity.
- Request outage STS 6-10 and STS BESS 1-3 due to BESS commissioning at GIS.4
- The power cable of the pyranometer at Weather Station 5 is suspected to be faulty</t>
  </si>
  <si>
    <t>-	Power limitation on Busbar 1 (STS1-STS5) due to considerations of the feeder line capacity.
- External Outage, Trip Earth Fault stage 1 at OG.1 and GSK.3 due to disturbances at 20 kV network distribution.
- Request outage OG.1 GSK.3 and OG.2 GSK.2 due to repair work on the 20 kV medium voltage overhead line (SUTM) at GSK.2 and GSK.3 network, which experienced a broken conductor.
- Request outage OG.1 GSK.3 and OG.2 GSK.2 due to repair work on the 20 kV medium voltage overhead line (SUTM) at GSK.1 network, which experienced a broken conductor. The network is a single-pole triple-circuit configuration, requiring a power outage on OG.1 GSK.3 and OG.2 GSK.2 as well.
- The power cable of the pyranometer at Weather Station 5 is suspected to be faulty</t>
  </si>
  <si>
    <t>May</t>
  </si>
  <si>
    <t>Generation (kWh)</t>
  </si>
  <si>
    <t>IMPORTANT DETAIL</t>
  </si>
  <si>
    <t>In order to insert the PivotTable you selected, we had to organize your data in columns with a single header row.</t>
  </si>
  <si>
    <t>Years (Date)</t>
  </si>
  <si>
    <t>Months (Date)</t>
  </si>
  <si>
    <t>Sum of PAE Energy (kWh)</t>
  </si>
  <si>
    <t>Sum of Generation (kWh)</t>
  </si>
  <si>
    <t>Sum of Corrected Meter Generation (kWh)</t>
  </si>
  <si>
    <t>2024</t>
  </si>
  <si>
    <t>Dec</t>
  </si>
  <si>
    <t>2024 Total</t>
  </si>
  <si>
    <t>2025</t>
  </si>
  <si>
    <t>Jan</t>
  </si>
  <si>
    <t>Feb</t>
  </si>
  <si>
    <t>Mar</t>
  </si>
  <si>
    <t>Apr</t>
  </si>
  <si>
    <t>Jun</t>
  </si>
  <si>
    <t>Jul</t>
  </si>
  <si>
    <t>Aug</t>
  </si>
  <si>
    <t>Sep</t>
  </si>
  <si>
    <t>Oct</t>
  </si>
  <si>
    <t>Nov</t>
  </si>
  <si>
    <t>2025 Total</t>
  </si>
  <si>
    <t>2026</t>
  </si>
  <si>
    <t>2027</t>
  </si>
  <si>
    <t>2028</t>
  </si>
  <si>
    <t>2029</t>
  </si>
  <si>
    <t>Grand Total</t>
  </si>
  <si>
    <t>Details for Sum of Generation STS (kWh) - Months (Date): Aug, Years (Date): 2025</t>
  </si>
  <si>
    <t>PLN Meter Generation (kWh)2</t>
  </si>
  <si>
    <t>WB01</t>
  </si>
  <si>
    <t>WB02</t>
  </si>
  <si>
    <t>WB03</t>
  </si>
  <si>
    <t>WB04</t>
  </si>
  <si>
    <t>WB05</t>
  </si>
  <si>
    <t>WB06</t>
  </si>
  <si>
    <t>WB07</t>
  </si>
  <si>
    <t>WB08</t>
  </si>
  <si>
    <t>WB09</t>
  </si>
  <si>
    <t>WB10</t>
  </si>
  <si>
    <t>Busbar 1 (WB 01 - WB 5)</t>
  </si>
  <si>
    <t>Busbar 2 (WB 06 - WB 10)</t>
  </si>
  <si>
    <t>Deem Dispatch (kWh)</t>
  </si>
  <si>
    <t>Curtailment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</si>
</sst>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00"/>
    <numFmt numFmtId="165" formatCode="_-* #,##0_-;\-* #,##0_-;_-* &quot;-&quot;??_-;_-@_-"/>
    <numFmt numFmtId="166" formatCode="0.0%"/>
    <numFmt numFmtId="167" formatCode="0.0"/>
    <numFmt numFmtId="168"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1"/>
      <color rgb="FF000000"/>
      <name val="Calibri"/>
      <family val="2"/>
    </font>
    <font>
      <sz val="11"/>
      <color theme="1"/>
      <name val="Calibri"/>
      <family val="2"/>
      <scheme val="minor"/>
    </font>
    <font>
      <sz val="11"/>
      <color rgb="FF000000"/>
      <name val="Calibri"/>
      <family val="2"/>
      <scheme val="minor"/>
    </font>
    <font>
      <b/>
      <sz val="11"/>
      <color rgb="FF000000"/>
      <name val="Calibri"/>
      <family val="2"/>
    </font>
    <font>
      <sz val="10"/>
      <color rgb="FF000000"/>
      <name val="Times New Roman"/>
      <family val="1"/>
    </font>
    <font>
      <sz val="11"/>
      <color rgb="FF4472C4"/>
      <name val="Calibri"/>
      <family val="2"/>
      <scheme val="minor"/>
    </font>
    <font>
      <sz val="11"/>
      <color rgb="FF333333"/>
      <name val="Calibri"/>
      <family val="2"/>
      <scheme val="minor"/>
    </font>
    <font>
      <sz val="12"/>
      <color theme="1"/>
      <name val="Calibri"/>
      <charset val="1"/>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5">
    <border>
      <left/>
      <right/>
      <top/>
      <bottom/>
      <diagonal/>
    </border>
    <border>
      <left style="medium">
        <color rgb="FF000000"/>
      </left>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8" fillId="0" borderId="0"/>
    <xf numFmtId="0" fontId="1" fillId="0" borderId="0"/>
    <xf numFmtId="0" fontId="5" fillId="0" borderId="0"/>
    <xf numFmtId="0" fontId="5" fillId="0" borderId="0"/>
  </cellStyleXfs>
  <cellXfs count="50">
    <xf numFmtId="0" fontId="0" fillId="0" borderId="0" xfId="0"/>
    <xf numFmtId="15" fontId="0" fillId="0" borderId="0" xfId="0" applyNumberFormat="1"/>
    <xf numFmtId="10" fontId="0" fillId="0" borderId="0" xfId="0" applyNumberFormat="1"/>
    <xf numFmtId="3" fontId="0" fillId="0" borderId="0" xfId="0" applyNumberFormat="1"/>
    <xf numFmtId="0" fontId="0" fillId="0" borderId="0" xfId="0" applyAlignment="1">
      <alignment horizontal="center" vertical="center"/>
    </xf>
    <xf numFmtId="0" fontId="2" fillId="0" borderId="0" xfId="0" applyFont="1"/>
    <xf numFmtId="4" fontId="0" fillId="0" borderId="0" xfId="0" applyNumberFormat="1"/>
    <xf numFmtId="3" fontId="0" fillId="0" borderId="0" xfId="0" applyNumberFormat="1" applyAlignment="1">
      <alignment horizontal="center"/>
    </xf>
    <xf numFmtId="165" fontId="0" fillId="0" borderId="0" xfId="0" applyNumberFormat="1"/>
    <xf numFmtId="0" fontId="0" fillId="0" borderId="0" xfId="0" applyAlignment="1">
      <alignment wrapText="1"/>
    </xf>
    <xf numFmtId="0" fontId="2" fillId="0" borderId="3" xfId="0" applyFont="1" applyBorder="1" applyAlignment="1">
      <alignment horizontal="center" vertical="center"/>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0" fontId="0" fillId="0" borderId="3" xfId="0" applyBorder="1" applyAlignment="1">
      <alignment horizontal="center" vertical="center"/>
    </xf>
    <xf numFmtId="9" fontId="0" fillId="0" borderId="3" xfId="1" applyFont="1" applyBorder="1" applyAlignment="1">
      <alignment horizontal="center" vertical="center"/>
    </xf>
    <xf numFmtId="0" fontId="2" fillId="2" borderId="3" xfId="0" applyFont="1" applyFill="1" applyBorder="1" applyAlignment="1">
      <alignment horizontal="center" vertical="center"/>
    </xf>
    <xf numFmtId="2" fontId="0" fillId="2" borderId="3" xfId="0" applyNumberFormat="1" applyFill="1" applyBorder="1" applyAlignment="1">
      <alignment horizontal="center" vertical="center"/>
    </xf>
    <xf numFmtId="2" fontId="0" fillId="2" borderId="0" xfId="0" applyNumberFormat="1" applyFill="1" applyAlignment="1">
      <alignment horizontal="center" vertical="center"/>
    </xf>
    <xf numFmtId="2" fontId="0" fillId="0" borderId="0" xfId="0" applyNumberFormat="1" applyAlignment="1">
      <alignment horizontal="center" vertical="center"/>
    </xf>
    <xf numFmtId="15" fontId="6" fillId="0" borderId="0" xfId="0" applyNumberFormat="1" applyFont="1"/>
    <xf numFmtId="2" fontId="7" fillId="2" borderId="0" xfId="0" applyNumberFormat="1" applyFont="1" applyFill="1" applyAlignment="1">
      <alignment horizontal="center" vertical="center"/>
    </xf>
    <xf numFmtId="0" fontId="2" fillId="0" borderId="4" xfId="0" applyFont="1" applyBorder="1" applyAlignment="1">
      <alignment horizontal="center" vertical="center"/>
    </xf>
    <xf numFmtId="10" fontId="0" fillId="0" borderId="4" xfId="0" applyNumberFormat="1" applyBorder="1" applyAlignment="1">
      <alignment horizontal="center" vertical="center"/>
    </xf>
    <xf numFmtId="0" fontId="0" fillId="0" borderId="0" xfId="0" applyAlignment="1">
      <alignment horizontal="center"/>
    </xf>
    <xf numFmtId="3" fontId="4" fillId="0" borderId="0" xfId="0" applyNumberFormat="1" applyFont="1" applyAlignment="1">
      <alignment horizontal="center" wrapText="1"/>
    </xf>
    <xf numFmtId="165" fontId="4" fillId="0" borderId="0" xfId="0" applyNumberFormat="1" applyFont="1" applyAlignment="1">
      <alignment horizontal="center"/>
    </xf>
    <xf numFmtId="0" fontId="2" fillId="0" borderId="0" xfId="0" applyFont="1" applyAlignment="1">
      <alignment horizontal="center" vertical="center" wrapText="1"/>
    </xf>
    <xf numFmtId="15" fontId="2" fillId="0" borderId="0" xfId="0" applyNumberFormat="1" applyFont="1" applyAlignment="1">
      <alignment wrapText="1"/>
    </xf>
    <xf numFmtId="0" fontId="2" fillId="0" borderId="0" xfId="0" applyFont="1" applyAlignment="1">
      <alignment wrapText="1"/>
    </xf>
    <xf numFmtId="3" fontId="2" fillId="0" borderId="0" xfId="0" applyNumberFormat="1" applyFont="1" applyAlignment="1">
      <alignment horizontal="center" wrapText="1"/>
    </xf>
    <xf numFmtId="0" fontId="2" fillId="0" borderId="1" xfId="0" applyFont="1" applyBorder="1" applyAlignment="1">
      <alignment horizontal="center" vertical="center" wrapText="1"/>
    </xf>
    <xf numFmtId="166" fontId="0" fillId="0" borderId="0" xfId="0" applyNumberFormat="1"/>
    <xf numFmtId="1" fontId="0" fillId="0" borderId="0" xfId="0" applyNumberFormat="1"/>
    <xf numFmtId="168" fontId="0" fillId="0" borderId="0" xfId="0" applyNumberFormat="1"/>
    <xf numFmtId="3" fontId="2" fillId="3" borderId="0" xfId="0" applyNumberFormat="1" applyFont="1" applyFill="1" applyAlignment="1">
      <alignment horizontal="center"/>
    </xf>
    <xf numFmtId="167" fontId="0" fillId="0" borderId="0" xfId="0" applyNumberFormat="1"/>
    <xf numFmtId="2" fontId="0" fillId="0" borderId="0" xfId="0" applyNumberFormat="1"/>
    <xf numFmtId="14" fontId="0" fillId="0" borderId="0" xfId="0" applyNumberFormat="1"/>
    <xf numFmtId="0" fontId="0" fillId="0" borderId="0" xfId="0" applyAlignment="1">
      <alignment vertical="center"/>
    </xf>
    <xf numFmtId="0" fontId="4" fillId="0" borderId="0" xfId="0" applyFont="1"/>
    <xf numFmtId="9" fontId="0" fillId="0" borderId="0" xfId="0" applyNumberFormat="1"/>
    <xf numFmtId="0" fontId="9" fillId="0" borderId="0" xfId="0" applyFont="1"/>
    <xf numFmtId="0" fontId="10" fillId="0" borderId="0" xfId="0" applyFont="1"/>
    <xf numFmtId="0" fontId="0" fillId="0" borderId="0" xfId="0" pivotButton="1"/>
    <xf numFmtId="0" fontId="2" fillId="4" borderId="0" xfId="0" applyFont="1" applyFill="1" applyAlignment="1">
      <alignment horizontal="center" vertical="center" wrapText="1"/>
    </xf>
    <xf numFmtId="0" fontId="11" fillId="0" borderId="0" xfId="0" applyFont="1" applyAlignment="1">
      <alignment readingOrder="1"/>
    </xf>
    <xf numFmtId="3" fontId="2" fillId="3" borderId="1" xfId="0" applyNumberFormat="1" applyFont="1" applyFill="1" applyBorder="1" applyAlignment="1">
      <alignment horizontal="center"/>
    </xf>
    <xf numFmtId="3" fontId="2" fillId="3" borderId="0" xfId="0" applyNumberFormat="1" applyFont="1" applyFill="1" applyAlignment="1">
      <alignment horizontal="center"/>
    </xf>
    <xf numFmtId="3" fontId="2" fillId="3" borderId="2" xfId="0" applyNumberFormat="1" applyFont="1" applyFill="1" applyBorder="1" applyAlignment="1">
      <alignment horizontal="center"/>
    </xf>
    <xf numFmtId="0" fontId="7" fillId="0" borderId="0" xfId="0" applyFont="1" applyAlignment="1">
      <alignment horizontal="center"/>
    </xf>
  </cellXfs>
  <cellStyles count="8">
    <cellStyle name="Comma 2" xfId="2" xr:uid="{3DDA541A-DDEE-4973-8246-0537327461BD}"/>
    <cellStyle name="Comma 5" xfId="3" xr:uid="{F3729B38-B69A-44B1-A138-903F8800F655}"/>
    <cellStyle name="Normal" xfId="0" builtinId="0"/>
    <cellStyle name="Normal 2" xfId="4" xr:uid="{67B12B77-C010-47A4-AC0F-7ECF14CA80C4}"/>
    <cellStyle name="Normal 3" xfId="5" xr:uid="{A89709B8-6B36-4F21-84A3-6E1B958000A1}"/>
    <cellStyle name="Normal 37" xfId="6" xr:uid="{88F82AD4-35A0-46E7-AE02-6E610B063280}"/>
    <cellStyle name="Normal 8 3" xfId="7" xr:uid="{B875727D-5027-4F34-98B3-0E81AA0F11D7}"/>
    <cellStyle name="Percent" xfId="1" builtinId="5"/>
  </cellStyles>
  <dxfs count="11">
    <dxf>
      <alignment horizontal="general" vertical="bottom" textRotation="0" wrapText="1" indent="0" justifyLastLine="0" shrinkToFit="0" readingOrder="0"/>
    </dxf>
    <dxf>
      <numFmt numFmtId="169" formatCode="m/d/yyyy"/>
    </dxf>
    <dxf>
      <numFmt numFmtId="1" formatCode="0"/>
    </dxf>
    <dxf>
      <numFmt numFmtId="1" formatCode="0"/>
    </dxf>
    <dxf>
      <numFmt numFmtId="170" formatCode="d/m/yyyy"/>
    </dxf>
    <dxf>
      <alignment horizontal="general" vertical="bottom" textRotation="0" wrapText="1" indent="0" justifyLastLine="0" shrinkToFit="0" readingOrder="0"/>
    </dxf>
    <dxf>
      <numFmt numFmtId="169" formatCode="m/d/yyyy"/>
    </dxf>
    <dxf>
      <alignment horizontal="general" vertical="bottom" textRotation="0" wrapText="1" indent="0" justifyLastLine="0" shrinkToFit="0" readingOrder="0"/>
    </dxf>
    <dxf>
      <numFmt numFmtId="169" formatCode="m/d/yyyy"/>
    </dxf>
    <dxf>
      <font>
        <color rgb="FF006100"/>
      </font>
      <fill>
        <patternFill>
          <bgColor rgb="FFC6EFCE"/>
        </patternFill>
      </fill>
    </dxf>
    <dxf>
      <font>
        <color rgb="FF9C0006"/>
      </font>
      <fill>
        <patternFill>
          <bgColor rgb="FFFFC7CE"/>
        </patternFill>
      </fill>
    </dxf>
  </dxfs>
  <tableStyles count="1" defaultTableStyle="TableStyleMedium2" defaultPivotStyle="PivotStyleLight16">
    <tableStyle name="Invisible" pivot="0" table="0" count="0" xr9:uid="{32F8CC1C-127F-44CA-8246-A7E14D8324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ohammad Ghafar Bin Mohd Yusof" id="{E80CABB1-4017-4957-ABE5-EB5D65B7F0B9}" userId="S::ghafar.yusof@sembcorp.com::d9c1cca8-a362-4170-a636-96bd26df4411" providerId="AD"/>
  <person displayName="om.pltsikn" id="{4241F238-776C-450F-9B7A-9CDCD9C65002}" userId="S::om.pltsikn_outlook.com#ext#@sembcorp.onmicrosoft.com::c9661b2d-80c5-499d-a0e3-c96c23dba55e"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53.377533217594" createdVersion="8" refreshedVersion="8" minRefreshableVersion="3" recordCount="1652" xr:uid="{A9871374-60C6-4CF0-8F16-49693B2A86B5}">
  <cacheSource type="worksheet">
    <worksheetSource ref="C6:BG1658" sheet="Sheet5"/>
  </cacheSource>
  <cacheFields count="60">
    <cacheField name="Date" numFmtId="15">
      <sharedItems containsSemiMixedTypes="0" containsNonDate="0" containsDate="1" containsString="0" minDate="2024-12-01T00:00:00" maxDate="2029-06-10T00:00:00" count="1652">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sharedItems>
      <fieldGroup par="59"/>
    </cacheField>
    <cacheField name="Energy (kWh)" numFmtId="0">
      <sharedItems containsString="0" containsBlank="1" containsNumber="1" minValue="235895.33709677399" maxValue="280814.82"/>
    </cacheField>
    <cacheField name="GHI" numFmtId="168">
      <sharedItems containsSemiMixedTypes="0" containsString="0" containsNumber="1" minValue="4.1399999999999997" maxValue="4.7433333333333296"/>
    </cacheField>
    <cacheField name="SY" numFmtId="168">
      <sharedItems containsSemiMixedTypes="0" containsString="0" containsNumber="1" minValue="3.3364720000000001" maxValue="3.88811033333333"/>
    </cacheField>
    <cacheField name="PR" numFmtId="10">
      <sharedItems containsSemiMixedTypes="0" containsString="0" containsNumber="1" minValue="0.80591111111111102" maxValue="0.81969999999999998"/>
    </cacheField>
    <cacheField name="Availability" numFmtId="10">
      <sharedItems containsSemiMixedTypes="0" containsString="0" containsNumber="1" minValue="0.99" maxValue="0.99"/>
    </cacheField>
    <cacheField name="OG1" numFmtId="0">
      <sharedItems containsString="0" containsBlank="1" containsNumber="1" minValue="-3" maxValue="94487.5"/>
    </cacheField>
    <cacheField name="OG2" numFmtId="0">
      <sharedItems containsString="0" containsBlank="1" containsNumber="1" minValue="0" maxValue="115755"/>
    </cacheField>
    <cacheField name="OG3" numFmtId="0">
      <sharedItems containsString="0" containsBlank="1" containsNumber="1" minValue="0" maxValue="77338"/>
    </cacheField>
    <cacheField name="OG4" numFmtId="0">
      <sharedItems containsString="0" containsBlank="1" containsNumber="1" minValue="0" maxValue="89830"/>
    </cacheField>
    <cacheField name="OG5" numFmtId="0">
      <sharedItems containsString="0" containsBlank="1" containsNumber="1" minValue="0" maxValue="82387"/>
    </cacheField>
    <cacheField name="Total Meter Generation (kWh)" numFmtId="3">
      <sharedItems containsSemiMixedTypes="0" containsString="0" containsNumber="1" minValue="0" maxValue="369140.5"/>
    </cacheField>
    <cacheField name="PAE Energy (kWh)" numFmtId="3">
      <sharedItems containsString="0" containsBlank="1" containsNumber="1" minValue="84116.67" maxValue="394129.83"/>
    </cacheField>
    <cacheField name="PAE Energy - Total Meter Generation (kWh)" numFmtId="3">
      <sharedItems containsSemiMixedTypes="0" containsString="0" containsNumber="1" minValue="-328388" maxValue="259927.72"/>
    </cacheField>
    <cacheField name="Curtailed Energy (kWh)" numFmtId="3">
      <sharedItems containsString="0" containsBlank="1" containsNumber="1" minValue="0" maxValue="259927.72"/>
    </cacheField>
    <cacheField name="Generation (kWh)" numFmtId="3">
      <sharedItems containsString="0" containsBlank="1" containsNumber="1" minValue="0" maxValue="394129.83"/>
    </cacheField>
    <cacheField name="Corrected Meter Generation (kWh)" numFmtId="3">
      <sharedItems containsString="0" containsBlank="1" containsNumber="1" minValue="0" maxValue="394129.83"/>
    </cacheField>
    <cacheField name="PLN Meter Generation (kWh)" numFmtId="3">
      <sharedItems containsSemiMixedTypes="0" containsString="0" containsNumber="1" minValue="0" maxValue="393144.50542499998"/>
    </cacheField>
    <cacheField name="STS1" numFmtId="0">
      <sharedItems containsString="0" containsBlank="1" containsNumber="1" containsInteger="1" minValue="0" maxValue="33730"/>
    </cacheField>
    <cacheField name="STS2" numFmtId="0">
      <sharedItems containsString="0" containsBlank="1" containsNumber="1" containsInteger="1" minValue="0" maxValue="34130"/>
    </cacheField>
    <cacheField name="STS3" numFmtId="0">
      <sharedItems containsString="0" containsBlank="1" containsNumber="1" minValue="0" maxValue="31900"/>
    </cacheField>
    <cacheField name="STS4" numFmtId="0">
      <sharedItems containsString="0" containsBlank="1" containsNumber="1" containsInteger="1" minValue="0" maxValue="38160"/>
    </cacheField>
    <cacheField name="STS5" numFmtId="0">
      <sharedItems containsString="0" containsBlank="1" containsNumber="1" containsInteger="1" minValue="0" maxValue="38850"/>
    </cacheField>
    <cacheField name="STS6" numFmtId="0">
      <sharedItems containsString="0" containsBlank="1" containsNumber="1" containsInteger="1" minValue="0" maxValue="45370"/>
    </cacheField>
    <cacheField name="STS7" numFmtId="0">
      <sharedItems containsString="0" containsBlank="1" containsNumber="1" containsInteger="1" minValue="0" maxValue="37320"/>
    </cacheField>
    <cacheField name="STS8" numFmtId="0">
      <sharedItems containsString="0" containsBlank="1" containsNumber="1" minValue="0" maxValue="73400"/>
    </cacheField>
    <cacheField name="STS9" numFmtId="0">
      <sharedItems containsString="0" containsBlank="1" containsNumber="1" minValue="0" maxValue="43890"/>
    </cacheField>
    <cacheField name="STS10" numFmtId="0">
      <sharedItems containsString="0" containsBlank="1" containsNumber="1" containsInteger="1" minValue="0" maxValue="73380"/>
    </cacheField>
    <cacheField name="Total STS Generation (kWh)" numFmtId="3">
      <sharedItems containsSemiMixedTypes="0" containsString="0" containsNumber="1" minValue="0" maxValue="371560"/>
    </cacheField>
    <cacheField name="Corrected STS Generation (kWh)" numFmtId="3">
      <sharedItems containsSemiMixedTypes="0" containsString="0" containsNumber="1" minValue="0" maxValue="494287.72"/>
    </cacheField>
    <cacheField name="Auxiliary Energy (kWh)" numFmtId="0">
      <sharedItems containsString="0" containsBlank="1" containsNumber="1" minValue="1209.71" maxValue="1795.79"/>
    </cacheField>
    <cacheField name="STS12" numFmtId="9">
      <sharedItems containsString="0" containsBlank="1" containsNumber="1" minValue="0" maxValue="1"/>
    </cacheField>
    <cacheField name="STS22" numFmtId="9">
      <sharedItems containsString="0" containsBlank="1" containsNumber="1" minValue="0" maxValue="0.99219999999999997"/>
    </cacheField>
    <cacheField name="STS32" numFmtId="9">
      <sharedItems containsString="0" containsBlank="1" containsNumber="1" minValue="0" maxValue="1"/>
    </cacheField>
    <cacheField name="STS42" numFmtId="9">
      <sharedItems containsString="0" containsBlank="1" containsNumber="1" minValue="0" maxValue="1"/>
    </cacheField>
    <cacheField name="STS52" numFmtId="9">
      <sharedItems containsString="0" containsBlank="1" containsNumber="1" minValue="0" maxValue="1"/>
    </cacheField>
    <cacheField name="STS62" numFmtId="9">
      <sharedItems containsString="0" containsBlank="1" containsNumber="1" minValue="0" maxValue="1.0016"/>
    </cacheField>
    <cacheField name="STS72" numFmtId="9">
      <sharedItems containsString="0" containsBlank="1" containsNumber="1" minValue="0" maxValue="0.98919999999999997"/>
    </cacheField>
    <cacheField name="STS82" numFmtId="9">
      <sharedItems containsString="0" containsBlank="1" containsNumber="1" minValue="0" maxValue="1.0439000000000001"/>
    </cacheField>
    <cacheField name="STS92" numFmtId="9">
      <sharedItems containsString="0" containsBlank="1" containsNumber="1" minValue="0" maxValue="0.999"/>
    </cacheField>
    <cacheField name="STS102" numFmtId="9">
      <sharedItems containsString="0" containsBlank="1" containsNumber="1" minValue="0" maxValue="1"/>
    </cacheField>
    <cacheField name="MTR-STS Ratio (Mtr/Inv)" numFmtId="166">
      <sharedItems containsString="0" containsBlank="1" containsNumber="1" minValue="0.30167817253185197" maxValue="6.7819535265286097"/>
    </cacheField>
    <cacheField name="Daily Specific Yield" numFmtId="2">
      <sharedItems containsSemiMixedTypes="0" containsString="0" containsNumber="1" minValue="0" maxValue="5.7107222140002998"/>
    </cacheField>
    <cacheField name="WS01" numFmtId="0">
      <sharedItems containsString="0" containsBlank="1" containsNumber="1" minValue="0.84" maxValue="6.75"/>
    </cacheField>
    <cacheField name="WS02" numFmtId="0">
      <sharedItems containsString="0" containsBlank="1" containsNumber="1" minValue="0.87" maxValue="6.86"/>
    </cacheField>
    <cacheField name="WS03" numFmtId="0">
      <sharedItems containsString="0" containsBlank="1" containsNumber="1" minValue="0.85" maxValue="6.87"/>
    </cacheField>
    <cacheField name="WS04" numFmtId="0">
      <sharedItems containsString="0" containsBlank="1" containsNumber="1" minValue="0.84" maxValue="6.74"/>
    </cacheField>
    <cacheField name="WS05" numFmtId="0">
      <sharedItems containsString="0" containsBlank="1" containsNumber="1" minValue="0.88" maxValue="6.68"/>
    </cacheField>
    <cacheField name="Average GHI" numFmtId="4">
      <sharedItems containsString="0" containsBlank="1" containsNumber="1" minValue="0.85" maxValue="6.7350000000000003"/>
    </cacheField>
    <cacheField name="Plant Performance Ratio (PR)" numFmtId="10">
      <sharedItems containsString="0" containsBlank="1" containsNumber="1" minValue="0.36980000000000002" maxValue="0.99280000000000002"/>
    </cacheField>
    <cacheField name="Corrected Plant PR" numFmtId="10">
      <sharedItems containsString="0" containsBlank="1" containsNumber="1" minValue="0" maxValue="1.9456494973170899"/>
    </cacheField>
    <cacheField name="System Availability (%)" numFmtId="10">
      <sharedItems containsString="0" containsBlank="1" containsNumber="1" minValue="0.92110000000000003" maxValue="1"/>
    </cacheField>
    <cacheField name="PV Capacity (kWp) " numFmtId="0">
      <sharedItems containsSemiMixedTypes="0" containsString="0" containsNumber="1" containsInteger="1" minValue="13500" maxValue="71500"/>
    </cacheField>
    <cacheField name="AC Capacity" numFmtId="0">
      <sharedItems containsString="0" containsBlank="1" containsNumber="1" containsInteger="1" minValue="53692" maxValue="56992"/>
    </cacheField>
    <cacheField name="Busbar 1 (STS 1 - 5)" numFmtId="0">
      <sharedItems containsString="0" containsBlank="1" containsNumber="1" containsInteger="1" minValue="0" maxValue="24796"/>
    </cacheField>
    <cacheField name="Busbar 2 (STS 6 - 10)" numFmtId="0">
      <sharedItems containsString="0" containsBlank="1" containsNumber="1" containsInteger="1" minValue="0" maxValue="30030"/>
    </cacheField>
    <cacheField name="Special remarks (any event happened causing low Performance?)" numFmtId="0">
      <sharedItems containsBlank="1" longText="1"/>
    </cacheField>
    <cacheField name="Months (Date)" numFmtId="0" databaseField="0">
      <fieldGroup base="0">
        <rangePr groupBy="months" startDate="2024-12-01T00:00:00" endDate="2029-06-10T00:00:00"/>
        <groupItems count="14">
          <s v="&lt;12/1/2024"/>
          <s v="Jan"/>
          <s v="Feb"/>
          <s v="Mar"/>
          <s v="Apr"/>
          <s v="May"/>
          <s v="Jun"/>
          <s v="Jul"/>
          <s v="Aug"/>
          <s v="Sep"/>
          <s v="Oct"/>
          <s v="Nov"/>
          <s v="Dec"/>
          <s v="&gt;6/10/2029"/>
        </groupItems>
      </fieldGroup>
    </cacheField>
    <cacheField name="Quarters (Date)" numFmtId="0" databaseField="0">
      <fieldGroup base="0">
        <rangePr groupBy="quarters" startDate="2024-12-01T00:00:00" endDate="2029-06-10T00:00:00"/>
        <groupItems count="6">
          <s v="&lt;12/1/2024"/>
          <s v="Qtr1"/>
          <s v="Qtr2"/>
          <s v="Qtr3"/>
          <s v="Qtr4"/>
          <s v="&gt;6/10/2029"/>
        </groupItems>
      </fieldGroup>
    </cacheField>
    <cacheField name="Years (Date)" numFmtId="0" databaseField="0">
      <fieldGroup base="0">
        <rangePr groupBy="years" startDate="2024-12-01T00:00:00" endDate="2029-06-10T00:00:00"/>
        <groupItems count="8">
          <s v="&lt;12/1/2024"/>
          <s v="2024"/>
          <s v="2025"/>
          <s v="2026"/>
          <s v="2027"/>
          <s v="2028"/>
          <s v="2029"/>
          <s v="&gt;6/10/202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2">
  <r>
    <x v="0"/>
    <m/>
    <n v="4.1709677419354803"/>
    <n v="3.4189422580645199"/>
    <n v="0.81969999999999998"/>
    <n v="0.99"/>
    <n v="8513.1299999999992"/>
    <m/>
    <m/>
    <m/>
    <n v="0"/>
    <n v="8513.1299999999992"/>
    <m/>
    <n v="-8513.1299999999992"/>
    <m/>
    <m/>
    <m/>
    <n v="0"/>
    <n v="8930"/>
    <n v="8830"/>
    <m/>
    <m/>
    <m/>
    <m/>
    <m/>
    <m/>
    <m/>
    <m/>
    <n v="17760"/>
    <n v="17760"/>
    <m/>
    <n v="0.9345"/>
    <n v="0.95540000000000003"/>
    <m/>
    <m/>
    <m/>
    <m/>
    <m/>
    <m/>
    <m/>
    <m/>
    <n v="2.0861892159523001"/>
    <n v="0"/>
    <m/>
    <m/>
    <m/>
    <m/>
    <n v="1.18"/>
    <n v="1.18"/>
    <n v="0.94789999999999996"/>
    <m/>
    <n v="1"/>
    <n v="13500"/>
    <m/>
    <m/>
    <m/>
    <m/>
  </r>
  <r>
    <x v="1"/>
    <m/>
    <n v="4.1709677419354803"/>
    <n v="3.4189422580645199"/>
    <n v="0.81969999999999998"/>
    <n v="0.99"/>
    <n v="0"/>
    <m/>
    <m/>
    <m/>
    <n v="0"/>
    <n v="0"/>
    <m/>
    <n v="0"/>
    <m/>
    <m/>
    <m/>
    <n v="0"/>
    <n v="15880"/>
    <n v="13060"/>
    <n v="20130"/>
    <m/>
    <m/>
    <m/>
    <m/>
    <m/>
    <m/>
    <m/>
    <n v="49070"/>
    <n v="49070"/>
    <m/>
    <n v="0.6925"/>
    <n v="0.62629999999999997"/>
    <n v="0.68049999999999999"/>
    <m/>
    <m/>
    <m/>
    <m/>
    <m/>
    <m/>
    <m/>
    <m/>
    <n v="0"/>
    <m/>
    <m/>
    <m/>
    <m/>
    <n v="4.93"/>
    <n v="4.93"/>
    <n v="0.64070000000000005"/>
    <m/>
    <n v="1"/>
    <n v="13500"/>
    <m/>
    <m/>
    <m/>
    <m/>
  </r>
  <r>
    <x v="2"/>
    <m/>
    <n v="4.1709677419354803"/>
    <n v="3.4189422580645199"/>
    <n v="0.81969999999999998"/>
    <n v="0.99"/>
    <n v="0"/>
    <n v="25455.85"/>
    <m/>
    <m/>
    <n v="0"/>
    <n v="25455.85"/>
    <m/>
    <n v="-25455.85"/>
    <m/>
    <m/>
    <m/>
    <n v="0"/>
    <n v="5100"/>
    <n v="4020"/>
    <n v="0"/>
    <n v="13370"/>
    <m/>
    <m/>
    <m/>
    <m/>
    <m/>
    <m/>
    <n v="22490"/>
    <n v="22490"/>
    <m/>
    <n v="0.55920000000000003"/>
    <n v="0.63649999999999995"/>
    <n v="0"/>
    <n v="0.99690000000000001"/>
    <m/>
    <m/>
    <m/>
    <m/>
    <m/>
    <m/>
    <n v="0.8834904354009"/>
    <n v="0"/>
    <m/>
    <m/>
    <m/>
    <m/>
    <n v="1.76"/>
    <n v="1.76"/>
    <n v="0.76449999999999996"/>
    <m/>
    <n v="1"/>
    <n v="13500"/>
    <m/>
    <m/>
    <m/>
    <m/>
  </r>
  <r>
    <x v="3"/>
    <m/>
    <n v="4.1709677419354803"/>
    <n v="3.4189422580645199"/>
    <n v="0.81969999999999998"/>
    <n v="0.99"/>
    <n v="0"/>
    <n v="34299.980000000003"/>
    <m/>
    <m/>
    <n v="0"/>
    <n v="34299.980000000003"/>
    <m/>
    <n v="-34299.980000000003"/>
    <m/>
    <m/>
    <m/>
    <n v="0"/>
    <n v="5460"/>
    <n v="5410"/>
    <n v="0"/>
    <n v="9140"/>
    <m/>
    <m/>
    <m/>
    <m/>
    <m/>
    <m/>
    <n v="20010"/>
    <n v="20010"/>
    <m/>
    <n v="0.59419999999999995"/>
    <n v="0.62409999999999999"/>
    <n v="0"/>
    <n v="0.58879999999999999"/>
    <m/>
    <m/>
    <m/>
    <m/>
    <m/>
    <m/>
    <n v="0.58338226436283602"/>
    <n v="0"/>
    <m/>
    <m/>
    <m/>
    <m/>
    <n v="4.07"/>
    <n v="4.07"/>
    <n v="0.60589999999999999"/>
    <m/>
    <n v="1"/>
    <n v="13500"/>
    <m/>
    <m/>
    <m/>
    <m/>
  </r>
  <r>
    <x v="4"/>
    <m/>
    <n v="4.1709677419354803"/>
    <n v="3.4189422580645199"/>
    <n v="0.81969999999999998"/>
    <n v="0.99"/>
    <n v="0"/>
    <n v="39134.800000000003"/>
    <m/>
    <m/>
    <n v="0"/>
    <n v="39134.800000000003"/>
    <m/>
    <n v="-39134.800000000003"/>
    <m/>
    <m/>
    <m/>
    <n v="0"/>
    <n v="0"/>
    <n v="0"/>
    <n v="0"/>
    <n v="23100"/>
    <m/>
    <m/>
    <m/>
    <m/>
    <m/>
    <m/>
    <n v="23100"/>
    <n v="23100"/>
    <m/>
    <n v="0"/>
    <n v="0"/>
    <n v="0"/>
    <n v="0.70920000000000005"/>
    <m/>
    <m/>
    <m/>
    <m/>
    <m/>
    <m/>
    <n v="0.59026748571603804"/>
    <n v="0"/>
    <m/>
    <m/>
    <m/>
    <m/>
    <n v="2.0299999999999998"/>
    <n v="2.0299999999999998"/>
    <n v="0.70920000000000005"/>
    <m/>
    <n v="1"/>
    <n v="13500"/>
    <m/>
    <m/>
    <m/>
    <m/>
  </r>
  <r>
    <x v="5"/>
    <m/>
    <n v="4.1709677419354803"/>
    <n v="3.4189422580645199"/>
    <n v="0.81969999999999998"/>
    <n v="0.99"/>
    <n v="0"/>
    <n v="47023.19"/>
    <m/>
    <m/>
    <n v="0"/>
    <n v="47023.19"/>
    <m/>
    <n v="-47023.19"/>
    <m/>
    <m/>
    <m/>
    <n v="0"/>
    <n v="0"/>
    <n v="0"/>
    <n v="0"/>
    <n v="23100"/>
    <m/>
    <m/>
    <m/>
    <m/>
    <m/>
    <m/>
    <n v="23100"/>
    <n v="23100"/>
    <m/>
    <n v="0"/>
    <n v="0"/>
    <n v="0"/>
    <n v="0.91349999999999998"/>
    <m/>
    <m/>
    <m/>
    <m/>
    <m/>
    <m/>
    <n v="0.49124697835259601"/>
    <n v="0"/>
    <m/>
    <m/>
    <m/>
    <m/>
    <n v="2.78"/>
    <n v="2.78"/>
    <n v="0.91349999999999998"/>
    <m/>
    <n v="1"/>
    <n v="13500"/>
    <m/>
    <m/>
    <m/>
    <m/>
  </r>
  <r>
    <x v="6"/>
    <m/>
    <n v="4.1709677419354803"/>
    <n v="3.4189422580645199"/>
    <n v="0.81969999999999998"/>
    <n v="0.99"/>
    <n v="0"/>
    <n v="46854.559999999998"/>
    <m/>
    <m/>
    <n v="0"/>
    <n v="46854.559999999998"/>
    <m/>
    <n v="-46854.559999999998"/>
    <m/>
    <m/>
    <m/>
    <n v="0"/>
    <n v="0"/>
    <n v="0"/>
    <n v="14260"/>
    <n v="21000"/>
    <n v="14880"/>
    <m/>
    <m/>
    <m/>
    <m/>
    <m/>
    <n v="50140"/>
    <n v="50140"/>
    <m/>
    <n v="0"/>
    <n v="0"/>
    <n v="0.85419999999999996"/>
    <n v="0.82120000000000004"/>
    <n v="0.78420000000000001"/>
    <m/>
    <m/>
    <m/>
    <m/>
    <m/>
    <n v="1.0701199627101401"/>
    <n v="0"/>
    <m/>
    <m/>
    <m/>
    <m/>
    <n v="4.2699999999999996"/>
    <n v="4.2699999999999996"/>
    <n v="0.87619999999999998"/>
    <m/>
    <n v="1"/>
    <n v="13500"/>
    <m/>
    <m/>
    <m/>
    <m/>
  </r>
  <r>
    <x v="7"/>
    <m/>
    <n v="4.1709677419354803"/>
    <n v="3.4189422580645199"/>
    <n v="0.81969999999999998"/>
    <n v="0.99"/>
    <n v="0"/>
    <n v="48296.03"/>
    <m/>
    <m/>
    <n v="0"/>
    <n v="48296.03"/>
    <m/>
    <n v="-48296.03"/>
    <m/>
    <m/>
    <m/>
    <n v="0"/>
    <n v="0"/>
    <n v="0"/>
    <n v="6460"/>
    <n v="7910"/>
    <n v="33250"/>
    <m/>
    <m/>
    <m/>
    <m/>
    <m/>
    <n v="47620"/>
    <n v="47620"/>
    <m/>
    <n v="0"/>
    <n v="0"/>
    <n v="0.63549999999999995"/>
    <n v="0.62709999999999999"/>
    <n v="0.95479999999999998"/>
    <m/>
    <m/>
    <m/>
    <m/>
    <m/>
    <n v="0.98600236913882999"/>
    <n v="0"/>
    <m/>
    <m/>
    <m/>
    <m/>
    <n v="4.57"/>
    <n v="4.57"/>
    <n v="0.66169999999999995"/>
    <m/>
    <n v="1"/>
    <n v="13500"/>
    <m/>
    <m/>
    <m/>
    <m/>
  </r>
  <r>
    <x v="8"/>
    <m/>
    <n v="4.1709677419354803"/>
    <n v="3.4189422580645199"/>
    <n v="0.81969999999999998"/>
    <n v="0.99"/>
    <n v="0"/>
    <n v="43688.69"/>
    <m/>
    <m/>
    <n v="0"/>
    <n v="43688.69"/>
    <m/>
    <n v="-43688.69"/>
    <m/>
    <m/>
    <m/>
    <n v="0"/>
    <n v="0"/>
    <n v="0"/>
    <n v="25710"/>
    <n v="11120"/>
    <n v="11480"/>
    <m/>
    <m/>
    <m/>
    <m/>
    <m/>
    <n v="48310"/>
    <n v="48310"/>
    <m/>
    <n v="0"/>
    <n v="0"/>
    <n v="0.91"/>
    <n v="0.66"/>
    <n v="0.75"/>
    <m/>
    <m/>
    <m/>
    <m/>
    <m/>
    <n v="1.10577817737268"/>
    <n v="0"/>
    <m/>
    <m/>
    <m/>
    <m/>
    <n v="3.83"/>
    <n v="3.83"/>
    <n v="0.74319999999999997"/>
    <m/>
    <n v="1"/>
    <n v="13500"/>
    <m/>
    <m/>
    <m/>
    <m/>
  </r>
  <r>
    <x v="9"/>
    <m/>
    <n v="4.1709677419354803"/>
    <n v="3.4189422580645199"/>
    <n v="0.81969999999999998"/>
    <n v="0.99"/>
    <n v="0"/>
    <n v="40985.370000000003"/>
    <m/>
    <m/>
    <n v="0"/>
    <n v="40985.370000000003"/>
    <m/>
    <n v="-40985.370000000003"/>
    <m/>
    <m/>
    <m/>
    <n v="0"/>
    <n v="0"/>
    <n v="0"/>
    <n v="25710"/>
    <n v="11120"/>
    <n v="11480"/>
    <m/>
    <m/>
    <m/>
    <m/>
    <m/>
    <n v="48310"/>
    <n v="48310"/>
    <m/>
    <n v="0"/>
    <n v="0"/>
    <n v="0.94"/>
    <n v="0.7"/>
    <n v="0.73"/>
    <m/>
    <m/>
    <m/>
    <m/>
    <m/>
    <n v="1.17871328232489"/>
    <n v="0"/>
    <m/>
    <m/>
    <m/>
    <m/>
    <n v="2.86"/>
    <n v="2.86"/>
    <n v="0.78720000000000001"/>
    <m/>
    <n v="1"/>
    <n v="13500"/>
    <m/>
    <m/>
    <m/>
    <m/>
  </r>
  <r>
    <x v="10"/>
    <m/>
    <n v="4.1709677419354803"/>
    <n v="3.4189422580645199"/>
    <n v="0.81969999999999998"/>
    <n v="0.99"/>
    <n v="0"/>
    <n v="40795.25"/>
    <m/>
    <m/>
    <n v="0"/>
    <n v="40795.25"/>
    <m/>
    <n v="-40795.25"/>
    <m/>
    <m/>
    <m/>
    <n v="0"/>
    <n v="0"/>
    <n v="0"/>
    <n v="21420"/>
    <n v="10410"/>
    <n v="11140"/>
    <m/>
    <m/>
    <m/>
    <m/>
    <m/>
    <n v="42970"/>
    <n v="42970"/>
    <m/>
    <n v="0"/>
    <n v="0"/>
    <n v="0.84"/>
    <n v="0.89419999999999999"/>
    <n v="0.88319999999999999"/>
    <m/>
    <m/>
    <m/>
    <m/>
    <m/>
    <n v="1.0533089023844699"/>
    <n v="0"/>
    <m/>
    <m/>
    <m/>
    <m/>
    <n v="4.21"/>
    <n v="4.21"/>
    <n v="0.87039999999999995"/>
    <m/>
    <n v="1"/>
    <n v="13500"/>
    <m/>
    <m/>
    <m/>
    <m/>
  </r>
  <r>
    <x v="11"/>
    <m/>
    <n v="4.1709677419354803"/>
    <n v="3.4189422580645199"/>
    <n v="0.81969999999999998"/>
    <n v="0.99"/>
    <n v="0"/>
    <n v="50061.25"/>
    <m/>
    <m/>
    <n v="0"/>
    <n v="50061.25"/>
    <m/>
    <n v="-50061.25"/>
    <m/>
    <m/>
    <m/>
    <n v="0"/>
    <n v="10800"/>
    <n v="10930"/>
    <n v="15220"/>
    <n v="7400"/>
    <n v="7430"/>
    <m/>
    <m/>
    <m/>
    <m/>
    <m/>
    <n v="51780"/>
    <n v="51780"/>
    <m/>
    <n v="0.88"/>
    <n v="0.83209999999999995"/>
    <n v="0.80410000000000004"/>
    <n v="0.87119999999999997"/>
    <n v="0.81120000000000003"/>
    <m/>
    <m/>
    <m/>
    <m/>
    <m/>
    <n v="1.03433294214587"/>
    <n v="0"/>
    <m/>
    <m/>
    <m/>
    <m/>
    <n v="4.21"/>
    <n v="4.21"/>
    <n v="0.86419999999999997"/>
    <m/>
    <n v="1"/>
    <n v="13500"/>
    <m/>
    <m/>
    <m/>
    <m/>
  </r>
  <r>
    <x v="12"/>
    <m/>
    <n v="4.1709677419354803"/>
    <n v="3.4189422580645199"/>
    <n v="0.81969999999999998"/>
    <n v="0.99"/>
    <n v="2698.25"/>
    <n v="33553.25"/>
    <m/>
    <m/>
    <n v="0"/>
    <n v="36251.5"/>
    <m/>
    <n v="-36251.5"/>
    <m/>
    <m/>
    <m/>
    <n v="0"/>
    <n v="10870"/>
    <n v="10990"/>
    <n v="3410"/>
    <n v="3440"/>
    <n v="3450"/>
    <m/>
    <m/>
    <m/>
    <m/>
    <m/>
    <n v="32160"/>
    <n v="32160"/>
    <m/>
    <n v="0.88460000000000005"/>
    <n v="0.85119999999999996"/>
    <n v="0.80310000000000004"/>
    <n v="0.82120000000000004"/>
    <n v="0.83409999999999995"/>
    <m/>
    <m/>
    <m/>
    <m/>
    <m/>
    <n v="0.88713570472945902"/>
    <n v="0"/>
    <m/>
    <m/>
    <m/>
    <m/>
    <n v="1.42"/>
    <n v="1.42"/>
    <n v="0.871"/>
    <m/>
    <n v="1"/>
    <n v="13500"/>
    <m/>
    <m/>
    <m/>
    <m/>
  </r>
  <r>
    <x v="13"/>
    <m/>
    <n v="4.1709677419354803"/>
    <n v="3.4189422580645199"/>
    <n v="0.81969999999999998"/>
    <n v="0.99"/>
    <n v="52748.87"/>
    <n v="52613.25"/>
    <m/>
    <m/>
    <n v="0"/>
    <n v="105362.12"/>
    <m/>
    <n v="-105362.12"/>
    <m/>
    <m/>
    <m/>
    <n v="0"/>
    <n v="26020"/>
    <n v="26360"/>
    <n v="16600"/>
    <n v="17560"/>
    <n v="17560"/>
    <m/>
    <m/>
    <m/>
    <m/>
    <m/>
    <n v="104100"/>
    <n v="104100"/>
    <m/>
    <n v="0.90720000000000001"/>
    <n v="0.91900000000000004"/>
    <n v="0.65110000000000001"/>
    <n v="0.64229999999999998"/>
    <n v="0.58230000000000004"/>
    <m/>
    <m/>
    <m/>
    <m/>
    <m/>
    <n v="0.98802112182252999"/>
    <n v="0"/>
    <m/>
    <m/>
    <m/>
    <m/>
    <n v="5.0999999999999996"/>
    <n v="5.0999999999999996"/>
    <n v="0.66969999999999996"/>
    <m/>
    <n v="1"/>
    <n v="13500"/>
    <m/>
    <m/>
    <m/>
    <m/>
  </r>
  <r>
    <x v="14"/>
    <m/>
    <n v="4.1709677419354803"/>
    <n v="3.4189422580645199"/>
    <n v="0.81969999999999998"/>
    <n v="0.99"/>
    <n v="40173.879999999997"/>
    <n v="40401.69"/>
    <m/>
    <m/>
    <n v="0.1"/>
    <n v="80575.67"/>
    <m/>
    <n v="-80575.67"/>
    <m/>
    <m/>
    <m/>
    <n v="0"/>
    <n v="19230"/>
    <n v="19460"/>
    <n v="15430"/>
    <n v="17140"/>
    <n v="17420"/>
    <m/>
    <m/>
    <m/>
    <m/>
    <m/>
    <n v="88680"/>
    <n v="88680"/>
    <m/>
    <n v="0.93100000000000005"/>
    <n v="0.94210000000000005"/>
    <n v="0.84040000000000004"/>
    <n v="0.78500000000000003"/>
    <n v="0.747"/>
    <m/>
    <m/>
    <m/>
    <m/>
    <m/>
    <n v="1.1005803612926801"/>
    <n v="0"/>
    <m/>
    <m/>
    <m/>
    <m/>
    <n v="3.06"/>
    <n v="3.06"/>
    <n v="0.87119999999999997"/>
    <m/>
    <n v="1"/>
    <n v="13500"/>
    <m/>
    <m/>
    <m/>
    <m/>
  </r>
  <r>
    <x v="15"/>
    <m/>
    <n v="4.1709677419354803"/>
    <n v="3.4189422580645199"/>
    <n v="0.81969999999999998"/>
    <n v="0.99"/>
    <n v="16489.87"/>
    <n v="27772.880000000001"/>
    <m/>
    <m/>
    <n v="0"/>
    <n v="44262.75"/>
    <m/>
    <n v="-44262.75"/>
    <m/>
    <m/>
    <m/>
    <n v="0"/>
    <n v="9650"/>
    <n v="9840"/>
    <n v="8720"/>
    <n v="11040"/>
    <n v="11350"/>
    <m/>
    <m/>
    <m/>
    <m/>
    <m/>
    <n v="50600"/>
    <n v="50600"/>
    <m/>
    <n v="0.95299999999999996"/>
    <n v="0.97199999999999998"/>
    <n v="0.96879999999999999"/>
    <n v="0.96579999999999999"/>
    <n v="0.99299999999999999"/>
    <m/>
    <m/>
    <m/>
    <m/>
    <m/>
    <n v="1.14317343590265"/>
    <n v="0"/>
    <m/>
    <m/>
    <m/>
    <m/>
    <n v="1.5"/>
    <n v="1.5"/>
    <n v="0.96189999999999998"/>
    <m/>
    <n v="1"/>
    <n v="13500"/>
    <m/>
    <m/>
    <m/>
    <m/>
  </r>
  <r>
    <x v="16"/>
    <m/>
    <n v="4.1709677419354803"/>
    <n v="3.4189422580645199"/>
    <n v="0.81969999999999998"/>
    <n v="0.99"/>
    <n v="0"/>
    <n v="50729.31"/>
    <m/>
    <m/>
    <n v="12.4"/>
    <n v="50741.71"/>
    <m/>
    <n v="-50741.71"/>
    <m/>
    <m/>
    <m/>
    <n v="0"/>
    <n v="19800"/>
    <n v="19990"/>
    <n v="13340"/>
    <n v="17270"/>
    <n v="17600"/>
    <m/>
    <m/>
    <m/>
    <m/>
    <m/>
    <n v="88000"/>
    <n v="88000"/>
    <m/>
    <n v="0.89980000000000004"/>
    <n v="0.90839999999999999"/>
    <n v="0.67579999999999996"/>
    <n v="0.69889999999999997"/>
    <n v="0.70199999999999996"/>
    <m/>
    <m/>
    <m/>
    <m/>
    <m/>
    <n v="1.7342734409226599"/>
    <n v="0"/>
    <m/>
    <m/>
    <n v="3.29"/>
    <m/>
    <n v="3.26"/>
    <n v="3.2749999999999999"/>
    <n v="0.77500000000000002"/>
    <m/>
    <n v="1"/>
    <n v="13500"/>
    <m/>
    <m/>
    <m/>
    <s v="- STS 3, STS 4, STS 5 : The STS setpoint setting is limited to 2500kW (50,51%) due to outgoing feeder specification."/>
  </r>
  <r>
    <x v="17"/>
    <m/>
    <n v="4.1709677419354803"/>
    <n v="3.4189422580645199"/>
    <n v="0.81969999999999998"/>
    <n v="0.99"/>
    <n v="0"/>
    <n v="54707.81"/>
    <m/>
    <m/>
    <n v="0"/>
    <n v="54707.81"/>
    <m/>
    <n v="-54707.81"/>
    <m/>
    <m/>
    <m/>
    <n v="0"/>
    <n v="33730"/>
    <n v="33990"/>
    <n v="17410"/>
    <n v="23730"/>
    <n v="23930"/>
    <m/>
    <m/>
    <m/>
    <m/>
    <m/>
    <n v="132790"/>
    <n v="132790"/>
    <m/>
    <n v="0.76880000000000004"/>
    <n v="0.77470000000000006"/>
    <n v="0.42799999999999999"/>
    <n v="0.45929999999999999"/>
    <n v="0.4632"/>
    <m/>
    <m/>
    <m/>
    <m/>
    <m/>
    <n v="2.4272585577817898"/>
    <n v="0"/>
    <m/>
    <m/>
    <n v="6.78"/>
    <m/>
    <n v="6.5"/>
    <n v="6.64"/>
    <n v="0.57879999999999998"/>
    <m/>
    <n v="1"/>
    <n v="13500"/>
    <m/>
    <m/>
    <m/>
    <s v="- STS 3 : LV-A its unable to close by Local, Enspire and SCADA_x000a_- ⁠STS 5 : VCB G2, LV-A and LV-B its unable to close by Enspire and SCADA"/>
  </r>
  <r>
    <x v="18"/>
    <m/>
    <n v="4.1709677419354803"/>
    <n v="3.4189422580645199"/>
    <n v="0.81969999999999998"/>
    <n v="0.99"/>
    <n v="0"/>
    <n v="34195"/>
    <m/>
    <m/>
    <n v="0"/>
    <n v="34195"/>
    <m/>
    <n v="-34195"/>
    <m/>
    <m/>
    <m/>
    <n v="0"/>
    <n v="18580"/>
    <n v="18800"/>
    <n v="0"/>
    <n v="21270"/>
    <n v="0"/>
    <m/>
    <m/>
    <m/>
    <m/>
    <m/>
    <n v="58650"/>
    <n v="58650"/>
    <m/>
    <n v="0.88790000000000002"/>
    <n v="0.89839999999999998"/>
    <n v="0"/>
    <n v="0.91820000000000002"/>
    <n v="0"/>
    <m/>
    <m/>
    <m/>
    <m/>
    <m/>
    <n v="1.7151630355315099"/>
    <n v="0"/>
    <m/>
    <m/>
    <n v="3.04"/>
    <m/>
    <n v="3.1"/>
    <n v="3.07"/>
    <n v="0.54090000000000005"/>
    <m/>
    <n v="1"/>
    <n v="13500"/>
    <m/>
    <m/>
    <m/>
    <m/>
  </r>
  <r>
    <x v="19"/>
    <m/>
    <n v="4.1709677419354803"/>
    <n v="3.4189422580645199"/>
    <n v="0.81969999999999998"/>
    <n v="0.99"/>
    <n v="0"/>
    <n v="39976.75"/>
    <m/>
    <m/>
    <n v="0"/>
    <n v="39976.75"/>
    <m/>
    <n v="-39976.75"/>
    <m/>
    <m/>
    <m/>
    <n v="0"/>
    <n v="25570"/>
    <n v="26040"/>
    <n v="0"/>
    <n v="30260"/>
    <n v="0"/>
    <m/>
    <m/>
    <m/>
    <m/>
    <m/>
    <n v="81870"/>
    <n v="81870"/>
    <m/>
    <n v="0.80500000000000005"/>
    <n v="0.81979999999999997"/>
    <n v="0"/>
    <n v="0.8256"/>
    <n v="0"/>
    <m/>
    <m/>
    <m/>
    <m/>
    <m/>
    <n v="2.0479403653373498"/>
    <n v="0"/>
    <m/>
    <m/>
    <n v="4.8099999999999996"/>
    <m/>
    <n v="4.7060000000000004"/>
    <n v="4.758"/>
    <n v="0.49009999999999998"/>
    <m/>
    <n v="1"/>
    <n v="13500"/>
    <m/>
    <m/>
    <m/>
    <m/>
  </r>
  <r>
    <x v="20"/>
    <m/>
    <n v="4.1709677419354803"/>
    <n v="3.4189422580645199"/>
    <n v="0.81969999999999998"/>
    <n v="0.99"/>
    <n v="0"/>
    <n v="34052.75"/>
    <m/>
    <m/>
    <n v="0"/>
    <n v="34052.75"/>
    <m/>
    <n v="-34052.75"/>
    <m/>
    <m/>
    <m/>
    <n v="0"/>
    <n v="24870"/>
    <n v="25130"/>
    <n v="0"/>
    <n v="28240"/>
    <n v="0"/>
    <m/>
    <m/>
    <m/>
    <m/>
    <m/>
    <n v="78240"/>
    <n v="78240"/>
    <m/>
    <n v="0.81330000000000002"/>
    <n v="0.82179999999999997"/>
    <n v="0"/>
    <n v="0.81989999999999996"/>
    <n v="0"/>
    <m/>
    <m/>
    <m/>
    <m/>
    <m/>
    <n v="2.2976117934674898"/>
    <n v="0"/>
    <m/>
    <m/>
    <n v="4.5199999999999996"/>
    <m/>
    <n v="4.53"/>
    <n v="4.5250000000000004"/>
    <n v="0.49099999999999999"/>
    <m/>
    <n v="1"/>
    <n v="13500"/>
    <m/>
    <m/>
    <m/>
    <m/>
  </r>
  <r>
    <x v="21"/>
    <m/>
    <n v="4.1709677419354803"/>
    <n v="3.4189422580645199"/>
    <n v="0.81969999999999998"/>
    <n v="0.99"/>
    <n v="5.0000000000000001E-3"/>
    <n v="33375.379999999997"/>
    <m/>
    <m/>
    <n v="0"/>
    <n v="33375.385000000002"/>
    <m/>
    <n v="-33375.385000000002"/>
    <m/>
    <m/>
    <m/>
    <n v="0"/>
    <n v="20880"/>
    <n v="21110"/>
    <n v="0"/>
    <n v="23900"/>
    <n v="0"/>
    <n v="3620"/>
    <n v="10060"/>
    <n v="73400"/>
    <n v="0.31"/>
    <n v="73380"/>
    <n v="226350.31"/>
    <n v="226350.31"/>
    <m/>
    <n v="0.72770000000000001"/>
    <n v="0.73570000000000002"/>
    <n v="0"/>
    <n v="0.73799999999999999"/>
    <n v="0"/>
    <n v="3.6200000000000003E-2"/>
    <n v="0.10059999999999999"/>
    <n v="0.73399999999999999"/>
    <n v="3.0999999999999999E-3"/>
    <n v="0.73380000000000001"/>
    <n v="6.7819535265286097"/>
    <n v="0"/>
    <m/>
    <m/>
    <n v="4.25"/>
    <m/>
    <n v="4.25"/>
    <n v="4.25"/>
    <n v="0.44030000000000002"/>
    <m/>
    <n v="1"/>
    <n v="13500"/>
    <m/>
    <m/>
    <m/>
    <s v="- STS 3 : LV-A its unable to close by Local, Enspire and SCADA_x000a_- ⁠STS 5 : VCB G2, LV-A and LV-B its unable to close by Enspire and SCADA_x000a_- STS 6 : Limited power due to adjusts the outgoing load given by dispatcher_x000a_- STS 7 and 9 : Limited power because in load profile test _x000a_- STS 8 and 10 : Limited power because in reliability run (RR)"/>
  </r>
  <r>
    <x v="22"/>
    <m/>
    <n v="4.1709677419354803"/>
    <n v="3.4189422580645199"/>
    <n v="0.81969999999999998"/>
    <n v="0.99"/>
    <n v="0"/>
    <n v="38605.875"/>
    <m/>
    <m/>
    <n v="0"/>
    <n v="38605.875"/>
    <m/>
    <n v="-38605.875"/>
    <m/>
    <m/>
    <m/>
    <n v="0"/>
    <n v="24210"/>
    <n v="24470"/>
    <n v="0"/>
    <n v="27770"/>
    <n v="0"/>
    <n v="4270"/>
    <n v="25090"/>
    <n v="9440"/>
    <n v="12690"/>
    <n v="25970"/>
    <n v="153910"/>
    <n v="153910"/>
    <m/>
    <n v="0.87339999999999995"/>
    <n v="0.88300000000000001"/>
    <n v="0"/>
    <n v="0.88749999999999996"/>
    <n v="0"/>
    <n v="0.13020000000000001"/>
    <n v="0.90180000000000005"/>
    <n v="0.33929999999999999"/>
    <n v="0.3931"/>
    <n v="0.89659999999999995"/>
    <n v="3.98669891564432"/>
    <n v="0"/>
    <m/>
    <m/>
    <n v="4.0999999999999996"/>
    <m/>
    <n v="4.1100000000000003"/>
    <n v="4.1050000000000004"/>
    <n v="0.52880000000000005"/>
    <m/>
    <n v="1"/>
    <n v="13500"/>
    <m/>
    <m/>
    <m/>
    <s v="- STS 3 : LV-A its unable to close by Local, Enspire and SCADA_x000a_- ⁠STS 5 : VCB G2, LV-A and LV-B its unable to close by Enspire and SCADA_x000a_- STS 6, 8 and 9 : Limited power due to adjusts the outgoing load given by dispatcher"/>
  </r>
  <r>
    <x v="23"/>
    <m/>
    <n v="4.1709677419354803"/>
    <n v="3.4189422580645199"/>
    <n v="0.81969999999999998"/>
    <n v="0.99"/>
    <n v="5.0000000000000001E-3"/>
    <n v="43761.125"/>
    <m/>
    <m/>
    <n v="0"/>
    <n v="43761.13"/>
    <m/>
    <n v="-43761.13"/>
    <m/>
    <m/>
    <m/>
    <n v="0"/>
    <n v="19820"/>
    <n v="11440"/>
    <n v="16980"/>
    <n v="30740"/>
    <n v="22070"/>
    <n v="4920"/>
    <n v="27360"/>
    <n v="0.53"/>
    <n v="14020"/>
    <n v="22470"/>
    <n v="169820.53"/>
    <n v="169820.53"/>
    <m/>
    <n v="0.623"/>
    <n v="0.35949999999999999"/>
    <n v="0.60040000000000004"/>
    <n v="0.85589999999999999"/>
    <n v="0.61450000000000005"/>
    <n v="0.13039999999999999"/>
    <n v="0.88700000000000001"/>
    <n v="1.6799999999999999E-2"/>
    <n v="0.77359999999999995"/>
    <n v="0.68400000000000005"/>
    <n v="3.8806248833154"/>
    <n v="0"/>
    <n v="4.72"/>
    <m/>
    <n v="4.6500000000000004"/>
    <m/>
    <n v="4.71"/>
    <n v="4.6933333333333298"/>
    <n v="0.61070000000000002"/>
    <m/>
    <n v="1"/>
    <n v="13500"/>
    <m/>
    <m/>
    <m/>
    <s v="- STS 1-5 : Limited power due to adjusts the outgoing load given by dispatcher_x000a_- ⁠STS 6-10 : Power limitations due to the STS BESS 1 charge and discharge process then adjust the outgoing load given by the dispatcher"/>
  </r>
  <r>
    <x v="24"/>
    <m/>
    <n v="4.1709677419354803"/>
    <n v="3.4189422580645199"/>
    <n v="0.81969999999999998"/>
    <n v="0.99"/>
    <n v="0"/>
    <n v="39268.870000000003"/>
    <n v="14890.05"/>
    <n v="27091.5"/>
    <n v="0"/>
    <n v="81250.42"/>
    <m/>
    <n v="-81250.42"/>
    <m/>
    <m/>
    <m/>
    <n v="0"/>
    <n v="15250"/>
    <n v="1200"/>
    <n v="13830"/>
    <n v="17390"/>
    <n v="18120"/>
    <n v="4050"/>
    <n v="15800"/>
    <n v="9970"/>
    <n v="8890"/>
    <n v="16270"/>
    <n v="120770"/>
    <n v="120770"/>
    <m/>
    <n v="0.92569999999999997"/>
    <n v="7.3200000000000001E-2"/>
    <n v="0.94489999999999996"/>
    <n v="0.9355"/>
    <n v="0.9748"/>
    <n v="0.21079999999999999"/>
    <n v="0.9698"/>
    <n v="0.61150000000000004"/>
    <n v="0.47"/>
    <n v="0.95860000000000001"/>
    <n v="1.4863923164951001"/>
    <n v="0"/>
    <n v="2.39"/>
    <m/>
    <n v="2.4"/>
    <m/>
    <n v="2.44"/>
    <n v="2.41"/>
    <n v="0.77080000000000004"/>
    <m/>
    <n v="1"/>
    <n v="13500"/>
    <m/>
    <m/>
    <m/>
    <s v="STS 6 Limited power due to adjusts the outgoing load given by dispatcher"/>
  </r>
  <r>
    <x v="25"/>
    <m/>
    <n v="4.1709677419354803"/>
    <n v="3.4189422580645199"/>
    <n v="0.81969999999999998"/>
    <n v="0.99"/>
    <n v="0"/>
    <n v="51779.51"/>
    <n v="21791.59"/>
    <n v="37114.32"/>
    <n v="0"/>
    <n v="110685.42"/>
    <m/>
    <n v="-110685.42"/>
    <m/>
    <m/>
    <m/>
    <n v="0"/>
    <n v="20450"/>
    <n v="18450"/>
    <n v="18860"/>
    <n v="21670"/>
    <n v="24950"/>
    <n v="2150"/>
    <n v="21910"/>
    <n v="18700"/>
    <n v="12810"/>
    <n v="22980"/>
    <n v="182930"/>
    <n v="182930"/>
    <m/>
    <n v="0.8831"/>
    <n v="0.79700000000000004"/>
    <n v="0.91620000000000001"/>
    <n v="0.82899999999999996"/>
    <n v="0.9546"/>
    <n v="7.8399999999999997E-2"/>
    <n v="0.94340000000000002"/>
    <n v="0.80530000000000002"/>
    <n v="0.4753"/>
    <n v="0.95020000000000004"/>
    <n v="1.6527018644370699"/>
    <n v="0"/>
    <n v="3.5"/>
    <m/>
    <n v="3.42"/>
    <m/>
    <n v="3.43"/>
    <n v="3.45"/>
    <n v="0.876"/>
    <m/>
    <n v="1"/>
    <n v="13500"/>
    <m/>
    <m/>
    <m/>
    <s v="STS 2, 6 and 8 Limited power due to adjusts the outgoing load given by dispatcher"/>
  </r>
  <r>
    <x v="26"/>
    <m/>
    <n v="4.1709677419354803"/>
    <n v="3.4189422580645199"/>
    <n v="0.81969999999999998"/>
    <n v="0.99"/>
    <n v="-3"/>
    <n v="63511.37"/>
    <n v="31275.79"/>
    <n v="48559.360000000001"/>
    <n v="0"/>
    <n v="143343.51999999999"/>
    <m/>
    <n v="-143343.51999999999"/>
    <m/>
    <m/>
    <m/>
    <n v="0"/>
    <n v="22970"/>
    <n v="19990"/>
    <n v="21520"/>
    <n v="22380"/>
    <n v="28250"/>
    <n v="9830"/>
    <n v="24540"/>
    <n v="24310"/>
    <n v="14210"/>
    <n v="25440"/>
    <n v="213440"/>
    <n v="213440"/>
    <m/>
    <n v="0.84250000000000003"/>
    <n v="0.73309999999999997"/>
    <n v="0.88790000000000002"/>
    <n v="0.72699999999999998"/>
    <n v="0.91779999999999995"/>
    <n v="0.31109999999999999"/>
    <n v="0.91500000000000004"/>
    <n v="0.90649999999999997"/>
    <n v="0.92210000000000003"/>
    <n v="0.91090000000000004"/>
    <n v="1.4890104554429799"/>
    <n v="0"/>
    <n v="4.05"/>
    <m/>
    <n v="3.95"/>
    <m/>
    <n v="4.04"/>
    <n v="4.0133333333333301"/>
    <n v="0.82169999999999999"/>
    <m/>
    <n v="1"/>
    <n v="13500"/>
    <m/>
    <m/>
    <m/>
    <s v="STS 6 Limited power due to adjusts the outgoing load given by dispatcher"/>
  </r>
  <r>
    <x v="27"/>
    <m/>
    <n v="4.1709677419354803"/>
    <n v="3.4189422580645199"/>
    <n v="0.81969999999999998"/>
    <n v="0.99"/>
    <n v="3"/>
    <n v="60475.88"/>
    <n v="24431.96"/>
    <n v="41573.32"/>
    <n v="0"/>
    <n v="126484.16"/>
    <n v="259164.5"/>
    <n v="132680.34"/>
    <n v="132680.34"/>
    <n v="259164.5"/>
    <n v="259164.5"/>
    <n v="259164.5"/>
    <n v="25840"/>
    <n v="20490"/>
    <n v="25890"/>
    <n v="23040"/>
    <n v="33810"/>
    <n v="9720"/>
    <n v="28890"/>
    <n v="28170"/>
    <n v="17300"/>
    <n v="28540"/>
    <n v="241690"/>
    <n v="374370.34"/>
    <m/>
    <n v="0.74470000000000003"/>
    <n v="0.59060000000000001"/>
    <n v="0.83950000000000002"/>
    <n v="0.58819999999999995"/>
    <n v="0.86319999999999997"/>
    <n v="0.23699999999999999"/>
    <n v="0.82950000000000002"/>
    <n v="0.80859999999999999"/>
    <n v="0.86470000000000002"/>
    <n v="0.78690000000000004"/>
    <n v="1.9108321547931399"/>
    <n v="3.8354965221252"/>
    <n v="5"/>
    <m/>
    <n v="5.13"/>
    <m/>
    <n v="5.14"/>
    <n v="5.09"/>
    <n v="0.72529999999999994"/>
    <m/>
    <n v="1"/>
    <n v="67570"/>
    <n v="53692"/>
    <n v="21155"/>
    <n v="21130"/>
    <m/>
  </r>
  <r>
    <x v="28"/>
    <m/>
    <n v="4.1709677419354803"/>
    <n v="3.4189422580645199"/>
    <n v="0.81969999999999998"/>
    <n v="0.99"/>
    <n v="0"/>
    <n v="62331.12"/>
    <n v="25940.29"/>
    <n v="49807.5"/>
    <n v="0"/>
    <n v="138078.91"/>
    <n v="234621.83"/>
    <n v="96542.92"/>
    <n v="96542.92"/>
    <n v="234621.83"/>
    <n v="234621.83"/>
    <n v="234621.83"/>
    <n v="24700"/>
    <n v="22690"/>
    <n v="23330"/>
    <n v="25830"/>
    <n v="30880"/>
    <n v="10430"/>
    <n v="26890"/>
    <n v="28170"/>
    <n v="15410"/>
    <n v="28540"/>
    <n v="236870"/>
    <n v="333412.92"/>
    <m/>
    <n v="0.85109999999999997"/>
    <n v="0.78169999999999995"/>
    <n v="0.90429999999999999"/>
    <n v="0.7883"/>
    <n v="0.9425"/>
    <n v="0.30309999999999998"/>
    <n v="0.92100000000000004"/>
    <n v="0.9647"/>
    <n v="0.91910000000000003"/>
    <n v="0.93879999999999997"/>
    <n v="1.71546835066992"/>
    <n v="3.47227808198905"/>
    <n v="4.5"/>
    <m/>
    <n v="4.3"/>
    <m/>
    <n v="4.3"/>
    <n v="4.3666666666666698"/>
    <n v="0.85360000000000003"/>
    <m/>
    <n v="1"/>
    <n v="67570"/>
    <n v="53692"/>
    <n v="21155"/>
    <n v="21130"/>
    <s v="STS 2 and 6 Limited power due to adjusts the outgoing load given by dispatcher"/>
  </r>
  <r>
    <x v="29"/>
    <m/>
    <n v="4.1709677419354803"/>
    <n v="3.4189422580645199"/>
    <n v="0.81969999999999998"/>
    <n v="0.99"/>
    <n v="15340.37"/>
    <n v="51952.12"/>
    <n v="22038.94"/>
    <n v="41999.28"/>
    <n v="7836"/>
    <n v="139166.71"/>
    <n v="199990"/>
    <n v="60823.29"/>
    <n v="60823.29"/>
    <n v="199990"/>
    <n v="199990"/>
    <n v="199990"/>
    <n v="23130"/>
    <n v="21350"/>
    <n v="22620"/>
    <n v="24240"/>
    <n v="29580"/>
    <n v="9970"/>
    <n v="25480"/>
    <n v="28170"/>
    <n v="14590"/>
    <n v="28540"/>
    <n v="227670"/>
    <n v="288493.28999999998"/>
    <m/>
    <n v="0.81589999999999996"/>
    <n v="0.75309999999999999"/>
    <n v="0.89759999999999995"/>
    <n v="0.75739999999999996"/>
    <n v="0.92430000000000001"/>
    <n v="0.29670000000000002"/>
    <n v="0.89349999999999996"/>
    <n v="0.98780000000000001"/>
    <n v="0.89070000000000005"/>
    <n v="0.96109999999999995"/>
    <n v="1.63595158641028"/>
    <n v="2.95974544916383"/>
    <n v="4.2"/>
    <m/>
    <n v="4.2"/>
    <m/>
    <n v="4.2"/>
    <n v="4.2"/>
    <n v="0.81779999999999997"/>
    <m/>
    <n v="1"/>
    <n v="67570"/>
    <n v="53692"/>
    <n v="21155"/>
    <n v="26730"/>
    <s v="STS 6 Limited power due to adjusts the outgoing load given by dispatcher"/>
  </r>
  <r>
    <x v="30"/>
    <n v="242264.38408437901"/>
    <n v="4.1709677419354803"/>
    <n v="3.4189422580645199"/>
    <n v="0.81969999999999998"/>
    <n v="0.99"/>
    <n v="42266.25"/>
    <n v="42229.63"/>
    <n v="21624.81"/>
    <n v="35800.75"/>
    <n v="27891"/>
    <n v="169812.44"/>
    <n v="186391.67"/>
    <n v="16579.23"/>
    <n v="16579.23"/>
    <n v="186391.67"/>
    <n v="186391.67"/>
    <n v="186391.67"/>
    <n v="18550"/>
    <n v="17680"/>
    <n v="17640"/>
    <n v="19940"/>
    <n v="22910"/>
    <n v="23600"/>
    <n v="20390"/>
    <n v="28170"/>
    <n v="10960"/>
    <n v="28540"/>
    <n v="208380"/>
    <n v="224959.23"/>
    <m/>
    <n v="0.81069999999999998"/>
    <n v="0.77259999999999995"/>
    <n v="0.86729999999999996"/>
    <n v="0.77190000000000003"/>
    <n v="0.88690000000000002"/>
    <n v="0.70240000000000002"/>
    <n v="0.71499999999999997"/>
    <n v="0.98780000000000001"/>
    <n v="0.66910000000000003"/>
    <n v="0.96109999999999995"/>
    <n v="1.22711857859177"/>
    <n v="2.75849741009324"/>
    <n v="4.18"/>
    <m/>
    <n v="4.2"/>
    <m/>
    <n v="3.39"/>
    <n v="3.9233333333333298"/>
    <n v="0.95730000000000004"/>
    <m/>
    <n v="1"/>
    <n v="67570"/>
    <n v="53692"/>
    <n v="21155"/>
    <n v="26730"/>
    <s v="STS 9 produces a small energy yield and has a small maximum setpoint."/>
  </r>
  <r>
    <x v="31"/>
    <n v="244325.41132717"/>
    <n v="4.2064516129032299"/>
    <n v="3.4480283870967701"/>
    <n v="0.81969999999999998"/>
    <n v="0.99"/>
    <n v="43637.85"/>
    <n v="43687.125"/>
    <n v="20979.045999999998"/>
    <n v="35653.184999999998"/>
    <n v="28459.5"/>
    <n v="172416.70600000001"/>
    <n v="118826.5"/>
    <n v="-53590.205999999998"/>
    <n v="0"/>
    <n v="172416.70600000001"/>
    <n v="172416.70600000001"/>
    <n v="118826.5"/>
    <n v="15560"/>
    <n v="16150"/>
    <n v="14460"/>
    <n v="18130"/>
    <n v="19240"/>
    <n v="19610"/>
    <n v="16680"/>
    <n v="16770"/>
    <n v="9660"/>
    <n v="16970"/>
    <n v="163230"/>
    <n v="163230"/>
    <n v="1375.15"/>
    <n v="0.90759999999999996"/>
    <n v="0.94199999999999995"/>
    <n v="0.94879999999999998"/>
    <n v="0.93669999999999998"/>
    <n v="0.99409999999999998"/>
    <n v="0.96889999999999998"/>
    <n v="0.97099999999999997"/>
    <n v="0.97619999999999996"/>
    <n v="0.97899999999999998"/>
    <n v="0.94869999999999999"/>
    <n v="0.94671800538864204"/>
    <n v="2.5516753884860099"/>
    <n v="2.54"/>
    <m/>
    <n v="2.5299999999999998"/>
    <m/>
    <n v="2.54"/>
    <n v="2.5366666666666702"/>
    <n v="0.95730000000000004"/>
    <n v="1.0059167103098601"/>
    <n v="1"/>
    <n v="67570"/>
    <n v="53692"/>
    <n v="10284"/>
    <n v="23852"/>
    <m/>
  </r>
  <r>
    <x v="32"/>
    <n v="244325.41132717"/>
    <n v="4.2064516129032299"/>
    <n v="3.4480283870967701"/>
    <n v="0.81969999999999998"/>
    <n v="0.99"/>
    <n v="16561.150000000001"/>
    <n v="16559.375"/>
    <n v="13015.254000000001"/>
    <n v="26938.525000000001"/>
    <n v="22459.5"/>
    <n v="95533.804000000004"/>
    <n v="99361"/>
    <n v="3827.1959999999999"/>
    <n v="3827.1959999999999"/>
    <n v="99361"/>
    <n v="99361"/>
    <n v="99361"/>
    <n v="2080"/>
    <n v="2180"/>
    <n v="1970"/>
    <n v="2470"/>
    <n v="2580"/>
    <n v="8580"/>
    <n v="8240"/>
    <n v="8170"/>
    <n v="4780"/>
    <n v="8330"/>
    <n v="49380"/>
    <n v="53207.196000000004"/>
    <n v="1416.98"/>
    <n v="0.25679999999999997"/>
    <n v="0.26910000000000001"/>
    <n v="0.22040000000000001"/>
    <n v="0.2175"/>
    <n v="0.22720000000000001"/>
    <n v="0.7198"/>
    <n v="0.89890000000000003"/>
    <n v="0.89129999999999998"/>
    <n v="0.90790000000000004"/>
    <n v="0.87280000000000002"/>
    <n v="0.51688510173843805"/>
    <n v="1.4704898623649501"/>
    <n v="1.35"/>
    <m/>
    <n v="1.49"/>
    <m/>
    <n v="1.2"/>
    <n v="1.34666666666667"/>
    <n v="0.54820000000000002"/>
    <n v="1.09194791759774"/>
    <n v="1"/>
    <n v="67570"/>
    <n v="53692"/>
    <n v="24020"/>
    <n v="26730"/>
    <s v="- STS 1-5 request outage Outgoing Busbar 1 to PH, OG.1 GSK 3, and OG.2 GSK 2 due to change of Tap CT Ratio and Reconfiguration of GFR Protection Function in GSK Substation_x000a_- STS 6 limited power due to adjusts the outgoing load given by Dispatcher"/>
  </r>
  <r>
    <x v="33"/>
    <n v="244325.41132717"/>
    <n v="4.2064516129032299"/>
    <n v="3.4480283870967701"/>
    <n v="0.81969999999999998"/>
    <n v="0.99"/>
    <n v="51458.375"/>
    <n v="51387.62"/>
    <n v="30371.4"/>
    <n v="45836.1"/>
    <n v="37679"/>
    <n v="216732.495"/>
    <n v="221662"/>
    <n v="4929.5050000000001"/>
    <n v="4929.5050000000001"/>
    <n v="221662"/>
    <n v="221662"/>
    <n v="218492.2334"/>
    <n v="22450"/>
    <n v="23350"/>
    <n v="21290"/>
    <n v="26210"/>
    <n v="27410"/>
    <n v="31720"/>
    <n v="26720"/>
    <n v="26420"/>
    <n v="15080"/>
    <n v="27070"/>
    <n v="247720"/>
    <n v="252649.505"/>
    <n v="1495.81"/>
    <n v="0.71989999999999998"/>
    <n v="0.74880000000000002"/>
    <n v="0.77990000000000004"/>
    <n v="0.75600000000000001"/>
    <n v="0.79059999999999997"/>
    <n v="0.87139999999999995"/>
    <n v="0.89839999999999998"/>
    <n v="0.88839999999999997"/>
    <n v="0.88280000000000003"/>
    <n v="0.87419999999999998"/>
    <n v="1.1429758144942701"/>
    <n v="3.2804795027378999"/>
    <n v="4.38"/>
    <m/>
    <n v="4.55"/>
    <m/>
    <n v="4.62"/>
    <n v="4.5166666666666702"/>
    <n v="0.82099999999999995"/>
    <n v="0.72630542496042105"/>
    <n v="0.98570000000000002"/>
    <n v="67570"/>
    <n v="53692"/>
    <n v="23987"/>
    <n v="26730"/>
    <s v="STS 1-5 there was an overcurrent trip for 50 minutes caused by internal solar plant"/>
  </r>
  <r>
    <x v="34"/>
    <n v="244325.41132717"/>
    <n v="4.2064516129032299"/>
    <n v="3.4480283870967701"/>
    <n v="0.81969999999999998"/>
    <n v="0.99"/>
    <n v="53580.625"/>
    <n v="54039.754999999997"/>
    <n v="35352.379999999997"/>
    <n v="41586.69"/>
    <n v="34027"/>
    <n v="218586.45"/>
    <n v="191621"/>
    <n v="-26965.45"/>
    <n v="0"/>
    <n v="218586.45"/>
    <n v="218586.45"/>
    <n v="191621"/>
    <n v="16810"/>
    <n v="17690"/>
    <n v="15850"/>
    <n v="19950"/>
    <n v="20720"/>
    <n v="21130"/>
    <n v="18110"/>
    <n v="17770"/>
    <n v="10140"/>
    <n v="18550"/>
    <n v="176720"/>
    <n v="176720"/>
    <n v="1300.33"/>
    <n v="0.88"/>
    <n v="0.92610000000000003"/>
    <n v="0.96060000000000001"/>
    <n v="0.95199999999999996"/>
    <n v="0.98880000000000001"/>
    <n v="0.96050000000000002"/>
    <n v="0.90720000000000001"/>
    <n v="0.89019999999999999"/>
    <n v="0.88439999999999996"/>
    <n v="0.89239999999999997"/>
    <n v="0.80846731350456502"/>
    <n v="3.2349630013319501"/>
    <n v="2.94"/>
    <m/>
    <n v="2.75"/>
    <m/>
    <n v="2.83"/>
    <n v="2.84"/>
    <n v="0.92420000000000002"/>
    <n v="1.1390714793422401"/>
    <n v="1"/>
    <n v="67570"/>
    <n v="53692"/>
    <n v="23987"/>
    <n v="26730"/>
    <m/>
  </r>
  <r>
    <x v="35"/>
    <n v="244325.41132717"/>
    <n v="4.2064516129032299"/>
    <n v="3.4480283870967701"/>
    <n v="0.81969999999999998"/>
    <n v="0.99"/>
    <n v="57444.25"/>
    <n v="57350.125"/>
    <n v="36391.122000000003"/>
    <n v="43396.497000000003"/>
    <n v="34258"/>
    <n v="228839.99400000001"/>
    <n v="217355.17"/>
    <n v="-11484.824000000001"/>
    <n v="0"/>
    <n v="228839.99400000001"/>
    <n v="228839.99400000001"/>
    <n v="217355.17"/>
    <n v="20000"/>
    <n v="23080"/>
    <n v="21080"/>
    <n v="26210"/>
    <n v="28100"/>
    <n v="28760"/>
    <n v="24750"/>
    <n v="25210"/>
    <n v="15790"/>
    <n v="26830"/>
    <n v="239810"/>
    <n v="239810"/>
    <n v="1457.63"/>
    <n v="0.68910000000000005"/>
    <n v="0.79520000000000002"/>
    <n v="0.78069999999999995"/>
    <n v="0.76439999999999997"/>
    <n v="0.81950000000000001"/>
    <n v="0.79890000000000005"/>
    <n v="0.87619999999999998"/>
    <n v="0.89249999999999996"/>
    <n v="0.97319999999999995"/>
    <n v="0.91220000000000001"/>
    <n v="1.0479374510034301"/>
    <n v="3.3867099896403698"/>
    <n v="4.16"/>
    <m/>
    <n v="4.5"/>
    <m/>
    <n v="4.3"/>
    <n v="4.32"/>
    <n v="0.83020000000000005"/>
    <n v="0.78396064575008595"/>
    <n v="1"/>
    <n v="67570"/>
    <n v="53692"/>
    <n v="24786"/>
    <n v="26730"/>
    <m/>
  </r>
  <r>
    <x v="36"/>
    <n v="244325.41132717"/>
    <n v="4.2064516129032299"/>
    <n v="3.4480283870967701"/>
    <n v="0.81969999999999998"/>
    <n v="0.99"/>
    <n v="65372.5"/>
    <n v="65280.375"/>
    <n v="41548.125"/>
    <n v="48472.813000000002"/>
    <n v="39838"/>
    <n v="260511.81299999999"/>
    <n v="255595.17"/>
    <n v="-4916.64299999998"/>
    <n v="0"/>
    <n v="260511.81299999999"/>
    <n v="260511.81299999999"/>
    <n v="255595.17"/>
    <n v="24820"/>
    <n v="26340"/>
    <n v="23580"/>
    <n v="29960"/>
    <n v="30760"/>
    <n v="32830"/>
    <n v="27920"/>
    <n v="27020"/>
    <n v="15420"/>
    <n v="27100"/>
    <n v="265750"/>
    <n v="265750"/>
    <n v="1309.47"/>
    <n v="0.76449999999999996"/>
    <n v="0.81130000000000002"/>
    <n v="0.81030000000000002"/>
    <n v="0.81069999999999998"/>
    <n v="0.83230000000000004"/>
    <n v="0.84609999999999996"/>
    <n v="0.85129999999999995"/>
    <n v="0.82389999999999997"/>
    <n v="0.81859999999999999"/>
    <n v="0.79359999999999997"/>
    <n v="1.0201072916413201"/>
    <n v="3.8554360367026801"/>
    <n v="4.83"/>
    <m/>
    <n v="4.8499999999999996"/>
    <m/>
    <n v="4.8099999999999996"/>
    <n v="4.83"/>
    <n v="0.81630000000000003"/>
    <n v="0.79822692271276996"/>
    <n v="1"/>
    <n v="67570"/>
    <n v="53692"/>
    <n v="23987"/>
    <n v="26730"/>
    <m/>
  </r>
  <r>
    <x v="37"/>
    <n v="244325.41132717"/>
    <n v="4.2064516129032299"/>
    <n v="3.4480283870967701"/>
    <n v="0.81969999999999998"/>
    <n v="0.99"/>
    <n v="42648.5"/>
    <n v="42640.875"/>
    <n v="25717.152999999998"/>
    <n v="31546.880000000001"/>
    <n v="25027"/>
    <n v="167580.408"/>
    <n v="147900.5"/>
    <n v="-19679.907999999999"/>
    <n v="0"/>
    <n v="167580.408"/>
    <n v="167580.408"/>
    <n v="146672.92585"/>
    <n v="18210"/>
    <n v="19070"/>
    <n v="16890"/>
    <n v="21300"/>
    <n v="21990"/>
    <n v="22160"/>
    <n v="18510"/>
    <n v="18620"/>
    <n v="11040"/>
    <n v="19350"/>
    <n v="187140"/>
    <n v="187140"/>
    <n v="1372.94"/>
    <n v="0.85370000000000001"/>
    <n v="0.89400000000000002"/>
    <n v="0.88239999999999996"/>
    <n v="0.87629999999999997"/>
    <n v="0.90459999999999996"/>
    <n v="0.86829999999999996"/>
    <n v="0.87370000000000003"/>
    <n v="0.87890000000000001"/>
    <n v="0.9073"/>
    <n v="0.87719999999999998"/>
    <n v="1.1167176535338199"/>
    <n v="2.4801007547728302"/>
    <n v="3.12"/>
    <m/>
    <n v="3.19"/>
    <m/>
    <n v="3.16"/>
    <n v="3.1566666666666698"/>
    <n v="0.88170000000000004"/>
    <n v="0.78567077764714699"/>
    <n v="0.99170000000000003"/>
    <n v="67570"/>
    <n v="53692"/>
    <n v="24786"/>
    <n v="26730"/>
    <s v="Overcurrent trip at OG.4 and OG.5 for 60 minutes caused by internal solar plant"/>
  </r>
  <r>
    <x v="38"/>
    <n v="244325.41132717"/>
    <n v="4.2064516129032299"/>
    <n v="3.4480283870967701"/>
    <n v="0.81969999999999998"/>
    <n v="0.99"/>
    <n v="36892.25"/>
    <n v="36913"/>
    <n v="21324.347000000002"/>
    <n v="28728.62"/>
    <n v="23294"/>
    <n v="147152.217"/>
    <n v="115517.5"/>
    <n v="-31634.717000000001"/>
    <n v="0"/>
    <n v="147152.217"/>
    <n v="147152.217"/>
    <n v="115517.5"/>
    <n v="13370"/>
    <n v="13970"/>
    <n v="12630"/>
    <n v="15820"/>
    <n v="16500"/>
    <n v="16740"/>
    <n v="14160"/>
    <n v="14020"/>
    <n v="8040"/>
    <n v="14060"/>
    <n v="139310"/>
    <n v="139310"/>
    <n v="1455.51"/>
    <n v="0.91700000000000004"/>
    <n v="0.95820000000000005"/>
    <n v="0.96560000000000001"/>
    <n v="0.95230000000000004"/>
    <n v="0.99329999999999996"/>
    <n v="0.95989999999999998"/>
    <n v="0.96099999999999997"/>
    <n v="0.95150000000000001"/>
    <n v="0.90920000000000001"/>
    <n v="0.91639999999999999"/>
    <n v="0.94670676963025302"/>
    <n v="2.1777744117211801"/>
    <n v="2.17"/>
    <m/>
    <n v="2.1800000000000002"/>
    <m/>
    <n v="2.16"/>
    <n v="2.17"/>
    <n v="0.94840000000000002"/>
    <n v="1.0035826782125199"/>
    <n v="1"/>
    <n v="67570"/>
    <n v="53692"/>
    <n v="24786"/>
    <n v="26730"/>
    <m/>
  </r>
  <r>
    <x v="39"/>
    <n v="244325.41132717"/>
    <n v="4.2064516129032299"/>
    <n v="3.4480283870967701"/>
    <n v="0.81969999999999998"/>
    <n v="0.99"/>
    <n v="45448"/>
    <n v="45443.13"/>
    <n v="28511.875"/>
    <n v="35869.5"/>
    <n v="28914"/>
    <n v="184186.505"/>
    <n v="143451.67000000001"/>
    <n v="-40734.834999999999"/>
    <n v="0"/>
    <n v="184186.505"/>
    <n v="184186.505"/>
    <n v="143451.67000000001"/>
    <n v="13110"/>
    <n v="13750"/>
    <n v="12440"/>
    <n v="15670"/>
    <n v="16460"/>
    <n v="16770"/>
    <n v="14380"/>
    <n v="14240"/>
    <n v="8200"/>
    <n v="14900"/>
    <n v="139920"/>
    <n v="139920"/>
    <n v="1439.62"/>
    <n v="0.90339999999999998"/>
    <n v="0.94750000000000001"/>
    <n v="0.93820000000000003"/>
    <n v="0.93049999999999999"/>
    <n v="0.97740000000000005"/>
    <n v="0.94850000000000001"/>
    <n v="0.97150000000000003"/>
    <n v="0.96199999999999997"/>
    <n v="0.92310000000000003"/>
    <n v="0.98629999999999995"/>
    <n v="0.75966477565769497"/>
    <n v="2.7258621429628498"/>
    <n v="2.1800000000000002"/>
    <m/>
    <n v="2.21"/>
    <m/>
    <n v="2.15"/>
    <n v="2.1800000000000002"/>
    <n v="0.94879999999999998"/>
    <n v="1.25039547842333"/>
    <n v="1"/>
    <n v="67570"/>
    <n v="53692"/>
    <n v="24786"/>
    <n v="26730"/>
    <m/>
  </r>
  <r>
    <x v="40"/>
    <n v="244325.41132717"/>
    <n v="4.2064516129032299"/>
    <n v="3.4480283870967701"/>
    <n v="0.81969999999999998"/>
    <n v="0.99"/>
    <n v="64155.25"/>
    <n v="64107.745000000003"/>
    <n v="40552.593999999997"/>
    <n v="45762.686999999998"/>
    <n v="37648"/>
    <n v="252226.27600000001"/>
    <n v="274399.33"/>
    <n v="22173.054"/>
    <n v="22173.054"/>
    <n v="252226.27600000001"/>
    <n v="274399.33"/>
    <n v="274399.33"/>
    <n v="25510"/>
    <n v="26790"/>
    <n v="23630"/>
    <n v="28860"/>
    <n v="30260"/>
    <n v="33090"/>
    <n v="27300"/>
    <n v="28090"/>
    <n v="16500"/>
    <n v="28630"/>
    <n v="268660"/>
    <n v="290833.054"/>
    <n v="1360.42"/>
    <n v="0.72540000000000004"/>
    <n v="0.76180000000000003"/>
    <n v="0.75590000000000002"/>
    <n v="0.72689999999999999"/>
    <n v="0.76219999999999999"/>
    <n v="0.79390000000000005"/>
    <n v="0.77170000000000005"/>
    <n v="0.79400000000000004"/>
    <n v="0.7772"/>
    <n v="0.79300000000000004"/>
    <n v="1.06515468673851"/>
    <n v="3.7328145034778699"/>
    <n v="5.21"/>
    <m/>
    <n v="5.21"/>
    <m/>
    <n v="5.21"/>
    <n v="5.21"/>
    <n v="0.76619999999999999"/>
    <n v="0.71647111391130003"/>
    <n v="1"/>
    <n v="67570"/>
    <n v="53692"/>
    <n v="24786"/>
    <n v="26730"/>
    <m/>
  </r>
  <r>
    <x v="41"/>
    <n v="244325.41132717"/>
    <n v="4.2064516129032299"/>
    <n v="3.4480283870967701"/>
    <n v="0.81969999999999998"/>
    <n v="0.99"/>
    <n v="64870.75"/>
    <n v="64834.375"/>
    <n v="39387.718999999997"/>
    <n v="45621.813000000002"/>
    <n v="37394"/>
    <n v="252108.65700000001"/>
    <n v="250746.5"/>
    <n v="-1362.1569999999799"/>
    <n v="0"/>
    <n v="252108.65700000001"/>
    <n v="252108.65700000001"/>
    <n v="248865.90125"/>
    <n v="23570"/>
    <n v="25220"/>
    <n v="22360"/>
    <n v="27820"/>
    <n v="29140"/>
    <n v="31100"/>
    <n v="26310"/>
    <n v="26680"/>
    <n v="16040"/>
    <n v="20420"/>
    <n v="248660"/>
    <n v="248660"/>
    <n v="1435.27"/>
    <n v="0.7641"/>
    <n v="0.81759999999999999"/>
    <n v="0.82809999999999995"/>
    <n v="0.81130000000000002"/>
    <n v="0.8498"/>
    <n v="0.8639"/>
    <n v="0.85160000000000002"/>
    <n v="0.86360000000000003"/>
    <n v="0.86509999999999998"/>
    <n v="0.64759999999999995"/>
    <n v="0.98632075137348396"/>
    <n v="3.7310738049430201"/>
    <n v="4.55"/>
    <m/>
    <n v="4.5"/>
    <m/>
    <n v="4.57"/>
    <n v="4.54"/>
    <n v="0.81630000000000003"/>
    <n v="0.82182242399626004"/>
    <n v="0.99250000000000005"/>
    <n v="67570"/>
    <n v="53692"/>
    <n v="24786"/>
    <n v="26730"/>
    <m/>
  </r>
  <r>
    <x v="42"/>
    <n v="244325.41132717"/>
    <n v="4.2064516129032299"/>
    <n v="3.4480283870967701"/>
    <n v="0.81969999999999998"/>
    <n v="0.99"/>
    <n v="63291.5"/>
    <n v="63164.25"/>
    <n v="42758.061999999998"/>
    <n v="49866.936999999998"/>
    <n v="39215"/>
    <n v="258295.74900000001"/>
    <n v="252307.17"/>
    <n v="-5988.5789999999997"/>
    <n v="0"/>
    <n v="258295.74900000001"/>
    <n v="258295.74900000001"/>
    <n v="250667.17339499999"/>
    <n v="27250"/>
    <n v="29350"/>
    <n v="25670"/>
    <n v="31790"/>
    <n v="33600"/>
    <n v="36100"/>
    <n v="30430"/>
    <n v="30710"/>
    <n v="18140"/>
    <n v="28010"/>
    <n v="291050"/>
    <n v="291050"/>
    <n v="1498.49"/>
    <n v="0.75319999999999998"/>
    <n v="0.81120000000000003"/>
    <n v="0.79820000000000002"/>
    <n v="0.77829999999999999"/>
    <n v="0.82269999999999999"/>
    <n v="0.84189999999999998"/>
    <n v="0.83609999999999995"/>
    <n v="0.84379999999999999"/>
    <n v="0.83050000000000002"/>
    <n v="0.75409999999999999"/>
    <n v="1.1268090982016099"/>
    <n v="3.82263947017907"/>
    <n v="5.36"/>
    <m/>
    <n v="5.36"/>
    <m/>
    <n v="5.36"/>
    <n v="5.36"/>
    <n v="0.80700000000000005"/>
    <n v="0.71317900563042402"/>
    <n v="0.99350000000000005"/>
    <n v="67570"/>
    <n v="53692"/>
    <n v="24796"/>
    <n v="26730"/>
    <m/>
  </r>
  <r>
    <x v="43"/>
    <n v="244325.41132717"/>
    <n v="4.2064516129032299"/>
    <n v="3.4480283870967701"/>
    <n v="0.81969999999999998"/>
    <n v="0.99"/>
    <n v="44699.25"/>
    <n v="44668.5"/>
    <n v="36095.5"/>
    <n v="30675.312999999998"/>
    <n v="35339"/>
    <n v="191477.56299999999"/>
    <n v="151981.17000000001"/>
    <n v="-39496.392999999996"/>
    <n v="0"/>
    <n v="191477.56299999999"/>
    <n v="191477.56299999999"/>
    <n v="151981.17000000001"/>
    <n v="14060"/>
    <n v="14720"/>
    <n v="12850"/>
    <n v="16150"/>
    <n v="16520"/>
    <n v="16840"/>
    <n v="14030"/>
    <n v="14700"/>
    <n v="8060"/>
    <n v="14460"/>
    <n v="142390"/>
    <n v="142390"/>
    <n v="1490.11"/>
    <n v="0.87519999999999998"/>
    <n v="0.9163"/>
    <n v="0.89990000000000003"/>
    <n v="0.89049999999999996"/>
    <n v="0.91090000000000004"/>
    <n v="0.88449999999999995"/>
    <n v="0.86819999999999997"/>
    <n v="0.90959999999999996"/>
    <n v="0.85740000000000005"/>
    <n v="0.87670000000000003"/>
    <n v="0.74363804181067406"/>
    <n v="2.83376591682699"/>
    <n v="2.38"/>
    <m/>
    <n v="2.38"/>
    <m/>
    <n v="2.38"/>
    <n v="2.38"/>
    <n v="0.88890000000000002"/>
    <n v="1.19065794824664"/>
    <n v="1"/>
    <n v="67570"/>
    <n v="53692"/>
    <n v="22248"/>
    <n v="26730"/>
    <m/>
  </r>
  <r>
    <x v="44"/>
    <n v="244325.41132717"/>
    <n v="4.2064516129032299"/>
    <n v="3.4480283870967701"/>
    <n v="0.81969999999999998"/>
    <n v="0.99"/>
    <n v="33498.5"/>
    <n v="33584.75"/>
    <n v="27204.442999999999"/>
    <n v="34408.686999999998"/>
    <n v="26008"/>
    <n v="154704.38"/>
    <n v="196920"/>
    <n v="42215.62"/>
    <n v="42215.62"/>
    <n v="154704.38"/>
    <n v="196920"/>
    <n v="196427.7"/>
    <n v="15130"/>
    <n v="15360"/>
    <n v="14220"/>
    <n v="16740"/>
    <n v="18500"/>
    <n v="26120"/>
    <n v="22190"/>
    <n v="22380"/>
    <n v="13630"/>
    <n v="23030"/>
    <n v="187300"/>
    <n v="229515.62"/>
    <n v="1357.87"/>
    <n v="0.57920000000000005"/>
    <n v="0.58799999999999997"/>
    <n v="0.60460000000000003"/>
    <n v="0.56040000000000001"/>
    <n v="0.61929999999999996"/>
    <n v="0.83289999999999997"/>
    <n v="0.81289999999999996"/>
    <n v="0.84079999999999999"/>
    <n v="0.85840000000000005"/>
    <n v="0.82669999999999999"/>
    <n v="1.2106961677490999"/>
    <n v="2.28954240047358"/>
    <n v="4.0199999999999996"/>
    <m/>
    <n v="3.92"/>
    <n v="3.92"/>
    <n v="3.87"/>
    <n v="3.9325000000000001"/>
    <n v="0.71230000000000004"/>
    <n v="0.58221040062900997"/>
    <n v="0.99750000000000005"/>
    <n v="67570"/>
    <n v="53692"/>
    <n v="24796"/>
    <n v="26730"/>
    <s v="There was a power outage at busbar 1 (STS1-STS5) due to a request from GI Gresik for 76 minutes"/>
  </r>
  <r>
    <x v="45"/>
    <n v="244325.41132717"/>
    <n v="4.2064516129032299"/>
    <n v="3.4480283870967701"/>
    <n v="0.81969999999999998"/>
    <n v="0.99"/>
    <n v="65022.25"/>
    <n v="64974"/>
    <n v="43548.995000000003"/>
    <n v="52643.123"/>
    <n v="34973"/>
    <n v="261161.36799999999"/>
    <n v="236442.67"/>
    <n v="-24718.698"/>
    <n v="0"/>
    <n v="261161.36799999999"/>
    <n v="261161.36799999999"/>
    <n v="236442.67"/>
    <n v="20770"/>
    <n v="21500"/>
    <n v="19400"/>
    <n v="23830"/>
    <n v="24850"/>
    <n v="25680"/>
    <n v="22360"/>
    <n v="22370"/>
    <n v="13100"/>
    <n v="23010"/>
    <n v="216870"/>
    <n v="216870"/>
    <n v="1392.3"/>
    <n v="0.85470000000000002"/>
    <n v="0.88480000000000003"/>
    <n v="0.89810000000000001"/>
    <n v="0.86870000000000003"/>
    <n v="0.90339999999999998"/>
    <n v="0.88919999999999999"/>
    <n v="0.89729999999999999"/>
    <n v="0.91259999999999997"/>
    <n v="0.90369999999999995"/>
    <n v="0.90469999999999995"/>
    <n v="0.83040612652940304"/>
    <n v="3.8650491046322299"/>
    <n v="3.67"/>
    <m/>
    <n v="3.61"/>
    <n v="3.6"/>
    <n v="3.6"/>
    <n v="3.62"/>
    <n v="0.89170000000000005"/>
    <n v="1.06769312282658"/>
    <n v="1"/>
    <n v="67570"/>
    <n v="53692"/>
    <n v="24386"/>
    <n v="25305"/>
    <m/>
  </r>
  <r>
    <x v="46"/>
    <n v="244325.41132717"/>
    <n v="4.2064516129032299"/>
    <n v="3.4480283870967701"/>
    <n v="0.81969999999999998"/>
    <n v="0.99"/>
    <n v="77247.25"/>
    <n v="77162.75"/>
    <n v="52098.875"/>
    <n v="58477.06"/>
    <n v="40600"/>
    <n v="305585.935"/>
    <n v="337694.67"/>
    <n v="32108.735000000001"/>
    <n v="32108.735000000001"/>
    <n v="337694.67"/>
    <n v="337694.67"/>
    <n v="335499.654645"/>
    <n v="32650"/>
    <n v="34130"/>
    <n v="28940"/>
    <n v="34910"/>
    <n v="35570"/>
    <n v="37830"/>
    <n v="34600"/>
    <n v="35540"/>
    <n v="20940"/>
    <n v="33150"/>
    <n v="328260"/>
    <n v="360368.73499999999"/>
    <n v="1355.55"/>
    <n v="0.75229999999999997"/>
    <n v="0.78639999999999999"/>
    <n v="0.74429999999999996"/>
    <n v="0.70699999999999996"/>
    <n v="0.73050000000000004"/>
    <n v="0.72970000000000002"/>
    <n v="0.79749999999999999"/>
    <n v="0.80769999999999997"/>
    <n v="0.8296"/>
    <n v="0.74860000000000004"/>
    <n v="1.0741986538091199"/>
    <n v="4.9977011987568396"/>
    <n v="6.39"/>
    <n v="6.39"/>
    <n v="6.48"/>
    <n v="6.48"/>
    <n v="6.43"/>
    <n v="6.4340000000000002"/>
    <n v="0.76339999999999997"/>
    <n v="0.77676425221585998"/>
    <n v="0.99350000000000005"/>
    <n v="67570"/>
    <n v="53692"/>
    <n v="23987"/>
    <n v="26730"/>
    <m/>
  </r>
  <r>
    <x v="47"/>
    <n v="244325.41132717"/>
    <n v="4.2064516129032299"/>
    <n v="3.4480283870967701"/>
    <n v="0.81969999999999998"/>
    <n v="0.99"/>
    <n v="67558.5"/>
    <n v="67613.5"/>
    <n v="44414.81"/>
    <n v="51667.5"/>
    <n v="41462"/>
    <n v="272716.31"/>
    <n v="287770.33"/>
    <n v="15054.02"/>
    <n v="15054.02"/>
    <n v="287770.33"/>
    <n v="287770.33"/>
    <n v="284604.85636999999"/>
    <n v="26870"/>
    <n v="27260"/>
    <n v="23300"/>
    <n v="27450"/>
    <n v="29570"/>
    <n v="31120"/>
    <n v="26970"/>
    <n v="28780"/>
    <n v="17030"/>
    <n v="28070"/>
    <n v="266420"/>
    <n v="281474.02"/>
    <n v="1453.91"/>
    <n v="0.78049999999999997"/>
    <n v="0.79190000000000005"/>
    <n v="0.77200000000000002"/>
    <n v="0.71619999999999995"/>
    <n v="0.76690000000000003"/>
    <n v="0.79110000000000003"/>
    <n v="0.78169999999999995"/>
    <n v="0.84409999999999996"/>
    <n v="0.84889999999999999"/>
    <n v="0.78180000000000005"/>
    <n v="0.976912601963557"/>
    <n v="4.2588475654876401"/>
    <n v="5.08"/>
    <n v="5.0599999999999996"/>
    <n v="4.92"/>
    <n v="5.03"/>
    <n v="5.0999999999999996"/>
    <n v="5.0380000000000003"/>
    <n v="0.78749999999999998"/>
    <n v="0.84534489191894502"/>
    <n v="0.98899999999999999"/>
    <n v="67570"/>
    <n v="53692"/>
    <n v="23987"/>
    <n v="26730"/>
    <m/>
  </r>
  <r>
    <x v="48"/>
    <n v="244325.41132717"/>
    <n v="4.2064516129032299"/>
    <n v="3.4480283870967701"/>
    <n v="0.81969999999999998"/>
    <n v="0.99"/>
    <n v="74860.25"/>
    <n v="74669"/>
    <n v="51197.440000000002"/>
    <n v="57654.13"/>
    <n v="45765"/>
    <n v="304145.82"/>
    <n v="316712.33"/>
    <n v="12566.51"/>
    <n v="12566.51"/>
    <n v="316712.33"/>
    <n v="316712.33"/>
    <n v="313386.85053499998"/>
    <n v="31800"/>
    <n v="32980"/>
    <n v="27990"/>
    <n v="32590"/>
    <n v="34190"/>
    <n v="40080"/>
    <n v="32000"/>
    <n v="34190"/>
    <n v="20130"/>
    <n v="35150"/>
    <n v="321100"/>
    <n v="333666.51"/>
    <n v="1331.8"/>
    <n v="0.74660000000000004"/>
    <n v="0.77429999999999999"/>
    <n v="0.75"/>
    <n v="0.68759999999999999"/>
    <n v="0.73080000000000001"/>
    <n v="0.83409999999999995"/>
    <n v="0.77490000000000003"/>
    <n v="0.82089999999999996"/>
    <n v="0.83840000000000003"/>
    <n v="0.81789999999999996"/>
    <n v="1.0557435903607"/>
    <n v="4.6871737457451497"/>
    <n v="6.08"/>
    <n v="6.14"/>
    <n v="6.01"/>
    <n v="6.22"/>
    <n v="6.31"/>
    <n v="6.1520000000000001"/>
    <n v="0.77759999999999996"/>
    <n v="0.76189430197417995"/>
    <n v="0.98950000000000005"/>
    <n v="67570"/>
    <n v="53692"/>
    <n v="23987"/>
    <n v="26730"/>
    <m/>
  </r>
  <r>
    <x v="49"/>
    <n v="244325.41132717"/>
    <n v="4.2064516129032299"/>
    <n v="3.4480283870967701"/>
    <n v="0.81969999999999998"/>
    <n v="0.99"/>
    <n v="55538.25"/>
    <n v="55516.5"/>
    <n v="35234.379999999997"/>
    <n v="42798"/>
    <n v="33901"/>
    <n v="222988.13"/>
    <n v="207592.33"/>
    <n v="-15395.8"/>
    <n v="0"/>
    <n v="222988.13"/>
    <n v="222988.13"/>
    <n v="205723.99903000001"/>
    <n v="20320"/>
    <n v="20860"/>
    <n v="18790"/>
    <n v="22800"/>
    <n v="24450"/>
    <n v="25360"/>
    <n v="20330"/>
    <n v="21890"/>
    <n v="13130"/>
    <n v="22670"/>
    <n v="210600"/>
    <n v="210600"/>
    <n v="1439.1"/>
    <n v="0.82689999999999997"/>
    <n v="0.84899999999999998"/>
    <n v="0.86040000000000005"/>
    <n v="0.82220000000000004"/>
    <n v="0.88390000000000002"/>
    <n v="0.86650000000000005"/>
    <n v="0.81340000000000001"/>
    <n v="0.86309999999999998"/>
    <n v="0.90339999999999998"/>
    <n v="0.87150000000000005"/>
    <n v="0.94444489040739499"/>
    <n v="3.3001055202012699"/>
    <n v="3.68"/>
    <n v="3.63"/>
    <n v="3.66"/>
    <n v="3.64"/>
    <n v="3.64"/>
    <n v="3.65"/>
    <n v="0.85599999999999998"/>
    <n v="0.90413849868527996"/>
    <n v="0.99099999999999999"/>
    <n v="67570"/>
    <n v="53692"/>
    <n v="23987"/>
    <n v="26730"/>
    <m/>
  </r>
  <r>
    <x v="50"/>
    <n v="244325.41132717"/>
    <n v="4.2064516129032299"/>
    <n v="3.4480283870967701"/>
    <n v="0.81969999999999998"/>
    <n v="0.99"/>
    <n v="82187"/>
    <n v="82084"/>
    <n v="56291.995000000003"/>
    <n v="63762.5"/>
    <n v="52354"/>
    <n v="336679.495"/>
    <n v="350846.67"/>
    <n v="14167.174999999999"/>
    <n v="14167.174999999999"/>
    <n v="350846.67"/>
    <n v="350846.67"/>
    <n v="346811.933295"/>
    <n v="31960"/>
    <n v="33860"/>
    <n v="28050"/>
    <n v="34920"/>
    <n v="35100"/>
    <n v="42500"/>
    <n v="33120"/>
    <n v="35280"/>
    <n v="19760"/>
    <n v="36450"/>
    <n v="331000"/>
    <n v="345167.17499999999"/>
    <n v="1442.62"/>
    <n v="0.748"/>
    <n v="0.79239999999999999"/>
    <n v="0.72370000000000001"/>
    <n v="0.70930000000000004"/>
    <n v="0.75519999999999998"/>
    <n v="0.80300000000000005"/>
    <n v="0.78659999999999997"/>
    <n v="0.76910000000000001"/>
    <n v="0.80710000000000004"/>
    <n v="0.83189999999999997"/>
    <n v="0.98313085565249503"/>
    <n v="5.1923437916235002"/>
    <n v="6.2"/>
    <n v="6.1"/>
    <n v="6.62"/>
    <n v="6.46"/>
    <n v="6.33"/>
    <n v="6.3419999999999996"/>
    <n v="0.77259999999999995"/>
    <n v="0.81872339823770102"/>
    <n v="0.98850000000000005"/>
    <n v="67570"/>
    <n v="53692"/>
    <n v="23987"/>
    <n v="26730"/>
    <m/>
  </r>
  <r>
    <x v="51"/>
    <n v="244325.41132717"/>
    <n v="4.2064516129032299"/>
    <n v="3.4480283870967701"/>
    <n v="0.81969999999999998"/>
    <n v="0.99"/>
    <n v="76013"/>
    <n v="66073"/>
    <n v="41690.375"/>
    <n v="50675.5"/>
    <n v="42144"/>
    <n v="276595.875"/>
    <n v="271738.83"/>
    <n v="-4857.0449999999801"/>
    <n v="0"/>
    <n v="276595.875"/>
    <n v="276595.875"/>
    <n v="268477.96403999999"/>
    <n v="28020"/>
    <n v="28800"/>
    <n v="24460"/>
    <n v="30620"/>
    <n v="31410"/>
    <n v="34660"/>
    <n v="27790"/>
    <n v="27680"/>
    <n v="17430"/>
    <n v="30500"/>
    <n v="281370"/>
    <n v="281370"/>
    <n v="1450.61"/>
    <n v="0.78920000000000001"/>
    <n v="0.81120000000000003"/>
    <n v="0.77059999999999995"/>
    <n v="0.75970000000000004"/>
    <n v="0.80989999999999995"/>
    <n v="0.84009999999999996"/>
    <n v="0.79300000000000004"/>
    <n v="0.77410000000000001"/>
    <n v="0.85550000000000004"/>
    <n v="0.83630000000000004"/>
    <n v="1.0172602899446701"/>
    <n v="4.0934715850229404"/>
    <n v="5.16"/>
    <n v="5.09"/>
    <n v="5.16"/>
    <n v="5.29"/>
    <n v="5.26"/>
    <n v="5.1920000000000002"/>
    <n v="0.80400000000000005"/>
    <n v="0.78841902639116701"/>
    <n v="0.98799999999999999"/>
    <n v="67570"/>
    <n v="53692"/>
    <n v="23987"/>
    <n v="26730"/>
    <m/>
  </r>
  <r>
    <x v="52"/>
    <n v="244325.41132717"/>
    <n v="4.2064516129032299"/>
    <n v="3.4480283870967701"/>
    <n v="0.81969999999999998"/>
    <n v="0.99"/>
    <n v="48647"/>
    <n v="58537.75"/>
    <n v="36494.129999999997"/>
    <n v="46577.75"/>
    <n v="37535"/>
    <n v="227791.63"/>
    <n v="221339.33"/>
    <n v="-6452.3000000000202"/>
    <n v="0"/>
    <n v="227791.63"/>
    <n v="227791.63"/>
    <n v="218683.25803999999"/>
    <n v="22960"/>
    <n v="23670"/>
    <n v="19940"/>
    <n v="24900"/>
    <n v="25900"/>
    <n v="29380"/>
    <n v="23570"/>
    <n v="23550"/>
    <n v="14910"/>
    <n v="25850"/>
    <n v="234630"/>
    <n v="234630"/>
    <n v="1455.91"/>
    <n v="0.8236"/>
    <n v="0.84889999999999999"/>
    <n v="0.80469999999999997"/>
    <n v="0.79120000000000001"/>
    <n v="0.80359999999999998"/>
    <n v="0.88119999999999998"/>
    <n v="0.81659999999999999"/>
    <n v="0.81499999999999995"/>
    <n v="0.88859999999999995"/>
    <n v="0.86050000000000004"/>
    <n v="1.03002028652238"/>
    <n v="3.3711947609886002"/>
    <n v="4.25"/>
    <n v="4.2300000000000004"/>
    <n v="4.17"/>
    <n v="4.13"/>
    <n v="4.13"/>
    <n v="4.1820000000000004"/>
    <n v="0.83340000000000003"/>
    <n v="0.80612022022683005"/>
    <n v="0.98799999999999999"/>
    <n v="67570"/>
    <n v="53692"/>
    <n v="16292"/>
    <n v="25370"/>
    <m/>
  </r>
  <r>
    <x v="53"/>
    <n v="244325.41132717"/>
    <n v="4.2064516129032299"/>
    <n v="3.4480283870967701"/>
    <n v="0.81969999999999998"/>
    <n v="0.99"/>
    <n v="43282"/>
    <n v="17580.5"/>
    <n v="46450.87"/>
    <n v="36073.375"/>
    <n v="28918"/>
    <n v="172304.745"/>
    <n v="218528.5"/>
    <n v="46223.754999999997"/>
    <n v="46223.754999999997"/>
    <n v="218528.5"/>
    <n v="218528.5"/>
    <n v="216780.272"/>
    <n v="18010"/>
    <n v="18400"/>
    <n v="12010"/>
    <n v="14870"/>
    <n v="15250"/>
    <n v="28340"/>
    <n v="23090"/>
    <n v="23040"/>
    <n v="14360"/>
    <n v="25220"/>
    <n v="192590"/>
    <n v="238813.755"/>
    <n v="1440.19"/>
    <n v="0.68869999999999998"/>
    <n v="0.68320000000000003"/>
    <n v="0.48470000000000002"/>
    <n v="0.47249999999999998"/>
    <n v="0.4834"/>
    <n v="0.85209999999999997"/>
    <n v="0.79800000000000004"/>
    <n v="0.79920000000000002"/>
    <n v="0.85360000000000003"/>
    <n v="0.83760000000000001"/>
    <n v="1.1177289400822901"/>
    <n v="3.2341053722066002"/>
    <n v="4.26"/>
    <n v="4.1399999999999997"/>
    <n v="4.16"/>
    <n v="4.13"/>
    <n v="3.99"/>
    <n v="4.1360000000000001"/>
    <n v="0.69330000000000003"/>
    <n v="0.78194037045614095"/>
    <n v="0.99199999999999999"/>
    <n v="67570"/>
    <n v="53692"/>
    <n v="11900"/>
    <n v="26730"/>
    <s v="There is a power limitation on STS3, STS4 and STS5"/>
  </r>
  <r>
    <x v="54"/>
    <n v="244325.41132717"/>
    <n v="4.2064516129032299"/>
    <n v="3.4480283870967701"/>
    <n v="0.81969999999999998"/>
    <n v="0.99"/>
    <n v="54392.25"/>
    <n v="0"/>
    <n v="33104.879999999997"/>
    <n v="44453.254999999997"/>
    <n v="34955"/>
    <n v="166905.38500000001"/>
    <n v="199635.83"/>
    <n v="32730.445"/>
    <n v="32730.445"/>
    <n v="199635.83"/>
    <n v="199635.83"/>
    <n v="198537.83293500001"/>
    <n v="17260"/>
    <n v="18120"/>
    <n v="4220"/>
    <n v="4310"/>
    <n v="4310"/>
    <n v="21520"/>
    <n v="17840"/>
    <n v="18190"/>
    <n v="10650"/>
    <n v="19530"/>
    <n v="135950"/>
    <n v="168680.44500000001"/>
    <n v="1477.13"/>
    <n v="0.88160000000000005"/>
    <n v="0.92559999999999998"/>
    <n v="0.24079999999999999"/>
    <n v="0.19350000000000001"/>
    <n v="0.1963"/>
    <n v="0.94099999999999995"/>
    <n v="0.89329999999999998"/>
    <n v="0.91790000000000005"/>
    <n v="0.91700000000000004"/>
    <n v="0.93979999999999997"/>
    <n v="0.81453333575786102"/>
    <n v="2.9545039218588101"/>
    <n v="2.94"/>
    <n v="2.88"/>
    <n v="2.86"/>
    <n v="2.92"/>
    <n v="2.9"/>
    <n v="2.9"/>
    <n v="0.70469999999999999"/>
    <n v="1.0187944558133799"/>
    <n v="0.99450000000000005"/>
    <n v="67570"/>
    <n v="53692"/>
    <n v="11900"/>
    <n v="26730"/>
    <m/>
  </r>
  <r>
    <x v="55"/>
    <n v="244325.41132717"/>
    <n v="4.2064516129032299"/>
    <n v="3.4480283870967701"/>
    <n v="0.81969999999999998"/>
    <n v="0.99"/>
    <n v="39828"/>
    <n v="0"/>
    <n v="24534.98"/>
    <n v="35750.5"/>
    <n v="27042"/>
    <n v="127155.48"/>
    <n v="145504.32999999999"/>
    <n v="18348.849999999999"/>
    <n v="18348.849999999999"/>
    <n v="145504.32999999999"/>
    <n v="145504.32999999999"/>
    <n v="145504.32999999999"/>
    <n v="20880"/>
    <n v="20530"/>
    <n v="4200"/>
    <n v="4310"/>
    <n v="4320"/>
    <n v="26770"/>
    <n v="23530"/>
    <n v="24480"/>
    <n v="16340"/>
    <n v="25440"/>
    <n v="170800"/>
    <n v="189148.85"/>
    <n v="1397.39"/>
    <n v="0.80149999999999999"/>
    <n v="0.78800000000000003"/>
    <n v="0.185"/>
    <n v="0.14960000000000001"/>
    <n v="0.1414"/>
    <n v="0.85629999999999995"/>
    <n v="0.78900000000000003"/>
    <n v="0.90329999999999999"/>
    <n v="0.94240000000000002"/>
    <n v="0.82"/>
    <n v="1.3432374286975299"/>
    <n v="2.1533865620837598"/>
    <n v="4.3899999999999997"/>
    <n v="4.01"/>
    <n v="3.91"/>
    <n v="3.78"/>
    <n v="3.86"/>
    <n v="3.99"/>
    <n v="0.63759999999999994"/>
    <n v="0.53969588022149495"/>
    <n v="1"/>
    <n v="67570"/>
    <n v="53692"/>
    <n v="11900"/>
    <n v="26730"/>
    <m/>
  </r>
  <r>
    <x v="56"/>
    <n v="244325.41132717"/>
    <n v="4.2064516129032299"/>
    <n v="3.4480283870967701"/>
    <n v="0.81969999999999998"/>
    <n v="0.99"/>
    <n v="43619"/>
    <n v="0"/>
    <n v="25189.14"/>
    <n v="36227.120000000003"/>
    <n v="26549"/>
    <n v="131584.26"/>
    <n v="140620"/>
    <n v="9035.7399999999907"/>
    <n v="9035.7399999999907"/>
    <n v="140620"/>
    <n v="140620"/>
    <n v="140338.76"/>
    <n v="10290"/>
    <n v="10300"/>
    <n v="3430"/>
    <n v="3690"/>
    <n v="3720"/>
    <n v="12890"/>
    <n v="11080"/>
    <n v="10890"/>
    <n v="6150"/>
    <n v="11400"/>
    <n v="83840"/>
    <n v="92875.74"/>
    <n v="1486.47"/>
    <n v="0.86619999999999997"/>
    <n v="0.86719999999999997"/>
    <n v="0.32819999999999999"/>
    <n v="0.27839999999999998"/>
    <n v="0.28560000000000002"/>
    <n v="0.93159999999999998"/>
    <n v="0.94840000000000002"/>
    <n v="0.90859999999999996"/>
    <n v="0.90490000000000004"/>
    <n v="0.93769999999999998"/>
    <n v="0.63715827409752501"/>
    <n v="2.0811010803611101"/>
    <n v="1.72"/>
    <n v="1.71"/>
    <n v="1.73"/>
    <n v="1.74"/>
    <n v="1.76"/>
    <n v="1.732"/>
    <n v="0.72570000000000001"/>
    <n v="1.20155951522004"/>
    <n v="0.998"/>
    <n v="67570"/>
    <n v="53692"/>
    <n v="11900"/>
    <n v="26730"/>
    <m/>
  </r>
  <r>
    <x v="57"/>
    <n v="244325.41132717"/>
    <n v="4.2064516129032299"/>
    <n v="3.4480283870967701"/>
    <n v="0.81969999999999998"/>
    <n v="0.99"/>
    <n v="60896.5"/>
    <n v="0"/>
    <n v="40090.5"/>
    <n v="52330"/>
    <n v="39809"/>
    <n v="193126"/>
    <n v="273904.5"/>
    <n v="80778.5"/>
    <n v="80778.5"/>
    <n v="273904.5"/>
    <n v="273904.5"/>
    <n v="273356.69099999999"/>
    <n v="28300"/>
    <n v="28330"/>
    <n v="4300"/>
    <n v="4400"/>
    <n v="4410"/>
    <n v="35730"/>
    <n v="30590"/>
    <n v="30560"/>
    <n v="17800"/>
    <n v="31790"/>
    <n v="216210"/>
    <n v="296988.5"/>
    <n v="1471.89"/>
    <n v="0.77649999999999997"/>
    <n v="0.7772"/>
    <n v="0.1338"/>
    <n v="0.1076"/>
    <n v="0.1106"/>
    <n v="0.83530000000000004"/>
    <n v="0.83240000000000003"/>
    <n v="0.82420000000000004"/>
    <n v="0.83299999999999996"/>
    <n v="0.83140000000000003"/>
    <n v="1.1195281836728399"/>
    <n v="4.0536406689359197"/>
    <n v="5.41"/>
    <n v="5.23"/>
    <n v="5.35"/>
    <n v="5.36"/>
    <n v="5.4"/>
    <n v="5.35"/>
    <n v="0.60619999999999996"/>
    <n v="0.75768984466091904"/>
    <n v="0.998"/>
    <n v="67570"/>
    <n v="53692"/>
    <n v="9256"/>
    <n v="26730"/>
    <m/>
  </r>
  <r>
    <x v="58"/>
    <n v="244325.41132717"/>
    <n v="4.2064516129032299"/>
    <n v="3.4480283870967701"/>
    <n v="0.81969999999999998"/>
    <n v="0.99"/>
    <n v="32969.5"/>
    <n v="0"/>
    <n v="24176.875"/>
    <n v="34210.25"/>
    <n v="27011"/>
    <n v="118367.625"/>
    <n v="143367.17000000001"/>
    <n v="24999.544999999998"/>
    <n v="24999.544999999998"/>
    <n v="143367.17000000001"/>
    <n v="143367.17000000001"/>
    <n v="143080.43565999999"/>
    <n v="13140"/>
    <n v="13000"/>
    <n v="3100"/>
    <n v="3180"/>
    <n v="3190"/>
    <n v="21180"/>
    <n v="18200"/>
    <n v="17910"/>
    <n v="10370"/>
    <n v="18710"/>
    <n v="121980"/>
    <n v="146979.54500000001"/>
    <n v="1314.88"/>
    <n v="0.67800000000000005"/>
    <n v="0.67110000000000003"/>
    <n v="0.17929999999999999"/>
    <n v="0.14499999999999999"/>
    <n v="0.14799999999999999"/>
    <n v="0.92610000000000003"/>
    <n v="0.93020000000000003"/>
    <n v="0.90359999999999996"/>
    <n v="0.91180000000000005"/>
    <n v="0.91900000000000004"/>
    <n v="1.03051826882562"/>
    <n v="2.1217577327216199"/>
    <n v="2.88"/>
    <n v="2.83"/>
    <n v="2.86"/>
    <n v="2.88"/>
    <n v="2.87"/>
    <n v="2.8639999999999999"/>
    <n v="0.64119999999999999"/>
    <n v="0.74083719717933705"/>
    <n v="0.998"/>
    <n v="67570"/>
    <n v="53692"/>
    <n v="11900"/>
    <n v="26730"/>
    <s v="- There is a power limitation on STS3, STS4 and STS5_x000a_- Request outage OG.1 GSK.3 due to repair work of A3CS Medium Voltage Air Line (SUTM) cable that was detached from the insulator and fell into the traves"/>
  </r>
  <r>
    <x v="59"/>
    <n v="244325.41132717"/>
    <n v="4.2064516129032299"/>
    <n v="3.4480283870967701"/>
    <n v="0.81969999999999998"/>
    <n v="0.99"/>
    <n v="36207.5"/>
    <n v="0"/>
    <n v="13821.254999999999"/>
    <n v="30329.119999999999"/>
    <n v="22996"/>
    <n v="103353.875"/>
    <n v="101943.5"/>
    <n v="-1410.375"/>
    <n v="0"/>
    <n v="103353.875"/>
    <n v="103353.875"/>
    <n v="101739.613"/>
    <n v="12510"/>
    <n v="12470"/>
    <n v="4290"/>
    <n v="4370"/>
    <n v="4370"/>
    <n v="15510"/>
    <n v="13170"/>
    <n v="13060"/>
    <n v="7450"/>
    <n v="13590"/>
    <n v="100790"/>
    <n v="100790"/>
    <n v="1438.9"/>
    <n v="0.91710000000000003"/>
    <n v="0.91459999999999997"/>
    <n v="0.35899999999999999"/>
    <n v="0.28799999999999998"/>
    <n v="0.2898"/>
    <n v="0.9798"/>
    <n v="0.98919999999999997"/>
    <n v="0.95189999999999997"/>
    <n v="0.96199999999999997"/>
    <n v="0.98070000000000002"/>
    <n v="0.97519323779587397"/>
    <n v="1.5295822850377401"/>
    <n v="1.96"/>
    <n v="1.98"/>
    <n v="1.98"/>
    <n v="1.99"/>
    <n v="2.02"/>
    <n v="1.986"/>
    <n v="0.76319999999999999"/>
    <n v="0.77018241945505495"/>
    <n v="0.998"/>
    <n v="67570"/>
    <n v="53692"/>
    <n v="11900"/>
    <n v="25411"/>
    <s v="There is a power limitation on STS3, STS4 and STS5"/>
  </r>
  <r>
    <x v="60"/>
    <n v="244325.41132717"/>
    <n v="4.2064516129032299"/>
    <n v="3.4480283870967701"/>
    <n v="0.81969999999999998"/>
    <n v="0.99"/>
    <n v="47274"/>
    <n v="0"/>
    <n v="39988.370000000003"/>
    <n v="14003.26"/>
    <n v="43371"/>
    <n v="144636.63"/>
    <n v="173235.33"/>
    <n v="28598.7"/>
    <n v="28598.7"/>
    <n v="173235.33"/>
    <n v="173235.33"/>
    <n v="172888.85934"/>
    <n v="19520"/>
    <n v="19480"/>
    <n v="4010"/>
    <n v="4130"/>
    <n v="4140"/>
    <n v="24280"/>
    <n v="20810"/>
    <n v="20570"/>
    <n v="11860"/>
    <n v="21450"/>
    <n v="150250"/>
    <n v="178848.7"/>
    <n v="1328.37"/>
    <n v="0.86850000000000005"/>
    <n v="0.86680000000000001"/>
    <n v="0.20319999999999999"/>
    <n v="0.1646"/>
    <n v="0.1661"/>
    <n v="0.92879999999999996"/>
    <n v="0.93969999999999998"/>
    <n v="0.90759999999999996"/>
    <n v="0.92110000000000003"/>
    <n v="0.93069999999999997"/>
    <n v="1.03881015479965"/>
    <n v="2.56379058753885"/>
    <n v="3.26"/>
    <n v="3.27"/>
    <n v="3.27"/>
    <n v="3.29"/>
    <n v="3.33"/>
    <n v="3.2839999999999998"/>
    <n v="0.68969999999999998"/>
    <n v="0.78069140911657997"/>
    <n v="0.998"/>
    <n v="67570"/>
    <n v="53692"/>
    <n v="11900"/>
    <n v="11900"/>
    <s v="- There is a power limitation on STS3, STS4 and STS5_x000a_- Request outage OG.4 NST.2 due to Relocation of Medium Voltage Cable Line (SKTM) affected by the KIPP Project and Rest Poll Jumper Configuration"/>
  </r>
  <r>
    <x v="61"/>
    <n v="244325.41132717"/>
    <n v="4.2064516129032299"/>
    <n v="3.4480283870967701"/>
    <n v="0.81969999999999998"/>
    <n v="0.99"/>
    <n v="56274.5"/>
    <n v="0"/>
    <n v="25059.37"/>
    <n v="38917.74"/>
    <n v="44454"/>
    <n v="164705.60999999999"/>
    <n v="212112.5"/>
    <n v="47406.89"/>
    <n v="47406.89"/>
    <n v="212112.5"/>
    <n v="212112.5"/>
    <n v="211688.27499999999"/>
    <n v="18110"/>
    <n v="18400"/>
    <n v="3850"/>
    <n v="3970"/>
    <n v="3990"/>
    <n v="19760"/>
    <n v="16790"/>
    <n v="16820"/>
    <n v="9750"/>
    <n v="17250"/>
    <n v="128690"/>
    <n v="176096.89"/>
    <n v="1380.38"/>
    <n v="0.84909999999999997"/>
    <n v="0.86240000000000006"/>
    <n v="0.20180000000000001"/>
    <n v="0.16400000000000001"/>
    <n v="0.16839999999999999"/>
    <n v="0.76280000000000003"/>
    <n v="0.78500000000000003"/>
    <n v="0.749"/>
    <n v="0.78400000000000003"/>
    <n v="0.77470000000000006"/>
    <n v="0.78133343484778695"/>
    <n v="3.1391519905283398"/>
    <n v="3.15"/>
    <n v="3.11"/>
    <n v="3.24"/>
    <n v="3.18"/>
    <n v="3.16"/>
    <n v="3.1680000000000001"/>
    <n v="0.61009999999999998"/>
    <n v="0.99089393640414802"/>
    <n v="0.998"/>
    <n v="67570"/>
    <n v="53692"/>
    <n v="11900"/>
    <n v="26730"/>
    <s v="- There is a power limitation on STS3, STS4 and STS5. _x000a_- There is a power limitation on the STS6-STS10 because only one feeder line is available"/>
  </r>
  <r>
    <x v="62"/>
    <n v="266354.31289621699"/>
    <n v="4.5857142857142899"/>
    <n v="3.7589100000000002"/>
    <n v="0.81969999999999998"/>
    <n v="0.99"/>
    <n v="45115"/>
    <n v="0"/>
    <n v="28675.63"/>
    <n v="27839.38"/>
    <n v="30743"/>
    <n v="132373.01"/>
    <n v="139259.67000000001"/>
    <n v="6886.66"/>
    <n v="6886.66"/>
    <n v="139259.67000000001"/>
    <n v="139259.67000000001"/>
    <n v="138981.15066000001"/>
    <n v="14890"/>
    <n v="14730"/>
    <n v="4330"/>
    <n v="4430"/>
    <n v="4440"/>
    <n v="18450"/>
    <n v="15490"/>
    <n v="15650"/>
    <n v="9390"/>
    <n v="16210"/>
    <n v="118010"/>
    <n v="124896.66"/>
    <n v="1512.33"/>
    <n v="0.88470000000000004"/>
    <n v="0.875"/>
    <n v="0.29160000000000003"/>
    <n v="0.2349"/>
    <n v="0.23019999999999999"/>
    <n v="0.94510000000000005"/>
    <n v="0.93100000000000005"/>
    <n v="0.94389999999999996"/>
    <n v="0.97060000000000002"/>
    <n v="0.93620000000000003"/>
    <n v="0.89149593259230098"/>
    <n v="2.0609689211188398"/>
    <n v="2.4500000000000002"/>
    <n v="2.4500000000000002"/>
    <n v="2.44"/>
    <n v="2.4700000000000002"/>
    <n v="2.4900000000000002"/>
    <n v="2.46"/>
    <n v="0.72430000000000005"/>
    <n v="0.83779224435725197"/>
    <n v="0.998"/>
    <n v="67570"/>
    <n v="53692"/>
    <n v="11900"/>
    <n v="26730"/>
    <s v="There is a power limitation on STS3, STS4 and STS5. "/>
  </r>
  <r>
    <x v="63"/>
    <n v="266354.31289621699"/>
    <n v="4.5857142857142899"/>
    <n v="3.7589100000000002"/>
    <n v="0.81969999999999998"/>
    <n v="0.99"/>
    <n v="65862"/>
    <n v="0"/>
    <n v="48569.125"/>
    <n v="50649.75"/>
    <n v="47193"/>
    <n v="212273.875"/>
    <n v="322495.67"/>
    <n v="110221.795"/>
    <n v="110221.795"/>
    <n v="322495.67"/>
    <n v="322495.67"/>
    <n v="321850.67865999998"/>
    <n v="29040"/>
    <n v="28400"/>
    <n v="4330"/>
    <n v="4390"/>
    <n v="4400"/>
    <n v="37210"/>
    <n v="31040"/>
    <n v="31080"/>
    <n v="18350"/>
    <n v="32800"/>
    <n v="221040"/>
    <n v="331261.79499999998"/>
    <n v="1500.24"/>
    <n v="0.8871"/>
    <n v="0.74039999999999995"/>
    <n v="0.12559999999999999"/>
    <n v="0.1004"/>
    <n v="0.1021"/>
    <n v="0.8095"/>
    <n v="0.81330000000000002"/>
    <n v="0.81430000000000002"/>
    <n v="0.82730000000000004"/>
    <n v="0.82589999999999997"/>
    <n v="1.04129629705964"/>
    <n v="4.77276409649253"/>
    <n v="5.62"/>
    <n v="5.49"/>
    <n v="5.75"/>
    <n v="5.75"/>
    <n v="5.68"/>
    <n v="5.6580000000000004"/>
    <n v="0.60460000000000003"/>
    <n v="0.84354261161055599"/>
    <n v="0.998"/>
    <n v="67570"/>
    <n v="53692"/>
    <n v="11900"/>
    <n v="26730"/>
    <m/>
  </r>
  <r>
    <x v="64"/>
    <n v="266354.31289621699"/>
    <n v="4.5857142857142899"/>
    <n v="3.7589100000000002"/>
    <n v="0.81969999999999998"/>
    <n v="0.99"/>
    <n v="41732.5"/>
    <n v="0"/>
    <n v="19355.625"/>
    <n v="28036.63"/>
    <n v="13713"/>
    <n v="102837.755"/>
    <n v="144178"/>
    <n v="41340.245000000003"/>
    <n v="41340.245000000003"/>
    <n v="144178"/>
    <n v="144178"/>
    <n v="143889.644"/>
    <n v="16620"/>
    <n v="16290"/>
    <n v="3680"/>
    <n v="3930"/>
    <n v="3940"/>
    <n v="14670"/>
    <n v="11960"/>
    <n v="12420"/>
    <n v="7800"/>
    <n v="12640"/>
    <n v="103950"/>
    <n v="145290.245"/>
    <n v="1440.52"/>
    <n v="0.81"/>
    <n v="0.79430000000000001"/>
    <n v="0.2092"/>
    <n v="0.17560000000000001"/>
    <n v="0.1779"/>
    <n v="0.64629999999999999"/>
    <n v="0.62929999999999997"/>
    <n v="0.64419999999999999"/>
    <n v="0.7056"/>
    <n v="0.63880000000000003"/>
    <n v="1.01081553170817"/>
    <n v="2.1337575847269501"/>
    <n v="2.8"/>
    <n v="2.82"/>
    <n v="2.84"/>
    <n v="2.94"/>
    <n v="3.04"/>
    <n v="2.8879999999999999"/>
    <n v="0.54310000000000003"/>
    <n v="0.73883572878356996"/>
    <n v="0.998"/>
    <n v="67570"/>
    <n v="53692"/>
    <n v="4611"/>
    <n v="17647"/>
    <s v="There is a power limitation on STS3 - STS10. "/>
  </r>
  <r>
    <x v="65"/>
    <n v="266354.31289621699"/>
    <n v="4.5857142857142899"/>
    <n v="3.7589100000000002"/>
    <n v="0.81969999999999998"/>
    <n v="0.99"/>
    <n v="17109.75"/>
    <n v="0"/>
    <n v="20247.75"/>
    <n v="17634"/>
    <n v="75710"/>
    <n v="130701.5"/>
    <n v="285766.17"/>
    <n v="155064.67000000001"/>
    <n v="155064.67000000001"/>
    <n v="285766.17"/>
    <n v="285766.17"/>
    <n v="285194.63766000001"/>
    <n v="5920"/>
    <n v="5770"/>
    <n v="1350"/>
    <n v="1410"/>
    <n v="1410"/>
    <n v="23970"/>
    <n v="20300"/>
    <n v="20340"/>
    <n v="11910"/>
    <n v="20520"/>
    <n v="112900"/>
    <n v="267964.67"/>
    <n v="1474.87"/>
    <n v="0.18729999999999999"/>
    <n v="0.1825"/>
    <n v="4.7199999999999999E-2"/>
    <n v="3.8600000000000002E-2"/>
    <n v="3.9E-2"/>
    <n v="0.63890000000000002"/>
    <n v="0.62609999999999999"/>
    <n v="0.63839999999999997"/>
    <n v="0.6522"/>
    <n v="0.62770000000000004"/>
    <n v="0.86380033894025698"/>
    <n v="4.2291870652656502"/>
    <n v="4.63"/>
    <n v="4.59"/>
    <n v="4.6900000000000004"/>
    <n v="4.7699999999999996"/>
    <n v="4.68"/>
    <n v="4.6719999999999997"/>
    <n v="0.36980000000000002"/>
    <n v="0.90521983417501095"/>
    <n v="0.998"/>
    <n v="67570"/>
    <n v="53692"/>
    <n v="11900"/>
    <n v="23000"/>
    <s v="- There is an outage on busbar 1_x000a_- There is a power limitation on the busbar 2"/>
  </r>
  <r>
    <x v="66"/>
    <n v="266354.31289621699"/>
    <n v="4.5857142857142899"/>
    <n v="3.7589100000000002"/>
    <n v="0.81969999999999998"/>
    <n v="0.99"/>
    <n v="70116"/>
    <n v="0"/>
    <n v="13265"/>
    <n v="70879"/>
    <n v="62058"/>
    <n v="216318"/>
    <n v="307313.83"/>
    <n v="90995.83"/>
    <n v="90995.83"/>
    <n v="307313.83"/>
    <n v="307313.83"/>
    <n v="305777.26085000002"/>
    <n v="30810"/>
    <n v="31410"/>
    <n v="4170"/>
    <n v="4430"/>
    <n v="4440"/>
    <n v="36860"/>
    <n v="30370"/>
    <n v="31190"/>
    <n v="19750"/>
    <n v="32510"/>
    <n v="225940"/>
    <n v="316935.83"/>
    <n v="1546.72"/>
    <n v="0.74919999999999998"/>
    <n v="0.76400000000000001"/>
    <n v="0.1144"/>
    <n v="9.5600000000000004E-2"/>
    <n v="9.6799999999999997E-2"/>
    <n v="0.77349999999999997"/>
    <n v="0.73960000000000004"/>
    <n v="0.77049999999999996"/>
    <n v="0.82720000000000005"/>
    <n v="0.76070000000000004"/>
    <n v="1.0444808106583801"/>
    <n v="4.54808095308569"/>
    <n v="6.05"/>
    <n v="5.85"/>
    <n v="5.96"/>
    <n v="6.09"/>
    <n v="6.09"/>
    <n v="6.008"/>
    <n v="0.56920000000000004"/>
    <n v="0.75700415330986803"/>
    <n v="0.995"/>
    <n v="67570"/>
    <n v="53692"/>
    <n v="11900"/>
    <n v="16263"/>
    <s v="There is a power limitation on STS3, STS4 and STS5. "/>
  </r>
  <r>
    <x v="67"/>
    <n v="266354.31289621699"/>
    <n v="4.5857142857142899"/>
    <n v="3.7589100000000002"/>
    <n v="0.81969999999999998"/>
    <n v="0.99"/>
    <n v="53046.5"/>
    <n v="0"/>
    <n v="7092.63"/>
    <n v="71502.75"/>
    <n v="15444"/>
    <n v="147085.88"/>
    <n v="196738.17"/>
    <n v="49652.29"/>
    <n v="49652.29"/>
    <n v="196738.17"/>
    <n v="196738.17"/>
    <n v="196344.69365999999"/>
    <n v="20960"/>
    <n v="21060"/>
    <n v="4280"/>
    <n v="4390"/>
    <n v="4400"/>
    <n v="24490"/>
    <n v="19370"/>
    <n v="18890"/>
    <n v="12900"/>
    <n v="18580"/>
    <n v="149320"/>
    <n v="198972.29"/>
    <n v="1382.41"/>
    <n v="0.85540000000000005"/>
    <n v="0.85960000000000003"/>
    <n v="0.1966"/>
    <n v="0.1578"/>
    <n v="0.1603"/>
    <n v="0.85270000000000001"/>
    <n v="0.79190000000000005"/>
    <n v="0.7591"/>
    <n v="0.9103"/>
    <n v="0.747"/>
    <n v="1.0151892214262801"/>
    <n v="2.9116200976764799"/>
    <n v="3.63"/>
    <n v="3.65"/>
    <n v="3.59"/>
    <n v="3.6"/>
    <n v="3.53"/>
    <n v="3.6"/>
    <n v="0.54859999999999998"/>
    <n v="0.80878336046568999"/>
    <n v="0.998"/>
    <n v="67570"/>
    <n v="53692"/>
    <n v="11900"/>
    <n v="11900"/>
    <s v="There is a power limitation on STS3, STS4, STS5, STS6, STS7, STS8, and STS10. "/>
  </r>
  <r>
    <x v="68"/>
    <n v="266354.31289621699"/>
    <n v="4.5857142857142899"/>
    <n v="3.7589100000000002"/>
    <n v="0.81969999999999998"/>
    <n v="0.99"/>
    <n v="58826.25"/>
    <n v="0"/>
    <n v="14819.5"/>
    <n v="46216.5"/>
    <n v="40791"/>
    <n v="160653.25"/>
    <n v="238908"/>
    <n v="78254.75"/>
    <n v="78254.75"/>
    <n v="238908"/>
    <n v="238908"/>
    <n v="238310.73"/>
    <n v="21600"/>
    <n v="21710"/>
    <n v="3840"/>
    <n v="3990"/>
    <n v="4000"/>
    <n v="21730"/>
    <n v="16390"/>
    <n v="15820"/>
    <n v="13400"/>
    <n v="15500"/>
    <n v="137980"/>
    <n v="216234.75"/>
    <n v="1457.45"/>
    <n v="0.82"/>
    <n v="0.83"/>
    <n v="0.16"/>
    <n v="0.13"/>
    <n v="0.13"/>
    <n v="0.7"/>
    <n v="0.62"/>
    <n v="0.59"/>
    <n v="0.88"/>
    <n v="0.47"/>
    <n v="0.85886840135509201"/>
    <n v="3.5357111143998798"/>
    <n v="3.87"/>
    <n v="3.88"/>
    <n v="3.86"/>
    <n v="3.85"/>
    <n v="3.76"/>
    <n v="3.8439999999999999"/>
    <n v="0.54859999999999998"/>
    <n v="0.91979997773149902"/>
    <n v="0.99750000000000005"/>
    <n v="67570"/>
    <n v="53692"/>
    <n v="11900"/>
    <n v="26730"/>
    <s v="There is a power limitation on STS3, STS4 and STS5"/>
  </r>
  <r>
    <x v="69"/>
    <n v="266354.31289621699"/>
    <n v="4.5857142857142899"/>
    <n v="3.7589100000000002"/>
    <n v="0.81969999999999998"/>
    <n v="0.99"/>
    <n v="63807"/>
    <n v="0"/>
    <n v="46623"/>
    <n v="52040"/>
    <n v="46417"/>
    <n v="208887"/>
    <n v="292267.17"/>
    <n v="83380.17"/>
    <n v="83380.17"/>
    <n v="292267.17"/>
    <n v="292267.17"/>
    <n v="291682.63566000003"/>
    <n v="28050"/>
    <n v="27960"/>
    <n v="3840"/>
    <n v="3930"/>
    <n v="3940"/>
    <n v="36390"/>
    <n v="30900"/>
    <n v="31160"/>
    <n v="18020"/>
    <n v="31790"/>
    <n v="215980"/>
    <n v="299360.17"/>
    <n v="1453.64"/>
    <n v="0.7782"/>
    <n v="0.77559999999999996"/>
    <n v="0.11990000000000001"/>
    <n v="9.5200000000000007E-2"/>
    <n v="9.7299999999999998E-2"/>
    <n v="0.83919999999999995"/>
    <n v="0.83020000000000005"/>
    <n v="0.82950000000000002"/>
    <n v="0.83599999999999997"/>
    <n v="0.84630000000000005"/>
    <n v="1.0339561581142001"/>
    <n v="4.32539840165754"/>
    <n v="5.34"/>
    <n v="5.42"/>
    <n v="5.42"/>
    <n v="5.32"/>
    <n v="5.37"/>
    <n v="5.3739999999999997"/>
    <n v="0.7319"/>
    <n v="0.80487502822060697"/>
    <n v="0.998"/>
    <n v="67570"/>
    <n v="53692"/>
    <n v="11900"/>
    <n v="26730"/>
    <m/>
  </r>
  <r>
    <x v="70"/>
    <n v="266354.31289621699"/>
    <n v="4.5857142857142899"/>
    <n v="3.7589100000000002"/>
    <n v="0.81969999999999998"/>
    <n v="0.99"/>
    <n v="50189"/>
    <n v="0"/>
    <n v="33927"/>
    <n v="40874"/>
    <n v="35718"/>
    <n v="160708"/>
    <n v="205084.5"/>
    <n v="44376.5"/>
    <n v="44376.5"/>
    <n v="205084.5"/>
    <n v="205084.5"/>
    <n v="204674.33100000001"/>
    <n v="17920"/>
    <n v="18010"/>
    <n v="4110"/>
    <n v="4200"/>
    <n v="4210"/>
    <n v="23920"/>
    <n v="20370"/>
    <n v="20630"/>
    <n v="12280"/>
    <n v="21510"/>
    <n v="147160"/>
    <n v="191536.5"/>
    <n v="1364.33"/>
    <n v="0.83989999999999998"/>
    <n v="0.84419999999999995"/>
    <n v="0.21679999999999999"/>
    <n v="0.16889999999999999"/>
    <n v="0.16420000000000001"/>
    <n v="0.8952"/>
    <n v="0.85950000000000004"/>
    <n v="0.89119999999999999"/>
    <n v="0.89439999999999997"/>
    <n v="0.92410000000000003"/>
    <n v="0.91569803618986001"/>
    <n v="3.0351413349119398"/>
    <n v="3.16"/>
    <n v="3.26"/>
    <n v="3.34"/>
    <n v="3.36"/>
    <n v="3.42"/>
    <n v="3.3079999999999998"/>
    <n v="0.6704"/>
    <n v="0.91751551841352597"/>
    <n v="0.998"/>
    <n v="67570"/>
    <n v="53692"/>
    <n v="11900"/>
    <n v="26730"/>
    <m/>
  </r>
  <r>
    <x v="71"/>
    <n v="266354.31289621699"/>
    <n v="4.5857142857142899"/>
    <n v="3.7589100000000002"/>
    <n v="0.81969999999999998"/>
    <n v="0.99"/>
    <n v="53026"/>
    <n v="0"/>
    <n v="34096"/>
    <n v="41646"/>
    <n v="36261"/>
    <n v="165029"/>
    <n v="206953.33"/>
    <n v="41924.33"/>
    <n v="41924.33"/>
    <n v="206953.33"/>
    <n v="206953.33"/>
    <n v="206746.37667"/>
    <n v="20890"/>
    <n v="20960"/>
    <n v="4210"/>
    <n v="4300"/>
    <n v="4310"/>
    <n v="26310"/>
    <n v="22410"/>
    <n v="22380"/>
    <n v="13250"/>
    <n v="23700"/>
    <n v="162720"/>
    <n v="204644.33"/>
    <n v="1437.89"/>
    <n v="0.82540000000000002"/>
    <n v="0.82789999999999997"/>
    <n v="0.18690000000000001"/>
    <n v="0.15129999999999999"/>
    <n v="0.15679999999999999"/>
    <n v="0.88890000000000002"/>
    <n v="0.87170000000000003"/>
    <n v="0.87290000000000001"/>
    <n v="0.88949999999999996"/>
    <n v="0.92430000000000001"/>
    <n v="0.98600851971471704"/>
    <n v="3.0627990232351601"/>
    <n v="3.75"/>
    <n v="3.73"/>
    <n v="3.7"/>
    <n v="3.61"/>
    <n v="3.71"/>
    <n v="3.7"/>
    <n v="0.65949999999999998"/>
    <n v="0.82778351979328701"/>
    <n v="0.999"/>
    <n v="67570"/>
    <n v="53692"/>
    <n v="11900"/>
    <n v="26730"/>
    <m/>
  </r>
  <r>
    <x v="72"/>
    <n v="266354.31289621699"/>
    <n v="4.5857142857142899"/>
    <n v="3.7589100000000002"/>
    <n v="0.81969999999999998"/>
    <n v="0.99"/>
    <n v="43598.25"/>
    <n v="0"/>
    <n v="20349"/>
    <n v="28532.75"/>
    <n v="25949"/>
    <n v="118429"/>
    <n v="158758"/>
    <n v="40329"/>
    <n v="40329"/>
    <n v="158758"/>
    <n v="158758"/>
    <n v="158758"/>
    <n v="20080"/>
    <n v="20480"/>
    <n v="4130"/>
    <n v="4260"/>
    <n v="4280"/>
    <n v="25540"/>
    <n v="21460"/>
    <n v="21890"/>
    <n v="13190"/>
    <n v="22630"/>
    <n v="157940"/>
    <n v="198269"/>
    <n v="1514.79"/>
    <n v="0.83809999999999996"/>
    <n v="0.8548"/>
    <n v="0.19370000000000001"/>
    <n v="0.15579999999999999"/>
    <n v="0.1555"/>
    <n v="0.88429999999999997"/>
    <n v="0.85319999999999996"/>
    <n v="0.87480000000000002"/>
    <n v="0.90480000000000005"/>
    <n v="0.90439999999999998"/>
    <n v="1.33362605442924"/>
    <n v="2.3495338167825999"/>
    <n v="3.55"/>
    <n v="3.59"/>
    <n v="3.61"/>
    <n v="3.61"/>
    <n v="3.63"/>
    <n v="3.5979999999999999"/>
    <n v="0.66200000000000003"/>
    <n v="0.65301106636536899"/>
    <n v="1"/>
    <n v="67570"/>
    <n v="53692"/>
    <n v="23900"/>
    <n v="26730"/>
    <m/>
  </r>
  <r>
    <x v="73"/>
    <n v="266354.31289621699"/>
    <n v="4.5857142857142899"/>
    <n v="3.7589100000000002"/>
    <n v="0.81969999999999998"/>
    <n v="0.99"/>
    <n v="45713"/>
    <n v="45534"/>
    <n v="28173"/>
    <n v="35209"/>
    <n v="29573"/>
    <n v="184202"/>
    <n v="161667"/>
    <n v="-22535"/>
    <n v="0"/>
    <n v="184202"/>
    <n v="184202"/>
    <n v="161667"/>
    <n v="15590"/>
    <n v="16270"/>
    <n v="13030"/>
    <n v="16280"/>
    <n v="16780"/>
    <n v="19540"/>
    <n v="16470"/>
    <n v="16500"/>
    <n v="9530"/>
    <n v="17210"/>
    <n v="157200"/>
    <n v="157200"/>
    <n v="1492.65"/>
    <n v="0.8881"/>
    <n v="0.92720000000000002"/>
    <n v="0.83509999999999995"/>
    <n v="0.81479999999999997"/>
    <n v="0.86339999999999995"/>
    <n v="0.96150000000000002"/>
    <n v="0.93940000000000001"/>
    <n v="0.93940000000000001"/>
    <n v="0.93720000000000003"/>
    <n v="0.9778"/>
    <n v="0.85341092930587104"/>
    <n v="2.7260914607074098"/>
    <n v="2.6"/>
    <n v="2.59"/>
    <n v="2.54"/>
    <n v="2.5499999999999998"/>
    <n v="2.5299999999999998"/>
    <n v="2.5619999999999998"/>
    <n v="0.9093"/>
    <n v="1.0640481891910301"/>
    <n v="1"/>
    <n v="67570"/>
    <n v="53692"/>
    <n v="23900"/>
    <n v="26730"/>
    <m/>
  </r>
  <r>
    <x v="74"/>
    <n v="266354.31289621699"/>
    <n v="4.5857142857142899"/>
    <n v="3.7589100000000002"/>
    <n v="0.81969999999999998"/>
    <n v="0.99"/>
    <n v="49544.75"/>
    <n v="49547.25"/>
    <n v="32364.13"/>
    <n v="38717.25"/>
    <n v="29640"/>
    <n v="199813.38"/>
    <n v="182890.83"/>
    <n v="-16922.55"/>
    <n v="0"/>
    <n v="199813.38"/>
    <n v="199813.38"/>
    <n v="182890.83"/>
    <n v="19510"/>
    <n v="20280"/>
    <n v="18280"/>
    <n v="22080"/>
    <n v="22980"/>
    <n v="24780"/>
    <n v="21180"/>
    <n v="20990"/>
    <n v="12400"/>
    <n v="21750"/>
    <n v="204230"/>
    <n v="204230"/>
    <n v="1459.69"/>
    <n v="0.85780000000000001"/>
    <n v="0.89139999999999997"/>
    <n v="0.90390000000000004"/>
    <n v="0.85719999999999996"/>
    <n v="0.88180000000000003"/>
    <n v="0.9163"/>
    <n v="0.8962"/>
    <n v="0.8962"/>
    <n v="0.90580000000000005"/>
    <n v="0.92849999999999999"/>
    <n v="1.0221037249857801"/>
    <n v="2.9571315672635801"/>
    <n v="3.37"/>
    <n v="3.38"/>
    <n v="3.38"/>
    <n v="3.42"/>
    <n v="3.41"/>
    <n v="3.3919999999999999"/>
    <n v="0.89349999999999996"/>
    <n v="0.87179586299044198"/>
    <n v="1"/>
    <n v="67570"/>
    <n v="53692"/>
    <n v="23900"/>
    <n v="26730"/>
    <m/>
  </r>
  <r>
    <x v="75"/>
    <n v="266354.31289621699"/>
    <n v="4.5857142857142899"/>
    <n v="3.7589100000000002"/>
    <n v="0.81969999999999998"/>
    <n v="0.99"/>
    <n v="71285"/>
    <n v="71247.75"/>
    <n v="49191.5"/>
    <n v="54493.75"/>
    <n v="45261"/>
    <n v="291479"/>
    <n v="283405.33"/>
    <n v="-8073.6699999999801"/>
    <n v="0"/>
    <n v="291479"/>
    <n v="291479"/>
    <n v="283405.33"/>
    <n v="25380"/>
    <n v="26630"/>
    <n v="23800"/>
    <n v="28570"/>
    <n v="29250"/>
    <n v="32390"/>
    <n v="27840"/>
    <n v="27850"/>
    <n v="15670"/>
    <n v="28950"/>
    <n v="266330"/>
    <n v="266330"/>
    <n v="1452.47"/>
    <n v="0.8155"/>
    <n v="0.85589999999999999"/>
    <n v="0.86040000000000005"/>
    <n v="0.81320000000000003"/>
    <n v="0.84909999999999997"/>
    <n v="0.88219999999999998"/>
    <n v="0.879"/>
    <n v="0.87539999999999996"/>
    <n v="0.85389999999999999"/>
    <n v="0.91"/>
    <n v="0.91371934170214697"/>
    <n v="4.3137339055794"/>
    <n v="4.6100000000000003"/>
    <n v="4.59"/>
    <n v="4.6100000000000003"/>
    <n v="4.5199999999999996"/>
    <n v="4.57"/>
    <n v="4.58"/>
    <n v="0.85940000000000005"/>
    <n v="0.94186329816144099"/>
    <n v="1"/>
    <n v="67570"/>
    <n v="53692"/>
    <n v="23900"/>
    <n v="26730"/>
    <m/>
  </r>
  <r>
    <x v="76"/>
    <n v="266354.31289621699"/>
    <n v="4.5857142857142899"/>
    <n v="3.7589100000000002"/>
    <n v="0.81969999999999998"/>
    <n v="0.99"/>
    <n v="57082"/>
    <n v="57060.5"/>
    <n v="34994.379999999997"/>
    <n v="43202"/>
    <n v="37928"/>
    <n v="230266.88"/>
    <n v="228373.5"/>
    <n v="-1893.38"/>
    <n v="0"/>
    <n v="230266.88"/>
    <n v="230266.88"/>
    <n v="228373.5"/>
    <n v="23760"/>
    <n v="24270"/>
    <n v="21640"/>
    <n v="25330"/>
    <n v="26060"/>
    <n v="29310"/>
    <n v="24570"/>
    <n v="24720"/>
    <n v="14590"/>
    <n v="25420"/>
    <n v="239670"/>
    <n v="239670"/>
    <n v="1464.22"/>
    <n v="0.7823"/>
    <n v="0.79910000000000003"/>
    <n v="0.8014"/>
    <n v="0.76049999999999995"/>
    <n v="0.81440000000000001"/>
    <n v="0.85199999999999998"/>
    <n v="0.83240000000000003"/>
    <n v="0.82969999999999999"/>
    <n v="0.85329999999999995"/>
    <n v="0.85289999999999999"/>
    <n v="1.0408357467648"/>
    <n v="3.4078271422228799"/>
    <n v="4.5"/>
    <n v="4.3"/>
    <n v="4.37"/>
    <n v="4.2"/>
    <n v="4.26"/>
    <n v="4.3259999999999996"/>
    <n v="0.81779999999999997"/>
    <n v="0.78775477166502095"/>
    <n v="1"/>
    <n v="67570"/>
    <n v="53692"/>
    <n v="23900"/>
    <n v="26730"/>
    <m/>
  </r>
  <r>
    <x v="77"/>
    <n v="266354.31289621699"/>
    <n v="4.5857142857142899"/>
    <n v="3.7589100000000002"/>
    <n v="0.81969999999999998"/>
    <n v="0.99"/>
    <n v="39791"/>
    <n v="39849"/>
    <n v="22816.25"/>
    <n v="31055.5"/>
    <n v="27181"/>
    <n v="160692.75"/>
    <n v="150131.5"/>
    <n v="-10561.25"/>
    <n v="0"/>
    <n v="160692.75"/>
    <n v="160692.75"/>
    <n v="150131.5"/>
    <n v="18240"/>
    <n v="18720"/>
    <n v="16600"/>
    <n v="19180"/>
    <n v="19740"/>
    <n v="21990"/>
    <n v="18920"/>
    <n v="18690"/>
    <n v="11180"/>
    <n v="18690"/>
    <n v="181950"/>
    <n v="181950"/>
    <n v="1317.19"/>
    <n v="0.7923"/>
    <n v="0.81330000000000002"/>
    <n v="0.8115"/>
    <n v="0.74680000000000002"/>
    <n v="0.76659999999999995"/>
    <n v="0.85350000000000004"/>
    <n v="0.81"/>
    <n v="0.83740000000000003"/>
    <n v="0.82609999999999995"/>
    <n v="0.83750000000000002"/>
    <n v="1.1322850595313101"/>
    <n v="2.3781670859849"/>
    <n v="3.41"/>
    <n v="3.22"/>
    <n v="3.37"/>
    <n v="3.38"/>
    <n v="3.37"/>
    <n v="3.35"/>
    <n v="0.8095"/>
    <n v="0.709900622682061"/>
    <n v="1"/>
    <n v="67570"/>
    <n v="53692"/>
    <n v="23900"/>
    <n v="26730"/>
    <m/>
  </r>
  <r>
    <x v="78"/>
    <n v="266354.31289621699"/>
    <n v="4.5857142857142899"/>
    <n v="3.7589100000000002"/>
    <n v="0.81969999999999998"/>
    <n v="0.99"/>
    <n v="66424.5"/>
    <n v="66380.25"/>
    <n v="40044.879999999997"/>
    <n v="44302.25"/>
    <n v="42999"/>
    <n v="260150.88"/>
    <n v="248116.33"/>
    <n v="-12034.55"/>
    <n v="0"/>
    <n v="260150.88"/>
    <n v="260150.88"/>
    <n v="248116.33"/>
    <n v="21990"/>
    <n v="22760"/>
    <n v="20370"/>
    <n v="24910"/>
    <n v="25700"/>
    <n v="27210"/>
    <n v="23150"/>
    <n v="22910"/>
    <n v="13110"/>
    <n v="23820"/>
    <n v="225930"/>
    <n v="225930"/>
    <n v="1341.14"/>
    <n v="0.87570000000000003"/>
    <n v="0.90649999999999997"/>
    <n v="0.91249999999999998"/>
    <n v="0.87880000000000003"/>
    <n v="0.92130000000000001"/>
    <n v="0.92659999999999998"/>
    <n v="0.93049999999999999"/>
    <n v="0.90069999999999995"/>
    <n v="0.90969999999999995"/>
    <n v="0.9365"/>
    <n v="0.86845756585563005"/>
    <n v="3.8500944206008598"/>
    <n v="3.72"/>
    <n v="3.67"/>
    <n v="3.72"/>
    <n v="3.66"/>
    <n v="3.59"/>
    <n v="3.6720000000000002"/>
    <n v="0.90990000000000004"/>
    <n v="1.0485006592050301"/>
    <n v="1"/>
    <n v="67570"/>
    <n v="53692"/>
    <n v="23900"/>
    <n v="21560"/>
    <m/>
  </r>
  <r>
    <x v="79"/>
    <n v="266354.31289621699"/>
    <n v="4.5857142857142899"/>
    <n v="3.7589100000000002"/>
    <n v="0.81969999999999998"/>
    <n v="0.99"/>
    <n v="65879.5"/>
    <n v="65808.75"/>
    <n v="60198.8"/>
    <n v="24487.5"/>
    <n v="68762"/>
    <n v="285136.55"/>
    <n v="256050.83"/>
    <n v="-29085.72"/>
    <n v="0"/>
    <n v="285136.55"/>
    <n v="285136.55"/>
    <n v="255538.72834"/>
    <n v="23910"/>
    <n v="23640"/>
    <n v="22170"/>
    <n v="26560"/>
    <n v="27510"/>
    <n v="21960"/>
    <n v="20300"/>
    <n v="20230"/>
    <n v="14150"/>
    <n v="20770"/>
    <n v="221200"/>
    <n v="221200"/>
    <n v="1491.86"/>
    <n v="0.85140000000000005"/>
    <n v="0.84179999999999999"/>
    <n v="0.88829999999999998"/>
    <n v="0.84399999999999997"/>
    <n v="0.88490000000000002"/>
    <n v="0.67769999999999997"/>
    <n v="0.71430000000000005"/>
    <n v="0.7208"/>
    <n v="0.85960000000000003"/>
    <n v="0.74"/>
    <n v="0.77576866241805897"/>
    <n v="4.2198690247151101"/>
    <n v="4.16"/>
    <n v="4.05"/>
    <n v="4.13"/>
    <n v="4.08"/>
    <n v="4.0999999999999996"/>
    <n v="4.1040000000000001"/>
    <n v="0.80230000000000001"/>
    <n v="1.0282331931566999"/>
    <n v="0.998"/>
    <n v="67570"/>
    <n v="53692"/>
    <n v="23900"/>
    <n v="26730"/>
    <s v="Request outage OG.3 and OG.4 because relocation of 20 kV Medium Voltage Network (JTM) due to IKN toll road project"/>
  </r>
  <r>
    <x v="80"/>
    <n v="266354.31289621699"/>
    <n v="4.5857142857142899"/>
    <n v="3.7589100000000002"/>
    <n v="0.81969999999999998"/>
    <n v="0.99"/>
    <n v="43388"/>
    <n v="43357.75"/>
    <n v="67952.5"/>
    <n v="46979.25"/>
    <n v="46507"/>
    <n v="248184.5"/>
    <n v="188615.33"/>
    <n v="-59569.17"/>
    <n v="0"/>
    <n v="248184.5"/>
    <n v="248184.5"/>
    <n v="187766.56101500001"/>
    <n v="26430"/>
    <n v="25760"/>
    <n v="21970"/>
    <n v="26090"/>
    <n v="26200"/>
    <n v="31120"/>
    <n v="25680"/>
    <n v="26330"/>
    <n v="16250"/>
    <n v="27250"/>
    <n v="253080"/>
    <n v="253080"/>
    <n v="1308.1099999999999"/>
    <n v="0.79590000000000005"/>
    <n v="0.77549999999999997"/>
    <n v="0.74419999999999997"/>
    <n v="0.6946"/>
    <n v="0.74099999999999999"/>
    <n v="0.81720000000000004"/>
    <n v="0.75780000000000003"/>
    <n v="0.79830000000000001"/>
    <n v="0.82750000000000001"/>
    <n v="0.82589999999999997"/>
    <n v="1.01972524472721"/>
    <n v="3.6729983720586099"/>
    <n v="4.92"/>
    <n v="4.76"/>
    <n v="4.93"/>
    <n v="4.6399999999999997"/>
    <n v="4.8899999999999997"/>
    <n v="4.8280000000000003"/>
    <n v="0.77780000000000005"/>
    <n v="0.76077016819772303"/>
    <n v="0.99550000000000005"/>
    <n v="67570"/>
    <n v="53692"/>
    <n v="23900"/>
    <n v="26730"/>
    <m/>
  </r>
  <r>
    <x v="81"/>
    <n v="266354.31289621699"/>
    <n v="4.5857142857142899"/>
    <n v="3.7589100000000002"/>
    <n v="0.81969999999999998"/>
    <n v="0.99"/>
    <n v="48001"/>
    <n v="48122.75"/>
    <n v="25741.119999999999"/>
    <n v="41092"/>
    <n v="25744"/>
    <n v="188700.87"/>
    <n v="167797.33"/>
    <n v="-20903.54"/>
    <n v="0"/>
    <n v="188700.87"/>
    <n v="188700.87"/>
    <n v="166874.44468499999"/>
    <n v="13040"/>
    <n v="13000"/>
    <n v="10860"/>
    <n v="14650"/>
    <n v="15310"/>
    <n v="15580"/>
    <n v="13260"/>
    <n v="13170"/>
    <n v="7620"/>
    <n v="13730"/>
    <n v="130220"/>
    <n v="130220"/>
    <n v="1342.8"/>
    <n v="0.95050000000000001"/>
    <n v="0.94710000000000005"/>
    <n v="0.89029999999999998"/>
    <n v="0.96150000000000002"/>
    <n v="0.97889999999999999"/>
    <n v="0.97860000000000003"/>
    <n v="0.97119999999999995"/>
    <n v="0.95530000000000004"/>
    <n v="0.96299999999999997"/>
    <n v="0.99570000000000003"/>
    <n v="0.69008690844933596"/>
    <n v="2.7926723397957698"/>
    <n v="2.0299999999999998"/>
    <n v="1.99"/>
    <n v="2"/>
    <n v="1.99"/>
    <n v="1.97"/>
    <n v="1.996"/>
    <n v="0.96230000000000004"/>
    <n v="1.3991344387754301"/>
    <n v="0.99450000000000005"/>
    <n v="67570"/>
    <n v="53692"/>
    <n v="23900"/>
    <n v="26730"/>
    <m/>
  </r>
  <r>
    <x v="82"/>
    <n v="266354.31289621699"/>
    <n v="4.5857142857142899"/>
    <n v="3.7589100000000002"/>
    <n v="0.81969999999999998"/>
    <n v="0.99"/>
    <n v="58328.5"/>
    <n v="58340.75"/>
    <n v="38621.379999999997"/>
    <n v="47854.75"/>
    <n v="38940"/>
    <n v="242085.38"/>
    <n v="239888.33"/>
    <n v="-2197.0500000000202"/>
    <n v="0"/>
    <n v="242085.38"/>
    <n v="242085.38"/>
    <n v="238568.944185"/>
    <n v="25710"/>
    <n v="25240"/>
    <n v="21610"/>
    <n v="26870"/>
    <n v="27460"/>
    <n v="31440"/>
    <n v="25880"/>
    <n v="26560"/>
    <n v="15840"/>
    <n v="27520"/>
    <n v="254130"/>
    <n v="254130"/>
    <n v="1354.92"/>
    <n v="0.84450000000000003"/>
    <n v="0.82909999999999995"/>
    <n v="0.79859999999999998"/>
    <n v="0.76"/>
    <n v="0.80089999999999995"/>
    <n v="0.86009999999999998"/>
    <n v="0.83740000000000003"/>
    <n v="0.83850000000000002"/>
    <n v="0.88429999999999997"/>
    <n v="0.86890000000000001"/>
    <n v="1.0497536034600701"/>
    <n v="3.58273464555276"/>
    <n v="4.51"/>
    <n v="4.57"/>
    <n v="4.6399999999999997"/>
    <n v="4.5"/>
    <n v="4.46"/>
    <n v="4.5359999999999996"/>
    <n v="0.83220000000000005"/>
    <n v="0.78984449857865102"/>
    <n v="0.99450000000000005"/>
    <n v="67570"/>
    <n v="53692"/>
    <n v="16008"/>
    <n v="26730"/>
    <m/>
  </r>
  <r>
    <x v="83"/>
    <n v="266354.31289621699"/>
    <n v="4.5857142857142899"/>
    <n v="3.7589100000000002"/>
    <n v="0.81969999999999998"/>
    <n v="0.99"/>
    <n v="26232.5"/>
    <n v="69273.5"/>
    <n v="34954.870000000003"/>
    <n v="43248"/>
    <n v="36518"/>
    <n v="210226.87"/>
    <n v="221186.5"/>
    <n v="10959.63"/>
    <n v="10959.63"/>
    <n v="221186.5"/>
    <n v="221186.5"/>
    <n v="220301.75399999999"/>
    <n v="20200"/>
    <n v="19730"/>
    <n v="17740"/>
    <n v="21030"/>
    <n v="21490"/>
    <n v="28780"/>
    <n v="23490"/>
    <n v="23740"/>
    <n v="13590"/>
    <n v="24260"/>
    <n v="214050"/>
    <n v="225009.63"/>
    <n v="1521.83"/>
    <n v="0.75590000000000002"/>
    <n v="0.73809999999999998"/>
    <n v="0.74680000000000002"/>
    <n v="0.65249999999999997"/>
    <n v="0.68789999999999996"/>
    <n v="0.83660000000000001"/>
    <n v="0.84740000000000004"/>
    <n v="0.79669999999999996"/>
    <n v="0.84619999999999995"/>
    <n v="0.81410000000000005"/>
    <n v="1.0181857342974301"/>
    <n v="3.2734423560751802"/>
    <n v="3.96"/>
    <n v="4.3"/>
    <n v="4.2300000000000004"/>
    <n v="4.0999999999999996"/>
    <n v="4"/>
    <n v="4.1180000000000003"/>
    <n v="0.7722"/>
    <n v="0.79491072269916996"/>
    <n v="0.996"/>
    <n v="67570"/>
    <n v="53692"/>
    <n v="12000"/>
    <n v="26730"/>
    <s v="Power limitation on Busbar 1 (STS1-STS5) due to considerations of the feeder line capacity."/>
  </r>
  <r>
    <x v="84"/>
    <n v="266354.31289621699"/>
    <n v="4.5857142857142899"/>
    <n v="3.7589100000000002"/>
    <n v="0.81969999999999998"/>
    <n v="0.99"/>
    <n v="0"/>
    <n v="66184"/>
    <n v="17095.63"/>
    <n v="28042.75"/>
    <n v="22887"/>
    <n v="134209.38"/>
    <n v="101355"/>
    <n v="-32854.379999999997"/>
    <n v="0"/>
    <n v="134209.38"/>
    <n v="134209.38"/>
    <n v="101152.29"/>
    <n v="13110"/>
    <n v="12540"/>
    <n v="11700"/>
    <n v="14680"/>
    <n v="15370"/>
    <n v="15970"/>
    <n v="13550"/>
    <n v="13530"/>
    <n v="7960"/>
    <n v="14100"/>
    <n v="132510"/>
    <n v="132510"/>
    <n v="1561.14"/>
    <n v="0.9335"/>
    <n v="0.89290000000000003"/>
    <n v="0.93740000000000001"/>
    <n v="0.93540000000000001"/>
    <n v="0.97460000000000002"/>
    <n v="0.98360000000000003"/>
    <n v="0.95830000000000004"/>
    <n v="0.96199999999999997"/>
    <n v="0.97219999999999995"/>
    <n v="1"/>
    <n v="0.98733784479147402"/>
    <n v="1.9862273198164899"/>
    <n v="2.08"/>
    <n v="2.0299999999999998"/>
    <n v="2.06"/>
    <n v="2.0699999999999998"/>
    <n v="2.04"/>
    <n v="2.056"/>
    <n v="0.95530000000000004"/>
    <n v="0.96606387150607298"/>
    <n v="0.998"/>
    <n v="67570"/>
    <n v="53692"/>
    <n v="12000"/>
    <n v="26730"/>
    <m/>
  </r>
  <r>
    <x v="85"/>
    <n v="266354.31289621699"/>
    <n v="4.5857142857142899"/>
    <n v="3.7589100000000002"/>
    <n v="0.81969999999999998"/>
    <n v="0.99"/>
    <n v="0"/>
    <n v="102544.75"/>
    <n v="38760.120000000003"/>
    <n v="48280.25"/>
    <n v="40417"/>
    <n v="230002.12"/>
    <n v="241149.67"/>
    <n v="11147.55"/>
    <n v="11147.55"/>
    <n v="241149.67"/>
    <n v="241149.67"/>
    <n v="240667.37065999999"/>
    <n v="18380"/>
    <n v="17950"/>
    <n v="16540"/>
    <n v="20900"/>
    <n v="21370"/>
    <n v="25280"/>
    <n v="22120"/>
    <n v="21570"/>
    <n v="12380"/>
    <n v="22890"/>
    <n v="199380"/>
    <n v="210527.55"/>
    <n v="1490.95"/>
    <n v="0.79869999999999997"/>
    <n v="0.77969999999999995"/>
    <n v="0.80840000000000001"/>
    <n v="0.80910000000000004"/>
    <n v="0.82730000000000004"/>
    <n v="0.93510000000000004"/>
    <n v="0.93340000000000001"/>
    <n v="0.92090000000000005"/>
    <n v="0.90159999999999996"/>
    <n v="0.97729999999999995"/>
    <n v="0.86686157501504801"/>
    <n v="3.5688866360810998"/>
    <n v="3.41"/>
    <n v="3.38"/>
    <n v="3.39"/>
    <n v="3.39"/>
    <n v="3.42"/>
    <n v="3.3980000000000001"/>
    <n v="0.86909999999999998"/>
    <n v="1.05029035788143"/>
    <n v="0.998"/>
    <n v="67570"/>
    <n v="53692"/>
    <n v="12000"/>
    <n v="26730"/>
    <m/>
  </r>
  <r>
    <x v="86"/>
    <n v="266354.31289621699"/>
    <n v="4.5857142857142899"/>
    <n v="3.7589100000000002"/>
    <n v="0.81969999999999998"/>
    <n v="0.99"/>
    <n v="0"/>
    <n v="108977.5"/>
    <n v="52175.75"/>
    <n v="61450.5"/>
    <n v="49928"/>
    <n v="272531.75"/>
    <n v="317418"/>
    <n v="44886.25"/>
    <n v="44886.25"/>
    <n v="317418"/>
    <n v="317418"/>
    <n v="311545.76699999999"/>
    <n v="20200"/>
    <n v="19830"/>
    <n v="18430"/>
    <n v="23280"/>
    <n v="23500"/>
    <n v="40920"/>
    <n v="32740"/>
    <n v="33290"/>
    <n v="20590"/>
    <n v="34740"/>
    <n v="267520"/>
    <n v="312406.25"/>
    <n v="1481.27"/>
    <n v="0.47060000000000002"/>
    <n v="0.46200000000000002"/>
    <n v="0.4829"/>
    <n v="0.48120000000000002"/>
    <n v="0.51490000000000002"/>
    <n v="0.83430000000000004"/>
    <n v="0.77959999999999996"/>
    <n v="0.78359999999999996"/>
    <n v="0.84599999999999997"/>
    <n v="0.81789999999999996"/>
    <n v="0.98161039952225704"/>
    <n v="4.6976172857777101"/>
    <n v="6.36"/>
    <n v="6.13"/>
    <n v="6.35"/>
    <n v="5.99"/>
    <n v="6.06"/>
    <n v="6.1779999999999999"/>
    <n v="0.64729999999999999"/>
    <n v="0.76037832401711103"/>
    <n v="0.98150000000000004"/>
    <n v="67570"/>
    <n v="53692"/>
    <n v="12000"/>
    <n v="26730"/>
    <m/>
  </r>
  <r>
    <x v="87"/>
    <n v="266354.31289621699"/>
    <n v="4.5857142857142899"/>
    <n v="3.7589100000000002"/>
    <n v="0.81969999999999998"/>
    <n v="0.99"/>
    <n v="0"/>
    <n v="85098.5"/>
    <n v="31083.599999999999"/>
    <n v="41919.25"/>
    <n v="33441"/>
    <n v="191542.35"/>
    <n v="248155.67"/>
    <n v="56613.32"/>
    <n v="56613.32"/>
    <n v="248155.67"/>
    <n v="248155.67"/>
    <n v="244061.10144500001"/>
    <n v="20750"/>
    <n v="20620"/>
    <n v="18820"/>
    <n v="24020"/>
    <n v="24010"/>
    <n v="32910"/>
    <n v="27380"/>
    <n v="26980"/>
    <n v="15730"/>
    <n v="28620"/>
    <n v="239840"/>
    <n v="296453.32"/>
    <n v="1447.66"/>
    <n v="0.62990000000000002"/>
    <n v="0.62609999999999999"/>
    <n v="0.64280000000000004"/>
    <n v="0.65259999999999996"/>
    <n v="0.68789999999999996"/>
    <n v="0.88019999999999998"/>
    <n v="0.874"/>
    <n v="0.83299999999999996"/>
    <n v="0.86660000000000004"/>
    <n v="0.88360000000000005"/>
    <n v="1.2521512866475699"/>
    <n v="3.6725717034186798"/>
    <n v="4.88"/>
    <n v="4.67"/>
    <n v="4.83"/>
    <n v="4.58"/>
    <n v="4.5199999999999996"/>
    <n v="4.6959999999999997"/>
    <n v="0.75770000000000004"/>
    <n v="0.78206382100057004"/>
    <n v="0.98350000000000004"/>
    <n v="67570"/>
    <n v="53692"/>
    <n v="12000"/>
    <n v="26730"/>
    <m/>
  </r>
  <r>
    <x v="88"/>
    <n v="266354.31289621699"/>
    <n v="4.5857142857142899"/>
    <n v="3.7589100000000002"/>
    <n v="0.81969999999999998"/>
    <n v="0.99"/>
    <n v="0"/>
    <n v="32414.25"/>
    <n v="12019.03"/>
    <n v="18471"/>
    <n v="14865"/>
    <n v="77769.279999999999"/>
    <n v="337697"/>
    <n v="259927.72"/>
    <n v="259927.72"/>
    <n v="337697"/>
    <n v="337697"/>
    <n v="336177.36349999998"/>
    <n v="17920"/>
    <n v="17680"/>
    <n v="16270"/>
    <n v="20520"/>
    <n v="20720"/>
    <n v="35640"/>
    <n v="29450"/>
    <n v="29060"/>
    <n v="16950"/>
    <n v="30150"/>
    <n v="234360"/>
    <n v="494287.72"/>
    <n v="1379.22"/>
    <n v="0.497"/>
    <n v="0.4904"/>
    <n v="0.50760000000000005"/>
    <n v="0.48959999999999998"/>
    <n v="0.51500000000000001"/>
    <n v="0.81140000000000001"/>
    <n v="0.82040000000000002"/>
    <n v="0.76390000000000002"/>
    <n v="0.81489999999999996"/>
    <n v="0.79249999999999998"/>
    <n v="3.01352924959573"/>
    <n v="4.9977356815154703"/>
    <n v="5.34"/>
    <n v="5.49"/>
    <n v="5.5"/>
    <n v="5.28"/>
    <n v="5.18"/>
    <n v="5.3579999999999997"/>
    <n v="0.65029999999999999"/>
    <n v="0.93276141872255802"/>
    <n v="0.99550000000000005"/>
    <n v="67570"/>
    <n v="53692"/>
    <n v="12000"/>
    <n v="26730"/>
    <s v="- Rectifier Charger 110 VDC panel lost its supply, causing the control system, energy meter ION8650, and relay protection on the 20 kV panel to become inoperative_x000a_- Power limitation on Busbar 1 (STS1-STS5) due to considerations of the feeder line capacity."/>
  </r>
  <r>
    <x v="89"/>
    <n v="266354.31289621699"/>
    <n v="4.5857142857142899"/>
    <n v="3.7589100000000002"/>
    <n v="0.81969999999999998"/>
    <n v="0.99"/>
    <n v="0"/>
    <n v="106719.75"/>
    <n v="48361"/>
    <n v="56381.5"/>
    <n v="49264"/>
    <n v="260726.25"/>
    <n v="327749.67"/>
    <n v="67023.42"/>
    <n v="67023.42"/>
    <n v="327749.67"/>
    <n v="327749.67"/>
    <n v="321030.80176499998"/>
    <n v="21900"/>
    <n v="21460"/>
    <n v="19920"/>
    <n v="25070"/>
    <n v="25290"/>
    <n v="43010"/>
    <n v="34480"/>
    <n v="32670"/>
    <n v="21390"/>
    <n v="35500"/>
    <n v="280690"/>
    <n v="347713.42"/>
    <n v="1322.69"/>
    <n v="0.48060000000000003"/>
    <n v="0.47099999999999997"/>
    <n v="0.49180000000000001"/>
    <n v="0.49619999999999997"/>
    <n v="0.51929999999999998"/>
    <n v="0.8246"/>
    <n v="0.79220000000000002"/>
    <n v="0.72309999999999997"/>
    <n v="0.84809999999999997"/>
    <n v="0.78559999999999997"/>
    <n v="1.0765697738528399"/>
    <n v="4.8505204972621003"/>
    <n v="6.75"/>
    <n v="6.52"/>
    <n v="6.63"/>
    <n v="6.39"/>
    <n v="6.28"/>
    <n v="6.5140000000000002"/>
    <n v="0.64329999999999998"/>
    <n v="0.74463010397023299"/>
    <n v="0.97950000000000004"/>
    <n v="67570"/>
    <n v="53692"/>
    <n v="12000"/>
    <n v="26730"/>
    <s v="Power limitation on Busbar 1 (STS1-STS5) due to considerations of the feeder line capacity."/>
  </r>
  <r>
    <x v="90"/>
    <n v="267184.07711084699"/>
    <n v="4.5999999999999996"/>
    <n v="3.7706200000000001"/>
    <n v="0.81969999999999998"/>
    <n v="0.99"/>
    <n v="0"/>
    <n v="94944"/>
    <n v="43344.62"/>
    <n v="48507.5"/>
    <n v="42076"/>
    <n v="228872.12"/>
    <n v="296272.67"/>
    <n v="67400.55"/>
    <n v="67400.55"/>
    <n v="296272.67"/>
    <n v="296272.67"/>
    <n v="289606.53492499999"/>
    <n v="18120"/>
    <n v="17790"/>
    <n v="16510"/>
    <n v="20610"/>
    <n v="21060"/>
    <n v="35140"/>
    <n v="27040"/>
    <n v="25190"/>
    <n v="17880"/>
    <n v="27340"/>
    <n v="226680"/>
    <n v="294080.55"/>
    <n v="1523.06"/>
    <n v="0.52649999999999997"/>
    <n v="0.51680000000000004"/>
    <n v="0.53939999999999999"/>
    <n v="0.52529999999999999"/>
    <n v="0.51759999999999995"/>
    <n v="0.83509999999999995"/>
    <n v="0.70809999999999995"/>
    <n v="0.69099999999999995"/>
    <n v="0.80810000000000004"/>
    <n v="0.75009999999999999"/>
    <n v="0.99042207499978596"/>
    <n v="4.3846776676039703"/>
    <n v="5.0999999999999996"/>
    <n v="5.26"/>
    <n v="5.15"/>
    <n v="5.34"/>
    <n v="5.51"/>
    <n v="5.2720000000000002"/>
    <n v="0.64180000000000004"/>
    <n v="0.83169151509938699"/>
    <n v="0.97750000000000004"/>
    <n v="67570"/>
    <n v="53692"/>
    <n v="12000"/>
    <n v="26730"/>
    <m/>
  </r>
  <r>
    <x v="91"/>
    <n v="267184.07711084699"/>
    <n v="4.5999999999999996"/>
    <n v="3.7706200000000001"/>
    <n v="0.81969999999999998"/>
    <n v="0.99"/>
    <n v="0"/>
    <n v="106051.75"/>
    <n v="42359.25"/>
    <n v="50324"/>
    <n v="43456"/>
    <n v="242191"/>
    <n v="283379.67"/>
    <n v="41188.67"/>
    <n v="41188.67"/>
    <n v="283379.67"/>
    <n v="283379.67"/>
    <n v="277003.62742500001"/>
    <n v="19770"/>
    <n v="19200"/>
    <n v="17990"/>
    <n v="22640"/>
    <n v="22970"/>
    <n v="33040"/>
    <n v="25210"/>
    <n v="23250"/>
    <n v="16540"/>
    <n v="25910"/>
    <n v="226520"/>
    <n v="267708.67"/>
    <n v="1260.31"/>
    <n v="0.6129"/>
    <n v="0.59519999999999995"/>
    <n v="0.62739999999999996"/>
    <n v="0.63900000000000001"/>
    <n v="0.64419999999999999"/>
    <n v="0.8881"/>
    <n v="0.78569999999999995"/>
    <n v="0.72130000000000005"/>
    <n v="0.88949999999999996"/>
    <n v="0.80389999999999995"/>
    <n v="0.93529487057735405"/>
    <n v="4.1938681367470796"/>
    <n v="4.78"/>
    <n v="4.6500000000000004"/>
    <n v="4.6500000000000004"/>
    <n v="4.68"/>
    <n v="4.63"/>
    <n v="4.6779999999999999"/>
    <n v="0.72070000000000001"/>
    <n v="0.89650879366119696"/>
    <n v="0.97750000000000004"/>
    <n v="67570"/>
    <n v="53692"/>
    <n v="12000"/>
    <n v="26730"/>
    <m/>
  </r>
  <r>
    <x v="92"/>
    <n v="267184.07711084699"/>
    <n v="4.5999999999999996"/>
    <n v="3.7706200000000001"/>
    <n v="0.81969999999999998"/>
    <n v="0.99"/>
    <n v="0"/>
    <n v="95312.25"/>
    <n v="36035.5"/>
    <n v="45620.5"/>
    <n v="39039"/>
    <n v="216007.25"/>
    <n v="244905.17"/>
    <n v="28897.919999999998"/>
    <n v="28897.919999999998"/>
    <n v="244905.17"/>
    <n v="244905.17"/>
    <n v="239394.803675"/>
    <n v="20510"/>
    <n v="19660"/>
    <n v="18700"/>
    <n v="23450"/>
    <n v="23900"/>
    <n v="34400"/>
    <n v="25530"/>
    <n v="23860"/>
    <n v="17860"/>
    <n v="26700"/>
    <n v="234570"/>
    <n v="263467.92"/>
    <n v="1364.98"/>
    <n v="0.64780000000000004"/>
    <n v="0.62090000000000001"/>
    <n v="0.66420000000000001"/>
    <n v="0.62170000000000003"/>
    <n v="0.62980000000000003"/>
    <n v="0.8901"/>
    <n v="0.79379999999999995"/>
    <n v="0.7127"/>
    <n v="0.95860000000000001"/>
    <n v="0.79749999999999999"/>
    <n v="1.0859357729890999"/>
    <n v="3.62446603522273"/>
    <n v="4.6399999999999997"/>
    <n v="4.9800000000000004"/>
    <n v="4.83"/>
    <n v="4.95"/>
    <n v="4.6900000000000004"/>
    <n v="4.8179999999999996"/>
    <n v="0.73370000000000002"/>
    <n v="0.75227605546341503"/>
    <n v="0.97750000000000004"/>
    <n v="67570"/>
    <n v="53692"/>
    <n v="12000"/>
    <n v="26730"/>
    <m/>
  </r>
  <r>
    <x v="93"/>
    <n v="267184.07711084699"/>
    <n v="4.5999999999999996"/>
    <n v="3.7706200000000001"/>
    <n v="0.81969999999999998"/>
    <n v="0.99"/>
    <n v="0"/>
    <n v="98275"/>
    <n v="36422.5"/>
    <n v="45670.75"/>
    <n v="39618"/>
    <n v="219986.25"/>
    <n v="245305"/>
    <n v="25318.75"/>
    <n v="25318.75"/>
    <n v="245305"/>
    <n v="245305"/>
    <n v="239785.63750000001"/>
    <n v="16820"/>
    <n v="16310"/>
    <n v="15370"/>
    <n v="19420"/>
    <n v="19740"/>
    <n v="27340"/>
    <n v="20710"/>
    <n v="19320"/>
    <n v="13570"/>
    <n v="21910"/>
    <n v="190510"/>
    <n v="215828.75"/>
    <n v="1568.06"/>
    <n v="0.66249999999999998"/>
    <n v="0.64249999999999996"/>
    <n v="0.68130000000000002"/>
    <n v="0.67949999999999999"/>
    <n v="0.6946"/>
    <n v="0.91120000000000001"/>
    <n v="0.79679999999999995"/>
    <n v="0.74350000000000005"/>
    <n v="0.90110000000000001"/>
    <n v="0.84289999999999998"/>
    <n v="0.86600867099648304"/>
    <n v="3.6303833062009798"/>
    <n v="3.76"/>
    <n v="3.75"/>
    <n v="3.75"/>
    <n v="3.73"/>
    <n v="3.75"/>
    <n v="3.7480000000000002"/>
    <n v="0.75560000000000005"/>
    <n v="0.968618811686493"/>
    <n v="0.97750000000000004"/>
    <n v="67570"/>
    <n v="53692"/>
    <n v="12000"/>
    <n v="26730"/>
    <m/>
  </r>
  <r>
    <x v="94"/>
    <n v="267184.07711084699"/>
    <n v="4.5999999999999996"/>
    <n v="3.7706200000000001"/>
    <n v="0.81969999999999998"/>
    <n v="0.99"/>
    <n v="0"/>
    <n v="92166.5"/>
    <n v="31935.75"/>
    <n v="41940"/>
    <n v="35463"/>
    <n v="201505.25"/>
    <n v="211033.67"/>
    <n v="9528.4200000000092"/>
    <n v="9528.4200000000092"/>
    <n v="211033.67"/>
    <n v="211033.67"/>
    <n v="206285.41242499999"/>
    <n v="18120"/>
    <n v="17320"/>
    <n v="16490"/>
    <n v="20690"/>
    <n v="21180"/>
    <n v="26570"/>
    <n v="19900"/>
    <n v="18550"/>
    <n v="13760"/>
    <n v="20830"/>
    <n v="193410"/>
    <n v="202938.42"/>
    <n v="1570.33"/>
    <n v="0.67789999999999995"/>
    <n v="0.64800000000000002"/>
    <n v="0.69389999999999996"/>
    <n v="0.64180000000000004"/>
    <n v="0.67800000000000005"/>
    <n v="0.77239999999999998"/>
    <n v="0.71799999999999997"/>
    <n v="0.62260000000000004"/>
    <n v="0.85660000000000003"/>
    <n v="0.69889999999999997"/>
    <n v="0.95982610874902796"/>
    <n v="3.1231858813082698"/>
    <n v="3.96"/>
    <n v="4.3"/>
    <n v="4.2300000000000004"/>
    <n v="4.0999999999999996"/>
    <n v="4"/>
    <n v="4.1180000000000003"/>
    <n v="0.70079999999999998"/>
    <n v="0.75842299206126096"/>
    <n v="0.97750000000000004"/>
    <n v="67570"/>
    <n v="53692"/>
    <n v="8783"/>
    <n v="26730"/>
    <m/>
  </r>
  <r>
    <x v="95"/>
    <n v="267184.07711084699"/>
    <n v="4.5999999999999996"/>
    <n v="3.7706200000000001"/>
    <n v="0.81969999999999998"/>
    <n v="0.99"/>
    <n v="15936"/>
    <n v="24781"/>
    <n v="26867.25"/>
    <n v="36545.75"/>
    <n v="30959"/>
    <n v="135089"/>
    <n v="209066.67"/>
    <n v="73977.67"/>
    <n v="73977.67"/>
    <n v="209066.67"/>
    <n v="209066.67"/>
    <n v="204362.66992499999"/>
    <n v="10100"/>
    <n v="10180"/>
    <n v="9220"/>
    <n v="11680"/>
    <n v="11850"/>
    <n v="29970"/>
    <n v="22080"/>
    <n v="21400"/>
    <n v="16230"/>
    <n v="24400"/>
    <n v="167110"/>
    <n v="241087.67"/>
    <n v="1552.33"/>
    <n v="0.3579"/>
    <n v="0.36070000000000002"/>
    <n v="0.36770000000000003"/>
    <n v="0.33689999999999998"/>
    <n v="0.35659999999999997"/>
    <n v="0.86850000000000005"/>
    <n v="0.68669999999999998"/>
    <n v="0.8831"/>
    <n v="0.871"/>
    <n v="0.74450000000000005"/>
    <n v="1.23703632420108"/>
    <n v="3.0940753292881502"/>
    <n v="4.18"/>
    <n v="4.4400000000000004"/>
    <n v="4.55"/>
    <n v="4.3600000000000003"/>
    <n v="4.6399999999999997"/>
    <n v="4.4340000000000002"/>
    <n v="0.4768"/>
    <n v="0.69780679505821996"/>
    <n v="0.97750000000000004"/>
    <n v="67570"/>
    <n v="53692"/>
    <n v="12000"/>
    <n v="26730"/>
    <s v="- Power limitation on Busbar 1 (STS1-STS5) due to considerations of the feeder line capacity._x000a_- The measurement at Weather Station 3 (STS-6) is not normal."/>
  </r>
  <r>
    <x v="96"/>
    <n v="267184.07711084699"/>
    <n v="4.5999999999999996"/>
    <n v="3.7706200000000001"/>
    <n v="0.81969999999999998"/>
    <n v="0.99"/>
    <n v="94487.5"/>
    <n v="0"/>
    <n v="36774"/>
    <n v="45938"/>
    <n v="38120"/>
    <n v="215319.5"/>
    <n v="251826.67"/>
    <n v="36507.17"/>
    <n v="36507.17"/>
    <n v="251826.67"/>
    <n v="251826.67"/>
    <n v="246160.56992499999"/>
    <n v="18160"/>
    <n v="17930"/>
    <n v="16560"/>
    <n v="20930"/>
    <n v="21110"/>
    <n v="31270"/>
    <n v="23520"/>
    <n v="21770"/>
    <n v="15130"/>
    <n v="24400"/>
    <n v="210780"/>
    <n v="247287.17"/>
    <n v="1270.21"/>
    <n v="0.61270000000000002"/>
    <n v="0.60509999999999997"/>
    <n v="0.62849999999999995"/>
    <n v="0.63300000000000001"/>
    <n v="0.65039999999999998"/>
    <n v="1"/>
    <n v="0.80430000000000001"/>
    <n v="0.87990000000000002"/>
    <n v="0.89290000000000003"/>
    <n v="0.98619999999999997"/>
    <n v="0.978917376271076"/>
    <n v="3.7269005475802901"/>
    <n v="4.22"/>
    <n v="4.26"/>
    <m/>
    <n v="4.34"/>
    <n v="4.3899999999999997"/>
    <n v="4.3025000000000002"/>
    <n v="0.77880000000000005"/>
    <n v="0.86621744278449397"/>
    <n v="0.97750000000000004"/>
    <n v="67570"/>
    <n v="53692"/>
    <n v="12000"/>
    <n v="26730"/>
    <m/>
  </r>
  <r>
    <x v="97"/>
    <n v="267184.07711084699"/>
    <n v="4.5999999999999996"/>
    <n v="3.7706200000000001"/>
    <n v="0.81969999999999998"/>
    <n v="0.99"/>
    <n v="87084.5"/>
    <n v="0"/>
    <n v="30053"/>
    <n v="38653.5"/>
    <n v="32385"/>
    <n v="188176"/>
    <n v="180160"/>
    <n v="-8016"/>
    <n v="0"/>
    <n v="188176"/>
    <n v="188176"/>
    <n v="176736.96"/>
    <n v="15000"/>
    <n v="14540"/>
    <n v="13430"/>
    <n v="16940"/>
    <n v="17440"/>
    <n v="18810"/>
    <n v="15630"/>
    <n v="17450"/>
    <n v="9340"/>
    <n v="16460"/>
    <n v="155040"/>
    <n v="155040"/>
    <n v="1574.48"/>
    <n v="0.91449999999999998"/>
    <n v="0.88649999999999995"/>
    <n v="0.92110000000000003"/>
    <n v="0.92630000000000001"/>
    <n v="0.94969999999999999"/>
    <n v="0.90429999999999999"/>
    <n v="0.94369999999999998"/>
    <n v="0.96850000000000003"/>
    <n v="0.97330000000000005"/>
    <n v="0.91349999999999998"/>
    <n v="0.82390953150242296"/>
    <n v="2.7849045434364399"/>
    <n v="2.39"/>
    <n v="2.6"/>
    <m/>
    <n v="2.4"/>
    <n v="2.4300000000000002"/>
    <n v="2.4550000000000001"/>
    <n v="0.93010000000000004"/>
    <n v="1.13438066942421"/>
    <n v="0.98099999999999998"/>
    <n v="67570"/>
    <n v="53692"/>
    <n v="9667"/>
    <n v="26730"/>
    <m/>
  </r>
  <r>
    <x v="98"/>
    <n v="267184.07711084699"/>
    <n v="4.5999999999999996"/>
    <n v="3.7706200000000001"/>
    <n v="0.81969999999999998"/>
    <n v="0.99"/>
    <n v="648.5"/>
    <n v="74740.5"/>
    <n v="55013.5"/>
    <n v="61600.5"/>
    <n v="52811"/>
    <n v="244814"/>
    <n v="385873.5"/>
    <n v="141059.5"/>
    <n v="141059.5"/>
    <n v="385873.5"/>
    <n v="385873.5"/>
    <n v="385101.75300000003"/>
    <n v="13650"/>
    <n v="13550"/>
    <n v="12400"/>
    <n v="15790"/>
    <n v="15810"/>
    <n v="43100"/>
    <n v="36730"/>
    <n v="26510"/>
    <n v="21670"/>
    <n v="37670"/>
    <n v="236880"/>
    <n v="377939.5"/>
    <n v="1535.33"/>
    <n v="0.313"/>
    <n v="0.31069999999999998"/>
    <n v="0.31979999999999997"/>
    <n v="0.30740000000000001"/>
    <n v="0.32119999999999999"/>
    <n v="1"/>
    <n v="0.79220000000000002"/>
    <n v="1"/>
    <n v="0.80669999999999997"/>
    <n v="0.81240000000000001"/>
    <n v="0.96759172269559701"/>
    <n v="5.7107222140002998"/>
    <n v="6.69"/>
    <n v="6.46"/>
    <m/>
    <n v="6.74"/>
    <n v="6.46"/>
    <n v="6.5875000000000004"/>
    <n v="0.65639999999999998"/>
    <n v="0.866902802884295"/>
    <n v="0.998"/>
    <n v="67570"/>
    <n v="53692"/>
    <n v="12000"/>
    <n v="26730"/>
    <m/>
  </r>
  <r>
    <x v="99"/>
    <n v="267184.07711084699"/>
    <n v="4.5999999999999996"/>
    <n v="3.7706200000000001"/>
    <n v="0.81969999999999998"/>
    <n v="0.99"/>
    <n v="0"/>
    <n v="83723"/>
    <n v="36430.5"/>
    <n v="45105.25"/>
    <n v="36921"/>
    <n v="202179.75"/>
    <n v="247243.5"/>
    <n v="45063.75"/>
    <n v="45063.75"/>
    <n v="247243.5"/>
    <n v="247243.5"/>
    <n v="246749.01300000001"/>
    <n v="19880"/>
    <n v="19380"/>
    <n v="18120"/>
    <n v="22760"/>
    <n v="23300"/>
    <n v="36130"/>
    <n v="30310"/>
    <n v="30810"/>
    <n v="18860"/>
    <n v="31950"/>
    <n v="251500"/>
    <n v="296563.75"/>
    <n v="1579.55"/>
    <n v="0.54139999999999999"/>
    <n v="0.52780000000000005"/>
    <n v="0.55520000000000003"/>
    <n v="0.54690000000000005"/>
    <n v="0.57369999999999999"/>
    <n v="1"/>
    <n v="0.82050000000000001"/>
    <n v="1"/>
    <n v="0.88119999999999998"/>
    <n v="0.8649"/>
    <n v="1.24394258079753"/>
    <n v="3.6590720734053601"/>
    <n v="5.33"/>
    <n v="5.33"/>
    <m/>
    <n v="5.46"/>
    <n v="5.44"/>
    <n v="5.39"/>
    <n v="0.78220000000000001"/>
    <n v="0.67886309339617001"/>
    <n v="0.998"/>
    <n v="67570"/>
    <n v="53692"/>
    <n v="12959"/>
    <n v="26730"/>
    <m/>
  </r>
  <r>
    <x v="100"/>
    <n v="267184.07711084699"/>
    <n v="4.5999999999999996"/>
    <n v="3.7706200000000001"/>
    <n v="0.81969999999999998"/>
    <n v="0.99"/>
    <n v="11934.5"/>
    <n v="87436"/>
    <n v="38634"/>
    <n v="47447"/>
    <n v="39998"/>
    <n v="225449.5"/>
    <n v="241783.67"/>
    <n v="16334.17"/>
    <n v="16334.17"/>
    <n v="241783.67"/>
    <n v="241783.67"/>
    <n v="241300.10266"/>
    <n v="18160"/>
    <n v="18080"/>
    <n v="16430"/>
    <n v="20860"/>
    <n v="20910"/>
    <n v="280"/>
    <n v="23810"/>
    <n v="23520"/>
    <n v="12760"/>
    <n v="24570"/>
    <n v="179380"/>
    <n v="195714.17"/>
    <n v="1326.67"/>
    <n v="0.6391"/>
    <n v="0.63629999999999998"/>
    <n v="0.65029999999999999"/>
    <n v="0.6472"/>
    <n v="0.72219999999999995"/>
    <n v="9.9000000000000008E-3"/>
    <n v="0.91369999999999996"/>
    <n v="0.95079999999999998"/>
    <n v="0.84540000000000004"/>
    <n v="0.94310000000000005"/>
    <n v="0.79565490276092898"/>
    <n v="3.5782694982980598"/>
    <n v="3.76"/>
    <n v="3.8"/>
    <m/>
    <n v="4.2300000000000004"/>
    <n v="4.21"/>
    <n v="4"/>
    <n v="0.77200000000000002"/>
    <n v="0.89456737457451496"/>
    <n v="0.998"/>
    <n v="67570"/>
    <n v="53692"/>
    <n v="23103"/>
    <n v="26730"/>
    <s v="- Power limitation on Busbar 1 (STS1-STS5) due to considerations of the feeder line capacity._x000a_- The measurement at Weather Station 3 (STS-6) is not normal._x000a_- Loss communication on STS6 caused measurement not recorded."/>
  </r>
  <r>
    <x v="101"/>
    <n v="267184.07711084699"/>
    <n v="4.5999999999999996"/>
    <n v="3.7706200000000001"/>
    <n v="0.81969999999999998"/>
    <n v="0.99"/>
    <n v="40631"/>
    <n v="40649"/>
    <n v="24282"/>
    <n v="33603.5"/>
    <n v="29270"/>
    <n v="168435.5"/>
    <n v="152158.67000000001"/>
    <n v="-16276.83"/>
    <n v="0"/>
    <n v="168435.5"/>
    <n v="168435.5"/>
    <n v="151854.35266"/>
    <n v="17500"/>
    <n v="16450"/>
    <n v="15730"/>
    <n v="19400"/>
    <n v="20680"/>
    <n v="280"/>
    <n v="18920"/>
    <n v="18810"/>
    <n v="11330"/>
    <n v="19870"/>
    <n v="158970"/>
    <n v="158970"/>
    <n v="1360.94"/>
    <n v="0.84740000000000004"/>
    <n v="0.79659999999999997"/>
    <n v="0.85699999999999998"/>
    <n v="0.82669999999999999"/>
    <n v="0.86140000000000005"/>
    <n v="9.9000000000000008E-3"/>
    <n v="0.86409999999999998"/>
    <n v="0.7601"/>
    <n v="0.89329999999999998"/>
    <n v="0.90720000000000001"/>
    <n v="0.94380341436336201"/>
    <n v="2.49275566079621"/>
    <n v="3.16"/>
    <n v="3.15"/>
    <m/>
    <n v="3.08"/>
    <n v="3.06"/>
    <n v="3.1124999999999998"/>
    <n v="0.84599999999999997"/>
    <n v="0.80088535286625295"/>
    <n v="0.998"/>
    <n v="67570"/>
    <n v="53692"/>
    <n v="23900"/>
    <n v="26730"/>
    <s v="- The measurement at Weather Station 3 (STS-6) is not normal._x000a_- Loss communication on STS6 caused measurement not recorded."/>
  </r>
  <r>
    <x v="102"/>
    <n v="267184.07711084699"/>
    <n v="4.5999999999999996"/>
    <n v="3.7706200000000001"/>
    <n v="0.81969999999999998"/>
    <n v="0.99"/>
    <n v="54878.5"/>
    <n v="54958.5"/>
    <n v="33302.25"/>
    <n v="41611"/>
    <n v="39064"/>
    <n v="223814.25"/>
    <n v="196557"/>
    <n v="-27257.25"/>
    <n v="0"/>
    <n v="223814.25"/>
    <n v="223814.25"/>
    <n v="196163.886"/>
    <n v="16350"/>
    <n v="15780"/>
    <n v="14770"/>
    <n v="18370"/>
    <n v="19370"/>
    <n v="280"/>
    <n v="17090"/>
    <n v="16740"/>
    <n v="9550"/>
    <n v="17700"/>
    <n v="146000"/>
    <n v="146000"/>
    <n v="1313.27"/>
    <n v="0.93879999999999997"/>
    <n v="0.90610000000000002"/>
    <n v="0.95430000000000004"/>
    <n v="0.9456"/>
    <n v="0.99280000000000002"/>
    <n v="9.9000000000000008E-3"/>
    <n v="0.97070000000000001"/>
    <n v="0.67669999999999997"/>
    <n v="0.93679999999999997"/>
    <n v="0.99750000000000005"/>
    <n v="0.65232665033616"/>
    <n v="3.3123316560603802"/>
    <n v="2.54"/>
    <n v="2.56"/>
    <m/>
    <n v="2.5499999999999998"/>
    <n v="2.58"/>
    <n v="2.5575000000000001"/>
    <n v="0.9244"/>
    <n v="1.2951443425456"/>
    <n v="0.998"/>
    <n v="67570"/>
    <n v="53692"/>
    <n v="17096"/>
    <n v="25263"/>
    <m/>
  </r>
  <r>
    <x v="103"/>
    <n v="267184.07711084699"/>
    <n v="4.5999999999999996"/>
    <n v="3.7706200000000001"/>
    <n v="0.81969999999999998"/>
    <n v="0.99"/>
    <n v="16010"/>
    <n v="71986.5"/>
    <n v="34442.25"/>
    <n v="41851.5"/>
    <n v="35742"/>
    <n v="200032.25"/>
    <n v="256727.17"/>
    <n v="56694.92"/>
    <n v="56694.92"/>
    <n v="256727.17"/>
    <n v="256727.17"/>
    <n v="256213.71565999999"/>
    <n v="19230"/>
    <n v="18270"/>
    <n v="17460"/>
    <n v="21350"/>
    <n v="22400"/>
    <n v="280"/>
    <n v="25460"/>
    <n v="25830"/>
    <n v="15710"/>
    <n v="26610"/>
    <n v="192600"/>
    <n v="249294.92"/>
    <n v="1463.68"/>
    <n v="0.65"/>
    <n v="0.61929999999999996"/>
    <n v="0.66579999999999995"/>
    <n v="0.62"/>
    <n v="0.63370000000000004"/>
    <n v="9.9000000000000008E-3"/>
    <n v="0.81810000000000005"/>
    <n v="1.0439000000000001"/>
    <n v="0.87150000000000005"/>
    <n v="0.8276"/>
    <n v="0.96284474128546804"/>
    <n v="3.7994253366878801"/>
    <n v="4.49"/>
    <n v="4.6399999999999997"/>
    <m/>
    <n v="4.5199999999999996"/>
    <n v="4.37"/>
    <n v="4.5049999999999999"/>
    <n v="0.75019999999999998"/>
    <n v="0.84337965298288098"/>
    <n v="0.998"/>
    <n v="67570"/>
    <n v="53692"/>
    <n v="11900"/>
    <n v="26730"/>
    <m/>
  </r>
  <r>
    <x v="104"/>
    <n v="267184.07711084699"/>
    <n v="4.5999999999999996"/>
    <n v="3.7706200000000001"/>
    <n v="0.81969999999999998"/>
    <n v="0.99"/>
    <n v="0"/>
    <n v="62949"/>
    <n v="24708"/>
    <n v="32739"/>
    <n v="26393"/>
    <n v="146789"/>
    <n v="167195.32999999999"/>
    <n v="20406.330000000002"/>
    <n v="20406.330000000002"/>
    <n v="167195.32999999999"/>
    <n v="167195.32999999999"/>
    <n v="166860.93934000001"/>
    <n v="16420"/>
    <n v="15890"/>
    <n v="14970"/>
    <n v="18710"/>
    <n v="19310"/>
    <n v="28100"/>
    <n v="22890"/>
    <n v="24190"/>
    <n v="14550"/>
    <n v="25310"/>
    <n v="200340"/>
    <n v="220746.33"/>
    <n v="1332"/>
    <n v="0.60060000000000002"/>
    <n v="0.58130000000000004"/>
    <n v="0.61599999999999999"/>
    <n v="0.6048"/>
    <n v="0.64"/>
    <n v="0.86509999999999998"/>
    <n v="0.83420000000000005"/>
    <n v="0.85980000000000001"/>
    <n v="0.91510000000000002"/>
    <n v="0.92210000000000003"/>
    <n v="1.36481616469899"/>
    <n v="2.4744018055349999"/>
    <n v="3.96"/>
    <n v="3.96"/>
    <m/>
    <n v="4.0599999999999996"/>
    <n v="4.05"/>
    <n v="4.0075000000000003"/>
    <n v="0.71430000000000005"/>
    <n v="0.61744274623455997"/>
    <n v="0.998"/>
    <n v="67570"/>
    <n v="53692"/>
    <n v="11900"/>
    <n v="26730"/>
    <s v="Power limitation on Busbar 1 (STS1-STS5) due to considerations of the feeder line capacity._x000a_The measurement at Weather Station 3 (STS-6) is not normal._x000a_The PR calculation for STS 6 &amp; STS 8 is done manually because WS 3 is still under repair (since 15 March 2025)"/>
  </r>
  <r>
    <x v="105"/>
    <n v="267184.07711084699"/>
    <n v="4.5999999999999996"/>
    <n v="3.7706200000000001"/>
    <n v="0.81969999999999998"/>
    <n v="0.99"/>
    <n v="0"/>
    <n v="74596"/>
    <n v="27937"/>
    <n v="35387.25"/>
    <n v="28799"/>
    <n v="166719.25"/>
    <n v="180388.5"/>
    <n v="13669.25"/>
    <n v="13669.25"/>
    <n v="180388.5"/>
    <n v="180388.5"/>
    <n v="180027.723"/>
    <n v="14900"/>
    <n v="14840"/>
    <n v="13660"/>
    <n v="17490"/>
    <n v="17540"/>
    <n v="23340"/>
    <n v="20280"/>
    <n v="19650"/>
    <n v="10850"/>
    <n v="20660"/>
    <n v="173210"/>
    <n v="186879.25"/>
    <n v="1429.19"/>
    <n v="0.66910000000000003"/>
    <n v="0.66639999999999999"/>
    <n v="0.68959999999999999"/>
    <n v="0.70850000000000002"/>
    <n v="0.72850000000000004"/>
    <n v="0.90049999999999997"/>
    <n v="0.93169999999999997"/>
    <n v="0.87519999999999998"/>
    <n v="0.86050000000000004"/>
    <n v="0.94320000000000004"/>
    <n v="1.0389322168855699"/>
    <n v="2.6696536924670702"/>
    <n v="3.14"/>
    <n v="3.16"/>
    <m/>
    <n v="3.24"/>
    <n v="3.3"/>
    <n v="3.21"/>
    <n v="0.77470000000000006"/>
    <n v="0.83166781696793501"/>
    <n v="0.998"/>
    <n v="67570"/>
    <n v="53692"/>
    <n v="11900"/>
    <n v="26730"/>
    <s v="Power limitation on Busbar 1 (STS1-STS5) due to considerations of the feeder line capacity._x000a_The measurement at Weather Station 3 (STS-6) is not normal._x000a_The PR calculation for STS 6 &amp; STS 8 is done manually because WS 3 is still under repair (since 15 March 2025)"/>
  </r>
  <r>
    <x v="106"/>
    <n v="267184.07711084699"/>
    <n v="4.5999999999999996"/>
    <n v="3.7706200000000001"/>
    <n v="0.81969999999999998"/>
    <n v="0.99"/>
    <n v="0"/>
    <n v="86344.5"/>
    <n v="30134.25"/>
    <n v="36939.75"/>
    <n v="31139"/>
    <n v="184557.5"/>
    <n v="178819.67"/>
    <n v="-5737.8299999999899"/>
    <n v="0"/>
    <n v="184557.5"/>
    <n v="184557.5"/>
    <n v="178462.03065999999"/>
    <n v="11830"/>
    <n v="11550"/>
    <n v="10730"/>
    <n v="13600"/>
    <n v="13860"/>
    <n v="15030"/>
    <n v="12880"/>
    <n v="12710"/>
    <n v="7280"/>
    <n v="13280"/>
    <n v="122750"/>
    <n v="122750"/>
    <n v="1274.8800000000001"/>
    <n v="0.88060000000000005"/>
    <n v="0.8599"/>
    <n v="0.89859999999999995"/>
    <n v="0.91510000000000002"/>
    <n v="0.93779999999999997"/>
    <n v="0.96"/>
    <n v="0.96309999999999996"/>
    <n v="0.94"/>
    <n v="0.93910000000000005"/>
    <n v="0.98770000000000002"/>
    <n v="0.66510437126640798"/>
    <n v="2.7313526713038301"/>
    <n v="1.93"/>
    <n v="1.94"/>
    <m/>
    <n v="1.95"/>
    <n v="1.99"/>
    <n v="1.9524999999999999"/>
    <n v="0.92269999999999996"/>
    <n v="1.3989002157766099"/>
    <n v="0.998"/>
    <n v="67570"/>
    <n v="53692"/>
    <n v="11900"/>
    <n v="26730"/>
    <s v="Power limitation on Busbar 1 (STS1-STS5) due to considerations of the feeder line capacity._x000a_The measurement at Weather Station 3 (STS-6) is not normal._x000a_The PR calculation for STS 6 &amp; STS 8 is done manually because WS 3 is still under repair (since 15 March 2025)"/>
  </r>
  <r>
    <x v="107"/>
    <n v="267184.07711084699"/>
    <n v="4.5999999999999996"/>
    <n v="3.7706200000000001"/>
    <n v="0.81969999999999998"/>
    <n v="0.99"/>
    <n v="18237"/>
    <n v="74803"/>
    <n v="44266.75"/>
    <n v="29846.5"/>
    <n v="44712"/>
    <n v="211865.25"/>
    <n v="250961.83"/>
    <n v="39096.58"/>
    <n v="39096.58"/>
    <n v="250961.83"/>
    <n v="250961.83"/>
    <n v="250459.90633999999"/>
    <n v="19670"/>
    <n v="19280"/>
    <n v="17820"/>
    <n v="22490"/>
    <n v="22750"/>
    <n v="30650"/>
    <n v="25630"/>
    <n v="25490"/>
    <n v="14710"/>
    <n v="26050"/>
    <n v="224540"/>
    <n v="263636.58"/>
    <n v="1462.73"/>
    <n v="0.53949999999999998"/>
    <n v="0.52880000000000005"/>
    <n v="0.55010000000000003"/>
    <n v="0.55579999999999996"/>
    <n v="0.57740000000000002"/>
    <n v="0.72150000000000003"/>
    <n v="0.75160000000000005"/>
    <n v="0.69269999999999998"/>
    <n v="0.74450000000000005"/>
    <n v="0.72699999999999998"/>
    <n v="1.05982458189816"/>
    <n v="3.7141013763504498"/>
    <n v="4.92"/>
    <n v="5.17"/>
    <m/>
    <n v="5.31"/>
    <n v="5.31"/>
    <n v="5.1775000000000002"/>
    <n v="0.62180000000000002"/>
    <n v="0.71735420112997605"/>
    <n v="0.998"/>
    <n v="67570"/>
    <n v="53692"/>
    <n v="23900"/>
    <n v="26730"/>
    <s v="Power limitation on Busbar 1 (STS1-STS5) due to considerations of the feeder line capacity._x000a_The measurement at Weather Station 3 (STS-6) is not normal._x000a_The PR calculation for STS 6 &amp; STS 8 is done manually because WS 3 is still under repair (since 15 March 2025)"/>
  </r>
  <r>
    <x v="108"/>
    <n v="267184.07711084699"/>
    <n v="4.5999999999999996"/>
    <n v="3.7706200000000001"/>
    <n v="0.81969999999999998"/>
    <n v="0.99"/>
    <n v="61930.5"/>
    <n v="61877"/>
    <n v="34202"/>
    <n v="40279"/>
    <n v="35093"/>
    <n v="233381.5"/>
    <n v="257966.83"/>
    <n v="24585.33"/>
    <n v="24585.33"/>
    <n v="257966.83"/>
    <n v="257966.83"/>
    <n v="257450.89634000001"/>
    <n v="25760"/>
    <n v="25230"/>
    <n v="23380"/>
    <n v="29440"/>
    <n v="30100"/>
    <n v="32300"/>
    <n v="27740"/>
    <n v="27480"/>
    <n v="10510"/>
    <n v="28920"/>
    <n v="260860"/>
    <n v="285445.33"/>
    <n v="1247.02"/>
    <n v="0.77110000000000001"/>
    <n v="0.75519999999999998"/>
    <n v="0.7873"/>
    <n v="0.8"/>
    <n v="0.83689999999999998"/>
    <n v="0.83589999999999998"/>
    <n v="0.84440000000000004"/>
    <n v="0.76149999999999995"/>
    <n v="0.28199999999999997"/>
    <n v="0.8841"/>
    <n v="1.11774069495654"/>
    <n v="3.8177716442208101"/>
    <n v="4.74"/>
    <n v="4.72"/>
    <m/>
    <n v="4.83"/>
    <n v="4.95"/>
    <n v="4.8099999999999996"/>
    <n v="0.77890000000000004"/>
    <n v="0.793715518549024"/>
    <n v="0.998"/>
    <n v="67570"/>
    <n v="53692"/>
    <n v="23900"/>
    <n v="26730"/>
    <s v="The measurement at Weather Station 3 (STS-6) is not normal._x000a_Commisioning at STS 9_x000a_The PR calculation for STS 6 &amp; STS 8 is done manually because WS 3 is still under repair (since 15 March 2025)"/>
  </r>
  <r>
    <x v="109"/>
    <n v="267184.07711084699"/>
    <n v="4.5999999999999996"/>
    <n v="3.7706200000000001"/>
    <n v="0.81969999999999998"/>
    <n v="0.99"/>
    <n v="32973.5"/>
    <n v="33112"/>
    <n v="21197.75"/>
    <n v="28551"/>
    <n v="23728"/>
    <n v="139562.25"/>
    <n v="110694.83"/>
    <n v="-28867.42"/>
    <n v="0"/>
    <n v="139562.25"/>
    <n v="139562.25"/>
    <n v="110473.44034"/>
    <n v="9170"/>
    <n v="8840"/>
    <n v="8270"/>
    <n v="10410"/>
    <n v="10760"/>
    <n v="11050"/>
    <n v="9320"/>
    <n v="9260"/>
    <n v="8090"/>
    <n v="9670"/>
    <n v="94840"/>
    <n v="94840"/>
    <n v="1406.88"/>
    <n v="0.9496"/>
    <n v="0.91549999999999998"/>
    <n v="0.96399999999999997"/>
    <n v="0.98309999999999997"/>
    <n v="0.99880000000000002"/>
    <n v="0.99370000000000003"/>
    <n v="0.97489999999999999"/>
    <n v="0.96130000000000004"/>
    <n v="0.73"/>
    <n v="0.99660000000000004"/>
    <n v="0.67955338925819797"/>
    <n v="2.06544694391002"/>
    <n v="1.38"/>
    <n v="1.4"/>
    <m/>
    <n v="1.39"/>
    <n v="1.43"/>
    <n v="1.4"/>
    <n v="0.94059999999999999"/>
    <n v="1.4753192456500099"/>
    <n v="0.998"/>
    <n v="67570"/>
    <n v="53692"/>
    <n v="11900"/>
    <n v="26730"/>
    <s v="The measurement at Weather Station 3 (STS-6) is not normal._x000a_The PR calculation for STS 6 &amp; STS 8 is done manually because WS 3 is still under repair (since 15 March 2025)"/>
  </r>
  <r>
    <x v="110"/>
    <n v="267184.07711084699"/>
    <n v="4.5999999999999996"/>
    <n v="3.7706200000000001"/>
    <n v="0.81969999999999998"/>
    <n v="0.99"/>
    <n v="32262"/>
    <n v="72564"/>
    <n v="42196.5"/>
    <n v="47296"/>
    <n v="39014"/>
    <n v="233332.5"/>
    <n v="208827.5"/>
    <n v="-24505"/>
    <n v="0"/>
    <n v="233332.5"/>
    <n v="233332.5"/>
    <n v="208409.845"/>
    <n v="21360"/>
    <n v="20490"/>
    <n v="19250"/>
    <n v="24060"/>
    <n v="24910"/>
    <n v="27910"/>
    <n v="23400"/>
    <n v="23410"/>
    <n v="26080"/>
    <n v="24340"/>
    <n v="235210"/>
    <n v="235210"/>
    <n v="1525.98"/>
    <n v="0.83919999999999995"/>
    <n v="0.80530000000000002"/>
    <n v="0.85119999999999996"/>
    <n v="0.83040000000000003"/>
    <n v="0.87419999999999998"/>
    <n v="0.91810000000000003"/>
    <n v="0.89559999999999995"/>
    <n v="0.88900000000000001"/>
    <n v="0.86480000000000001"/>
    <n v="0.93930000000000002"/>
    <n v="1.00804645730878"/>
    <n v="3.2633916083916099"/>
    <n v="3.77"/>
    <n v="3.74"/>
    <m/>
    <n v="3.8"/>
    <n v="3.77"/>
    <n v="3.77"/>
    <n v="0.86250000000000004"/>
    <n v="0.86562111628424598"/>
    <n v="0.998"/>
    <n v="71500"/>
    <n v="56992"/>
    <n v="11900"/>
    <n v="26730"/>
    <s v="The measurement at Weather Station 3 (STS-6) is not normal._x000a_The PR calculation for STS 6 &amp; STS 8 is done manually because WS 3 is still under repair (since 15 March 2025)"/>
  </r>
  <r>
    <x v="111"/>
    <n v="267184.07711084699"/>
    <n v="4.5999999999999996"/>
    <n v="3.7706200000000001"/>
    <n v="0.81969999999999998"/>
    <n v="0.99"/>
    <n v="0"/>
    <n v="73516"/>
    <n v="33386.5"/>
    <n v="38021"/>
    <n v="32293"/>
    <n v="177216.5"/>
    <n v="178145"/>
    <n v="928.5"/>
    <n v="928.5"/>
    <n v="178145"/>
    <n v="178145"/>
    <n v="177788.71"/>
    <n v="14150"/>
    <n v="13890"/>
    <n v="12870"/>
    <n v="16300"/>
    <n v="16470"/>
    <n v="21920"/>
    <n v="18300"/>
    <n v="18460"/>
    <n v="22170"/>
    <n v="19390"/>
    <n v="173920"/>
    <n v="174848.5"/>
    <n v="1312.02"/>
    <n v="0.66349999999999998"/>
    <n v="0.65110000000000001"/>
    <n v="0.67859999999999998"/>
    <n v="0.67889999999999995"/>
    <n v="0.72529999999999994"/>
    <n v="0.86980000000000002"/>
    <n v="0.9"/>
    <n v="0.84560000000000002"/>
    <n v="0.93"/>
    <n v="0.93930000000000002"/>
    <n v="0.98139845894710698"/>
    <n v="2.4915384615384601"/>
    <n v="2.97"/>
    <n v="2.98"/>
    <m/>
    <n v="3.15"/>
    <n v="3.16"/>
    <n v="3.0649999999999999"/>
    <n v="0.76980000000000004"/>
    <n v="0.81289998745137404"/>
    <n v="0.998"/>
    <n v="71500"/>
    <n v="56992"/>
    <n v="11900"/>
    <n v="267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2"/>
    <n v="267184.07711084699"/>
    <n v="4.5999999999999996"/>
    <n v="3.7706200000000001"/>
    <n v="0.81969999999999998"/>
    <n v="0.99"/>
    <n v="0"/>
    <n v="91768"/>
    <n v="44980.5"/>
    <n v="47570.25"/>
    <n v="41628"/>
    <n v="225946.75"/>
    <n v="254130.83"/>
    <n v="28184.080000000002"/>
    <n v="28184.080000000002"/>
    <n v="254130.83"/>
    <n v="254130.83"/>
    <n v="253622.56834"/>
    <n v="18730"/>
    <n v="18400"/>
    <n v="17160"/>
    <n v="21650"/>
    <n v="21980"/>
    <n v="31050"/>
    <n v="27230"/>
    <n v="26270"/>
    <n v="31250"/>
    <n v="26720"/>
    <n v="240440"/>
    <n v="268624.08"/>
    <n v="1454.7"/>
    <n v="0.57999999999999996"/>
    <n v="0.56999999999999995"/>
    <n v="0.6"/>
    <n v="0.61"/>
    <n v="0.59599999999999997"/>
    <n v="0.83650000000000002"/>
    <n v="0.87"/>
    <n v="0.81699999999999995"/>
    <n v="0.87"/>
    <n v="0.8"/>
    <n v="1.0641445384808601"/>
    <n v="3.5542773426573402"/>
    <n v="4.51"/>
    <n v="4.84"/>
    <m/>
    <n v="4.6399999999999997"/>
    <n v="4.76"/>
    <n v="4.6875"/>
    <n v="0.68730000000000002"/>
    <n v="0.75824583310023297"/>
    <n v="0.998"/>
    <n v="71500"/>
    <n v="56992"/>
    <n v="11900"/>
    <n v="29712"/>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3"/>
    <n v="267184.07711084699"/>
    <n v="4.5999999999999996"/>
    <n v="3.7706200000000001"/>
    <n v="0.81969999999999998"/>
    <n v="0.99"/>
    <n v="0"/>
    <n v="96761.5"/>
    <n v="52066.5"/>
    <n v="60704.25"/>
    <n v="52483"/>
    <n v="262015.25"/>
    <n v="302779.33"/>
    <n v="40764.080000000002"/>
    <n v="40764.080000000002"/>
    <n v="302779.33"/>
    <n v="302779.33"/>
    <n v="302173.77133999998"/>
    <n v="20200"/>
    <n v="20080"/>
    <n v="18560"/>
    <n v="23680"/>
    <n v="23580"/>
    <n v="37680"/>
    <n v="32750"/>
    <n v="32450"/>
    <n v="37910"/>
    <n v="34220"/>
    <n v="281110"/>
    <n v="321874.08"/>
    <n v="1510.43"/>
    <n v="0.53439999999999999"/>
    <n v="0.53"/>
    <n v="0.55000000000000004"/>
    <n v="0.55000000000000004"/>
    <n v="0.54"/>
    <n v="0.83960000000000001"/>
    <n v="0.82"/>
    <n v="0.8347"/>
    <n v="0.83"/>
    <n v="0.87"/>
    <n v="1.07287648333446"/>
    <n v="4.2346759440559403"/>
    <n v="5.73"/>
    <n v="5.68"/>
    <m/>
    <n v="5.61"/>
    <n v="5.6"/>
    <n v="5.6550000000000002"/>
    <n v="0.65469999999999995"/>
    <n v="0.74883747905498599"/>
    <n v="0.998"/>
    <n v="71500"/>
    <n v="56992"/>
    <n v="11900"/>
    <n v="267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4"/>
    <n v="267184.07711084699"/>
    <n v="4.5999999999999996"/>
    <n v="3.7706200000000001"/>
    <n v="0.81969999999999998"/>
    <n v="0.99"/>
    <n v="0"/>
    <n v="100895"/>
    <n v="49560"/>
    <n v="52560"/>
    <n v="45198"/>
    <n v="248213"/>
    <n v="259393.83"/>
    <n v="11180.83"/>
    <n v="11180.83"/>
    <n v="259393.83"/>
    <n v="259393.83"/>
    <n v="258875.04234000001"/>
    <n v="17360"/>
    <n v="17090"/>
    <n v="15860"/>
    <n v="20120"/>
    <n v="20300"/>
    <n v="26900"/>
    <n v="23800"/>
    <n v="23550"/>
    <n v="28200"/>
    <n v="24260"/>
    <n v="217440"/>
    <n v="228620.83"/>
    <n v="1369.18"/>
    <n v="0.61819999999999997"/>
    <n v="0.61"/>
    <n v="0.64"/>
    <n v="0.62"/>
    <n v="0.63"/>
    <n v="0.79"/>
    <n v="0.81"/>
    <n v="0.8"/>
    <n v="0.83"/>
    <n v="0.83"/>
    <n v="0.87602180385394801"/>
    <n v="3.62788573426573"/>
    <n v="4.26"/>
    <n v="4.26"/>
    <m/>
    <n v="4.2300000000000004"/>
    <n v="4.16"/>
    <n v="4.2275"/>
    <n v="0.71709999999999996"/>
    <n v="0.85816339071927505"/>
    <n v="0.998"/>
    <n v="71500"/>
    <n v="56992"/>
    <n v="11900"/>
    <n v="267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5"/>
    <n v="267184.07711084699"/>
    <n v="4.5999999999999996"/>
    <n v="3.7706200000000001"/>
    <n v="0.81969999999999998"/>
    <n v="0.99"/>
    <n v="0"/>
    <n v="92415"/>
    <n v="52125.5"/>
    <n v="54096.25"/>
    <n v="49577"/>
    <n v="248213.75"/>
    <n v="294986.17"/>
    <n v="46772.42"/>
    <n v="46772.42"/>
    <n v="294986.17"/>
    <n v="294986.17"/>
    <n v="294396.19766000001"/>
    <n v="17900"/>
    <n v="17570"/>
    <n v="16370"/>
    <n v="20650"/>
    <n v="21040"/>
    <n v="31340"/>
    <n v="28210"/>
    <n v="28060"/>
    <n v="34900"/>
    <n v="28650"/>
    <n v="244690"/>
    <n v="291462.42"/>
    <n v="1559.39"/>
    <n v="0.51"/>
    <n v="0.5"/>
    <n v="0.53"/>
    <n v="0.54"/>
    <n v="0.53"/>
    <n v="0.84"/>
    <n v="0.8"/>
    <n v="0.87"/>
    <n v="0.86"/>
    <n v="0.83"/>
    <n v="0.98580356648251799"/>
    <n v="4.1256806993007"/>
    <n v="5.0999999999999996"/>
    <n v="5.17"/>
    <m/>
    <n v="5"/>
    <n v="5.19"/>
    <n v="5.1150000000000002"/>
    <n v="0.62119999999999997"/>
    <n v="0.80658469194539595"/>
    <n v="0.998"/>
    <n v="71500"/>
    <n v="56992"/>
    <n v="11900"/>
    <n v="25471"/>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6"/>
    <n v="267184.07711084699"/>
    <n v="4.5999999999999996"/>
    <n v="3.7706200000000001"/>
    <n v="0.81969999999999998"/>
    <n v="0.99"/>
    <n v="0"/>
    <n v="65225"/>
    <n v="42392.5"/>
    <n v="45436.25"/>
    <n v="39615"/>
    <n v="192668.75"/>
    <n v="244241.83"/>
    <n v="51573.08"/>
    <n v="51573.08"/>
    <n v="244241.83"/>
    <n v="244241.83"/>
    <n v="243753.34633999999"/>
    <n v="16180"/>
    <n v="14770"/>
    <n v="18920"/>
    <n v="21540"/>
    <n v="25680"/>
    <n v="15790"/>
    <n v="18630"/>
    <n v="25050"/>
    <n v="21300"/>
    <n v="21160"/>
    <n v="199020"/>
    <n v="250593.08"/>
    <n v="1547.98"/>
    <n v="0.59179999999999999"/>
    <n v="0.54039999999999999"/>
    <n v="0.77869999999999995"/>
    <n v="0.69450000000000001"/>
    <n v="0.7873"/>
    <n v="0.42549999999999999"/>
    <n v="0.66220000000000001"/>
    <n v="0.77890000000000004"/>
    <n v="0.65080000000000005"/>
    <n v="0.75029999999999997"/>
    <n v="1.0329646089466999"/>
    <n v="3.4159696503496502"/>
    <n v="4.0599999999999996"/>
    <n v="4.28"/>
    <m/>
    <n v="4.07"/>
    <n v="4.05"/>
    <n v="4.1150000000000002"/>
    <n v="0.66649999999999998"/>
    <n v="0.830126281980474"/>
    <n v="0.998"/>
    <n v="71500"/>
    <n v="56992"/>
    <n v="2066"/>
    <n v="267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7"/>
    <n v="267184.07711084699"/>
    <n v="4.5999999999999996"/>
    <n v="3.7706200000000001"/>
    <n v="0.81969999999999998"/>
    <n v="0.99"/>
    <n v="0"/>
    <n v="0"/>
    <n v="33111"/>
    <n v="36273.75"/>
    <n v="31793"/>
    <n v="101177.75"/>
    <n v="213669.83"/>
    <n v="112492.08"/>
    <n v="112492.08"/>
    <n v="213669.83"/>
    <n v="213669.83"/>
    <n v="213242.49033999999"/>
    <n v="1810"/>
    <n v="1470"/>
    <n v="1610"/>
    <n v="1860"/>
    <n v="2060"/>
    <n v="27030"/>
    <n v="21690"/>
    <n v="22600"/>
    <n v="27280"/>
    <n v="17340"/>
    <n v="124750"/>
    <n v="237242.08"/>
    <n v="1542.05"/>
    <n v="6.4299999999999996E-2"/>
    <n v="5.1999999999999998E-2"/>
    <n v="6.4100000000000004E-2"/>
    <n v="5.96E-2"/>
    <n v="6.8000000000000005E-2"/>
    <n v="0.72819999999999996"/>
    <n v="0.79449999999999998"/>
    <n v="0.70469999999999999"/>
    <n v="0.86550000000000005"/>
    <n v="0.61160000000000003"/>
    <n v="1.2329785946020699"/>
    <n v="2.9883892307692301"/>
    <n v="3.94"/>
    <n v="3.98"/>
    <m/>
    <n v="4.09"/>
    <n v="4.18"/>
    <n v="4.0475000000000003"/>
    <n v="0.7409"/>
    <n v="0.73832964317955097"/>
    <n v="0.998"/>
    <n v="71500"/>
    <n v="56992"/>
    <n v="0"/>
    <n v="267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18"/>
    <n v="267184.07711084699"/>
    <n v="4.5999999999999996"/>
    <n v="3.7706200000000001"/>
    <n v="0.81969999999999998"/>
    <n v="0.99"/>
    <n v="0"/>
    <n v="0"/>
    <n v="26101"/>
    <n v="29629.25"/>
    <n v="26011"/>
    <n v="81741.25"/>
    <n v="150936.82999999999"/>
    <n v="69195.58"/>
    <n v="69195.58"/>
    <n v="150936.82999999999"/>
    <n v="150936.82999999999"/>
    <n v="150634.95634"/>
    <n v="0"/>
    <n v="0"/>
    <n v="0"/>
    <n v="0"/>
    <n v="0"/>
    <n v="23500"/>
    <n v="19500"/>
    <n v="19720"/>
    <n v="23770"/>
    <n v="20100"/>
    <n v="106590"/>
    <n v="175785.58"/>
    <n v="1560.73"/>
    <n v="0"/>
    <n v="0"/>
    <n v="0"/>
    <n v="0"/>
    <n v="0"/>
    <n v="0.63319999999999999"/>
    <n v="0.79710000000000003"/>
    <n v="0.61329999999999996"/>
    <n v="0.8417"/>
    <n v="0.82379999999999998"/>
    <n v="1.30399278210206"/>
    <n v="2.11100461538462"/>
    <n v="3.53"/>
    <n v="3.53"/>
    <m/>
    <n v="3.52"/>
    <n v="3.67"/>
    <n v="3.5625"/>
    <n v="0.74180000000000001"/>
    <n v="0.59256269905533099"/>
    <n v="0.998"/>
    <n v="71500"/>
    <n v="56992"/>
    <n v="0"/>
    <n v="26730"/>
    <s v="The measurement at Weather Station 3 (STS-6) is not normal._x000a_Outage on Busbar 1 (STS1-STS5) due to trip at GSK.2 (line to OG.2)._x000a_The PR calculation for STS 6 &amp; STS 8 is done manually because WS 3 is still under repair (since 15 March 2025)"/>
  </r>
  <r>
    <x v="119"/>
    <n v="267184.07711084699"/>
    <n v="4.5999999999999996"/>
    <n v="3.7706200000000001"/>
    <n v="0.81969999999999998"/>
    <n v="0.99"/>
    <n v="20930.5"/>
    <n v="0"/>
    <n v="28245"/>
    <n v="32212.5"/>
    <n v="28688"/>
    <n v="110076"/>
    <n v="133714"/>
    <n v="23638"/>
    <n v="23638"/>
    <n v="133714"/>
    <n v="133714"/>
    <n v="133446.57199999999"/>
    <n v="0"/>
    <n v="0"/>
    <n v="0"/>
    <n v="0"/>
    <n v="0"/>
    <n v="15320"/>
    <n v="12860"/>
    <n v="12850"/>
    <n v="15030"/>
    <n v="13380"/>
    <n v="69440"/>
    <n v="93078"/>
    <n v="1450.28"/>
    <n v="0"/>
    <n v="0"/>
    <n v="0"/>
    <n v="0"/>
    <n v="0"/>
    <n v="0.9718"/>
    <n v="0.98680000000000001"/>
    <n v="0.94089999999999996"/>
    <n v="0.999"/>
    <n v="0.98009999999999997"/>
    <n v="0.63083687633998298"/>
    <n v="1.8701258741258699"/>
    <n v="1.88"/>
    <n v="1.88"/>
    <m/>
    <n v="1.97"/>
    <n v="1.97"/>
    <n v="1.925"/>
    <n v="0.97570000000000001"/>
    <n v="0.97149396058487003"/>
    <n v="0.998"/>
    <n v="71500"/>
    <n v="56992"/>
    <n v="11900"/>
    <n v="26730"/>
    <s v="The measurement at Weather Station 3 (STS-6) is not normal._x000a_Outage on Busbar 1 (STS1-STS5) due to trip at GSK.2 (line to OG.2)._x000a_The PR calculation for STS 6 &amp; STS 8 is done manually because WS 3 is still under repair (since 15 March 2025)"/>
  </r>
  <r>
    <x v="120"/>
    <n v="267184.07711084699"/>
    <n v="4.5999999999999996"/>
    <n v="3.7706200000000001"/>
    <n v="0.81969999999999998"/>
    <n v="0.99"/>
    <n v="85466"/>
    <n v="0"/>
    <n v="55705.5"/>
    <n v="56724"/>
    <n v="49718"/>
    <n v="247613.5"/>
    <n v="319744.5"/>
    <n v="72131"/>
    <n v="72131"/>
    <n v="319744.5"/>
    <n v="319744.5"/>
    <n v="319105.011"/>
    <n v="17930"/>
    <n v="17900"/>
    <n v="16420"/>
    <n v="20940"/>
    <n v="20750"/>
    <n v="39600"/>
    <n v="33180"/>
    <n v="33020"/>
    <n v="37690"/>
    <n v="33860"/>
    <n v="271290"/>
    <n v="343421"/>
    <n v="1321.36"/>
    <n v="0.39760000000000001"/>
    <n v="0.39700000000000002"/>
    <n v="0.40970000000000001"/>
    <n v="0.43"/>
    <n v="0.46"/>
    <n v="0.77"/>
    <n v="0.79"/>
    <n v="0.74"/>
    <n v="0.78"/>
    <n v="0.76"/>
    <n v="1.09561877684375"/>
    <n v="4.4719510489510501"/>
    <n v="6.06"/>
    <n v="5.97"/>
    <m/>
    <n v="6.44"/>
    <n v="6.68"/>
    <n v="6.2874999999999996"/>
    <n v="0.59219999999999995"/>
    <n v="0.71124469963436199"/>
    <n v="0.998"/>
    <n v="71500"/>
    <n v="56992"/>
    <n v="4153"/>
    <n v="26730"/>
    <s v="The measurement at Weather Station 3 (STS-6) is not normal._x000a_Outage on Busbar 1 (STS1-STS5) due to trip at GSK.2 (line to OG.2)._x000a_The PR calculation for STS 6 &amp; STS 8 is done manually because WS 3 is still under repair (since 15 March 2025)"/>
  </r>
  <r>
    <x v="121"/>
    <n v="259826.83440779499"/>
    <n v="4.4733333333333301"/>
    <n v="3.6667913333333302"/>
    <n v="0.81969999999999998"/>
    <n v="0.99"/>
    <n v="8268"/>
    <n v="0"/>
    <n v="56496.25"/>
    <n v="56848.25"/>
    <n v="49503"/>
    <n v="171115.5"/>
    <n v="259298.5"/>
    <n v="88183"/>
    <n v="88183"/>
    <n v="259298.5"/>
    <n v="259298.5"/>
    <n v="258779.90299999999"/>
    <n v="4200"/>
    <n v="4150"/>
    <n v="3830"/>
    <n v="4860"/>
    <n v="4880"/>
    <n v="26650"/>
    <n v="22460"/>
    <n v="22470"/>
    <n v="26250"/>
    <n v="23460"/>
    <n v="143210"/>
    <n v="231393"/>
    <n v="1356.04"/>
    <n v="0.18"/>
    <n v="0.18"/>
    <n v="0.18"/>
    <n v="0.18"/>
    <n v="0.18"/>
    <n v="0.94"/>
    <n v="0.93"/>
    <n v="0.92"/>
    <n v="0.94"/>
    <n v="0.96"/>
    <n v="0.836920091984654"/>
    <n v="3.62655244755245"/>
    <n v="3.49"/>
    <n v="3.53"/>
    <m/>
    <n v="3.53"/>
    <n v="3.44"/>
    <n v="3.4975000000000001"/>
    <n v="0.55969999999999998"/>
    <n v="1.0368984839320801"/>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2"/>
    <n v="259826.83440779499"/>
    <n v="4.4733333333333301"/>
    <n v="3.6667913333333302"/>
    <n v="0.81969999999999998"/>
    <n v="0.99"/>
    <n v="0"/>
    <n v="0"/>
    <n v="41010.5"/>
    <n v="42666.5"/>
    <n v="37304"/>
    <n v="120981"/>
    <n v="268519.67"/>
    <n v="147538.67000000001"/>
    <n v="147538.67000000001"/>
    <n v="268519.67"/>
    <n v="268519.67"/>
    <n v="267982.63066000002"/>
    <n v="0"/>
    <n v="0"/>
    <n v="0"/>
    <n v="0"/>
    <n v="0"/>
    <n v="33590"/>
    <n v="26950"/>
    <n v="28270"/>
    <n v="33450"/>
    <n v="28720"/>
    <n v="150980"/>
    <n v="298518.67"/>
    <n v="1440.28"/>
    <n v="0"/>
    <n v="0"/>
    <n v="0"/>
    <n v="0"/>
    <n v="0"/>
    <n v="0.8639"/>
    <n v="0.81699999999999995"/>
    <n v="0.83940000000000003"/>
    <n v="0.87849999999999995"/>
    <n v="0.85270000000000001"/>
    <n v="1.24796455641795"/>
    <n v="3.7555198601398598"/>
    <n v="4.76"/>
    <n v="4.7699999999999996"/>
    <m/>
    <n v="4.8600000000000003"/>
    <n v="4.84"/>
    <n v="4.8075000000000001"/>
    <n v="0.85029999999999994"/>
    <n v="0.781179378084214"/>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3"/>
    <n v="259826.83440779499"/>
    <n v="4.4733333333333301"/>
    <n v="3.6667913333333302"/>
    <n v="0.81969999999999998"/>
    <n v="0.99"/>
    <n v="0"/>
    <n v="0"/>
    <n v="21184"/>
    <n v="25172"/>
    <n v="21733"/>
    <n v="68089"/>
    <n v="107817.33"/>
    <n v="39728.33"/>
    <n v="39728.33"/>
    <n v="107817.33"/>
    <n v="107817.33"/>
    <n v="107278.24335"/>
    <n v="0"/>
    <n v="0"/>
    <n v="0"/>
    <n v="0"/>
    <n v="0"/>
    <n v="17650"/>
    <n v="13850"/>
    <n v="14820"/>
    <n v="18200"/>
    <n v="15250"/>
    <n v="79770"/>
    <n v="119498.33"/>
    <n v="1293.21"/>
    <n v="0"/>
    <n v="0"/>
    <n v="0"/>
    <n v="0"/>
    <n v="0"/>
    <n v="0.90780000000000005"/>
    <n v="0.82899999999999996"/>
    <n v="0.87990000000000002"/>
    <n v="0.94410000000000005"/>
    <n v="0.90549999999999997"/>
    <n v="1.17155487670549"/>
    <n v="1.50793468531469"/>
    <n v="2.41"/>
    <n v="2.44"/>
    <m/>
    <n v="2.4300000000000002"/>
    <n v="2.5"/>
    <n v="2.4449999999999998"/>
    <n v="0.89329999999999998"/>
    <n v="0.61674220258269297"/>
    <n v="0.995"/>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4"/>
    <n v="259826.83440779499"/>
    <n v="4.4733333333333301"/>
    <n v="3.6667913333333302"/>
    <n v="0.81969999999999998"/>
    <n v="0.99"/>
    <n v="0"/>
    <n v="0"/>
    <n v="50435"/>
    <n v="51894.5"/>
    <n v="45683"/>
    <n v="148012.5"/>
    <n v="283661.5"/>
    <n v="135649"/>
    <n v="135649"/>
    <n v="283661.5"/>
    <n v="283661.5"/>
    <n v="282526.85399999999"/>
    <n v="0"/>
    <n v="0"/>
    <n v="0"/>
    <n v="0"/>
    <n v="0"/>
    <n v="31950"/>
    <n v="26180"/>
    <n v="26940"/>
    <n v="32500"/>
    <n v="28050"/>
    <n v="145620"/>
    <n v="281269"/>
    <n v="1410.03"/>
    <n v="0"/>
    <n v="0"/>
    <n v="0"/>
    <n v="0"/>
    <n v="0"/>
    <n v="0.84789999999999999"/>
    <n v="0.8"/>
    <n v="0.83"/>
    <n v="0.86"/>
    <n v="0.86"/>
    <n v="0.98383582467696995"/>
    <n v="3.9672937062937099"/>
    <n v="4.7"/>
    <n v="4.7"/>
    <m/>
    <n v="4.71"/>
    <n v="4.78"/>
    <n v="4.7225000000000001"/>
    <n v="0.84"/>
    <n v="0.84008336819347895"/>
    <n v="0.996"/>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5"/>
    <n v="259826.83440779499"/>
    <n v="4.4733333333333301"/>
    <n v="3.6667913333333302"/>
    <n v="0.81969999999999998"/>
    <n v="0.99"/>
    <n v="0"/>
    <n v="0"/>
    <n v="38998.25"/>
    <n v="41083"/>
    <n v="36410"/>
    <n v="116491.25"/>
    <n v="194520.5"/>
    <n v="78029.25"/>
    <n v="78029.25"/>
    <n v="194520.5"/>
    <n v="194520.5"/>
    <n v="194131.459"/>
    <n v="0"/>
    <n v="0"/>
    <n v="0"/>
    <n v="0"/>
    <n v="0"/>
    <n v="29360"/>
    <n v="24870"/>
    <n v="24510"/>
    <n v="28610"/>
    <n v="25420"/>
    <n v="132770"/>
    <n v="210799.25"/>
    <n v="1395.7"/>
    <n v="0"/>
    <n v="0"/>
    <n v="0"/>
    <n v="0"/>
    <n v="0"/>
    <n v="0.92"/>
    <n v="0.93"/>
    <n v="0.88"/>
    <n v="0.92"/>
    <n v="0.92"/>
    <n v="1.1397422553196099"/>
    <n v="2.7205664335664301"/>
    <n v="3.87"/>
    <n v="4.01"/>
    <m/>
    <n v="4"/>
    <n v="4.08"/>
    <n v="3.99"/>
    <n v="0.91400000000000003"/>
    <n v="0.68184622395148697"/>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6"/>
    <n v="259826.83440779499"/>
    <n v="4.4733333333333301"/>
    <n v="3.6667913333333302"/>
    <n v="0.81969999999999998"/>
    <n v="0.99"/>
    <n v="0"/>
    <n v="0"/>
    <n v="41466.75"/>
    <n v="43433.5"/>
    <n v="37971"/>
    <n v="122871.25"/>
    <n v="205281.67"/>
    <n v="82410.42"/>
    <n v="82410.42"/>
    <n v="205281.67"/>
    <n v="205281.67"/>
    <n v="204871.10665999999"/>
    <n v="0"/>
    <n v="0"/>
    <n v="0"/>
    <n v="0"/>
    <n v="0"/>
    <n v="19810"/>
    <n v="16690"/>
    <n v="16610"/>
    <n v="19180"/>
    <n v="17170"/>
    <n v="89460"/>
    <n v="171870.42"/>
    <n v="1209.71"/>
    <n v="0"/>
    <n v="0"/>
    <n v="0"/>
    <n v="0"/>
    <n v="0"/>
    <n v="0.97130000000000005"/>
    <n v="0.94430000000000003"/>
    <n v="0.93989999999999996"/>
    <n v="0.94030000000000002"/>
    <n v="1"/>
    <n v="0.72807918858154397"/>
    <n v="2.8710723076923101"/>
    <n v="2.5499999999999998"/>
    <n v="2.33"/>
    <m/>
    <n v="2.19"/>
    <n v="2.64"/>
    <n v="2.4275000000000002"/>
    <n v="0.98550000000000004"/>
    <n v="1.18272803612453"/>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7"/>
    <n v="259826.83440779499"/>
    <n v="4.4733333333333301"/>
    <n v="3.6667913333333302"/>
    <n v="0.81969999999999998"/>
    <n v="0.99"/>
    <n v="0"/>
    <n v="0"/>
    <n v="52837"/>
    <n v="54306.5"/>
    <n v="48004"/>
    <n v="155147.5"/>
    <n v="323610.83"/>
    <n v="168463.33"/>
    <n v="168463.33"/>
    <n v="323610.83"/>
    <n v="323610.83"/>
    <n v="322963.60833999998"/>
    <n v="0"/>
    <n v="0"/>
    <n v="0"/>
    <n v="0"/>
    <n v="0"/>
    <n v="38510"/>
    <n v="32100"/>
    <n v="31890"/>
    <n v="36830"/>
    <n v="32700"/>
    <n v="172030"/>
    <n v="340493.33"/>
    <n v="1369.53"/>
    <n v="0"/>
    <n v="0"/>
    <n v="0"/>
    <n v="0"/>
    <n v="0"/>
    <n v="0.85509999999999997"/>
    <n v="0.82279999999999998"/>
    <n v="0.8175"/>
    <n v="0.81769999999999998"/>
    <n v="0.83799999999999997"/>
    <n v="1.1088158043152501"/>
    <n v="4.5260255944055903"/>
    <n v="5.63"/>
    <n v="5.87"/>
    <m/>
    <n v="6.08"/>
    <n v="6.37"/>
    <n v="5.9874999999999998"/>
    <n v="0.83020000000000005"/>
    <n v="0.755912416602187"/>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8"/>
    <n v="259826.83440779499"/>
    <n v="4.4733333333333301"/>
    <n v="3.6667913333333302"/>
    <n v="0.81969999999999998"/>
    <n v="0.99"/>
    <n v="0"/>
    <n v="0"/>
    <n v="34656.75"/>
    <n v="40174"/>
    <n v="33544"/>
    <n v="108374.75"/>
    <n v="200595.67"/>
    <n v="92220.92"/>
    <n v="92220.92"/>
    <n v="200595.67"/>
    <n v="200595.67"/>
    <n v="200194.47865999999"/>
    <n v="0"/>
    <n v="0"/>
    <n v="0"/>
    <n v="0"/>
    <n v="0"/>
    <n v="28090"/>
    <n v="23150"/>
    <n v="22280"/>
    <n v="23840"/>
    <n v="22630"/>
    <n v="119990"/>
    <n v="212210.92"/>
    <n v="1507.77"/>
    <n v="0"/>
    <n v="0"/>
    <n v="0"/>
    <n v="0"/>
    <n v="0"/>
    <n v="0.98070000000000002"/>
    <n v="0.93330000000000002"/>
    <n v="0.89800000000000002"/>
    <n v="0.83220000000000005"/>
    <n v="0.9123"/>
    <n v="1.1071767178240299"/>
    <n v="2.8055338461538502"/>
    <n v="3.58"/>
    <n v="4.17"/>
    <m/>
    <n v="4.42"/>
    <n v="4.5199999999999996"/>
    <n v="4.1725000000000003"/>
    <n v="0.9113"/>
    <n v="0.67238678158270704"/>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29"/>
    <n v="259826.83440779499"/>
    <n v="4.4733333333333301"/>
    <n v="3.6667913333333302"/>
    <n v="0.81969999999999998"/>
    <n v="0.99"/>
    <n v="0"/>
    <n v="0"/>
    <n v="55866.75"/>
    <n v="57951"/>
    <n v="49821"/>
    <n v="163638.75"/>
    <n v="299580.5"/>
    <n v="135941.75"/>
    <n v="135941.75"/>
    <n v="299580.5"/>
    <n v="299580.5"/>
    <n v="298981.33899999998"/>
    <n v="0"/>
    <n v="0"/>
    <n v="0"/>
    <n v="0"/>
    <n v="0"/>
    <n v="35220"/>
    <n v="29960"/>
    <n v="29500"/>
    <n v="33770"/>
    <n v="30340"/>
    <n v="158790"/>
    <n v="294731.75"/>
    <n v="1525.68"/>
    <n v="0"/>
    <n v="0"/>
    <n v="0"/>
    <n v="0"/>
    <n v="0"/>
    <n v="0.87529999999999997"/>
    <n v="0.85960000000000003"/>
    <n v="0.84630000000000005"/>
    <n v="0.83909999999999996"/>
    <n v="0.87039999999999995"/>
    <n v="0.97036918211609402"/>
    <n v="4.1899370629370596"/>
    <n v="5.03"/>
    <n v="5.14"/>
    <m/>
    <n v="5.16"/>
    <n v="5.32"/>
    <n v="5.1624999999999996"/>
    <n v="0.85809999999999997"/>
    <n v="0.81161008483042396"/>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30"/>
    <n v="259826.83440779499"/>
    <n v="4.4733333333333301"/>
    <n v="3.6667913333333302"/>
    <n v="0.81969999999999998"/>
    <n v="0.99"/>
    <n v="0"/>
    <n v="0"/>
    <n v="40376.25"/>
    <n v="43984"/>
    <n v="37192"/>
    <n v="121552.25"/>
    <n v="232787.33"/>
    <n v="111235.08"/>
    <n v="111235.08"/>
    <n v="232787.33"/>
    <n v="232787.33"/>
    <n v="232321.75534"/>
    <n v="0"/>
    <n v="0"/>
    <n v="0"/>
    <n v="0"/>
    <n v="0"/>
    <n v="31260"/>
    <n v="27250"/>
    <n v="26850"/>
    <n v="30880"/>
    <n v="27760"/>
    <n v="144000"/>
    <n v="255235.08"/>
    <n v="1404.41"/>
    <n v="0"/>
    <n v="0"/>
    <n v="0"/>
    <n v="0"/>
    <n v="0"/>
    <n v="0.82099999999999995"/>
    <n v="0.82609999999999995"/>
    <n v="0.81389999999999996"/>
    <n v="0.81100000000000005"/>
    <n v="0.84150000000000003"/>
    <n v="1.1846757258709699"/>
    <n v="3.25576685314685"/>
    <n v="4.76"/>
    <n v="4.71"/>
    <m/>
    <n v="4.63"/>
    <n v="4.75"/>
    <n v="4.7125000000000004"/>
    <n v="0.82269999999999999"/>
    <n v="0.69087890782957095"/>
    <n v="0.998"/>
    <n v="71500"/>
    <n v="56992"/>
    <n v="0"/>
    <n v="26730"/>
    <s v="The measurement at Weather Station 3 (STS-6) is not normal._x000a_Outage on Busbar 1 (STS1-STS5) due to trip at GSK.2 (line to OG.2 and OG 1)._x000a_The PR calculation for STS 6 &amp; STS 8 is done manually because WS 3 is still under repair (since 15 March 2025)"/>
  </r>
  <r>
    <x v="131"/>
    <n v="259826.83440779499"/>
    <n v="4.4733333333333301"/>
    <n v="3.6667913333333302"/>
    <n v="0.81969999999999998"/>
    <n v="0.99"/>
    <n v="10356.5"/>
    <n v="10351"/>
    <n v="27469.5"/>
    <n v="32309"/>
    <n v="26416"/>
    <n v="106902"/>
    <n v="125550.33"/>
    <n v="18648.330000000002"/>
    <n v="18648.330000000002"/>
    <n v="125550.33"/>
    <n v="125550.33"/>
    <n v="125299.22934000001"/>
    <n v="0"/>
    <n v="0"/>
    <n v="0"/>
    <n v="0"/>
    <n v="0"/>
    <n v="7100"/>
    <n v="6010"/>
    <n v="5980"/>
    <n v="6960"/>
    <n v="6200"/>
    <n v="32250"/>
    <n v="50898.33"/>
    <n v="1572.85"/>
    <n v="0"/>
    <n v="0"/>
    <n v="0"/>
    <n v="0"/>
    <n v="0"/>
    <n v="0.99750000000000005"/>
    <n v="0.97409999999999997"/>
    <n v="0.96879999999999999"/>
    <n v="0.97809999999999997"/>
    <n v="0.98270000000000002"/>
    <n v="0.30167817253185197"/>
    <n v="1.7559486713286701"/>
    <n v="0.89"/>
    <n v="0.91"/>
    <m/>
    <n v="0.9"/>
    <n v="0.91"/>
    <n v="0.90249999999999997"/>
    <n v="0.98019999999999996"/>
    <n v="1.9456494973170899"/>
    <n v="0.998"/>
    <n v="71500"/>
    <n v="56992"/>
    <n v="4694"/>
    <n v="26730"/>
    <s v="The measurement at Weather Station 3 (STS-6) is not normal._x000a_Outage on Busbar 1 (STS1-STS5) due to trip at GSK.2 (line to OG.2 and OG 1)._x000a_The PR calculation for STS 6 &amp; STS 8 is done manually because WS 3 is still under repair (since 15 March 2025)"/>
  </r>
  <r>
    <x v="132"/>
    <n v="259826.83440779499"/>
    <n v="4.4733333333333301"/>
    <n v="3.6667913333333302"/>
    <n v="0.81969999999999998"/>
    <n v="0.99"/>
    <n v="0"/>
    <n v="0"/>
    <n v="47261.25"/>
    <n v="34692"/>
    <n v="47026"/>
    <n v="128979.25"/>
    <n v="256818.17"/>
    <n v="127838.92"/>
    <n v="127838.92"/>
    <n v="256818.17"/>
    <n v="256818.17"/>
    <n v="256304.53365999999"/>
    <n v="4270"/>
    <n v="3700"/>
    <n v="3670"/>
    <n v="4390"/>
    <n v="4750"/>
    <n v="35560"/>
    <n v="29730"/>
    <n v="29850"/>
    <n v="35500"/>
    <n v="30640"/>
    <n v="182060"/>
    <n v="309898.92"/>
    <n v="1381.8"/>
    <n v="0.1227"/>
    <n v="0.10630000000000001"/>
    <n v="0.1187"/>
    <n v="0.1096"/>
    <n v="0.11650000000000001"/>
    <n v="0.82"/>
    <n v="0.79879999999999995"/>
    <n v="0.80210000000000004"/>
    <n v="0.82640000000000002"/>
    <n v="0.82650000000000001"/>
    <n v="1.4115448802811299"/>
    <n v="3.5918625174825198"/>
    <n v="5.37"/>
    <n v="3.35"/>
    <m/>
    <n v="5.25"/>
    <n v="5.15"/>
    <n v="4.78"/>
    <n v="0.46550000000000002"/>
    <n v="0.75143567311349702"/>
    <n v="0.998"/>
    <n v="71500"/>
    <n v="56992"/>
    <n v="5834"/>
    <n v="24368"/>
    <s v="The measurement at Weather Station 3 (STS-6) is not normal._x000a_Outage on Busbar 1 (STS1-STS5) due to trip at GSK.2 (line to OG.2 and OG 1)._x000a_The PR calculation for STS 6 &amp; STS 8 is done manually because WS 3 is still under repair (since 15 March 2025)"/>
  </r>
  <r>
    <x v="133"/>
    <n v="259826.83440779499"/>
    <n v="4.4733333333333301"/>
    <n v="3.6667913333333302"/>
    <n v="0.81969999999999998"/>
    <n v="0.99"/>
    <n v="0"/>
    <n v="51189.5"/>
    <n v="45504.75"/>
    <n v="19122.5"/>
    <n v="45159"/>
    <n v="160975.75"/>
    <n v="182276.5"/>
    <n v="21300.75"/>
    <n v="21300.75"/>
    <n v="182276.5"/>
    <n v="182276.5"/>
    <n v="181911.94699999999"/>
    <n v="4110"/>
    <n v="4000"/>
    <n v="3670"/>
    <n v="4680"/>
    <n v="4670"/>
    <n v="19140"/>
    <n v="16220"/>
    <n v="16160"/>
    <n v="18870"/>
    <n v="16600"/>
    <n v="108120"/>
    <n v="129420.75"/>
    <n v="1284.3"/>
    <n v="0.2455"/>
    <n v="0.2389"/>
    <n v="0.24660000000000001"/>
    <n v="0.71419999999999995"/>
    <n v="0.68859999999999999"/>
    <n v="0.87319999999999998"/>
    <n v="0.85419999999999996"/>
    <n v="0.85109999999999997"/>
    <n v="0.8609"/>
    <n v="0.87419999999999998"/>
    <n v="0.67165396030147395"/>
    <n v="2.5493216783216801"/>
    <n v="2.74"/>
    <n v="0.89"/>
    <m/>
    <n v="0.86"/>
    <n v="2.48"/>
    <n v="1.7424999999999999"/>
    <n v="0.64470000000000005"/>
    <n v="1.46302535341273"/>
    <n v="0.998"/>
    <n v="71500"/>
    <n v="56992"/>
    <n v="10000"/>
    <n v="30030"/>
    <s v="The measurement at Weather Station 3 (STS-6) is not normal._x000a_Outage on Busbar 1 (STS1-STS5) due to trip at GSK.2 (line to OG.2 and OG 1)._x000a_The PR calculation for STS 6 &amp; STS 8 is done manually because WS 3 is still under repair (since 15 March 2025)"/>
  </r>
  <r>
    <x v="134"/>
    <n v="259826.83440779499"/>
    <n v="4.4733333333333301"/>
    <n v="3.6667913333333302"/>
    <n v="0.81969999999999998"/>
    <n v="0.99"/>
    <n v="0"/>
    <n v="65235"/>
    <n v="35250.25"/>
    <n v="43785"/>
    <n v="34579"/>
    <n v="178849.25"/>
    <n v="210310.33"/>
    <n v="31461.08"/>
    <n v="31461.08"/>
    <n v="210310.33"/>
    <n v="210310.33"/>
    <n v="209889.70934"/>
    <n v="17050"/>
    <n v="16700"/>
    <n v="15600"/>
    <n v="19540"/>
    <n v="19760"/>
    <n v="31380"/>
    <n v="26320"/>
    <n v="26580"/>
    <n v="31700"/>
    <n v="26950"/>
    <n v="231580"/>
    <n v="263041.08"/>
    <n v="1585.62"/>
    <n v="0.52839999999999998"/>
    <n v="0.51759999999999995"/>
    <n v="0.54390000000000005"/>
    <n v="0.54210000000000003"/>
    <n v="0.5292"/>
    <n v="0.80710000000000004"/>
    <n v="0.78149999999999997"/>
    <n v="0.78920000000000001"/>
    <n v="0.81530000000000002"/>
    <n v="0.80020000000000002"/>
    <n v="1.2948334980437399"/>
    <n v="2.94140321678322"/>
    <n v="4.8600000000000003"/>
    <n v="4.9000000000000004"/>
    <m/>
    <n v="4.7300000000000004"/>
    <n v="4.78"/>
    <n v="4.8174999999999999"/>
    <n v="0.66549999999999998"/>
    <n v="0.61056631381073501"/>
    <n v="0.998"/>
    <n v="71500"/>
    <n v="56992"/>
    <n v="10000"/>
    <n v="300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35"/>
    <n v="259826.83440779499"/>
    <n v="4.4733333333333301"/>
    <n v="3.6667913333333302"/>
    <n v="0.81969999999999998"/>
    <n v="0.99"/>
    <n v="19340.5"/>
    <n v="68117"/>
    <n v="29715"/>
    <n v="37489"/>
    <n v="29216"/>
    <n v="183877.5"/>
    <n v="153261.17000000001"/>
    <n v="-30616.33"/>
    <n v="0"/>
    <n v="183877.5"/>
    <n v="183877.5"/>
    <n v="152954.64765999999"/>
    <n v="11140"/>
    <n v="10840"/>
    <n v="10010"/>
    <n v="12680"/>
    <n v="12950"/>
    <n v="13520"/>
    <n v="11410"/>
    <n v="11360"/>
    <n v="13230"/>
    <n v="11780"/>
    <n v="118920"/>
    <n v="118920"/>
    <n v="1327.91"/>
    <n v="0.94850000000000001"/>
    <n v="0.92300000000000004"/>
    <n v="0.95840000000000003"/>
    <n v="0.97919999999999996"/>
    <n v="0.99350000000000005"/>
    <n v="1"/>
    <n v="0.9798"/>
    <n v="0.97609999999999997"/>
    <n v="0.98460000000000003"/>
    <n v="1"/>
    <n v="0.64673491862789101"/>
    <n v="2.5717132867132899"/>
    <n v="1.68"/>
    <n v="1.71"/>
    <m/>
    <n v="1.7"/>
    <n v="1.74"/>
    <n v="1.7075"/>
    <n v="0.97609999999999997"/>
    <n v="1.5061278399492199"/>
    <n v="0.998"/>
    <n v="71500"/>
    <n v="56992"/>
    <n v="20000"/>
    <n v="300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36"/>
    <n v="259826.83440779499"/>
    <n v="4.4733333333333301"/>
    <n v="3.6667913333333302"/>
    <n v="0.81969999999999998"/>
    <n v="0.99"/>
    <n v="62562"/>
    <n v="62394.5"/>
    <n v="49835.75"/>
    <n v="55116.5"/>
    <n v="45778"/>
    <n v="275686.75"/>
    <n v="281526.67"/>
    <n v="5839.9199999999801"/>
    <n v="5839.9199999999801"/>
    <n v="281526.67"/>
    <n v="281526.67"/>
    <n v="280963.61666"/>
    <n v="28930"/>
    <n v="28160"/>
    <n v="26670"/>
    <n v="33510"/>
    <n v="34350"/>
    <n v="40740"/>
    <n v="34180"/>
    <n v="34410"/>
    <n v="40430"/>
    <n v="34650"/>
    <n v="336030"/>
    <n v="341869.92"/>
    <n v="1240.8499999999999"/>
    <n v="0.73260000000000003"/>
    <n v="0.71309999999999996"/>
    <n v="0.75980000000000003"/>
    <n v="0.76349999999999996"/>
    <n v="0.76929999999999998"/>
    <n v="0.89190000000000003"/>
    <n v="0.86380000000000001"/>
    <n v="0.86960000000000004"/>
    <n v="0.8851"/>
    <n v="0.87570000000000003"/>
    <n v="1.21888338848349"/>
    <n v="3.9374359440559399"/>
    <n v="5.71"/>
    <n v="6.86"/>
    <m/>
    <n v="5.76"/>
    <n v="5.85"/>
    <n v="6.0449999999999999"/>
    <n v="0.81240000000000001"/>
    <n v="0.65135416775119004"/>
    <n v="0.998"/>
    <n v="71500"/>
    <n v="56992"/>
    <n v="20000"/>
    <n v="30030"/>
    <s v="The measurement at Weather Station 3 (STS-6) is not normal._x000a_The PR calculation for STS 6 &amp; STS 8 is done manually because WS 3 is still under repair (since 15 March 2025)"/>
  </r>
  <r>
    <x v="137"/>
    <n v="259826.83440779499"/>
    <n v="4.4733333333333301"/>
    <n v="3.6667913333333302"/>
    <n v="0.81969999999999998"/>
    <n v="0.99"/>
    <n v="56840.5"/>
    <n v="56610.5"/>
    <n v="44337.25"/>
    <n v="48980"/>
    <n v="41205"/>
    <n v="247973.25"/>
    <n v="228080"/>
    <n v="-19893.25"/>
    <n v="0"/>
    <n v="247973.25"/>
    <n v="247973.25"/>
    <n v="227623.84"/>
    <n v="23050"/>
    <n v="22530"/>
    <n v="21010"/>
    <n v="26650"/>
    <n v="27130"/>
    <n v="30390"/>
    <n v="25760"/>
    <n v="25570"/>
    <n v="29460"/>
    <n v="26450"/>
    <n v="258000"/>
    <n v="258000"/>
    <n v="1364.86"/>
    <n v="0.83489999999999998"/>
    <n v="0.81610000000000005"/>
    <n v="0.85619999999999996"/>
    <n v="0.85089999999999999"/>
    <n v="0.8417"/>
    <n v="0.90659999999999996"/>
    <n v="0.88719999999999999"/>
    <n v="0.88060000000000005"/>
    <n v="0.87890000000000001"/>
    <n v="0.91090000000000004"/>
    <n v="1.0404348049638401"/>
    <n v="3.46815734265734"/>
    <n v="4.1900000000000004"/>
    <n v="4.2300000000000004"/>
    <m/>
    <n v="4.1100000000000003"/>
    <n v="4.09"/>
    <n v="4.1550000000000002"/>
    <n v="0.86639999999999995"/>
    <n v="0.83469490798010604"/>
    <n v="0.998"/>
    <n v="71500"/>
    <n v="56992"/>
    <n v="20000"/>
    <n v="30030"/>
    <s v="The measurement at Weather Station 3 (STS-6) is not normal._x000a_The PR calculation for STS 6 &amp; STS 8 is done manually because WS 3 is still under repair (since 15 March 2025)"/>
  </r>
  <r>
    <x v="138"/>
    <n v="259826.83440779499"/>
    <n v="4.4733333333333301"/>
    <n v="3.6667913333333302"/>
    <n v="0.81969999999999998"/>
    <n v="0.99"/>
    <n v="64536.5"/>
    <n v="64499"/>
    <n v="46563.75"/>
    <n v="49757.5"/>
    <n v="44247"/>
    <n v="269603.75"/>
    <n v="239824.17"/>
    <n v="-29779.58"/>
    <n v="0"/>
    <n v="269603.75"/>
    <n v="269603.75"/>
    <n v="239344.52166"/>
    <n v="18970"/>
    <n v="18390"/>
    <n v="17120"/>
    <n v="21600"/>
    <n v="22170"/>
    <n v="23810"/>
    <n v="20300"/>
    <n v="19910"/>
    <n v="22890"/>
    <n v="20430"/>
    <n v="205590"/>
    <n v="205590"/>
    <n v="1470.4"/>
    <n v="0.86209999999999998"/>
    <n v="0.8357"/>
    <n v="0.87529999999999997"/>
    <n v="0.87760000000000005"/>
    <n v="0.88429999999999997"/>
    <n v="0.92430000000000001"/>
    <n v="0.90969999999999995"/>
    <n v="0.89219999999999999"/>
    <n v="0.88859999999999995"/>
    <n v="0.91549999999999998"/>
    <n v="0.76256357710157996"/>
    <n v="3.7706818181818198"/>
    <n v="3.22"/>
    <n v="3.29"/>
    <m/>
    <n v="3.23"/>
    <n v="3.26"/>
    <n v="3.25"/>
    <n v="0.88649999999999995"/>
    <n v="1.1602097902097901"/>
    <n v="0.998"/>
    <n v="71500"/>
    <n v="56992"/>
    <n v="20000"/>
    <n v="30030"/>
    <s v="The measurement at Weather Station 3 (STS-6) is not normal._x000a_The PR calculation for STS 6 &amp; STS 8 is done manually because WS 3 is still under repair (since 15 March 2025)"/>
  </r>
  <r>
    <x v="139"/>
    <n v="259826.83440779499"/>
    <n v="4.4733333333333301"/>
    <n v="3.6667913333333302"/>
    <n v="0.81969999999999998"/>
    <n v="0.99"/>
    <n v="55477"/>
    <n v="55555.5"/>
    <n v="44622.25"/>
    <n v="47937"/>
    <n v="41549"/>
    <n v="245140.75"/>
    <n v="229026.83"/>
    <n v="-16113.92"/>
    <n v="0"/>
    <n v="245140.75"/>
    <n v="245140.75"/>
    <n v="228568.77634000001"/>
    <n v="20460"/>
    <n v="20280"/>
    <n v="19180"/>
    <n v="24300"/>
    <n v="15570"/>
    <n v="28420"/>
    <n v="22570"/>
    <n v="22390"/>
    <n v="24910"/>
    <n v="22140"/>
    <n v="220220"/>
    <n v="220220"/>
    <n v="1544.72"/>
    <n v="0.76160000000000005"/>
    <n v="0.75470000000000004"/>
    <n v="0.80320000000000003"/>
    <n v="0.76470000000000005"/>
    <n v="0.49340000000000001"/>
    <n v="1"/>
    <n v="0.95509999999999995"/>
    <n v="0.94750000000000001"/>
    <n v="0.91310000000000002"/>
    <n v="0.93689999999999996"/>
    <n v="0.89834105508773998"/>
    <n v="3.42854195804196"/>
    <n v="3.41"/>
    <n v="4.1399999999999997"/>
    <m/>
    <n v="4.17"/>
    <n v="3.98"/>
    <n v="3.9249999999999998"/>
    <n v="0.83720000000000006"/>
    <n v="0.873513874660371"/>
    <n v="0.998"/>
    <n v="71500"/>
    <n v="56992"/>
    <n v="20000"/>
    <n v="30030"/>
    <s v="The measurement at Weather Station 3 (STS-6) is not normal._x000a_The PR calculation for STS 6 &amp; STS 8 is done manually because WS 3 is still under repair (since 15 March 2025)"/>
  </r>
  <r>
    <x v="140"/>
    <n v="259826.83440779499"/>
    <n v="4.4733333333333301"/>
    <n v="3.6667913333333302"/>
    <n v="0.81969999999999998"/>
    <n v="0.99"/>
    <n v="62195"/>
    <n v="61896.5"/>
    <n v="50897.25"/>
    <n v="54278"/>
    <n v="46533"/>
    <n v="275799.75"/>
    <n v="278862.5"/>
    <n v="3062.75"/>
    <n v="3062.75"/>
    <n v="278862.5"/>
    <n v="278862.5"/>
    <n v="277747.05"/>
    <n v="27810"/>
    <n v="27880"/>
    <n v="24660"/>
    <n v="31420"/>
    <n v="30850"/>
    <n v="38810"/>
    <n v="31790"/>
    <n v="32730"/>
    <n v="37880"/>
    <n v="32350"/>
    <n v="316180"/>
    <n v="319242.75"/>
    <n v="1353.75"/>
    <n v="0.65810000000000002"/>
    <n v="0.65969999999999995"/>
    <n v="0.65649999999999997"/>
    <n v="0.69889999999999997"/>
    <n v="0.73070000000000002"/>
    <n v="0.87560000000000004"/>
    <n v="0.82799999999999996"/>
    <n v="0.85240000000000005"/>
    <n v="0.8548"/>
    <n v="0.84260000000000002"/>
    <n v="1.1464114815187501"/>
    <n v="3.9001748251748301"/>
    <n v="5.54"/>
    <n v="5.54"/>
    <m/>
    <n v="5.9"/>
    <n v="6.26"/>
    <n v="5.81"/>
    <n v="0.76570000000000005"/>
    <n v="0.67128654478052097"/>
    <n v="0.996"/>
    <n v="71500"/>
    <n v="56992"/>
    <n v="20000"/>
    <n v="30030"/>
    <s v="The measurement at Weather Station 3 (STS-6) is not normal._x000a_The PR calculation for STS 6 &amp; STS 8 is done manually because WS 3 is still under repair (since 15 March 2025)"/>
  </r>
  <r>
    <x v="141"/>
    <n v="259826.83440779499"/>
    <n v="4.4733333333333301"/>
    <n v="3.6667913333333302"/>
    <n v="0.81969999999999998"/>
    <n v="0.99"/>
    <n v="50466"/>
    <n v="50291"/>
    <n v="27847"/>
    <n v="33462.5"/>
    <n v="27166"/>
    <n v="189232.5"/>
    <n v="236743.33"/>
    <n v="47510.83"/>
    <n v="47510.83"/>
    <n v="236743.33"/>
    <n v="236743.33"/>
    <n v="235796.35668"/>
    <n v="18340"/>
    <n v="18430"/>
    <n v="17020"/>
    <n v="21010"/>
    <n v="21640"/>
    <n v="23760"/>
    <n v="19750"/>
    <n v="19600"/>
    <n v="23220"/>
    <n v="20290"/>
    <n v="203060"/>
    <n v="250570.83"/>
    <n v="1348.59"/>
    <n v="0.7611"/>
    <n v="0.76480000000000004"/>
    <n v="0.79459999999999997"/>
    <n v="0.77890000000000004"/>
    <n v="0.83530000000000004"/>
    <n v="0.87870000000000004"/>
    <n v="0.84319999999999995"/>
    <n v="0.83679999999999999"/>
    <n v="0.85670000000000002"/>
    <n v="0.86819999999999997"/>
    <n v="1.0730714861347801"/>
    <n v="3.3110955244755198"/>
    <n v="3.38"/>
    <n v="3.4"/>
    <m/>
    <n v="3.54"/>
    <n v="3.57"/>
    <n v="3.4725000000000001"/>
    <n v="0.82179999999999997"/>
    <n v="0.95351922951058998"/>
    <n v="0.996"/>
    <n v="71500"/>
    <n v="56992"/>
    <n v="20000"/>
    <n v="30030"/>
    <s v="The measurement at Weather Station 3 (STS-6) is not normal._x000a_The PR calculation for STS 6 &amp; STS 8 is done manually because WS 3 is still under repair (since 15 March 2025)"/>
  </r>
  <r>
    <x v="142"/>
    <n v="259826.83440779499"/>
    <n v="4.4733333333333301"/>
    <n v="3.6667913333333302"/>
    <n v="0.81969999999999998"/>
    <n v="0.99"/>
    <n v="61021"/>
    <n v="60973"/>
    <n v="42104"/>
    <n v="47258"/>
    <n v="40309"/>
    <n v="251665"/>
    <n v="241637.67"/>
    <n v="-10027.33"/>
    <n v="0"/>
    <n v="251665"/>
    <n v="251665"/>
    <n v="240671.11932"/>
    <n v="21590"/>
    <n v="24150"/>
    <n v="22820"/>
    <n v="27240"/>
    <n v="29400"/>
    <n v="24480"/>
    <n v="20890"/>
    <n v="20680"/>
    <n v="23880"/>
    <n v="19930"/>
    <n v="235060"/>
    <n v="235060"/>
    <n v="1397.18"/>
    <n v="0.7319"/>
    <n v="0.81869999999999998"/>
    <n v="0.87029999999999996"/>
    <n v="0.82369999999999999"/>
    <n v="0.88290000000000002"/>
    <n v="0.70830000000000004"/>
    <n v="0.69779999999999998"/>
    <n v="0.69079999999999997"/>
    <n v="0.69099999999999995"/>
    <n v="0.66569999999999996"/>
    <n v="0.93401943059225601"/>
    <n v="3.5197902097902101"/>
    <n v="4.32"/>
    <n v="4.37"/>
    <m/>
    <n v="4.34"/>
    <n v="4.37"/>
    <n v="4.3499999999999996"/>
    <n v="0.7581"/>
    <n v="0.80914717466441599"/>
    <n v="0.996"/>
    <n v="71500"/>
    <n v="56992"/>
    <n v="20000"/>
    <n v="30030"/>
    <s v="The measurement at Weather Station 3 (STS-6) is not normal._x000a_The PR calculation for STS 6 &amp; STS 8 is done manually because WS 3 is still under repair (since 15 March 2025)"/>
  </r>
  <r>
    <x v="143"/>
    <n v="259826.83440779499"/>
    <n v="4.4733333333333301"/>
    <n v="3.6667913333333302"/>
    <n v="0.81969999999999998"/>
    <n v="0.99"/>
    <n v="52365"/>
    <n v="52343"/>
    <n v="35698"/>
    <n v="45642"/>
    <n v="36596"/>
    <n v="222644"/>
    <n v="203155.5"/>
    <n v="-19488.5"/>
    <n v="0"/>
    <n v="222644"/>
    <n v="222644"/>
    <n v="202342.878"/>
    <n v="19090"/>
    <n v="19280"/>
    <n v="17630"/>
    <n v="21410"/>
    <n v="22510"/>
    <n v="24510"/>
    <n v="20580"/>
    <n v="20390"/>
    <n v="23760"/>
    <n v="19360"/>
    <n v="208520"/>
    <n v="208520"/>
    <n v="1489.3"/>
    <n v="0.82"/>
    <n v="0.82"/>
    <n v="0.85"/>
    <n v="0.79"/>
    <n v="0.86"/>
    <n v="0.93"/>
    <n v="0.9"/>
    <n v="0.89"/>
    <n v="0.9"/>
    <n v="0.85"/>
    <n v="0.93656240455615203"/>
    <n v="3.1139020979021002"/>
    <n v="3.3"/>
    <n v="3.45"/>
    <m/>
    <n v="3.54"/>
    <n v="3.47"/>
    <n v="3.44"/>
    <n v="0.86009999999999998"/>
    <n v="0.90520409822735404"/>
    <n v="0.996"/>
    <n v="71500"/>
    <n v="56992"/>
    <n v="20000"/>
    <n v="26831"/>
    <s v="The measurement at Weather Station 3 (STS-6) is not normal._x000a_The PR calculation for STS 6 &amp; STS 8 is done manually because WS 3 is still under repair (since 15 March 2025)"/>
  </r>
  <r>
    <x v="144"/>
    <n v="259826.83440779499"/>
    <n v="4.4733333333333301"/>
    <n v="3.6667913333333302"/>
    <n v="0.81969999999999998"/>
    <n v="0.99"/>
    <n v="28461.5"/>
    <n v="28246.5"/>
    <n v="24093.5"/>
    <n v="30188.5"/>
    <n v="25244"/>
    <n v="136234"/>
    <n v="111508.83"/>
    <n v="-24725.17"/>
    <n v="0"/>
    <n v="136234"/>
    <n v="136234"/>
    <n v="110728.26819"/>
    <n v="13580"/>
    <n v="13610"/>
    <n v="12640"/>
    <n v="15240"/>
    <n v="16380"/>
    <n v="17460"/>
    <n v="14110"/>
    <n v="14510"/>
    <n v="17880"/>
    <n v="13640"/>
    <n v="149050"/>
    <n v="149050"/>
    <n v="1449.55"/>
    <n v="0.84"/>
    <n v="0.84"/>
    <n v="0.88"/>
    <n v="0.83"/>
    <n v="0.92"/>
    <n v="0.94"/>
    <n v="0.87"/>
    <n v="0.9"/>
    <n v="0.96"/>
    <n v="0.84"/>
    <n v="1.09407343247647"/>
    <n v="1.9053706293706301"/>
    <n v="2.33"/>
    <n v="2.33"/>
    <m/>
    <n v="2.4"/>
    <n v="2.39"/>
    <n v="2.3624999999999998"/>
    <n v="0.88360000000000005"/>
    <n v="0.80650608650608602"/>
    <n v="0.99299999999999999"/>
    <n v="71500"/>
    <n v="56992"/>
    <n v="12347"/>
    <n v="30030"/>
    <s v="The measurement at Weather Station 3 (STS-6) is not normal._x000a_Trip at OG.3 due to auto reclose at NST.5._x000a_The PR calculation for STS 6 &amp; STS 8 is done manually because WS 3 is still under repair (since 15 March 2025)"/>
  </r>
  <r>
    <x v="145"/>
    <n v="259826.83440779499"/>
    <n v="4.4733333333333301"/>
    <n v="3.6667913333333302"/>
    <n v="0.81969999999999998"/>
    <n v="0.99"/>
    <n v="73143.5"/>
    <n v="14.5"/>
    <n v="36373.5"/>
    <n v="41002.5"/>
    <n v="36696"/>
    <n v="187230"/>
    <n v="195819.67"/>
    <n v="8589.6700000000092"/>
    <n v="8589.6700000000092"/>
    <n v="195819.67"/>
    <n v="195819.67"/>
    <n v="194448.93231"/>
    <n v="13470"/>
    <n v="13050"/>
    <n v="12470"/>
    <n v="15290"/>
    <n v="16000"/>
    <n v="26550"/>
    <n v="22210"/>
    <n v="22100"/>
    <n v="25670"/>
    <n v="21020"/>
    <n v="187830"/>
    <n v="196419.67"/>
    <n v="1548.92"/>
    <n v="0.72"/>
    <n v="0.7"/>
    <n v="0.75"/>
    <n v="0.55000000000000004"/>
    <n v="0.57999999999999996"/>
    <n v="0.95"/>
    <n v="0.91"/>
    <n v="0.91"/>
    <n v="0.91"/>
    <n v="0.86"/>
    <n v="1.0032046146450899"/>
    <n v="2.7387366433566398"/>
    <n v="3.51"/>
    <n v="3.61"/>
    <m/>
    <n v="3.61"/>
    <n v="2.78"/>
    <n v="3.3774999999999999"/>
    <n v="0.78400000000000003"/>
    <n v="0.81087687442091605"/>
    <n v="0.99299999999999999"/>
    <n v="71500"/>
    <n v="56992"/>
    <n v="20000"/>
    <n v="30030"/>
    <s v="The measurement at Weather Station 3 (STS-6) is not normal._x000a_Power limitation on Busbar 1 (STS1-STS5) due to considerations of the feeder line capacity._x000a_The PR calculation for STS 6 &amp; STS 8 is done manually because WS 3 is still under repair (since 15 March 2025)"/>
  </r>
  <r>
    <x v="146"/>
    <n v="259826.83440779499"/>
    <n v="4.4733333333333301"/>
    <n v="3.6667913333333302"/>
    <n v="0.81969999999999998"/>
    <n v="0.99"/>
    <n v="64894.5"/>
    <n v="58496"/>
    <n v="51169"/>
    <n v="54017"/>
    <n v="48510"/>
    <n v="277086.5"/>
    <n v="296427.67"/>
    <n v="19341.169999999998"/>
    <n v="19341.169999999998"/>
    <n v="296427.67"/>
    <n v="296427.67"/>
    <n v="294352.67631000001"/>
    <n v="22820"/>
    <n v="23170"/>
    <n v="21370"/>
    <n v="26460"/>
    <n v="27330"/>
    <n v="35070"/>
    <n v="30010"/>
    <n v="29680"/>
    <n v="34070"/>
    <n v="28350"/>
    <n v="278330"/>
    <n v="297671.17"/>
    <n v="1545.69"/>
    <n v="0.6552"/>
    <n v="0.66520000000000001"/>
    <n v="0.69020000000000004"/>
    <n v="0.69310000000000005"/>
    <n v="1"/>
    <n v="0.875"/>
    <n v="0.86439999999999995"/>
    <n v="0.85489999999999999"/>
    <n v="0.85"/>
    <n v="0.8165"/>
    <n v="1.0044877682600899"/>
    <n v="4.1458415384615401"/>
    <n v="5.01"/>
    <n v="2.19"/>
    <m/>
    <n v="5.01"/>
    <n v="5.16"/>
    <n v="4.3425000000000002"/>
    <n v="0.86019999999999996"/>
    <n v="0.95471307736592703"/>
    <n v="0.99299999999999999"/>
    <n v="71500"/>
    <n v="56992"/>
    <n v="20000"/>
    <n v="30030"/>
    <s v="The measurement at Weather Station 3 (STS-6) is not normal._x000a_The PR calculation for STS 6 &amp; STS 8 is done manually because WS 3 is still under repair (since 15 March 2025)"/>
  </r>
  <r>
    <x v="147"/>
    <n v="259826.83440779499"/>
    <n v="4.4733333333333301"/>
    <n v="3.6667913333333302"/>
    <n v="0.81969999999999998"/>
    <n v="0.99"/>
    <n v="52900.2"/>
    <n v="52811.98"/>
    <n v="44471.5"/>
    <n v="33583"/>
    <n v="43506"/>
    <n v="227272.68"/>
    <n v="196012.5"/>
    <n v="-31260.18"/>
    <n v="0"/>
    <n v="227272.68"/>
    <n v="227272.68"/>
    <n v="194640.41250000001"/>
    <n v="20360"/>
    <n v="21250"/>
    <n v="19840"/>
    <n v="24600"/>
    <n v="26360"/>
    <n v="28700"/>
    <n v="23800"/>
    <n v="24150"/>
    <n v="28210"/>
    <n v="22990"/>
    <n v="240260"/>
    <n v="240260"/>
    <n v="1410.97"/>
    <n v="0.81079999999999997"/>
    <n v="0.84619999999999995"/>
    <n v="0.88880000000000003"/>
    <n v="0.81940000000000002"/>
    <n v="0.86480000000000001"/>
    <n v="0.92220000000000002"/>
    <n v="0.88290000000000002"/>
    <n v="0.89590000000000003"/>
    <n v="0.90629999999999999"/>
    <n v="0.8528"/>
    <n v="1.0571442198859999"/>
    <n v="3.1786388811188799"/>
    <n v="3.89"/>
    <n v="4"/>
    <m/>
    <n v="3.94"/>
    <n v="3.72"/>
    <n v="3.8875000000000002"/>
    <n v="0.86899999999999999"/>
    <n v="0.81765630382479204"/>
    <n v="0.99299999999999999"/>
    <n v="71500"/>
    <n v="56992"/>
    <n v="20000"/>
    <n v="20000"/>
    <s v="The measurement at Weather Station 3 (STS-6) is not normal._x000a_The PR calculation for STS 6 &amp; STS 8 is done manually because WS 3 is still under repair (since 15 March 2025)"/>
  </r>
  <r>
    <x v="148"/>
    <n v="259826.83440779499"/>
    <n v="4.4733333333333301"/>
    <n v="3.6667913333333302"/>
    <n v="0.81969999999999998"/>
    <n v="0.99"/>
    <n v="61856.33"/>
    <n v="61944.55"/>
    <n v="73899"/>
    <n v="0"/>
    <n v="54265"/>
    <n v="251964.88"/>
    <n v="280652.67"/>
    <n v="28687.79"/>
    <n v="28687.79"/>
    <n v="280652.67"/>
    <n v="280652.67"/>
    <n v="278688.10131"/>
    <n v="22970"/>
    <n v="23620"/>
    <n v="21750"/>
    <n v="26900"/>
    <n v="27920"/>
    <n v="28300"/>
    <n v="23340"/>
    <n v="23880"/>
    <n v="27760"/>
    <n v="23490"/>
    <n v="249930"/>
    <n v="278617.78999999998"/>
    <n v="1489.64"/>
    <n v="0.68889999999999996"/>
    <n v="0.70840000000000003"/>
    <n v="0.73380000000000001"/>
    <n v="0.71460000000000001"/>
    <n v="0.73870000000000002"/>
    <n v="0.7117"/>
    <n v="0.67769999999999997"/>
    <n v="0.69330000000000003"/>
    <n v="0.69820000000000004"/>
    <n v="0.68200000000000005"/>
    <n v="0.99192395384626597"/>
    <n v="3.9252121678321701"/>
    <n v="4.97"/>
    <n v="4.96"/>
    <m/>
    <n v="4.9400000000000004"/>
    <n v="4.9400000000000004"/>
    <n v="4.9524999999999997"/>
    <n v="0.70469999999999999"/>
    <n v="0.79257186629624798"/>
    <n v="0.99299999999999999"/>
    <n v="71500"/>
    <n v="56992"/>
    <n v="20000"/>
    <n v="18333"/>
    <s v="The measurement at Weather Station 3 (STS-6) is not normal._x000a_Power limitation on Busbar 1 and 2 (STS1-STS10) due to considerations of the feeder line capacity._x000a_Intermittent on the connector phase T-OG.4._x000a_The PR calculation for STS 6 &amp; STS 8 is done manually because WS 3 is still under repair (since 15 March 2025)"/>
  </r>
  <r>
    <x v="149"/>
    <n v="259826.83440779499"/>
    <n v="4.4733333333333301"/>
    <n v="3.6667913333333302"/>
    <n v="0.81969999999999998"/>
    <n v="0.99"/>
    <n v="36706.559999999998"/>
    <n v="36706.559999999998"/>
    <n v="38193"/>
    <n v="0"/>
    <n v="38963"/>
    <n v="150569.12"/>
    <n v="149622.5"/>
    <n v="-946.619999999995"/>
    <n v="0"/>
    <n v="150569.12"/>
    <n v="150569.12"/>
    <n v="148575.14249999999"/>
    <n v="11560"/>
    <n v="12090"/>
    <n v="11340"/>
    <n v="13680"/>
    <n v="14760"/>
    <n v="14980"/>
    <n v="11830"/>
    <n v="12560"/>
    <n v="14660"/>
    <n v="11930"/>
    <n v="129390"/>
    <n v="129390"/>
    <n v="1527.77"/>
    <n v="0.80779999999999996"/>
    <n v="0.84489999999999998"/>
    <n v="0.89149999999999996"/>
    <n v="0.81979999999999997"/>
    <n v="0.85329999999999995"/>
    <n v="0.84730000000000005"/>
    <n v="0.77239999999999998"/>
    <n v="0.82010000000000005"/>
    <n v="0.82920000000000005"/>
    <n v="0.77900000000000003"/>
    <n v="0.85933955116427596"/>
    <n v="2.1058618181818201"/>
    <n v="2.21"/>
    <n v="2.27"/>
    <m/>
    <n v="2.19"/>
    <n v="2.12"/>
    <n v="2.1974999999999998"/>
    <n v="0.82650000000000001"/>
    <n v="0.95829889337056595"/>
    <n v="0.99299999999999999"/>
    <n v="71500"/>
    <n v="56992"/>
    <n v="20000"/>
    <n v="20000"/>
    <s v="The measurement at Weather Station 3 (STS-6) is not normal._x000a_Power limitation on Busbar 1 and 2 (STS1-STS10) due to considerations of the feeder line capacity._x000a_Intermittent on the connector phase T-OG.4._x000a_The PR calculation for STS 6 &amp; STS 8 is done manually because WS 3 is still under repair (since 15 March 2025)"/>
  </r>
  <r>
    <x v="150"/>
    <n v="259826.83440779499"/>
    <n v="4.4733333333333301"/>
    <n v="3.6667913333333302"/>
    <n v="0.81969999999999998"/>
    <n v="0.99"/>
    <n v="66481.740000000005"/>
    <n v="66367.23"/>
    <n v="65312.53"/>
    <n v="79342.05"/>
    <n v="61723.12"/>
    <n v="339226.67"/>
    <n v="273077.33"/>
    <n v="-66149.34"/>
    <n v="0"/>
    <n v="339226.67"/>
    <n v="339226.67"/>
    <n v="271165.78869000002"/>
    <n v="23790"/>
    <n v="24370"/>
    <n v="22350"/>
    <n v="27460"/>
    <n v="28840"/>
    <n v="29360"/>
    <n v="23880"/>
    <n v="24580"/>
    <n v="28420"/>
    <n v="23980"/>
    <n v="257030"/>
    <n v="257030"/>
    <n v="1376.97"/>
    <n v="0.64080000000000004"/>
    <n v="0.65639999999999998"/>
    <n v="0.67730000000000001"/>
    <n v="0.75390000000000001"/>
    <n v="0.75700000000000001"/>
    <n v="0.75829999999999997"/>
    <n v="0.71199999999999997"/>
    <n v="0.73280000000000001"/>
    <n v="0.73399999999999999"/>
    <n v="0.71489999999999998"/>
    <n v="0.757693963154489"/>
    <n v="4.7444289510489499"/>
    <n v="4.84"/>
    <n v="5"/>
    <m/>
    <n v="4.78"/>
    <n v="5.5"/>
    <n v="5.03"/>
    <n v="0.7137"/>
    <n v="0.94322643162007003"/>
    <n v="0.99299999999999999"/>
    <n v="71500"/>
    <n v="56992"/>
    <n v="14403"/>
    <n v="29375"/>
    <s v="The measurement at Weather Station 3 (STS-6) is not normal._x000a_Power limitation on Busbar 1 and 2 (STS1-STS10) due to considerations of the feeder line capacity._x000a_The PR calculation for STS 6 &amp; STS 8 is done manually because WS 3 is still under repair (since 15 March 2025)"/>
  </r>
  <r>
    <x v="151"/>
    <n v="255977.841935484"/>
    <n v="4.3290322580645197"/>
    <n v="3.54850774193548"/>
    <n v="0.81969999999999998"/>
    <n v="0.99"/>
    <n v="65947.820000000007"/>
    <n v="15064.69"/>
    <n v="38491.370000000003"/>
    <n v="43945.86"/>
    <n v="39208.17"/>
    <n v="202657.91"/>
    <n v="221405.33"/>
    <n v="18747.419999999998"/>
    <n v="18747.419999999998"/>
    <n v="221405.33"/>
    <n v="221405.33"/>
    <n v="219855.49269000001"/>
    <n v="19450"/>
    <n v="19770"/>
    <n v="18310"/>
    <n v="22990"/>
    <n v="23420"/>
    <n v="32750"/>
    <n v="25690"/>
    <n v="27330"/>
    <n v="31240"/>
    <n v="25820"/>
    <n v="246770"/>
    <n v="265517.42"/>
    <n v="1495.41"/>
    <n v="0.61819999999999997"/>
    <n v="0.62839999999999996"/>
    <n v="0.65480000000000005"/>
    <n v="0.66020000000000001"/>
    <n v="0.67110000000000003"/>
    <n v="0.92820000000000003"/>
    <n v="0.8407"/>
    <n v="0.89429999999999998"/>
    <n v="0.88549999999999995"/>
    <n v="0.8448"/>
    <n v="1.21766774363754"/>
    <n v="3.0965780419580402"/>
    <n v="4.41"/>
    <n v="4.58"/>
    <m/>
    <n v="4.57"/>
    <n v="4.66"/>
    <n v="4.5549999999999997"/>
    <n v="0.76259999999999994"/>
    <n v="0.679819548179592"/>
    <n v="0.99299999999999999"/>
    <n v="71500"/>
    <n v="56992"/>
    <n v="20000"/>
    <n v="30030"/>
    <s v="The measurement at Weather Station 3 (STS-6) is not normal._x000a_Request outage OG.2 GSK.2 due to coupler maintenance at GI Gersik_x000a_The PR calculation for STS 6 &amp; STS 8 is done manually because WS 3 is still under repair (since 15 March 2025)"/>
  </r>
  <r>
    <x v="152"/>
    <n v="255977.841935484"/>
    <n v="4.3290322580645197"/>
    <n v="3.54850774193548"/>
    <n v="0.81969999999999998"/>
    <n v="0.99"/>
    <n v="74489.81"/>
    <n v="74206.02"/>
    <n v="58436.36"/>
    <n v="62479.71"/>
    <n v="55284.56"/>
    <n v="324896.46000000002"/>
    <n v="230224.67"/>
    <n v="-94671.79"/>
    <n v="0"/>
    <n v="324896.46000000002"/>
    <n v="324896.46000000002"/>
    <n v="228613.09731000001"/>
    <n v="16170"/>
    <n v="16570"/>
    <n v="15180"/>
    <n v="19140"/>
    <n v="19380"/>
    <n v="21970"/>
    <n v="17080"/>
    <n v="18530"/>
    <n v="21810"/>
    <n v="17520"/>
    <n v="183350"/>
    <n v="183350"/>
    <n v="1657.68"/>
    <n v="0.76280000000000003"/>
    <n v="0.78200000000000003"/>
    <n v="0.80589999999999995"/>
    <n v="0.82079999999999997"/>
    <n v="0.83640000000000003"/>
    <n v="0.91830000000000001"/>
    <n v="0.82450000000000001"/>
    <n v="0.89429999999999998"/>
    <n v="0.91200000000000003"/>
    <n v="0.84530000000000005"/>
    <n v="0.56433363416763604"/>
    <n v="4.5440064335664303"/>
    <n v="2.99"/>
    <n v="3.04"/>
    <m/>
    <n v="3.06"/>
    <n v="3.14"/>
    <n v="3.0575000000000001"/>
    <n v="0.84019999999999995"/>
    <n v="1.4861836250421701"/>
    <n v="0.99299999999999999"/>
    <n v="71500"/>
    <n v="56992"/>
    <n v="20000"/>
    <n v="30030"/>
    <s v="The measurement at Weather Station 3 (STS-6) is not normal._x000a_The PR calculation for STS 6 &amp; STS 8 is done manually because WS 3 is still under repair (since 15 March 2025)"/>
  </r>
  <r>
    <x v="153"/>
    <n v="255977.841935484"/>
    <n v="4.3290322580645197"/>
    <n v="3.54850774193548"/>
    <n v="0.81969999999999998"/>
    <n v="0.99"/>
    <n v="47324.17"/>
    <n v="47390.1"/>
    <n v="35422.44"/>
    <n v="39806.97"/>
    <n v="34092.559999999998"/>
    <n v="204036.24"/>
    <n v="290889.83"/>
    <n v="86853.59"/>
    <n v="86853.59"/>
    <n v="290889.83"/>
    <n v="290889.83"/>
    <n v="288853.60119000002"/>
    <n v="24670"/>
    <n v="24850"/>
    <n v="23340"/>
    <n v="28990"/>
    <n v="29810"/>
    <n v="36310"/>
    <n v="28160"/>
    <n v="30960"/>
    <n v="36260"/>
    <n v="28860"/>
    <n v="292210"/>
    <n v="379063.59"/>
    <n v="1461.3"/>
    <n v="0.69089999999999996"/>
    <n v="0.69589999999999996"/>
    <n v="0.73529999999999995"/>
    <n v="0.72740000000000005"/>
    <n v="0.748"/>
    <n v="0.88819999999999999"/>
    <n v="0.79520000000000002"/>
    <n v="0.87429999999999997"/>
    <n v="0.88700000000000001"/>
    <n v="0.81499999999999995"/>
    <n v="1.43214754398532"/>
    <n v="4.0683892307692302"/>
    <n v="5.1100000000000003"/>
    <n v="5.23"/>
    <m/>
    <n v="5.23"/>
    <n v="5.29"/>
    <n v="5.2149999999999999"/>
    <n v="0.78569999999999995"/>
    <n v="0.78013216313887501"/>
    <n v="0.99299999999999999"/>
    <n v="71500"/>
    <n v="56992"/>
    <n v="20000"/>
    <n v="30030"/>
    <s v="The measurement at Weather Station 3 (STS-6) is not normal._x000a_The PR calculation for STS 6 &amp; STS 8 is done manually because WS 3 is still under repair (since 15 March 2025)"/>
  </r>
  <r>
    <x v="154"/>
    <n v="255977.841935484"/>
    <n v="4.3290322580645197"/>
    <n v="3.54850774193548"/>
    <n v="0.81969999999999998"/>
    <n v="0.99"/>
    <n v="52922.7"/>
    <n v="52543.44"/>
    <n v="46180"/>
    <n v="49936.5"/>
    <n v="43884"/>
    <n v="245466.64"/>
    <n v="260631.5"/>
    <n v="15164.86"/>
    <n v="15164.86"/>
    <n v="260631.5"/>
    <n v="260631.5"/>
    <n v="258807.07949999999"/>
    <n v="27520"/>
    <n v="27820"/>
    <n v="25530"/>
    <n v="32090"/>
    <n v="32670"/>
    <n v="39500"/>
    <n v="31520"/>
    <n v="33470"/>
    <n v="40520"/>
    <n v="31320"/>
    <n v="321960"/>
    <n v="337124.86"/>
    <n v="1560.12"/>
    <n v="0.68"/>
    <n v="0.69"/>
    <n v="0.71"/>
    <n v="0.74"/>
    <n v="0.74"/>
    <n v="0.86"/>
    <n v="0.8"/>
    <n v="0.84"/>
    <n v="0.89"/>
    <n v="0.8"/>
    <n v="1.3116242598179499"/>
    <n v="3.6451958041957999"/>
    <n v="5.72"/>
    <n v="5.82"/>
    <m/>
    <n v="5.72"/>
    <n v="6.01"/>
    <n v="5.8174999999999999"/>
    <n v="0.77229999999999999"/>
    <n v="0.62659145753258405"/>
    <n v="0.99299999999999999"/>
    <n v="71500"/>
    <n v="56992"/>
    <n v="11972"/>
    <n v="30030"/>
    <s v="The measurement at Weather Station 3 (STS-6) is not normal._x000a_The PR calculation for STS 6 &amp; STS 8 is done manually because WS 3 is still under repair (since 15 March 2025)"/>
  </r>
  <r>
    <x v="155"/>
    <n v="255977.841935484"/>
    <n v="4.3290322580645197"/>
    <n v="3.54850774193548"/>
    <n v="0.81969999999999998"/>
    <n v="0.99"/>
    <n v="63466.91"/>
    <n v="17996.34"/>
    <n v="26886.5"/>
    <n v="30862"/>
    <n v="27328"/>
    <n v="166539.75"/>
    <n v="293867.83"/>
    <n v="127328.08"/>
    <n v="127328.08"/>
    <n v="293867.83"/>
    <n v="293867.83"/>
    <n v="270681.65821299999"/>
    <n v="9730"/>
    <n v="9930"/>
    <n v="9120"/>
    <n v="11620"/>
    <n v="11610"/>
    <n v="31380"/>
    <n v="26180"/>
    <n v="26600"/>
    <n v="30610"/>
    <n v="25860"/>
    <n v="192640"/>
    <n v="319968.08"/>
    <n v="1505.84"/>
    <n v="0.32469999999999999"/>
    <n v="0.33129999999999998"/>
    <n v="0.34229999999999999"/>
    <n v="0.34660000000000002"/>
    <n v="0.34010000000000001"/>
    <n v="0.8659"/>
    <n v="0.80210000000000004"/>
    <n v="0.84730000000000005"/>
    <n v="0.84460000000000002"/>
    <n v="0.82379999999999998"/>
    <n v="1.15672084292188"/>
    <n v="4.1100395804195804"/>
    <n v="4.53"/>
    <n v="4.4800000000000004"/>
    <m/>
    <n v="4.4000000000000004"/>
    <n v="4.4400000000000004"/>
    <n v="4.4625000000000004"/>
    <n v="0.58689999999999998"/>
    <n v="0.92101727292315505"/>
    <n v="0.92110000000000003"/>
    <n v="71500"/>
    <n v="56992"/>
    <n v="20000"/>
    <n v="30030"/>
    <s v="The measurement at Weather Station 3 (STS-6) is not normal._x000a_Power limitation on Busbar 1 and 2 (STS1-STS10) due to considerations of the feeder line capacity._x000a_The PR calculation for STS 6 &amp; STS 8 is done manually because WS 3 is still under repair (since 15 March 2025)"/>
  </r>
  <r>
    <x v="156"/>
    <n v="255977.841935484"/>
    <n v="4.3290322580645197"/>
    <n v="3.54850774193548"/>
    <n v="0.81969999999999998"/>
    <n v="0.99"/>
    <n v="60546.5"/>
    <n v="60345.5"/>
    <n v="49327.5"/>
    <n v="54500"/>
    <n v="47177"/>
    <n v="271896.5"/>
    <n v="283572.17"/>
    <n v="11675.67"/>
    <n v="11675.67"/>
    <n v="283572.17"/>
    <n v="283572.17"/>
    <n v="281303.59263999999"/>
    <n v="21760"/>
    <n v="21570"/>
    <n v="20960"/>
    <n v="25950"/>
    <n v="26930"/>
    <n v="33010"/>
    <n v="25670"/>
    <n v="27460"/>
    <n v="31330"/>
    <n v="25110"/>
    <n v="259750"/>
    <n v="271425.67"/>
    <n v="1350.33"/>
    <n v="0.6744"/>
    <n v="0.66849999999999998"/>
    <n v="0.73080000000000001"/>
    <n v="0.70069999999999999"/>
    <n v="0.72719999999999996"/>
    <n v="0.90890000000000004"/>
    <n v="0.81589999999999996"/>
    <n v="0.87280000000000002"/>
    <n v="0.86260000000000003"/>
    <n v="0.79981000000000002"/>
    <n v="0.95532675117186105"/>
    <n v="3.96604433566434"/>
    <n v="4.54"/>
    <n v="4.8600000000000003"/>
    <m/>
    <n v="4.8600000000000003"/>
    <n v="4.78"/>
    <n v="4.76"/>
    <n v="0.77600000000000002"/>
    <n v="0.83320259152612097"/>
    <n v="0.99199999999999999"/>
    <n v="71500"/>
    <n v="56992"/>
    <n v="20000"/>
    <n v="30030"/>
    <s v="The measurement at Weather Station 3 (STS-6) is not normal._x000a_The PR calculation for STS 6 &amp; STS 8 is done manually because WS 3 is still under repair (since 15 March 2025)"/>
  </r>
  <r>
    <x v="157"/>
    <n v="255977.841935484"/>
    <n v="4.3290322580645197"/>
    <n v="3.54850774193548"/>
    <n v="0.81969999999999998"/>
    <n v="0.99"/>
    <n v="75633"/>
    <n v="75310"/>
    <n v="50542.5"/>
    <n v="58005.5"/>
    <n v="52094"/>
    <n v="311585"/>
    <n v="307515.5"/>
    <n v="-4069.5"/>
    <n v="0"/>
    <n v="311585"/>
    <n v="311585"/>
    <n v="305362.89150000003"/>
    <n v="28550"/>
    <n v="28560"/>
    <n v="26800"/>
    <n v="33070"/>
    <n v="34400"/>
    <n v="38130"/>
    <n v="29500"/>
    <n v="31610"/>
    <n v="37240"/>
    <n v="30100"/>
    <n v="317960"/>
    <n v="317960"/>
    <n v="1671.12"/>
    <n v="0.78600000000000003"/>
    <n v="0.79"/>
    <n v="0.83"/>
    <n v="0.84"/>
    <n v="0.83"/>
    <n v="0.93"/>
    <n v="0.83"/>
    <n v="0.89"/>
    <n v="0.91"/>
    <n v="0.85"/>
    <n v="1.0204599066065401"/>
    <n v="4.3578321678321696"/>
    <n v="5.14"/>
    <n v="5.41"/>
    <m/>
    <n v="5.18"/>
    <n v="5.38"/>
    <n v="5.2774999999999999"/>
    <n v="0.84689999999999999"/>
    <n v="0.82573797590377396"/>
    <n v="0.99299999999999999"/>
    <n v="71500"/>
    <n v="56992"/>
    <n v="20000"/>
    <n v="29194"/>
    <s v="The measurement at Weather Station 3 (STS-6) is not normal._x000a_The PR calculation for STS 6 &amp; STS 8 is done manually because WS 3 is still under repair (since 15 March 2025)"/>
  </r>
  <r>
    <x v="158"/>
    <n v="255977.841935484"/>
    <n v="4.3290322580645197"/>
    <n v="3.54850774193548"/>
    <n v="0.81969999999999998"/>
    <n v="0.99"/>
    <n v="55402"/>
    <n v="55233.5"/>
    <n v="44386.5"/>
    <n v="50820.5"/>
    <n v="46098"/>
    <n v="251940.5"/>
    <n v="258155.17"/>
    <n v="6214.6700000000101"/>
    <n v="6214.6700000000101"/>
    <n v="258155.17"/>
    <n v="258155.17"/>
    <n v="256348.08381000001"/>
    <n v="27710"/>
    <n v="27870"/>
    <n v="25420"/>
    <n v="32070"/>
    <n v="32440"/>
    <n v="36070"/>
    <n v="29240"/>
    <n v="30730"/>
    <n v="36470"/>
    <n v="29790"/>
    <n v="307810"/>
    <n v="314024.67"/>
    <n v="1413.77"/>
    <n v="0.69"/>
    <n v="0.7"/>
    <n v="0.72"/>
    <n v="0.74"/>
    <n v="0.76"/>
    <n v="0.8"/>
    <n v="0.74"/>
    <n v="0.78"/>
    <n v="0.8"/>
    <n v="0.76"/>
    <n v="1.22175672430594"/>
    <n v="3.6105618181818202"/>
    <n v="5.67"/>
    <n v="5.61"/>
    <m/>
    <n v="5.69"/>
    <n v="5.91"/>
    <n v="5.72"/>
    <n v="0.74919999999999998"/>
    <n v="0.63121710108073703"/>
    <n v="0.99299999999999999"/>
    <n v="71500"/>
    <n v="56992"/>
    <n v="20000"/>
    <n v="30030"/>
    <s v="The measurement at Weather Station 3 (STS-6) is not normal._x000a_The PR calculation for STS 6 &amp; STS 8 is done manually because WS 3 is still under repair (since 15 March 2025)"/>
  </r>
  <r>
    <x v="159"/>
    <n v="255977.841935484"/>
    <n v="4.3290322580645197"/>
    <n v="3.54850774193548"/>
    <n v="0.81969999999999998"/>
    <n v="0.99"/>
    <n v="63059.5"/>
    <n v="62944"/>
    <n v="46890.5"/>
    <n v="52242.5"/>
    <n v="47479"/>
    <n v="272615.5"/>
    <n v="263029.5"/>
    <n v="-9586"/>
    <n v="0"/>
    <n v="272615.5"/>
    <n v="272615.5"/>
    <n v="261188.2935"/>
    <n v="20180"/>
    <n v="20810"/>
    <n v="18920"/>
    <n v="23830"/>
    <n v="24090"/>
    <n v="26900"/>
    <n v="22890"/>
    <n v="22910"/>
    <n v="25940"/>
    <n v="21980"/>
    <n v="228450"/>
    <n v="228450"/>
    <n v="1391.53"/>
    <n v="0.78"/>
    <n v="0.8"/>
    <n v="0.82"/>
    <n v="0.85"/>
    <n v="0.84"/>
    <n v="0.87"/>
    <n v="0.86"/>
    <n v="0.86"/>
    <n v="0.84"/>
    <n v="0.82"/>
    <n v="0.83799343764386103"/>
    <n v="3.8128041958041998"/>
    <n v="3.85"/>
    <n v="3.75"/>
    <m/>
    <n v="3.67"/>
    <n v="3.84"/>
    <n v="3.7774999999999999"/>
    <n v="0.85540000000000005"/>
    <n v="1.00934591550078"/>
    <n v="0.992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0"/>
    <n v="255977.841935484"/>
    <n v="4.3290322580645197"/>
    <n v="3.54850774193548"/>
    <n v="0.81969999999999998"/>
    <n v="0.99"/>
    <n v="58986.5"/>
    <n v="58887.5"/>
    <n v="39883.5"/>
    <n v="44754.5"/>
    <n v="42516"/>
    <n v="245028"/>
    <n v="229739.5"/>
    <n v="-15288.5"/>
    <n v="0"/>
    <n v="245028"/>
    <n v="245028"/>
    <n v="228131.3235"/>
    <n v="20030"/>
    <n v="20860"/>
    <n v="19080"/>
    <n v="24400"/>
    <n v="24320"/>
    <n v="28630"/>
    <n v="21310"/>
    <n v="23700"/>
    <n v="25750"/>
    <n v="22440"/>
    <n v="230520"/>
    <n v="230520"/>
    <n v="1550.5"/>
    <n v="0.75309999999999999"/>
    <n v="0.78"/>
    <n v="0.81"/>
    <n v="0.82"/>
    <n v="0.84"/>
    <n v="0.97"/>
    <n v="0.84"/>
    <n v="0.93"/>
    <n v="0.87"/>
    <n v="0.88"/>
    <n v="0.94079044027621295"/>
    <n v="3.42696503496503"/>
    <n v="3.68"/>
    <n v="3.8"/>
    <m/>
    <n v="3.92"/>
    <n v="3.94"/>
    <n v="3.835"/>
    <n v="0.84930000000000005"/>
    <n v="0.89360235592308601"/>
    <n v="0.992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1"/>
    <n v="255977.841935484"/>
    <n v="4.3290322580645197"/>
    <n v="3.54850774193548"/>
    <n v="0.81969999999999998"/>
    <n v="0.99"/>
    <n v="31197.5"/>
    <n v="31043"/>
    <n v="19124"/>
    <n v="25877.5"/>
    <n v="24169"/>
    <n v="131411"/>
    <n v="133222.5"/>
    <n v="1811.5"/>
    <n v="1811.5"/>
    <n v="133222.5"/>
    <n v="133222.5"/>
    <n v="132289.9425"/>
    <n v="19520"/>
    <n v="19660"/>
    <n v="17710"/>
    <n v="22270"/>
    <n v="21820"/>
    <n v="24810"/>
    <n v="18000"/>
    <n v="19820"/>
    <n v="21810"/>
    <n v="18370"/>
    <n v="203790"/>
    <n v="205601.5"/>
    <n v="1536.71"/>
    <n v="0.74"/>
    <n v="0.74"/>
    <n v="0.75"/>
    <n v="0.77"/>
    <n v="0.83"/>
    <n v="0.97"/>
    <n v="0.81"/>
    <n v="0.9"/>
    <n v="0.85"/>
    <n v="0.83"/>
    <n v="1.5507834199572299"/>
    <n v="1.8632517482517501"/>
    <n v="3.19"/>
    <n v="3.46"/>
    <m/>
    <n v="3.78"/>
    <n v="3.93"/>
    <n v="3.59"/>
    <n v="0.81969999999999998"/>
    <n v="0.51901162903948395"/>
    <n v="0.992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2"/>
    <n v="255977.841935484"/>
    <n v="4.3290322580645197"/>
    <n v="3.54850774193548"/>
    <n v="0.81969999999999998"/>
    <n v="0.99"/>
    <n v="52837.5"/>
    <n v="52836.5"/>
    <n v="33253.5"/>
    <n v="39286.5"/>
    <n v="36285"/>
    <n v="178214"/>
    <n v="197312.67"/>
    <n v="19098.669999999998"/>
    <n v="19098.669999999998"/>
    <n v="197312.67"/>
    <n v="197312.67"/>
    <n v="195931.48131"/>
    <n v="16180"/>
    <n v="17260"/>
    <n v="15540"/>
    <n v="19660"/>
    <n v="19860"/>
    <n v="20640"/>
    <n v="16340"/>
    <n v="17190"/>
    <n v="18160"/>
    <n v="16990"/>
    <n v="177820"/>
    <n v="196918.67"/>
    <n v="1514.3"/>
    <n v="0.85"/>
    <n v="0.91"/>
    <n v="0.92"/>
    <n v="0.94"/>
    <n v="0.95"/>
    <n v="0.96"/>
    <n v="0.88"/>
    <n v="0.92"/>
    <n v="0.84"/>
    <n v="0.91"/>
    <n v="0.997789174812304"/>
    <n v="2.75961776223776"/>
    <n v="2.69"/>
    <n v="2.75"/>
    <m/>
    <n v="2.74"/>
    <n v="2.82"/>
    <n v="2.75"/>
    <n v="0.90769999999999995"/>
    <n v="1.0034973680864601"/>
    <n v="0.992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3"/>
    <n v="255977.841935484"/>
    <n v="4.3290322580645197"/>
    <n v="3.54850774193548"/>
    <n v="0.81969999999999998"/>
    <n v="0.99"/>
    <n v="63059.5"/>
    <n v="62944"/>
    <n v="46890.5"/>
    <n v="52242.5"/>
    <n v="47479"/>
    <n v="272615.5"/>
    <n v="241544.5"/>
    <n v="-31071"/>
    <n v="0"/>
    <n v="272615.5"/>
    <n v="272615.5"/>
    <n v="239129.05499999999"/>
    <n v="23480"/>
    <n v="23590"/>
    <n v="22360"/>
    <n v="27130"/>
    <n v="28170"/>
    <n v="33860"/>
    <n v="26200"/>
    <n v="27150"/>
    <n v="30000"/>
    <n v="27390"/>
    <n v="269330"/>
    <n v="269330"/>
    <n v="1375.27"/>
    <n v="0.72"/>
    <n v="0.72"/>
    <n v="0.77"/>
    <n v="0.73"/>
    <n v="0.76"/>
    <n v="0.92"/>
    <n v="0.82"/>
    <n v="0.85"/>
    <n v="0.82"/>
    <n v="0.86"/>
    <n v="0.98794822744854904"/>
    <n v="3.8128041958041998"/>
    <n v="4.59"/>
    <n v="4.8899999999999997"/>
    <m/>
    <n v="4.88"/>
    <n v="4.83"/>
    <n v="4.7975000000000003"/>
    <n v="0.79779999999999995"/>
    <n v="0.79474813878148998"/>
    <n v="0.99"/>
    <n v="71500"/>
    <n v="56992"/>
    <n v="125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4"/>
    <n v="255977.841935484"/>
    <n v="4.3290322580645197"/>
    <n v="3.54850774193548"/>
    <n v="0.81969999999999998"/>
    <n v="0.99"/>
    <n v="72762.5"/>
    <n v="38663"/>
    <n v="54089"/>
    <n v="58861.5"/>
    <n v="51276"/>
    <n v="275652"/>
    <n v="299564.33"/>
    <n v="23912.33"/>
    <n v="23912.33"/>
    <n v="299564.33"/>
    <n v="299564.33"/>
    <n v="296568.68670000002"/>
    <n v="15320"/>
    <n v="16080"/>
    <n v="14310"/>
    <n v="17960"/>
    <n v="18140"/>
    <n v="30170"/>
    <n v="23600"/>
    <n v="24780"/>
    <n v="25680"/>
    <n v="24400"/>
    <n v="210440"/>
    <n v="234352.33"/>
    <n v="1448.9"/>
    <n v="0.51"/>
    <n v="0.53"/>
    <n v="0.53"/>
    <n v="0.53"/>
    <n v="0.54"/>
    <n v="0.96"/>
    <n v="0.86"/>
    <n v="0.91"/>
    <n v="0.81"/>
    <n v="0.89"/>
    <n v="0.76342634916488905"/>
    <n v="4.1897109090909099"/>
    <n v="3.94"/>
    <n v="4.43"/>
    <m/>
    <n v="4.41"/>
    <n v="4.47"/>
    <n v="4.3125"/>
    <n v="0.70830000000000004"/>
    <n v="0.97152716732542799"/>
    <n v="0.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5"/>
    <n v="255977.841935484"/>
    <n v="4.3290322580645197"/>
    <n v="3.54850774193548"/>
    <n v="0.81969999999999998"/>
    <n v="0.99"/>
    <n v="52050.5"/>
    <n v="51992"/>
    <n v="38625.5"/>
    <n v="43934.5"/>
    <n v="38894"/>
    <n v="225496.5"/>
    <n v="234631.67"/>
    <n v="9135.1700000000092"/>
    <n v="9135.1700000000092"/>
    <n v="234631.67"/>
    <n v="234631.67"/>
    <n v="232285.35329999999"/>
    <n v="20570"/>
    <n v="20910"/>
    <n v="18360"/>
    <n v="22750"/>
    <n v="22800"/>
    <n v="27170"/>
    <n v="21260"/>
    <n v="22840"/>
    <n v="26170"/>
    <n v="23160"/>
    <n v="225990"/>
    <n v="235125.17"/>
    <n v="1564.33"/>
    <n v="0.65400000000000003"/>
    <n v="0.66"/>
    <n v="0.66"/>
    <n v="0.7"/>
    <n v="0.74"/>
    <n v="0.86"/>
    <n v="0.78"/>
    <n v="0.84"/>
    <n v="0.83"/>
    <n v="0.85"/>
    <n v="1.00218850403443"/>
    <n v="3.28156181818182"/>
    <n v="3.94"/>
    <n v="4.0599999999999996"/>
    <m/>
    <n v="4.28"/>
    <n v="4.66"/>
    <n v="4.2350000000000003"/>
    <n v="0.75649999999999995"/>
    <n v="0.77486701728023999"/>
    <n v="0.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6"/>
    <n v="255977.841935484"/>
    <n v="4.3290322580645197"/>
    <n v="3.54850774193548"/>
    <n v="0.81969999999999998"/>
    <n v="0.99"/>
    <n v="52050.5"/>
    <n v="51992"/>
    <n v="38625.5"/>
    <n v="43934.5"/>
    <n v="38894"/>
    <n v="225496.5"/>
    <n v="300168.83"/>
    <n v="74672.33"/>
    <n v="74672.33"/>
    <n v="300168.83"/>
    <n v="300168.83"/>
    <n v="297767.47936"/>
    <n v="30110"/>
    <n v="29900"/>
    <n v="31900"/>
    <n v="33860"/>
    <n v="35440"/>
    <n v="43020"/>
    <n v="33870"/>
    <n v="36640"/>
    <n v="38860"/>
    <n v="35330"/>
    <n v="348930"/>
    <n v="423602.33"/>
    <n v="1584.59"/>
    <n v="0.69479999999999997"/>
    <n v="0.69"/>
    <n v="0.83"/>
    <n v="0.72"/>
    <n v="0.74"/>
    <n v="0.88"/>
    <n v="0.8"/>
    <n v="0.87"/>
    <n v="0.8"/>
    <n v="0.84"/>
    <n v="1.5473854361375901"/>
    <n v="4.1981654545454496"/>
    <n v="6.1"/>
    <n v="6.29"/>
    <m/>
    <n v="6.2"/>
    <n v="6.42"/>
    <n v="6.2525000000000004"/>
    <n v="0.78500000000000003"/>
    <n v="0.67143789756824601"/>
    <n v="0.991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7"/>
    <n v="255977.841935484"/>
    <n v="4.3290322580645197"/>
    <n v="3.54850774193548"/>
    <n v="0.81969999999999998"/>
    <n v="0.99"/>
    <n v="63249"/>
    <n v="62990.5"/>
    <n v="53593.5"/>
    <n v="60054"/>
    <n v="49868"/>
    <n v="289755"/>
    <n v="269583.67"/>
    <n v="-20171.330000000002"/>
    <n v="0"/>
    <n v="289755"/>
    <n v="289755"/>
    <n v="267427.00063999998"/>
    <n v="16030"/>
    <n v="23670"/>
    <n v="20680"/>
    <n v="25660"/>
    <n v="26230"/>
    <n v="27870"/>
    <n v="22250"/>
    <n v="23180"/>
    <n v="25990"/>
    <n v="23780"/>
    <n v="235340"/>
    <n v="235340"/>
    <n v="1596.68"/>
    <n v="0.62"/>
    <n v="0.91"/>
    <n v="0.9"/>
    <n v="0.89"/>
    <n v="0.9"/>
    <n v="0.93"/>
    <n v="0.85"/>
    <n v="0.89"/>
    <n v="0.86"/>
    <n v="0.91"/>
    <n v="0.81220341322841705"/>
    <n v="4.0525174825174801"/>
    <n v="3.76"/>
    <n v="3.83"/>
    <m/>
    <n v="3.8"/>
    <n v="3.85"/>
    <n v="3.81"/>
    <n v="0.86539999999999995"/>
    <n v="1.06365288255052"/>
    <n v="0.99199999999999999"/>
    <n v="71500"/>
    <n v="56992"/>
    <n v="20000"/>
    <n v="30030"/>
    <s v="The measurement at Weather Station 3 (STS-6) is not normal._x000a_The PR calculation for STS 6 &amp; STS 8 is done manually because WS 3 is still under repair (since 15 March 2025)_x000a_Power limitation on Busbar 1 (STS1-STS5) due to considerations of the feeder line capacity."/>
  </r>
  <r>
    <x v="168"/>
    <n v="255977.841935484"/>
    <n v="4.3290322580645197"/>
    <n v="3.54850774193548"/>
    <n v="0.81969999999999998"/>
    <n v="0.99"/>
    <n v="43697.5"/>
    <n v="43577"/>
    <n v="31690"/>
    <n v="37429.5"/>
    <n v="32271"/>
    <n v="188665"/>
    <n v="194947.5"/>
    <n v="6282.5"/>
    <n v="6282.5"/>
    <n v="194947.5"/>
    <n v="194947.5"/>
    <n v="193387.92"/>
    <n v="20480"/>
    <n v="20450"/>
    <n v="18530"/>
    <n v="22310"/>
    <n v="23550"/>
    <n v="26690"/>
    <n v="20500"/>
    <n v="22270"/>
    <n v="26720"/>
    <n v="21620"/>
    <n v="223120"/>
    <n v="229402.5"/>
    <n v="1482.31"/>
    <n v="0.73"/>
    <n v="0.73"/>
    <n v="0.75"/>
    <n v="0.73"/>
    <n v="0.75"/>
    <n v="0.92"/>
    <n v="0.81"/>
    <n v="0.88"/>
    <n v="0.92"/>
    <n v="0.86"/>
    <n v="1.1826252882092601"/>
    <n v="2.72653846153846"/>
    <n v="3.64"/>
    <n v="4.13"/>
    <m/>
    <n v="4.0199999999999996"/>
    <n v="4.1399999999999997"/>
    <n v="3.9824999999999999"/>
    <n v="0.80740000000000001"/>
    <n v="0.68462987107054896"/>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69"/>
    <n v="255977.841935484"/>
    <n v="4.3290322580645197"/>
    <n v="3.54850774193548"/>
    <n v="0.81969999999999998"/>
    <n v="0.99"/>
    <n v="37478"/>
    <n v="37490"/>
    <n v="28170"/>
    <n v="34696.5"/>
    <n v="30296"/>
    <n v="168130.5"/>
    <n v="158027.67000000001"/>
    <n v="-10102.83"/>
    <n v="0"/>
    <n v="168130.5"/>
    <n v="168130.5"/>
    <n v="156763.44863999999"/>
    <n v="18860"/>
    <n v="19220"/>
    <n v="15450"/>
    <n v="17330"/>
    <n v="17990"/>
    <n v="23350"/>
    <n v="18810"/>
    <n v="19750"/>
    <n v="22720"/>
    <n v="19060"/>
    <n v="192540"/>
    <n v="192540"/>
    <n v="1552.73"/>
    <n v="0.81"/>
    <n v="0.82"/>
    <n v="0.74"/>
    <n v="0.66"/>
    <n v="0.69"/>
    <n v="0.9"/>
    <n v="0.84"/>
    <n v="0.88"/>
    <n v="0.88"/>
    <n v="0.85"/>
    <n v="1.1451818676563701"/>
    <n v="2.3514755244755201"/>
    <n v="3.23"/>
    <n v="3.4"/>
    <m/>
    <n v="3.43"/>
    <n v="3.46"/>
    <n v="3.38"/>
    <n v="0.80889999999999995"/>
    <n v="0.69570281789216704"/>
    <n v="0.99199999999999999"/>
    <n v="71500"/>
    <n v="56992"/>
    <n v="7806"/>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0"/>
    <n v="255977.841935484"/>
    <n v="4.3290322580645197"/>
    <n v="3.54850774193548"/>
    <n v="0.81969999999999998"/>
    <n v="0.99"/>
    <n v="14364.5"/>
    <n v="14307"/>
    <n v="30161.5"/>
    <n v="37637"/>
    <n v="32779"/>
    <n v="129249"/>
    <n v="181338.83"/>
    <n v="52089.83"/>
    <n v="52089.83"/>
    <n v="181338.83"/>
    <n v="181338.83"/>
    <n v="179888.11936000001"/>
    <n v="3990"/>
    <n v="4170"/>
    <n v="3730"/>
    <n v="4510"/>
    <n v="4780"/>
    <n v="19420"/>
    <n v="15340"/>
    <n v="16080"/>
    <n v="18460"/>
    <n v="16080"/>
    <n v="106560"/>
    <n v="158649.82999999999"/>
    <n v="1405.73"/>
    <n v="0.23"/>
    <n v="0.24"/>
    <n v="0.25"/>
    <n v="0.23"/>
    <n v="0.24"/>
    <n v="0.97"/>
    <n v="0.88"/>
    <n v="0.92"/>
    <n v="0.92"/>
    <n v="0.92"/>
    <n v="0.82445512150964395"/>
    <n v="2.5362074125874101"/>
    <n v="2.5099999999999998"/>
    <n v="2.56"/>
    <m/>
    <n v="2.56"/>
    <n v="2.5299999999999998"/>
    <n v="2.54"/>
    <n v="0.58160000000000001"/>
    <n v="0.998506855349375"/>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1"/>
    <n v="255977.841935484"/>
    <n v="4.3290322580645197"/>
    <n v="3.54850774193548"/>
    <n v="0.81969999999999998"/>
    <n v="0.99"/>
    <n v="40469.5"/>
    <n v="40488"/>
    <n v="26074.5"/>
    <n v="33322"/>
    <n v="28285"/>
    <n v="168639"/>
    <n v="155066.5"/>
    <n v="-13572.5"/>
    <n v="0"/>
    <n v="168639"/>
    <n v="168639"/>
    <n v="153825.96799999999"/>
    <n v="10000"/>
    <n v="15280"/>
    <n v="13400"/>
    <n v="16280"/>
    <n v="13400"/>
    <n v="16280"/>
    <n v="16910"/>
    <n v="17860"/>
    <n v="13910"/>
    <n v="14760"/>
    <n v="148080"/>
    <n v="148080"/>
    <n v="1654.23"/>
    <n v="0.62"/>
    <n v="0.94"/>
    <n v="0.93"/>
    <n v="0.91"/>
    <n v="0.94"/>
    <n v="0.99"/>
    <n v="0.89"/>
    <n v="0.95"/>
    <n v="0.95"/>
    <n v="0.94"/>
    <n v="0.87808869834379899"/>
    <n v="2.35858741258741"/>
    <n v="2.25"/>
    <n v="2.35"/>
    <m/>
    <n v="2.36"/>
    <n v="2.4"/>
    <n v="2.34"/>
    <n v="0.90559999999999996"/>
    <n v="1.00794333871257"/>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2"/>
    <n v="255977.841935484"/>
    <n v="4.3290322580645197"/>
    <n v="3.54850774193548"/>
    <n v="0.81969999999999998"/>
    <n v="0.99"/>
    <n v="51495.5"/>
    <n v="51392"/>
    <n v="44152"/>
    <n v="48884"/>
    <n v="42939"/>
    <n v="238862.5"/>
    <n v="256432.17"/>
    <n v="17569.669999999998"/>
    <n v="17569.669999999998"/>
    <n v="256432.17"/>
    <n v="256432.17"/>
    <n v="254380.71264000001"/>
    <n v="25110"/>
    <n v="26200"/>
    <n v="18720"/>
    <n v="20010"/>
    <n v="20500"/>
    <n v="32050"/>
    <n v="24810"/>
    <n v="26350"/>
    <n v="31480"/>
    <n v="23900"/>
    <n v="249130"/>
    <n v="266699.67"/>
    <n v="1444.74"/>
    <n v="0.75"/>
    <n v="0.78"/>
    <n v="0.63"/>
    <n v="0.55000000000000004"/>
    <n v="0.57999999999999996"/>
    <n v="0.9"/>
    <n v="0.8"/>
    <n v="0.85"/>
    <n v="0.88"/>
    <n v="0.77"/>
    <n v="1.0429849808990499"/>
    <n v="3.58646391608392"/>
    <n v="4.46"/>
    <n v="4.6100000000000003"/>
    <m/>
    <n v="4.75"/>
    <n v="4.95"/>
    <n v="4.6924999999999999"/>
    <n v="0.75109999999999999"/>
    <n v="0.76429705190919905"/>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3"/>
    <n v="255977.841935484"/>
    <n v="4.3290322580645197"/>
    <n v="3.54850774193548"/>
    <n v="0.81969999999999998"/>
    <n v="0.99"/>
    <n v="65388"/>
    <n v="65222.5"/>
    <n v="51541.5"/>
    <n v="56163.5"/>
    <n v="48752"/>
    <n v="287067.5"/>
    <n v="294097.17"/>
    <n v="7029.6699999999801"/>
    <n v="7029.6699999999801"/>
    <n v="294097.17"/>
    <n v="294097.17"/>
    <n v="291744.39263999998"/>
    <n v="25700"/>
    <n v="27370"/>
    <n v="21810"/>
    <n v="24010"/>
    <n v="24580"/>
    <n v="33120"/>
    <n v="25890"/>
    <n v="27540"/>
    <n v="30120"/>
    <n v="26580"/>
    <n v="266720"/>
    <n v="273749.67"/>
    <n v="1453.24"/>
    <n v="0.82779999999999998"/>
    <n v="0.88139999999999996"/>
    <n v="0.7903"/>
    <n v="0.86499999999999999"/>
    <n v="0.70599999999999996"/>
    <n v="0.9627"/>
    <n v="0.86880000000000002"/>
    <n v="0.92420000000000002"/>
    <n v="0.87560000000000004"/>
    <n v="0.8921"/>
    <n v="0.92911945796720297"/>
    <n v="4.1132471328671301"/>
    <n v="4.3"/>
    <n v="4.57"/>
    <m/>
    <n v="4.5999999999999996"/>
    <n v="4.5999999999999996"/>
    <n v="4.5175000000000001"/>
    <n v="0.84140000000000004"/>
    <n v="0.91051403051845803"/>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4"/>
    <n v="255977.841935484"/>
    <n v="4.3290322580645197"/>
    <n v="3.54850774193548"/>
    <n v="0.81969999999999998"/>
    <n v="0.99"/>
    <n v="59719"/>
    <n v="59617"/>
    <n v="48723"/>
    <n v="52848.5"/>
    <n v="38404"/>
    <n v="259311.5"/>
    <n v="276428.83"/>
    <n v="17117.330000000002"/>
    <n v="17117.330000000002"/>
    <n v="276428.83"/>
    <n v="276428.83"/>
    <n v="274217.39935999998"/>
    <n v="23990"/>
    <n v="24760"/>
    <n v="19400"/>
    <n v="21030"/>
    <n v="21920"/>
    <n v="29810"/>
    <n v="23560"/>
    <n v="25670"/>
    <n v="29810"/>
    <n v="24580"/>
    <n v="244530"/>
    <n v="261647.33"/>
    <n v="1575.97"/>
    <n v="0.80589999999999995"/>
    <n v="0.83169999999999999"/>
    <n v="0.73299999999999998"/>
    <n v="0.65080000000000005"/>
    <n v="0.66749999999999998"/>
    <n v="0.88919999999999999"/>
    <n v="0.81130000000000002"/>
    <n v="0.88419999999999999"/>
    <n v="0.88929999999999998"/>
    <n v="0.84660000000000002"/>
    <n v="0.94299712893566201"/>
    <n v="3.8661374825174799"/>
    <n v="4.1900000000000004"/>
    <n v="4.3099999999999996"/>
    <m/>
    <n v="4.24"/>
    <n v="4.41"/>
    <n v="4.2874999999999996"/>
    <n v="0.80089999999999995"/>
    <n v="0.90172302799241599"/>
    <n v="0.99199999999999999"/>
    <n v="71500"/>
    <n v="56992"/>
    <n v="20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5"/>
    <n v="255977.841935484"/>
    <n v="4.3290322580645197"/>
    <n v="3.54850774193548"/>
    <n v="0.81969999999999998"/>
    <n v="0.99"/>
    <n v="66150"/>
    <n v="66098.5"/>
    <n v="58730.5"/>
    <n v="62174.5"/>
    <n v="65920"/>
    <n v="319073.5"/>
    <n v="338642.83"/>
    <n v="19569.330000000002"/>
    <n v="19569.330000000002"/>
    <n v="338642.83"/>
    <n v="338642.83"/>
    <n v="335933.68735999998"/>
    <n v="30870"/>
    <n v="32370"/>
    <n v="23210"/>
    <n v="24500"/>
    <n v="25300"/>
    <n v="40900"/>
    <n v="31410"/>
    <n v="34520"/>
    <n v="39970"/>
    <n v="33300"/>
    <n v="316350"/>
    <n v="335919.33"/>
    <n v="1480.56"/>
    <n v="0.77380000000000004"/>
    <n v="0.81140000000000001"/>
    <n v="0.65449999999999997"/>
    <n v="0.55059999999999998"/>
    <n v="0.58660000000000001"/>
    <n v="0.90329999999999999"/>
    <n v="0.80079999999999996"/>
    <n v="0.88009999999999999"/>
    <n v="0.88270000000000004"/>
    <n v="0.84899999999999998"/>
    <n v="0.99146434912332104"/>
    <n v="4.7362633566433603"/>
    <n v="5.66"/>
    <n v="5.66"/>
    <m/>
    <n v="5.84"/>
    <n v="5.91"/>
    <n v="5.7675000000000001"/>
    <n v="0.76929999999999998"/>
    <n v="0.82119867475394104"/>
    <n v="0.99199999999999999"/>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0 MW."/>
  </r>
  <r>
    <x v="176"/>
    <n v="255977.841935484"/>
    <n v="4.3290322580645197"/>
    <n v="3.54850774193548"/>
    <n v="0.81969999999999998"/>
    <n v="0.99"/>
    <n v="48120"/>
    <n v="47894"/>
    <n v="38229.5"/>
    <n v="43882"/>
    <n v="38631"/>
    <n v="216756.5"/>
    <n v="230750.33"/>
    <n v="13993.83"/>
    <n v="13993.83"/>
    <n v="230750.33"/>
    <n v="230750.33"/>
    <n v="228904.32736"/>
    <n v="29560"/>
    <n v="29560"/>
    <n v="24710"/>
    <n v="25980"/>
    <n v="27530"/>
    <n v="35220"/>
    <n v="28720"/>
    <n v="29940"/>
    <n v="36210"/>
    <n v="29140"/>
    <n v="296570"/>
    <n v="310563.83"/>
    <n v="1569.21"/>
    <n v="0.80049999999999999"/>
    <n v="0.80049999999999999"/>
    <n v="0.753"/>
    <n v="0.67120000000000002"/>
    <n v="0.69620000000000004"/>
    <n v="0.85150000000000003"/>
    <n v="0.80159999999999998"/>
    <n v="0.83560000000000001"/>
    <n v="0.87560000000000004"/>
    <n v="0.81330000000000002"/>
    <n v="1.3682173314295101"/>
    <n v="3.2272773426573398"/>
    <n v="5.17"/>
    <n v="5.19"/>
    <m/>
    <n v="5.08"/>
    <n v="5.47"/>
    <n v="5.2275"/>
    <n v="0.78990000000000005"/>
    <n v="0.61736534531943399"/>
    <n v="0.99199999999999999"/>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
  </r>
  <r>
    <x v="177"/>
    <n v="255977.841935484"/>
    <n v="4.3290322580645197"/>
    <n v="3.54850774193548"/>
    <n v="0.81969999999999998"/>
    <n v="0.99"/>
    <n v="26437.5"/>
    <n v="26526"/>
    <n v="16267.5"/>
    <n v="23097.5"/>
    <n v="19197"/>
    <n v="111525.5"/>
    <n v="102893.17"/>
    <n v="-8632.33"/>
    <n v="0"/>
    <n v="111525.5"/>
    <n v="111525.5"/>
    <n v="102070.02464"/>
    <n v="5310"/>
    <n v="5590"/>
    <n v="5000"/>
    <n v="6190"/>
    <n v="6530"/>
    <n v="6570"/>
    <n v="5300"/>
    <n v="5710"/>
    <n v="6400"/>
    <n v="5530"/>
    <n v="58130"/>
    <n v="58130"/>
    <n v="1568.59"/>
    <n v="0.89359999999999995"/>
    <n v="0.94059999999999999"/>
    <n v="0.94769999999999999"/>
    <n v="0.93400000000000005"/>
    <n v="0.98550000000000004"/>
    <n v="0.95550000000000002"/>
    <n v="0.88949999999999996"/>
    <n v="0.95789999999999997"/>
    <n v="0.93020000000000003"/>
    <n v="0.9284"/>
    <n v="0.52122608730738695"/>
    <n v="1.5597972027972"/>
    <n v="0.86"/>
    <n v="0.87"/>
    <m/>
    <n v="0.87"/>
    <n v="0.88"/>
    <n v="0.87"/>
    <n v="0.93630000000000002"/>
    <n v="1.7928703480427599"/>
    <n v="0.99199999999999999"/>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
  </r>
  <r>
    <x v="178"/>
    <n v="255977.841935484"/>
    <n v="4.3290322580645197"/>
    <n v="3.54850774193548"/>
    <n v="0.81969999999999998"/>
    <n v="0.99"/>
    <n v="77997.5"/>
    <n v="77868"/>
    <n v="50743"/>
    <n v="58481.5"/>
    <n v="45593"/>
    <n v="310683"/>
    <n v="366832"/>
    <n v="56149"/>
    <n v="56149"/>
    <n v="366832"/>
    <n v="366832"/>
    <n v="363897.34399999998"/>
    <n v="29230"/>
    <n v="30820"/>
    <n v="25430"/>
    <n v="28350"/>
    <n v="28940"/>
    <n v="39140"/>
    <n v="31260"/>
    <n v="33070"/>
    <n v="36940"/>
    <n v="32280"/>
    <n v="315460"/>
    <n v="371609"/>
    <n v="1314.15"/>
    <n v="0.71579999999999999"/>
    <n v="0.75470000000000004"/>
    <n v="0.70040000000000002"/>
    <n v="0.67030000000000001"/>
    <n v="0.67449999999999999"/>
    <n v="0.88319999999999999"/>
    <n v="0.81430000000000002"/>
    <n v="0.86150000000000004"/>
    <n v="0.83350000000000002"/>
    <n v="0.84079999999999999"/>
    <n v="1.0153758010576699"/>
    <n v="5.1305174825174804"/>
    <n v="5.54"/>
    <n v="5.64"/>
    <m/>
    <n v="5.55"/>
    <n v="6.05"/>
    <n v="5.6950000000000003"/>
    <n v="0.77490000000000003"/>
    <n v="0.90088103292668698"/>
    <n v="0.99199999999999999"/>
    <n v="71500"/>
    <n v="56992"/>
    <n v="22000"/>
    <n v="227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
  </r>
  <r>
    <x v="179"/>
    <n v="255977.841935484"/>
    <n v="4.3290322580645197"/>
    <n v="3.54850774193548"/>
    <n v="0.81969999999999998"/>
    <n v="0.99"/>
    <n v="64419"/>
    <n v="64295"/>
    <n v="44201"/>
    <n v="54168.5"/>
    <n v="47298"/>
    <n v="274381.5"/>
    <n v="301348.5"/>
    <n v="26967"/>
    <n v="26967"/>
    <n v="301348.5"/>
    <n v="301348.5"/>
    <n v="298937.712"/>
    <n v="27670"/>
    <n v="28150"/>
    <n v="24280"/>
    <n v="26160"/>
    <n v="27480"/>
    <n v="24200"/>
    <n v="19560"/>
    <n v="20460"/>
    <n v="23700"/>
    <n v="19750"/>
    <n v="241410"/>
    <n v="268377"/>
    <n v="1614.16"/>
    <n v="0.74660000000000004"/>
    <n v="0.75949999999999995"/>
    <n v="0.73719999999999997"/>
    <n v="0.68389999999999995"/>
    <n v="0.71689999999999998"/>
    <n v="0.62250000000000005"/>
    <n v="0.5806"/>
    <n v="0.60740000000000005"/>
    <n v="0.60960000000000003"/>
    <n v="0.58640000000000003"/>
    <n v="0.87983337069007905"/>
    <n v="4.2146643356643398"/>
    <n v="4.8600000000000003"/>
    <n v="5.03"/>
    <m/>
    <n v="5.0199999999999996"/>
    <n v="5.49"/>
    <n v="5.0999999999999996"/>
    <n v="0.66510000000000002"/>
    <n v="0.82640477169888904"/>
    <n v="0.99199999999999999"/>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_x000a_- Trip Overcurrent stage 2 at OG.4, and OG.5 due to Earth Fault on NST.5 in GIS Subtation"/>
  </r>
  <r>
    <x v="180"/>
    <n v="255977.841935484"/>
    <n v="4.3290322580645197"/>
    <n v="3.54850774193548"/>
    <n v="0.81969999999999998"/>
    <n v="0.99"/>
    <n v="63229.5"/>
    <n v="63054.5"/>
    <n v="47839.5"/>
    <n v="52513.5"/>
    <n v="43902"/>
    <n v="270539"/>
    <n v="292809.83"/>
    <n v="22270.83"/>
    <n v="22270.83"/>
    <n v="292809.83"/>
    <n v="292809.83"/>
    <n v="291345.78084999998"/>
    <n v="29150"/>
    <n v="29530"/>
    <n v="24540"/>
    <n v="25820"/>
    <n v="27380"/>
    <n v="36900"/>
    <n v="29280"/>
    <n v="31480"/>
    <n v="36710"/>
    <n v="30060"/>
    <n v="300850"/>
    <n v="323120.83"/>
    <n v="1345.33"/>
    <n v="0.77390000000000003"/>
    <n v="0.78390000000000004"/>
    <n v="0.7329"/>
    <n v="0.65910000000000002"/>
    <n v="0.67789999999999995"/>
    <n v="0.87350000000000005"/>
    <n v="0.80030000000000001"/>
    <n v="0.86040000000000005"/>
    <n v="0.86899999999999999"/>
    <n v="0.82150000000000001"/>
    <n v="1.1120392993246799"/>
    <n v="4.0952423776223803"/>
    <n v="5.28"/>
    <n v="5.3"/>
    <m/>
    <n v="5.14"/>
    <n v="5.58"/>
    <n v="5.3250000000000002"/>
    <n v="0.78520000000000001"/>
    <n v="0.76905960143143204"/>
    <n v="0.995"/>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
  </r>
  <r>
    <x v="181"/>
    <n v="255977.841935484"/>
    <n v="4.3290322580645197"/>
    <n v="3.54850774193548"/>
    <n v="0.81969999999999998"/>
    <n v="0.99"/>
    <n v="43605.27"/>
    <n v="43480.480000000003"/>
    <n v="33776.19"/>
    <n v="38703.1"/>
    <n v="30149"/>
    <n v="189714.04"/>
    <n v="191400.5"/>
    <n v="1686.45999999999"/>
    <n v="1686.45999999999"/>
    <n v="191400.5"/>
    <n v="191400.5"/>
    <n v="190443.4975"/>
    <n v="21660"/>
    <n v="22880"/>
    <n v="19600"/>
    <n v="22490"/>
    <n v="23410"/>
    <n v="27780"/>
    <n v="21540"/>
    <n v="23250"/>
    <n v="26570"/>
    <n v="23660"/>
    <n v="232840"/>
    <n v="234526.46"/>
    <n v="1515.67"/>
    <n v="0.79039999999999999"/>
    <n v="0.83479999999999999"/>
    <n v="0.80479999999999996"/>
    <n v="0.75490000000000002"/>
    <n v="0.79790000000000005"/>
    <n v="0.92579999999999996"/>
    <n v="0.82869999999999999"/>
    <n v="0.89470000000000005"/>
    <n v="0.88570000000000004"/>
    <n v="0.91059999999999997"/>
    <n v="1.22732086671076"/>
    <n v="2.6769300699300702"/>
    <n v="3.75"/>
    <n v="3.85"/>
    <m/>
    <n v="3.91"/>
    <n v="4.0599999999999996"/>
    <n v="3.8925000000000001"/>
    <n v="0.84279999999999999"/>
    <n v="0.68771485418884304"/>
    <n v="0.995"/>
    <n v="71500"/>
    <n v="56992"/>
    <n v="22000"/>
    <n v="30030"/>
    <s v=" -  The measurement at Weather Station 3 (STS-6)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
  </r>
  <r>
    <x v="182"/>
    <n v="236808"/>
    <n v="4.1399999999999997"/>
    <n v="3.3935580000000001"/>
    <n v="0.81969999999999998"/>
    <n v="0.99"/>
    <n v="39013.379999999997"/>
    <n v="38964.089999999997"/>
    <n v="26556.080000000002"/>
    <n v="31273.58"/>
    <n v="24358"/>
    <n v="160165.13"/>
    <n v="141126.67000000001"/>
    <n v="-19038.46"/>
    <n v="0"/>
    <n v="160165.13"/>
    <n v="160165.13"/>
    <n v="140421.03664999999"/>
    <n v="12280"/>
    <n v="12980"/>
    <n v="11600"/>
    <n v="14180"/>
    <n v="14950"/>
    <n v="14570"/>
    <n v="12030"/>
    <n v="12780"/>
    <n v="14250"/>
    <n v="13110"/>
    <n v="132730"/>
    <n v="132730"/>
    <n v="1409.04"/>
    <n v="0.90080000000000005"/>
    <n v="0.95179999999999998"/>
    <n v="0.95679999999999998"/>
    <n v="0.92100000000000004"/>
    <n v="0.98099999999999998"/>
    <n v="0.94389999999999996"/>
    <n v="0.89959999999999996"/>
    <n v="0.95569999999999999"/>
    <n v="0.92320000000000002"/>
    <n v="0.98040000000000005"/>
    <n v="0.82870722235233096"/>
    <n v="2.2400717482517498"/>
    <n v="1.93"/>
    <n v="2"/>
    <m/>
    <n v="2.02"/>
    <m/>
    <n v="1.9833333333333301"/>
    <n v="0.94140000000000001"/>
    <n v="1.129447940295"/>
    <n v="0.995"/>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3"/>
    <n v="236808"/>
    <n v="4.1399999999999997"/>
    <n v="3.3935580000000001"/>
    <n v="0.81969999999999998"/>
    <n v="0.99"/>
    <n v="31831.25"/>
    <n v="31808.12"/>
    <n v="20110"/>
    <n v="27072.98"/>
    <n v="24930"/>
    <n v="135752.35"/>
    <n v="122100.67"/>
    <n v="-13651.68"/>
    <n v="0"/>
    <n v="135752.35"/>
    <n v="135752.35"/>
    <n v="121490.16665"/>
    <n v="13570"/>
    <n v="14380"/>
    <n v="12900"/>
    <n v="15740"/>
    <n v="16690"/>
    <n v="17010"/>
    <n v="13440"/>
    <n v="14470"/>
    <n v="16210"/>
    <n v="14930"/>
    <n v="149340"/>
    <n v="149340"/>
    <n v="1607"/>
    <n v="0.88170000000000004"/>
    <n v="0.93440000000000001"/>
    <n v="0.94330000000000003"/>
    <n v="0.90620000000000001"/>
    <n v="0.96930000000000005"/>
    <n v="0.96630000000000005"/>
    <n v="0.88149999999999995"/>
    <n v="0.94940000000000002"/>
    <n v="0.92110000000000003"/>
    <n v="0.97909999999999997"/>
    <n v="1.10009145329713"/>
    <n v="1.8986342657342701"/>
    <n v="2.2000000000000002"/>
    <n v="2.2599999999999998"/>
    <m/>
    <n v="2.2799999999999998"/>
    <m/>
    <n v="2.2466666666666701"/>
    <n v="0.93320000000000003"/>
    <n v="0.84508943578676499"/>
    <n v="0.995"/>
    <n v="71500"/>
    <n v="56992"/>
    <n v="22000"/>
    <n v="23479"/>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4"/>
    <n v="236808"/>
    <n v="4.1399999999999997"/>
    <n v="3.3935580000000001"/>
    <n v="0.81969999999999998"/>
    <n v="0.99"/>
    <n v="52073.99"/>
    <n v="52000.160000000003"/>
    <n v="31935.83"/>
    <n v="42771.519999999997"/>
    <n v="31956"/>
    <n v="210737.5"/>
    <n v="211702"/>
    <n v="964.50000000002899"/>
    <n v="964.50000000002899"/>
    <n v="211702"/>
    <n v="211702"/>
    <n v="210643.49"/>
    <n v="14870"/>
    <n v="16100"/>
    <n v="15300"/>
    <n v="19040"/>
    <n v="19750"/>
    <n v="18160"/>
    <n v="13400"/>
    <n v="15330"/>
    <n v="16700"/>
    <n v="15720"/>
    <n v="164370"/>
    <n v="165334.5"/>
    <n v="1451.27"/>
    <n v="0.79820000000000002"/>
    <n v="0.86419999999999997"/>
    <n v="0.92390000000000005"/>
    <n v="0.90529999999999999"/>
    <n v="0.97440000000000004"/>
    <n v="0.87639999999999996"/>
    <n v="0.74660000000000004"/>
    <n v="0.85409999999999997"/>
    <n v="0.80600000000000005"/>
    <n v="0.87580000000000002"/>
    <n v="0.77997508749036104"/>
    <n v="2.9608671328671301"/>
    <n v="2.59"/>
    <n v="2.66"/>
    <m/>
    <n v="2.76"/>
    <m/>
    <n v="2.67"/>
    <n v="0.86250000000000004"/>
    <n v="1.10893900107383"/>
    <n v="0.995"/>
    <n v="71500"/>
    <n v="56992"/>
    <n v="22000"/>
    <n v="30030"/>
    <s v=" -  The measurement at Weather Station 3 (STS-6) and 5 (STS-2) is not normal._x000a_-The PR calculation for STS 6 &amp; STS 8 is done manually because WS 3 is still under repair (since 15 March 2025)_x000a_-Power limitation on Busbar 1 (STS1-STS5) due to considerations of the feeder line capacity._x000a_sts1 and sts2 are set with maximum performance for their output power and do not affect the setpoint for busbar 1 which remains at 22 MW._x000a_- Trip Overcurrent stage 2 at OG.4, a fault on the OG.4 line towards NST.2 caused the OG.4 LBS and circuit breaker to trip. After further investigation, it was found that the fault originated from the OG.3 line, where one of the poles had collapsed due to being hit by a truck."/>
  </r>
  <r>
    <x v="185"/>
    <n v="236808"/>
    <n v="4.1399999999999997"/>
    <n v="3.3935580000000001"/>
    <n v="0.81969999999999998"/>
    <n v="0.99"/>
    <n v="51783.95"/>
    <n v="51675.72"/>
    <n v="42545.15"/>
    <n v="47996.83"/>
    <n v="45333"/>
    <n v="239334.65"/>
    <n v="241930.5"/>
    <n v="2595.8499999999799"/>
    <n v="2595.8499999999799"/>
    <n v="241930.5"/>
    <n v="241930.5"/>
    <n v="241204.70850000001"/>
    <n v="14960"/>
    <n v="16350"/>
    <n v="21860"/>
    <n v="25860"/>
    <n v="27060"/>
    <n v="30490"/>
    <n v="23060"/>
    <n v="25700"/>
    <n v="28660"/>
    <n v="26490"/>
    <n v="240490"/>
    <n v="243085.85"/>
    <n v="1306.8399999999999"/>
    <n v="0.51549999999999996"/>
    <n v="0.56320000000000003"/>
    <n v="0.84719999999999995"/>
    <n v="0.7893"/>
    <n v="0.85150000000000003"/>
    <n v="0.94579999999999997"/>
    <n v="0.82579999999999998"/>
    <n v="0.92030000000000001"/>
    <n v="0.8891"/>
    <n v="0.94830000000000003"/>
    <n v="1.0048273411309201"/>
    <n v="3.3836433566433599"/>
    <n v="4.03"/>
    <n v="4.17"/>
    <m/>
    <n v="4.3"/>
    <m/>
    <n v="4.1666666666666696"/>
    <n v="0.80959999999999999"/>
    <n v="0.81207440559440602"/>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6"/>
    <n v="236808"/>
    <n v="4.1399999999999997"/>
    <n v="3.3935580000000001"/>
    <n v="0.81969999999999998"/>
    <n v="0.99"/>
    <n v="45046.44"/>
    <n v="44970.97"/>
    <n v="36431.410000000003"/>
    <n v="42218.59"/>
    <n v="36308"/>
    <n v="204975.41"/>
    <n v="213613.33"/>
    <n v="8637.9199999999801"/>
    <n v="8637.9199999999801"/>
    <n v="213613.33"/>
    <n v="213613.33"/>
    <n v="212972.49001000001"/>
    <n v="16620"/>
    <n v="17200"/>
    <n v="19680"/>
    <n v="23590"/>
    <n v="24940"/>
    <n v="28030"/>
    <n v="22160"/>
    <n v="24020"/>
    <n v="28010"/>
    <n v="24650"/>
    <n v="228900"/>
    <n v="237537.92000000001"/>
    <n v="1620.98"/>
    <n v="0.61260000000000003"/>
    <n v="0.63380000000000003"/>
    <n v="0.81579999999999997"/>
    <n v="0.77"/>
    <n v="0.8266"/>
    <n v="0.86950000000000005"/>
    <n v="0.79330000000000001"/>
    <n v="0.86009999999999998"/>
    <n v="0.86870000000000003"/>
    <n v="0.88249999999999995"/>
    <n v="1.11671931769767"/>
    <n v="2.9875990209790202"/>
    <n v="4.03"/>
    <n v="3.96"/>
    <m/>
    <n v="4.0199999999999996"/>
    <m/>
    <n v="4.0033333333333303"/>
    <n v="0.79330000000000001"/>
    <n v="0.74627785703056304"/>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7"/>
    <n v="236808"/>
    <n v="4.1399999999999997"/>
    <n v="3.3935580000000001"/>
    <n v="0.81969999999999998"/>
    <n v="0.99"/>
    <n v="55827.17"/>
    <n v="55683.82"/>
    <n v="45847"/>
    <n v="50443"/>
    <n v="46782"/>
    <n v="254582.99"/>
    <n v="262683.67"/>
    <n v="8100.6799999999903"/>
    <n v="8100.6799999999903"/>
    <n v="262683.67"/>
    <n v="262683.67"/>
    <n v="261895.61898999999"/>
    <n v="17490"/>
    <n v="18420"/>
    <n v="21900"/>
    <n v="26380"/>
    <n v="27720"/>
    <n v="30850"/>
    <n v="24360"/>
    <n v="26090"/>
    <n v="29330"/>
    <n v="26600"/>
    <n v="249140"/>
    <n v="257240.68"/>
    <n v="1494.55"/>
    <n v="0.6038"/>
    <n v="0.63600000000000001"/>
    <n v="0.85070000000000001"/>
    <n v="0.80700000000000005"/>
    <n v="0.84389999999999998"/>
    <n v="0.91820000000000002"/>
    <n v="0.83689999999999998"/>
    <n v="0.8962"/>
    <n v="0.873"/>
    <n v="0.91379999999999995"/>
    <n v="0.97861997771335796"/>
    <n v="3.6738974825174799"/>
    <n v="4.2"/>
    <n v="4.3099999999999996"/>
    <m/>
    <n v="4.29"/>
    <m/>
    <n v="4.2666666666666702"/>
    <n v="0.81799999999999995"/>
    <n v="0.86106972246503499"/>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8"/>
    <n v="236808"/>
    <n v="4.1399999999999997"/>
    <n v="3.3935580000000001"/>
    <n v="0.81969999999999998"/>
    <n v="0.99"/>
    <n v="53759.72"/>
    <n v="53631.54"/>
    <n v="40427.379999999997"/>
    <n v="45302.39"/>
    <n v="42362"/>
    <n v="235483.03"/>
    <n v="229655.83"/>
    <n v="-5827.2000000000398"/>
    <n v="0"/>
    <n v="235483.03"/>
    <n v="235483.03"/>
    <n v="228966.86251000001"/>
    <n v="16240"/>
    <n v="17120"/>
    <n v="19830"/>
    <n v="24140"/>
    <n v="25410"/>
    <n v="26650"/>
    <n v="20740"/>
    <n v="22380"/>
    <n v="25430"/>
    <n v="23180"/>
    <n v="221120"/>
    <n v="221120"/>
    <n v="1340.3"/>
    <n v="0.66279999999999994"/>
    <n v="0.69869999999999999"/>
    <n v="0.91049999999999998"/>
    <n v="0.87270000000000003"/>
    <n v="0.93669999999999998"/>
    <n v="0.94910000000000005"/>
    <n v="0.85260000000000002"/>
    <n v="0.92010000000000003"/>
    <n v="0.90559999999999996"/>
    <n v="0.95299999999999996"/>
    <n v="0.93900609313545902"/>
    <n v="3.2934689510489501"/>
    <n v="3.51"/>
    <n v="3.56"/>
    <m/>
    <n v="3.63"/>
    <m/>
    <n v="3.56666666666667"/>
    <n v="0.86619999999999997"/>
    <n v="0.92340250963989301"/>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89"/>
    <n v="236808"/>
    <n v="4.1399999999999997"/>
    <n v="3.3935580000000001"/>
    <n v="0.81969999999999998"/>
    <n v="0.99"/>
    <n v="64388.62"/>
    <n v="37330.57"/>
    <n v="35193.620000000003"/>
    <n v="53508.13"/>
    <n v="34527"/>
    <n v="224947.94"/>
    <n v="255739.33"/>
    <n v="30791.39"/>
    <n v="30791.39"/>
    <n v="255739.33"/>
    <n v="255739.33"/>
    <n v="254972.11201000001"/>
    <n v="17080"/>
    <n v="17910"/>
    <n v="20430"/>
    <n v="23830"/>
    <n v="24140"/>
    <n v="27840"/>
    <n v="21050"/>
    <n v="23380"/>
    <n v="26150"/>
    <n v="23770"/>
    <n v="225580"/>
    <n v="256371.39"/>
    <n v="1370.92"/>
    <n v="0.628"/>
    <n v="0.65839999999999999"/>
    <n v="0.84470000000000001"/>
    <n v="0.8085"/>
    <n v="0.80610000000000004"/>
    <n v="0.9355"/>
    <n v="0.81640000000000001"/>
    <n v="0.90700000000000003"/>
    <n v="0.87880000000000003"/>
    <n v="0.92190000000000005"/>
    <n v="1.0028098056821499"/>
    <n v="3.5767738461538499"/>
    <n v="3.72"/>
    <n v="3.93"/>
    <m/>
    <n v="4.03"/>
    <m/>
    <n v="3.89333333333333"/>
    <n v="0.82050000000000001"/>
    <n v="0.91869191253951499"/>
    <n v="0.997"/>
    <n v="71500"/>
    <n v="56992"/>
    <n v="10000"/>
    <n v="17929"/>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0"/>
    <n v="236808"/>
    <n v="4.1399999999999997"/>
    <n v="3.3935580000000001"/>
    <n v="0.81969999999999998"/>
    <n v="0.99"/>
    <n v="77672.83"/>
    <n v="18954.28"/>
    <n v="32198.16"/>
    <n v="38041.4"/>
    <n v="36996"/>
    <n v="203862.67"/>
    <n v="318762"/>
    <n v="114899.33"/>
    <n v="114899.33"/>
    <n v="318762"/>
    <n v="318762"/>
    <n v="317805.71399999998"/>
    <n v="16800"/>
    <n v="16620"/>
    <n v="15170"/>
    <n v="18800"/>
    <n v="19260"/>
    <n v="7740"/>
    <n v="21050"/>
    <n v="6810"/>
    <n v="26150"/>
    <n v="7490"/>
    <n v="155890"/>
    <n v="270789.33"/>
    <n v="1499.07"/>
    <n v="0.45090000000000002"/>
    <n v="0.4461"/>
    <n v="0.45800000000000002"/>
    <n v="0.44700000000000001"/>
    <n v="0.46810000000000002"/>
    <n v="0.25990000000000002"/>
    <n v="0.81640000000000001"/>
    <n v="0.26400000000000001"/>
    <n v="0.87880000000000003"/>
    <n v="0.29049999999999998"/>
    <n v="0.76468143971625602"/>
    <n v="4.4582097902097901"/>
    <n v="3.72"/>
    <n v="5.4"/>
    <m/>
    <n v="5.52"/>
    <m/>
    <n v="4.88"/>
    <n v="0.47799999999999998"/>
    <n v="0.913567579961023"/>
    <n v="0.997"/>
    <n v="71500"/>
    <n v="56992"/>
    <n v="22000"/>
    <n v="30030"/>
    <s v="-_x0009_The measurement at Weather Station 3 (STS-6) and 5 (STS-2) is not normal. _x000a_-_x0009_Power limitation on Busbar 1 (STS1-STS5) due to considerations of the feeder line capacity. External Outage, Trip Earth Fault at GSK.2_x000a_-_x0009_Power limitation on Busbar 2 (STS6-STS10) due to considerations of the feeder line capacity. Due to disturbances in NST.3 and NST.5 networks, Busbar 2 only transmits energy through OG.4 to NST.2_x000a_-_x0009_The PR calculation for STS 6 &amp; STS 8 is done manually because WS 3 is still under repair (since 15 March 2025)_x000a_-_x0009_The PR calculation for STS 1 &amp; STS 2 is done manually because WS 5 is still under repair (since 1 June 2025)"/>
  </r>
  <r>
    <x v="191"/>
    <n v="236808"/>
    <n v="4.1399999999999997"/>
    <n v="3.3935580000000001"/>
    <n v="0.81969999999999998"/>
    <n v="0.99"/>
    <n v="61019.360000000001"/>
    <n v="60969.67"/>
    <n v="44345.78"/>
    <n v="50692.3"/>
    <n v="47311.1"/>
    <n v="264338.21000000002"/>
    <n v="241283.17"/>
    <n v="-23055.039999999899"/>
    <n v="0"/>
    <n v="264338.21000000002"/>
    <n v="264338.21000000002"/>
    <n v="240559.32049000001"/>
    <n v="23290"/>
    <n v="23170"/>
    <n v="20290"/>
    <n v="25130"/>
    <n v="26060"/>
    <n v="30490"/>
    <n v="23480"/>
    <n v="25580"/>
    <n v="29510"/>
    <n v="25570"/>
    <n v="252570"/>
    <n v="252570"/>
    <n v="1402.66"/>
    <n v="0.79320000000000002"/>
    <n v="0.78910000000000002"/>
    <n v="0.77739999999999998"/>
    <n v="0.7581"/>
    <n v="0.80089999999999995"/>
    <n v="0.90310000000000001"/>
    <n v="0.80289999999999995"/>
    <n v="0.87470000000000003"/>
    <n v="0.87409999999999999"/>
    <n v="0.87429999999999997"/>
    <n v="0.95548048085821602"/>
    <n v="3.6970379020978998"/>
    <n v="4.22"/>
    <n v="4.2699999999999996"/>
    <m/>
    <n v="4.3499999999999996"/>
    <m/>
    <n v="4.28"/>
    <n v="0.82479999999999998"/>
    <n v="0.86379390235932296"/>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2"/>
    <n v="236808"/>
    <n v="4.1399999999999997"/>
    <n v="3.3935580000000001"/>
    <n v="0.81969999999999998"/>
    <n v="0.99"/>
    <n v="50308.65"/>
    <n v="50166.09"/>
    <n v="35166.39"/>
    <n v="41400.129999999997"/>
    <n v="38286.81"/>
    <n v="215328.07"/>
    <n v="231067"/>
    <n v="15738.93"/>
    <n v="15738.93"/>
    <n v="231067"/>
    <n v="231067"/>
    <n v="230373.799"/>
    <n v="26380"/>
    <n v="26690"/>
    <n v="22770"/>
    <n v="28540"/>
    <n v="29700"/>
    <n v="31380"/>
    <n v="25020"/>
    <n v="26600"/>
    <n v="30150"/>
    <n v="27180"/>
    <n v="274410"/>
    <n v="290148.93"/>
    <n v="1322.32"/>
    <n v="0.86070000000000002"/>
    <n v="0.87090000000000001"/>
    <n v="0.83579999999999999"/>
    <n v="0.82509999999999994"/>
    <n v="0.87590000000000001"/>
    <n v="0.90159999999999996"/>
    <n v="0.82989999999999997"/>
    <n v="0.88229999999999997"/>
    <n v="0.86629999999999996"/>
    <n v="0.90169999999999995"/>
    <n v="1.27438099454474"/>
    <n v="3.2317062937062899"/>
    <n v="4.3499999999999996"/>
    <n v="4.45"/>
    <m/>
    <n v="4.54"/>
    <m/>
    <n v="4.4466666666666699"/>
    <n v="0.86499999999999999"/>
    <n v="0.72677053081850695"/>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3"/>
    <n v="236808"/>
    <n v="4.1399999999999997"/>
    <n v="3.3935580000000001"/>
    <n v="0.81969999999999998"/>
    <n v="0.99"/>
    <n v="56566.51"/>
    <n v="56453.35"/>
    <n v="40042.93"/>
    <n v="45126.21"/>
    <n v="41460.31"/>
    <n v="239649.31"/>
    <n v="224489.33"/>
    <n v="-15159.98"/>
    <n v="0"/>
    <n v="239649.31"/>
    <n v="239649.31"/>
    <n v="223815.86201000001"/>
    <n v="17020"/>
    <n v="17040"/>
    <n v="15190"/>
    <n v="18990"/>
    <n v="19820"/>
    <n v="21050"/>
    <n v="16640"/>
    <n v="17720"/>
    <n v="19660"/>
    <n v="18170"/>
    <n v="181300"/>
    <n v="181300"/>
    <n v="1619.5"/>
    <n v="0.87870000000000004"/>
    <n v="0.87970000000000004"/>
    <n v="0.8821"/>
    <n v="0.86819999999999997"/>
    <n v="0.9224"/>
    <n v="0.93959999999999999"/>
    <n v="0.85740000000000005"/>
    <n v="0.9133"/>
    <n v="0.87780000000000002"/>
    <n v="0.93630000000000002"/>
    <n v="0.75652210306802004"/>
    <n v="3.3517386013985999"/>
    <n v="2.8"/>
    <n v="2.82"/>
    <m/>
    <n v="2.87"/>
    <m/>
    <n v="2.83"/>
    <n v="0.89549999999999996"/>
    <n v="1.18435992982283"/>
    <n v="0.997"/>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4"/>
    <n v="236808"/>
    <n v="4.1399999999999997"/>
    <n v="3.3935580000000001"/>
    <n v="0.81969999999999998"/>
    <n v="0.99"/>
    <n v="62099.28"/>
    <n v="61931.68"/>
    <n v="49429.67"/>
    <n v="50263.5"/>
    <n v="49619.02"/>
    <n v="273343.15000000002"/>
    <n v="292875"/>
    <n v="19531.849999999999"/>
    <n v="19531.849999999999"/>
    <n v="292875"/>
    <n v="292875"/>
    <n v="291996.375"/>
    <n v="28090"/>
    <n v="27670"/>
    <n v="24150"/>
    <n v="30380"/>
    <n v="29880"/>
    <n v="37250"/>
    <n v="29430"/>
    <n v="31780"/>
    <n v="35310"/>
    <n v="32640"/>
    <n v="306580"/>
    <n v="326111.84999999998"/>
    <n v="1442.99"/>
    <n v="0.79569999999999996"/>
    <n v="0.78369999999999995"/>
    <n v="0.76970000000000005"/>
    <n v="0.76229999999999998"/>
    <n v="0.75560000000000005"/>
    <n v="0.90580000000000005"/>
    <n v="0.82609999999999995"/>
    <n v="0.8921"/>
    <n v="0.85860000000000003"/>
    <n v="0.91639999999999999"/>
    <n v="1.12159386470815"/>
    <n v="4.0961538461538503"/>
    <n v="5.14"/>
    <n v="5.19"/>
    <m/>
    <n v="5.23"/>
    <m/>
    <n v="5.1866666666666701"/>
    <n v="0.8266"/>
    <n v="0.78974688550523997"/>
    <n v="0.997"/>
    <n v="71500"/>
    <n v="56992"/>
    <n v="22000"/>
    <n v="27495"/>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5"/>
    <n v="236808"/>
    <n v="4.1399999999999997"/>
    <n v="3.3935580000000001"/>
    <n v="0.81969999999999998"/>
    <n v="0.99"/>
    <n v="33127.69"/>
    <n v="33155.040000000001"/>
    <n v="23352.12"/>
    <n v="24656.5"/>
    <n v="26573.4"/>
    <n v="140864.75"/>
    <n v="123842"/>
    <n v="-17022.75"/>
    <n v="0"/>
    <n v="140864.75"/>
    <n v="140864.75"/>
    <n v="123470.474"/>
    <n v="13840"/>
    <n v="13770"/>
    <n v="11990"/>
    <n v="14610"/>
    <n v="15440"/>
    <n v="17080"/>
    <n v="13480"/>
    <n v="14400"/>
    <n v="15660"/>
    <n v="14690"/>
    <n v="144960"/>
    <n v="144960"/>
    <n v="1454.83"/>
    <n v="0.90720000000000001"/>
    <n v="0.90269999999999995"/>
    <n v="0.8841"/>
    <n v="0.84830000000000005"/>
    <n v="0.87319999999999998"/>
    <n v="0.95309999999999995"/>
    <n v="0.86819999999999997"/>
    <n v="0.92730000000000001"/>
    <n v="0.87390000000000001"/>
    <n v="0.94610000000000005"/>
    <n v="1.02907221288505"/>
    <n v="1.97013636363636"/>
    <n v="2.2400000000000002"/>
    <n v="2.3199999999999998"/>
    <m/>
    <n v="2.2599999999999998"/>
    <m/>
    <n v="2.2733333333333299"/>
    <n v="0.89839999999999998"/>
    <n v="0.86662889896027695"/>
    <n v="0.997"/>
    <n v="71500"/>
    <n v="56992"/>
    <n v="15164"/>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_x000a_sts1 and sts2 are set with maximum performance for their output power and do not affect the setpoint for busbar 1 which remains at 22 MW."/>
  </r>
  <r>
    <x v="196"/>
    <n v="236808"/>
    <n v="4.1399999999999997"/>
    <n v="3.3935580000000001"/>
    <n v="0.81969999999999998"/>
    <n v="0.99"/>
    <n v="14364.66"/>
    <n v="84765.77"/>
    <n v="56930.26"/>
    <n v="60042"/>
    <n v="53586.66"/>
    <n v="269689.34999999998"/>
    <n v="332228.83"/>
    <n v="62539.48"/>
    <n v="62539.48"/>
    <n v="332228.83"/>
    <n v="332228.83"/>
    <n v="331232.14351000002"/>
    <n v="18600"/>
    <n v="18420"/>
    <n v="16570"/>
    <n v="20380"/>
    <n v="21170"/>
    <n v="29860"/>
    <n v="29010"/>
    <n v="30720"/>
    <n v="35060"/>
    <n v="32380"/>
    <n v="252170"/>
    <n v="314709.48"/>
    <n v="1310.76"/>
    <n v="0.5413"/>
    <n v="0.53600000000000003"/>
    <n v="0.54249999999999998"/>
    <n v="0.52559999999999996"/>
    <n v="0.54379999999999995"/>
    <n v="0.72629999999999995"/>
    <n v="0.8145"/>
    <n v="0.86250000000000004"/>
    <n v="0.85260000000000002"/>
    <n v="0.90910000000000002"/>
    <n v="0.93503877702252602"/>
    <n v="4.6465570629370596"/>
    <n v="5.14"/>
    <n v="5.1100000000000003"/>
    <m/>
    <n v="5.09"/>
    <m/>
    <n v="5.1133333333333297"/>
    <n v="0.68540000000000001"/>
    <n v="0.90871389757569698"/>
    <n v="0.997"/>
    <n v="71500"/>
    <n v="56992"/>
    <n v="10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2)_x000a_sts1 and sts2 are set with maximum performance for their output power and do not affect the setpoint for busbar 1 which remains at 22 MW. _x000a_- External Outage at OG.1, Trip Earth Fault at OG.1 and GSK.3 due to disturbances at GSK.3 20 kV network distribution"/>
  </r>
  <r>
    <x v="197"/>
    <n v="236808"/>
    <n v="4.1399999999999997"/>
    <n v="3.3935580000000001"/>
    <n v="0.81969999999999998"/>
    <n v="0.99"/>
    <n v="0"/>
    <n v="72780.539999999994"/>
    <n v="40781.75"/>
    <n v="46534"/>
    <n v="41946.55"/>
    <n v="202042.84"/>
    <n v="231811"/>
    <n v="29768.16"/>
    <n v="29768.16"/>
    <n v="231811"/>
    <n v="231811"/>
    <n v="231811"/>
    <n v="16060"/>
    <n v="15830"/>
    <n v="14190"/>
    <n v="17510"/>
    <n v="18010"/>
    <n v="25850"/>
    <n v="23620"/>
    <n v="24440"/>
    <n v="28110"/>
    <n v="25080"/>
    <n v="208700"/>
    <n v="238468.16"/>
    <n v="1528.95"/>
    <n v="0.58750000000000002"/>
    <n v="0.57909999999999995"/>
    <n v="0.58379999999999999"/>
    <n v="0.5675"/>
    <n v="0.59389999999999998"/>
    <n v="0.8327"/>
    <n v="0.87829999999999997"/>
    <n v="0.90910000000000002"/>
    <n v="0.90559999999999996"/>
    <n v="0.93289999999999995"/>
    <n v="1.03294924977297"/>
    <n v="3.2421118881118902"/>
    <n v="3.88"/>
    <n v="3.98"/>
    <m/>
    <n v="4.05"/>
    <m/>
    <n v="3.97"/>
    <n v="0.73699999999999999"/>
    <n v="0.816652868542037"/>
    <n v="1"/>
    <n v="71500"/>
    <n v="56992"/>
    <n v="9597"/>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2)_x000a_sts1 and sts2 are set with maximum performance for their output power and do not affect the setpoint for busbar 1 which remains at 22 MW. _x000a_- External Outage at OG.1, Trip Earth Fault at OG.1 and GSK.3 due to disturbances at GSK.3 20 kV network distribution"/>
  </r>
  <r>
    <x v="198"/>
    <n v="236808"/>
    <n v="4.1399999999999997"/>
    <n v="3.3935580000000001"/>
    <n v="0.81969999999999998"/>
    <n v="0.99"/>
    <n v="0"/>
    <n v="72100.39"/>
    <n v="40733.360000000001"/>
    <n v="47085.5"/>
    <n v="41366.03"/>
    <n v="201285.28"/>
    <n v="231263"/>
    <n v="29977.72"/>
    <n v="29977.72"/>
    <n v="231263"/>
    <n v="231263"/>
    <n v="231263"/>
    <n v="14660"/>
    <n v="14620"/>
    <n v="13260"/>
    <n v="16660"/>
    <n v="16880"/>
    <n v="30310"/>
    <n v="25970"/>
    <n v="26560"/>
    <n v="29970"/>
    <n v="27950"/>
    <n v="216840"/>
    <n v="246817.72"/>
    <n v="1596.14"/>
    <n v="0.50049999999999994"/>
    <n v="0.49890000000000001"/>
    <n v="0.5091"/>
    <n v="0.50370000000000004"/>
    <n v="0.50339999999999996"/>
    <n v="0.88119999999999998"/>
    <n v="0.87139999999999995"/>
    <n v="0.89119999999999999"/>
    <n v="0.87109999999999999"/>
    <n v="0.93799999999999994"/>
    <n v="1.0772769871696499"/>
    <n v="3.2344475524475498"/>
    <n v="4.3"/>
    <n v="4.4000000000000004"/>
    <m/>
    <n v="4.34"/>
    <m/>
    <n v="4.3466666666666702"/>
    <n v="0.69679999999999997"/>
    <n v="0.74412136942811802"/>
    <n v="1"/>
    <n v="71500"/>
    <n v="56992"/>
    <n v="13717"/>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2)_x000a_sts1 and sts2 are set with maximum performance for their output power and do not affect the setpoint for busbar 1 which remains at 22 MW. _x000a_- External Outage at OG.1, Trip Earth Fault at OG.1 and GSK.3 due to disturbances at GSK.3 20 kV network distribution"/>
  </r>
  <r>
    <x v="199"/>
    <n v="236808"/>
    <n v="4.1399999999999997"/>
    <n v="3.3935580000000001"/>
    <n v="0.81969999999999998"/>
    <n v="0.99"/>
    <n v="20925.759999999998"/>
    <n v="57968.51"/>
    <n v="38990.47"/>
    <n v="43894.5"/>
    <n v="39858.089999999997"/>
    <n v="201637.33"/>
    <n v="236668"/>
    <n v="35030.67"/>
    <n v="35030.67"/>
    <n v="236668"/>
    <n v="236668"/>
    <n v="236668"/>
    <n v="17510"/>
    <n v="18310"/>
    <n v="16270"/>
    <n v="20140"/>
    <n v="20940"/>
    <n v="30650"/>
    <n v="27230"/>
    <n v="25760"/>
    <n v="28840"/>
    <n v="26400"/>
    <n v="232050"/>
    <n v="267080.67"/>
    <n v="1425.85"/>
    <n v="0.61470000000000002"/>
    <n v="0.64290000000000003"/>
    <n v="0.64270000000000005"/>
    <n v="0.62629999999999997"/>
    <n v="0.61209999999999998"/>
    <n v="0.90349999999999997"/>
    <n v="0.92649999999999999"/>
    <n v="0.87670000000000003"/>
    <n v="0.85009999999999997"/>
    <n v="0.89839999999999998"/>
    <n v="1.1508285692932001"/>
    <n v="3.31004195804196"/>
    <n v="4.24"/>
    <n v="4.49"/>
    <m/>
    <n v="4.22"/>
    <m/>
    <n v="4.31666666666667"/>
    <n v="0.75939999999999996"/>
    <n v="0.76680508680508697"/>
    <n v="1"/>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2)_x000a_sts1 and sts2 are set with maximum performance for their output power and do not affect the setpoint for busbar 1 which remains at 22 MW. _x000a_- External Outage at OG.1, Trip Earth Fault at OG.1 and GSK.3 due to disturbances at GSK.3 20 kV network distribution"/>
  </r>
  <r>
    <x v="200"/>
    <n v="236808"/>
    <n v="4.1399999999999997"/>
    <n v="3.3935580000000001"/>
    <n v="0.81969999999999998"/>
    <n v="0.99"/>
    <n v="32619.78"/>
    <n v="32624.04"/>
    <n v="20927.5"/>
    <n v="27328.5"/>
    <n v="25555.56"/>
    <n v="139055.38"/>
    <n v="121976.67"/>
    <n v="-17078.71"/>
    <n v="0"/>
    <n v="139055.38"/>
    <n v="139055.38"/>
    <n v="121976.67"/>
    <n v="11570"/>
    <n v="11570"/>
    <n v="10240"/>
    <n v="12670"/>
    <n v="13340"/>
    <n v="13170"/>
    <n v="11760"/>
    <n v="11550"/>
    <n v="12680"/>
    <n v="11970"/>
    <n v="120520"/>
    <n v="120520"/>
    <n v="1392.97"/>
    <n v="0.93159999999999998"/>
    <n v="0.93159999999999998"/>
    <n v="0.92759999999999998"/>
    <n v="0.90359999999999996"/>
    <n v="0.95109999999999995"/>
    <n v="0.9405"/>
    <n v="0.9698"/>
    <n v="0.95209999999999995"/>
    <n v="0.90549999999999997"/>
    <n v="0.98660000000000003"/>
    <n v="0.86670504945583504"/>
    <n v="1.94483048951049"/>
    <n v="1.75"/>
    <n v="1.84"/>
    <m/>
    <n v="1.84"/>
    <m/>
    <n v="1.81"/>
    <n v="0.94"/>
    <n v="1.07449198315497"/>
    <n v="1"/>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sts1 and sts2 are set with maximum performance for their output power and do not affect the setpoint for busbar 1 which remains at 22 MW. "/>
  </r>
  <r>
    <x v="201"/>
    <n v="236808"/>
    <n v="4.1399999999999997"/>
    <n v="3.3935580000000001"/>
    <n v="0.81969999999999998"/>
    <n v="0.99"/>
    <n v="56417"/>
    <n v="56360"/>
    <n v="39968.5"/>
    <n v="44774"/>
    <n v="40778"/>
    <n v="238297.5"/>
    <n v="218482.5"/>
    <n v="-19815"/>
    <n v="0"/>
    <n v="238297.5"/>
    <n v="238297.5"/>
    <n v="218482.5"/>
    <n v="17480"/>
    <n v="17350"/>
    <n v="15360"/>
    <n v="18790"/>
    <n v="19980"/>
    <n v="20650"/>
    <n v="17460"/>
    <n v="17460"/>
    <n v="19770"/>
    <n v="18030"/>
    <n v="182330"/>
    <n v="182330"/>
    <n v="1308.26"/>
    <n v="0.95"/>
    <n v="0.94"/>
    <n v="0.93"/>
    <n v="0.9"/>
    <n v="0.96"/>
    <n v="0.97"/>
    <n v="0.94"/>
    <n v="0.94"/>
    <n v="0.93"/>
    <n v="0.97"/>
    <n v="0.76513601695359801"/>
    <n v="3.3328321678321702"/>
    <n v="2.67"/>
    <n v="2.74"/>
    <m/>
    <n v="2.74"/>
    <m/>
    <n v="2.7166666666666699"/>
    <n v="0.94279999999999997"/>
    <n v="1.22680938693209"/>
    <n v="1"/>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sts1 and sts2 are set with maximum performance for their output power and do not affect the setpoint for busbar 1 which remains at 22 MW. "/>
  </r>
  <r>
    <x v="202"/>
    <n v="236808"/>
    <n v="4.1399999999999997"/>
    <n v="3.3935580000000001"/>
    <n v="0.81969999999999998"/>
    <n v="0.99"/>
    <n v="62249.5"/>
    <n v="62073"/>
    <n v="45598.5"/>
    <n v="50191"/>
    <n v="45519"/>
    <n v="265631"/>
    <n v="256677.83"/>
    <n v="-8953.1700000000092"/>
    <n v="0"/>
    <n v="265631"/>
    <n v="265631"/>
    <n v="256677.83"/>
    <n v="28500"/>
    <n v="28420"/>
    <n v="24570"/>
    <n v="30100"/>
    <n v="31490"/>
    <n v="34890"/>
    <n v="29520"/>
    <n v="29420"/>
    <n v="33750"/>
    <n v="30960"/>
    <n v="301620"/>
    <n v="301620"/>
    <n v="1687.59"/>
    <n v="0.88"/>
    <n v="0.87"/>
    <n v="0.85"/>
    <n v="0.82"/>
    <n v="0.87"/>
    <n v="0.93"/>
    <n v="0.91"/>
    <n v="0.9"/>
    <n v="0.9"/>
    <n v="0.95"/>
    <n v="1.1354849396343001"/>
    <n v="3.71511888111888"/>
    <n v="4.7"/>
    <n v="4.7699999999999996"/>
    <m/>
    <n v="4.82"/>
    <m/>
    <n v="4.7633333333333301"/>
    <n v="0.8871"/>
    <n v="0.77994098274014301"/>
    <n v="1"/>
    <n v="71500"/>
    <n v="56992"/>
    <n v="22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sts1 and sts2 are set with maximum performance for their output power and do not affect the setpoint for busbar 1 which remains at 22 MW. "/>
  </r>
  <r>
    <x v="203"/>
    <n v="236808"/>
    <n v="4.1399999999999997"/>
    <n v="3.3935580000000001"/>
    <n v="0.81969999999999998"/>
    <n v="0.99"/>
    <n v="69586"/>
    <n v="69490"/>
    <n v="50931"/>
    <n v="54771.5"/>
    <n v="49372"/>
    <n v="294150.5"/>
    <n v="281081.5"/>
    <n v="-13069"/>
    <n v="0"/>
    <n v="294150.5"/>
    <n v="294150.5"/>
    <n v="281081.5"/>
    <n v="23960"/>
    <n v="23860"/>
    <n v="20880"/>
    <n v="25650"/>
    <n v="26740"/>
    <n v="28590"/>
    <n v="24720"/>
    <n v="24110"/>
    <n v="27050"/>
    <n v="25010"/>
    <n v="250570"/>
    <n v="250570"/>
    <n v="1545.43"/>
    <n v="0.9"/>
    <n v="0.9"/>
    <n v="0.89"/>
    <n v="0.86"/>
    <n v="0.88"/>
    <n v="0.93"/>
    <n v="0.93"/>
    <n v="0.91"/>
    <n v="0.88"/>
    <n v="0.94"/>
    <n v="0.85184284915374997"/>
    <n v="4.1139930069930104"/>
    <n v="3.84"/>
    <n v="3.97"/>
    <m/>
    <n v="3.93"/>
    <m/>
    <n v="3.91333333333333"/>
    <n v="0.90139999999999998"/>
    <n v="1.05127589616516"/>
    <n v="1"/>
    <n v="71500"/>
    <n v="56992"/>
    <n v="18744"/>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sts1 and sts2 are set with maximum performance for their output power and do not affect the setpoint for busbar 1 which remains at 22 MW. "/>
  </r>
  <r>
    <x v="204"/>
    <n v="236808"/>
    <n v="4.1399999999999997"/>
    <n v="3.3935580000000001"/>
    <n v="0.81969999999999998"/>
    <n v="0.99"/>
    <n v="54538"/>
    <n v="40217"/>
    <n v="40217"/>
    <n v="36841"/>
    <n v="38491"/>
    <n v="210304"/>
    <n v="212586.17"/>
    <n v="2282.1700000000101"/>
    <n v="2282.1700000000101"/>
    <n v="212586.17"/>
    <n v="212586.17"/>
    <n v="212586.17"/>
    <n v="24880"/>
    <n v="23970"/>
    <n v="20630"/>
    <n v="24470"/>
    <n v="26540"/>
    <n v="30980"/>
    <n v="25490"/>
    <n v="26520"/>
    <n v="30220"/>
    <n v="27080"/>
    <n v="260780"/>
    <n v="263062.17"/>
    <n v="1461.9"/>
    <n v="0.84"/>
    <n v="0.81"/>
    <n v="0.78"/>
    <n v="0.73"/>
    <n v="0.8"/>
    <n v="0.94"/>
    <n v="0.89"/>
    <n v="0.93"/>
    <n v="0.91"/>
    <n v="0.95"/>
    <n v="1.2400144552647601"/>
    <n v="2.9732331468531501"/>
    <n v="4.13"/>
    <n v="4.34"/>
    <m/>
    <n v="4.3899999999999997"/>
    <m/>
    <n v="4.2866666666666697"/>
    <n v="0.85819999999999996"/>
    <n v="0.69360026753961401"/>
    <n v="1"/>
    <n v="71500"/>
    <n v="56992"/>
    <n v="10000"/>
    <n v="3003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1)_x000a_sts1 and sts2 are set with maximum performance for their output power and do not affect the setpoint for busbar 1 which remains at 22 MW. _x000a_"/>
  </r>
  <r>
    <x v="205"/>
    <n v="236808"/>
    <n v="4.1399999999999997"/>
    <n v="3.3935580000000001"/>
    <n v="0.81969999999999998"/>
    <n v="0.99"/>
    <n v="86021"/>
    <n v="0"/>
    <n v="34732.5"/>
    <n v="41672.5"/>
    <n v="37502"/>
    <n v="199928"/>
    <n v="201664.17"/>
    <n v="1736.1700000000101"/>
    <n v="1736.1700000000101"/>
    <n v="201664.17"/>
    <n v="201664.17"/>
    <n v="201664.17"/>
    <n v="14650"/>
    <n v="14550"/>
    <n v="13220"/>
    <n v="16350"/>
    <n v="16960"/>
    <n v="19660"/>
    <n v="16830"/>
    <n v="16780"/>
    <n v="19120"/>
    <n v="17480"/>
    <n v="165600"/>
    <n v="167336.17000000001"/>
    <n v="1341.94"/>
    <n v="0.85"/>
    <n v="0.84"/>
    <n v="0.86"/>
    <n v="0.84"/>
    <n v="0.86"/>
    <n v="0.96"/>
    <n v="0.95"/>
    <n v="0.94"/>
    <n v="0.93"/>
    <n v="0.98"/>
    <n v="0.82829818734744498"/>
    <n v="2.8204779020978998"/>
    <n v="2.57"/>
    <n v="2.6"/>
    <m/>
    <n v="2.56"/>
    <m/>
    <n v="2.5766666666666702"/>
    <n v="0.9"/>
    <n v="1.0946227304390299"/>
    <n v="1"/>
    <n v="71500"/>
    <n v="56992"/>
    <n v="10000"/>
    <n v="27338"/>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1)_x000a_sts1 and sts2 are set with maximum performance for their output power and do not affect the setpoint for busbar 1 which remains at 22 MW. _x000a_"/>
  </r>
  <r>
    <x v="206"/>
    <n v="236808"/>
    <n v="4.1399999999999997"/>
    <n v="3.3935580000000001"/>
    <n v="0.81969999999999998"/>
    <n v="0.99"/>
    <n v="73676"/>
    <n v="11475"/>
    <n v="27997.5"/>
    <n v="59929.5"/>
    <n v="54202"/>
    <n v="227280"/>
    <n v="277065.83"/>
    <n v="49785.83"/>
    <n v="49785.83"/>
    <n v="277065.83"/>
    <n v="277065.83"/>
    <n v="277065.83"/>
    <n v="17110"/>
    <n v="16870"/>
    <n v="15370"/>
    <n v="19210"/>
    <n v="19610"/>
    <n v="34920"/>
    <n v="29440"/>
    <n v="29820"/>
    <n v="35330"/>
    <n v="30170"/>
    <n v="247850"/>
    <n v="297635.83"/>
    <n v="1361.92"/>
    <n v="0.51"/>
    <n v="0.5"/>
    <n v="0.52"/>
    <n v="0.51"/>
    <n v="0.52"/>
    <n v="0.89"/>
    <n v="0.87"/>
    <n v="0.88"/>
    <n v="0.9"/>
    <n v="0.89"/>
    <n v="1.09050510383668"/>
    <n v="3.87504657342657"/>
    <n v="4.91"/>
    <n v="4.9800000000000004"/>
    <m/>
    <n v="4.97"/>
    <m/>
    <n v="4.9533333333333296"/>
    <n v="0.69689999999999996"/>
    <n v="0.78231088292595696"/>
    <n v="1"/>
    <n v="71500"/>
    <n v="56992"/>
    <n v="18317"/>
    <n v="25000"/>
    <s v=" -  The measurement at Weather Station 3 (STS-6) and 5 (STS-2) is not normal._x000a_-The PR calculation for STS 6 &amp; STS 8 is done manually because WS 3 is still under repair (since 15 March 2025)_x000a_-The PR calculation for STS 1 &amp; STS 2 is done manually because WS 5 is still under repair (since 1 June 2025)_x000a_-Power limitation on Busbar 1 (STS1-STS5) due to considerations of the feeder line capacity. Busbar 1 just operate 1 20 kV coupler (OG.1)_x000a_sts1 and sts2 are set with maximum performance for their output power and do not affect the setpoint for busbar 1 which remains at 22 MW. _x000a_-Power limitation on Busbar 2 due to considerations of the feeder line capacity. Busbar 2 just operate 2 20 kV coupler (OG.4 &amp; OG.5)_x000a_"/>
  </r>
  <r>
    <x v="207"/>
    <n v="236808"/>
    <n v="4.1399999999999997"/>
    <n v="3.3935580000000001"/>
    <n v="0.81969999999999998"/>
    <n v="0.99"/>
    <n v="75976"/>
    <n v="75877"/>
    <n v="0"/>
    <n v="83405"/>
    <n v="76258"/>
    <n v="311516"/>
    <n v="300419.17"/>
    <n v="-11096.83"/>
    <n v="0"/>
    <n v="311516"/>
    <n v="311516"/>
    <n v="300419.17"/>
    <n v="28600"/>
    <n v="28630"/>
    <n v="25350"/>
    <n v="31190"/>
    <n v="32410"/>
    <n v="34260"/>
    <n v="29430"/>
    <n v="28780"/>
    <n v="31540"/>
    <n v="29660"/>
    <n v="299850"/>
    <n v="299850"/>
    <n v="1350.5"/>
    <n v="0.89"/>
    <n v="0.89"/>
    <n v="0.89"/>
    <n v="0.86"/>
    <n v="0.88"/>
    <n v="0.93"/>
    <n v="0.92"/>
    <n v="0.9"/>
    <n v="0.85"/>
    <n v="0.92"/>
    <n v="0.96255088021160995"/>
    <n v="4.35686713286713"/>
    <n v="4.6100000000000003"/>
    <n v="4.83"/>
    <n v="4.93"/>
    <n v="4.7300000000000004"/>
    <m/>
    <n v="4.7750000000000004"/>
    <n v="0.89"/>
    <n v="0.912432907406729"/>
    <n v="1"/>
    <n v="71500"/>
    <n v="56992"/>
    <n v="22000"/>
    <n v="25000"/>
    <s v=" -The measurement at Weather Station 3 (STS-6) and 5 (STS-2) is not normal. _x000a_-_x0009_Power limitation on Busbar 1 (STS1-STS5) due to considerations of the feeder line capacity. _x000a_-_x0009_Power limitation on Busbar 2 (STS6-STS10) due to considerations of the feeder line capacity._x000a_-_x0009_The PR calculation for STS 1 &amp; STS 2 is done manually because WS 5 is still under repair (since 1 June 2025)"/>
  </r>
  <r>
    <x v="208"/>
    <n v="236808"/>
    <n v="4.1399999999999997"/>
    <n v="3.3935580000000001"/>
    <n v="0.81969999999999998"/>
    <n v="0.99"/>
    <n v="72264"/>
    <n v="72018"/>
    <n v="0"/>
    <n v="81406"/>
    <n v="74203"/>
    <n v="299891"/>
    <n v="309808.5"/>
    <n v="9917.5"/>
    <n v="9917.5"/>
    <n v="309808.5"/>
    <n v="309808.5"/>
    <n v="309808.5"/>
    <n v="30360"/>
    <n v="29860"/>
    <n v="26020"/>
    <n v="31740"/>
    <n v="32320"/>
    <n v="35630"/>
    <n v="30200"/>
    <n v="29930"/>
    <n v="33560"/>
    <n v="30300"/>
    <n v="309920"/>
    <n v="319837.5"/>
    <n v="1556.16"/>
    <n v="0.82820000000000005"/>
    <n v="0.81469999999999998"/>
    <n v="0.79879999999999995"/>
    <n v="0.76700000000000002"/>
    <n v="0.80020000000000002"/>
    <n v="0.86809999999999998"/>
    <n v="0.84950000000000003"/>
    <n v="0.84189999999999998"/>
    <n v="0.81769999999999998"/>
    <n v="0.85229999999999995"/>
    <n v="1.03344215064807"/>
    <n v="4.3329860139860097"/>
    <n v="5.13"/>
    <n v="5.3"/>
    <n v="5.59"/>
    <n v="5.43"/>
    <m/>
    <n v="5.3624999999999998"/>
    <n v="0.82379999999999998"/>
    <n v="0.80801603990415205"/>
    <n v="1"/>
    <n v="71500"/>
    <n v="56992"/>
    <n v="22000"/>
    <n v="25000"/>
    <s v=" -_x0009_The measurement at Weather Station 5 (STS-2) is not normal. _x000a_-_x0009_Power limitation on Busbar 1 (STS1-STS5) due to considerations of the feeder line capacity."/>
  </r>
  <r>
    <x v="209"/>
    <n v="236808"/>
    <n v="4.1399999999999997"/>
    <n v="3.3935580000000001"/>
    <n v="0.81969999999999998"/>
    <n v="0.99"/>
    <n v="61685"/>
    <n v="61577"/>
    <n v="0"/>
    <n v="70367"/>
    <n v="63559"/>
    <n v="257188"/>
    <n v="264190.67"/>
    <n v="7002.6699999999801"/>
    <n v="7002.6699999999801"/>
    <n v="264190.67"/>
    <n v="264190.67"/>
    <n v="264190.67"/>
    <n v="23170"/>
    <n v="22560"/>
    <n v="20130"/>
    <n v="24230"/>
    <n v="25970"/>
    <n v="27970"/>
    <n v="24220"/>
    <n v="24080"/>
    <n v="28040"/>
    <n v="24880"/>
    <n v="245250"/>
    <n v="252252.67"/>
    <n v="1305.4000000000001"/>
    <n v="0.8669"/>
    <n v="0.84389999999999998"/>
    <n v="0.84719999999999995"/>
    <n v="0.80310000000000004"/>
    <n v="0.83520000000000005"/>
    <n v="0.86750000000000005"/>
    <n v="0.86729999999999996"/>
    <n v="0.86219999999999997"/>
    <n v="0.86960000000000004"/>
    <n v="0.89080000000000004"/>
    <n v="0.95358259327806905"/>
    <n v="3.6949744055944098"/>
    <n v="4.03"/>
    <n v="4.08"/>
    <n v="4.2300000000000004"/>
    <n v="3.96"/>
    <m/>
    <n v="4.0750000000000002"/>
    <n v="0.85540000000000005"/>
    <n v="0.90674218542193996"/>
    <n v="1"/>
    <n v="71500"/>
    <n v="56992"/>
    <n v="22000"/>
    <n v="25000"/>
    <s v=" -_x0009_The measurement at Weather Station 5 (STS-2) is not normal. _x000a_-_x0009_Power limitation on Busbar 1 (STS1-STS5) due to considerations of the feeder line capacity."/>
  </r>
  <r>
    <x v="210"/>
    <n v="236808"/>
    <n v="4.1399999999999997"/>
    <n v="3.3935580000000001"/>
    <n v="0.81969999999999998"/>
    <n v="0.99"/>
    <n v="55263"/>
    <n v="55091"/>
    <n v="0"/>
    <n v="61985"/>
    <n v="56054"/>
    <n v="228393"/>
    <n v="256854.83"/>
    <n v="28461.83"/>
    <n v="28461.83"/>
    <n v="256854.83"/>
    <n v="256854.83"/>
    <n v="256854.83"/>
    <n v="25580"/>
    <n v="25320"/>
    <n v="21970"/>
    <n v="26670"/>
    <n v="27760"/>
    <n v="30830"/>
    <n v="25930"/>
    <n v="25980"/>
    <n v="29550"/>
    <n v="26260"/>
    <n v="265850"/>
    <n v="294311.83"/>
    <n v="1387.93"/>
    <n v="0.7994"/>
    <n v="0.7913"/>
    <n v="0.77249999999999996"/>
    <n v="0.73829999999999996"/>
    <n v="0.77500000000000002"/>
    <n v="0.83420000000000005"/>
    <n v="0.80979999999999996"/>
    <n v="0.81140000000000001"/>
    <n v="0.7994"/>
    <n v="0.82010000000000005"/>
    <n v="1.16400239937301"/>
    <n v="3.5923752447552402"/>
    <n v="4.62"/>
    <n v="4.7"/>
    <n v="4.9800000000000004"/>
    <n v="4.74"/>
    <m/>
    <n v="4.76"/>
    <n v="0.79510000000000003"/>
    <n v="0.75470068167127002"/>
    <n v="1"/>
    <n v="71500"/>
    <n v="56992"/>
    <n v="22000"/>
    <n v="25000"/>
    <s v=" -_x0009_The measurement at Weather Station 5 (STS-2) is not normal. _x000a_-_x0009_Power limitation on Busbar 1 (STS1-STS5) due to considerations of the feeder line capacity."/>
  </r>
  <r>
    <x v="211"/>
    <n v="236808"/>
    <n v="4.1399999999999997"/>
    <n v="3.3935580000000001"/>
    <n v="0.81969999999999998"/>
    <n v="0.99"/>
    <n v="42671"/>
    <n v="42681"/>
    <n v="0"/>
    <n v="46974"/>
    <n v="42738"/>
    <n v="175064"/>
    <n v="158399.32999999999"/>
    <n v="-16664.669999999998"/>
    <n v="0"/>
    <n v="175064"/>
    <n v="175064"/>
    <n v="158399.32999999999"/>
    <n v="13140"/>
    <n v="13110"/>
    <n v="11550"/>
    <n v="14230"/>
    <n v="14880"/>
    <n v="15380"/>
    <n v="12910"/>
    <n v="13040"/>
    <n v="14760"/>
    <n v="13390"/>
    <n v="136390"/>
    <n v="136390"/>
    <n v="1403.43"/>
    <n v="0.97819999999999996"/>
    <n v="0.97619999999999996"/>
    <n v="0.96740000000000004"/>
    <n v="0.9385"/>
    <n v="0.98150000000000004"/>
    <n v="1.0016"/>
    <n v="0.97019999999999995"/>
    <n v="0.98029999999999995"/>
    <n v="0.96099999999999997"/>
    <n v="1"/>
    <n v="0.779086505506558"/>
    <n v="2.4484475524475502"/>
    <n v="1.92"/>
    <n v="1.99"/>
    <n v="2.0299999999999998"/>
    <n v="1.99"/>
    <m/>
    <n v="1.9824999999999999"/>
    <n v="0.97609999999999997"/>
    <n v="1.23503029127241"/>
    <n v="1"/>
    <n v="71500"/>
    <n v="56992"/>
    <n v="22000"/>
    <n v="25398"/>
    <s v=" -_x0009_The measurement at Weather Station 5 (STS-2) is not normal. _x000a_-_x0009_Power limitation on Busbar 1 (STS1-STS5) due to considerations of the feeder line capacity."/>
  </r>
  <r>
    <x v="212"/>
    <n v="249932.632258064"/>
    <n v="4.2064516129032299"/>
    <n v="3.4480283870967701"/>
    <n v="0.81969999999999998"/>
    <n v="0.99"/>
    <n v="71620"/>
    <n v="71534"/>
    <n v="8520.5"/>
    <n v="84962"/>
    <n v="75244"/>
    <n v="311880.5"/>
    <n v="337684"/>
    <n v="25803.5"/>
    <n v="25803.5"/>
    <n v="337684"/>
    <n v="337684"/>
    <n v="337684"/>
    <n v="31570"/>
    <n v="31100"/>
    <n v="27530"/>
    <n v="33500"/>
    <n v="34860"/>
    <n v="39940"/>
    <n v="33510"/>
    <n v="33880"/>
    <n v="38510"/>
    <n v="34070"/>
    <n v="338470"/>
    <n v="364273.5"/>
    <n v="1734.85"/>
    <n v="0.77190000000000003"/>
    <n v="0.76029999999999998"/>
    <n v="0.75700000000000001"/>
    <n v="0.72550000000000003"/>
    <n v="0.755"/>
    <n v="0.84470000000000001"/>
    <n v="0.81820000000000004"/>
    <n v="0.82709999999999995"/>
    <n v="0.81459999999999999"/>
    <n v="0.83189999999999997"/>
    <n v="1.0852554103254299"/>
    <n v="4.7228531468531498"/>
    <n v="5.91"/>
    <n v="6.06"/>
    <n v="6.53"/>
    <n v="6.06"/>
    <m/>
    <n v="6.14"/>
    <n v="0.79059999999999997"/>
    <n v="0.76919432359171802"/>
    <n v="1"/>
    <n v="71500"/>
    <n v="56992"/>
    <n v="22000"/>
    <n v="30030"/>
    <s v=" -_x0009_The measurement at Weather Station 5 (STS-2) is not normal. _x000a_-_x0009_Power limitation on Busbar 1 (STS1-STS5) due to considerations of the feeder line capacity."/>
  </r>
  <r>
    <x v="213"/>
    <n v="249932.632258064"/>
    <n v="4.2064516129032299"/>
    <n v="3.4480283870967701"/>
    <n v="0.81969999999999998"/>
    <n v="0.99"/>
    <n v="77630"/>
    <n v="77272"/>
    <n v="61397"/>
    <n v="66252"/>
    <n v="60005"/>
    <n v="342556"/>
    <n v="338254.83"/>
    <n v="-4301.1699999999801"/>
    <n v="0"/>
    <n v="342556"/>
    <n v="342556"/>
    <n v="338254.83"/>
    <n v="27930"/>
    <n v="28360"/>
    <n v="24440"/>
    <n v="30350"/>
    <n v="31200"/>
    <n v="36150"/>
    <n v="31350"/>
    <n v="31240"/>
    <n v="35780"/>
    <n v="32240"/>
    <n v="309040"/>
    <n v="309040"/>
    <n v="1536.77"/>
    <n v="0.80200000000000005"/>
    <n v="0.81430000000000002"/>
    <n v="0.78939999999999999"/>
    <n v="0.77180000000000004"/>
    <n v="0.79349999999999998"/>
    <n v="0.82020000000000004"/>
    <n v="0.89059999999999995"/>
    <n v="0.81799999999999995"/>
    <n v="0.88039999999999996"/>
    <n v="0.84419999999999995"/>
    <n v="0.90215906304370697"/>
    <n v="4.79099300699301"/>
    <n v="5.08"/>
    <n v="5.16"/>
    <n v="5.51"/>
    <n v="5.16"/>
    <m/>
    <n v="5.2275"/>
    <n v="0.82240000000000002"/>
    <n v="0.91649794490540504"/>
    <n v="1"/>
    <n v="71500"/>
    <n v="56992"/>
    <n v="22000"/>
    <n v="30030"/>
    <s v=" -_x0009_The measurement at Weather Station 5 (STS-2) is not normal. _x000a_-_x0009_Power limitation on Busbar 1 (STS1-STS5) due to considerations of the feeder line capacity."/>
  </r>
  <r>
    <x v="214"/>
    <n v="249932.632258064"/>
    <n v="4.2064516129032299"/>
    <n v="3.4480283870967701"/>
    <n v="0.81969999999999998"/>
    <n v="0.99"/>
    <n v="61978"/>
    <n v="61944"/>
    <n v="50505"/>
    <n v="56494.5"/>
    <n v="53509"/>
    <n v="284430.5"/>
    <n v="300251.83"/>
    <n v="15821.33"/>
    <n v="15821.33"/>
    <n v="300251.83"/>
    <n v="300251.83"/>
    <n v="300251.83"/>
    <n v="28730"/>
    <n v="28250"/>
    <n v="25130"/>
    <n v="30310"/>
    <n v="31740"/>
    <n v="37740"/>
    <n v="31640"/>
    <n v="32680"/>
    <n v="37990"/>
    <n v="33290"/>
    <n v="317500"/>
    <n v="333321.33"/>
    <n v="1709.69"/>
    <n v="0.79259999999999997"/>
    <n v="0.77939999999999998"/>
    <n v="0.77980000000000005"/>
    <n v="0.74070000000000003"/>
    <n v="0.79039999999999999"/>
    <n v="0.81069999999999998"/>
    <n v="0.86140000000000005"/>
    <n v="0.81020000000000003"/>
    <n v="0.89600000000000002"/>
    <n v="0.82540000000000002"/>
    <n v="1.11626566067985"/>
    <n v="4.1993262937062896"/>
    <n v="5.3"/>
    <n v="5.27"/>
    <n v="5.82"/>
    <n v="5.37"/>
    <m/>
    <n v="5.44"/>
    <n v="0.80869999999999997"/>
    <n v="0.77193498046071596"/>
    <n v="1"/>
    <n v="71500"/>
    <n v="56992"/>
    <n v="21236"/>
    <n v="30030"/>
    <s v=" -_x0009_The measurement at Weather Station 5 (STS-2) is not normal. _x000a_-_x0009_Power limitation on Busbar 1 (STS1-STS5) due to considerations of the feeder line capacity."/>
  </r>
  <r>
    <x v="215"/>
    <n v="249932.632258064"/>
    <n v="4.2064516129032299"/>
    <n v="3.4480283870967701"/>
    <n v="0.81969999999999998"/>
    <n v="0.99"/>
    <n v="41174"/>
    <n v="41018"/>
    <n v="32039.5"/>
    <n v="37060.5"/>
    <n v="36210"/>
    <n v="187502"/>
    <n v="203243.33"/>
    <n v="15741.33"/>
    <n v="15741.33"/>
    <n v="203243.33"/>
    <n v="203243.33"/>
    <n v="202227.11335"/>
    <n v="16800"/>
    <n v="12240"/>
    <n v="13810"/>
    <n v="17720"/>
    <n v="19120"/>
    <n v="24580"/>
    <n v="20610"/>
    <n v="21220"/>
    <n v="23950"/>
    <n v="21720"/>
    <n v="191770"/>
    <n v="207511.33"/>
    <n v="1653.84"/>
    <n v="0.75180000000000002"/>
    <n v="0.54800000000000004"/>
    <n v="0.69530000000000003"/>
    <n v="0.70250000000000001"/>
    <n v="0.75570000000000004"/>
    <n v="0.8629"/>
    <n v="0.90390000000000004"/>
    <n v="0.8599"/>
    <n v="0.91"/>
    <n v="0.88039999999999996"/>
    <n v="1.02276242386748"/>
    <n v="2.8425640559440599"/>
    <n v="3.29"/>
    <n v="3.32"/>
    <n v="3.56"/>
    <n v="3.31"/>
    <m/>
    <n v="3.37"/>
    <n v="0.78700000000000003"/>
    <n v="0.84349081778755397"/>
    <n v="0.995"/>
    <n v="71500"/>
    <n v="56992"/>
    <n v="22000"/>
    <n v="26527"/>
    <s v=" -_x0009_The measurement at Weather Station 5 (STS-2) is not normal. _x000a_-_x0009_Power limitation on Busbar 1 (STS1-STS5) due to considerations of the feeder line capacity."/>
  </r>
  <r>
    <x v="216"/>
    <n v="249932.632258064"/>
    <n v="4.2064516129032299"/>
    <n v="3.4480283870967701"/>
    <n v="0.81969999999999998"/>
    <n v="0.99"/>
    <n v="68875"/>
    <n v="68862"/>
    <n v="50995"/>
    <n v="56036"/>
    <n v="52488"/>
    <n v="297256"/>
    <n v="295666.17"/>
    <n v="-1589.8300000000199"/>
    <n v="0"/>
    <n v="297256"/>
    <n v="297256"/>
    <n v="294187.83915000001"/>
    <n v="24890"/>
    <n v="12270"/>
    <n v="20490"/>
    <n v="26600"/>
    <n v="28270"/>
    <n v="30480"/>
    <n v="25760"/>
    <n v="25970"/>
    <n v="28790"/>
    <n v="26490"/>
    <n v="250010"/>
    <n v="250010"/>
    <n v="1277.78"/>
    <n v="1"/>
    <n v="0.54900000000000004"/>
    <n v="1"/>
    <n v="1"/>
    <n v="0.85670000000000002"/>
    <n v="0.83740000000000003"/>
    <n v="0.86050000000000004"/>
    <n v="0.8236"/>
    <n v="0.83309999999999995"/>
    <n v="0.84"/>
    <n v="0.84105955809134203"/>
    <n v="4.1574265734265703"/>
    <n v="4.32"/>
    <n v="4.33"/>
    <n v="4.55"/>
    <n v="3.31"/>
    <m/>
    <n v="4.1275000000000004"/>
    <n v="0.88009999999999999"/>
    <n v="1.0072505326290899"/>
    <n v="0.995"/>
    <n v="71500"/>
    <n v="56992"/>
    <n v="22000"/>
    <n v="30030"/>
    <s v=" -_x0009_The measurement at Weather Station 5 (STS-2) is not normal. _x000a_-_x0009_Power limitation on Busbar 1 (STS1-STS5) due to considerations of the feeder line capacity."/>
  </r>
  <r>
    <x v="217"/>
    <n v="249932.632258064"/>
    <n v="4.2064516129032299"/>
    <n v="3.4480283870967701"/>
    <n v="0.81969999999999998"/>
    <n v="0.99"/>
    <n v="38067"/>
    <n v="26948"/>
    <n v="21769"/>
    <n v="28297"/>
    <n v="28011"/>
    <n v="143092"/>
    <n v="141766.17000000001"/>
    <n v="-1325.8299999999899"/>
    <n v="0"/>
    <n v="143092"/>
    <n v="143092"/>
    <n v="141057.33915000001"/>
    <n v="19180"/>
    <n v="9430"/>
    <n v="15680"/>
    <n v="19670"/>
    <n v="20980"/>
    <n v="23050"/>
    <n v="18920"/>
    <n v="19260"/>
    <n v="22230"/>
    <n v="19370"/>
    <n v="187770"/>
    <n v="187770"/>
    <n v="1707.28"/>
    <n v="0.8851"/>
    <n v="0.435"/>
    <n v="0.81430000000000002"/>
    <n v="0.80420000000000003"/>
    <n v="0.87119999999999997"/>
    <n v="0.80479999999999996"/>
    <n v="0.90110000000000001"/>
    <n v="0.77629999999999999"/>
    <n v="0.91720000000000002"/>
    <n v="0.78080000000000005"/>
    <n v="1.3122326894585301"/>
    <n v="2.00128671328671"/>
    <n v="3.03"/>
    <n v="3.16"/>
    <n v="3.58"/>
    <n v="3.21"/>
    <m/>
    <n v="3.2450000000000001"/>
    <n v="0.79900000000000004"/>
    <n v="0.61672934153673697"/>
    <n v="0.995"/>
    <n v="71500"/>
    <n v="56992"/>
    <n v="10919"/>
    <n v="27402"/>
    <s v=" -_x0009_The measurement at Weather Station 5 (STS-2) is not normal. _x000a_-_x0009_Power limitation on Busbar 1 (STS1-STS5) due to considerations of the feeder line capacity."/>
  </r>
  <r>
    <x v="218"/>
    <n v="249932.632258064"/>
    <n v="4.2064516129032299"/>
    <n v="3.4480283870967701"/>
    <n v="0.81969999999999998"/>
    <n v="0.99"/>
    <n v="78204"/>
    <n v="15181"/>
    <n v="30939.5"/>
    <n v="36197"/>
    <n v="36344"/>
    <n v="196865.5"/>
    <n v="203215.5"/>
    <n v="6350"/>
    <n v="6350"/>
    <n v="203215.5"/>
    <n v="203215.5"/>
    <n v="201874.27770000001"/>
    <n v="14410"/>
    <n v="15680"/>
    <n v="12640"/>
    <n v="15610"/>
    <n v="16140"/>
    <n v="17860"/>
    <n v="15120"/>
    <n v="15070"/>
    <n v="16530"/>
    <n v="15460"/>
    <n v="154520"/>
    <n v="160870"/>
    <n v="1571.16"/>
    <n v="0.7681"/>
    <n v="0.83579999999999999"/>
    <n v="0.75749999999999995"/>
    <n v="0.73709999999999998"/>
    <n v="0.76170000000000004"/>
    <n v="0.80579999999999996"/>
    <n v="0.82"/>
    <n v="0.78500000000000003"/>
    <n v="0.77669999999999995"/>
    <n v="0.80549999999999999"/>
    <n v="0.78490136666912202"/>
    <n v="2.8421748251748302"/>
    <n v="2.66"/>
    <n v="2.78"/>
    <n v="2.77"/>
    <n v="2.78"/>
    <m/>
    <n v="2.7475000000000001"/>
    <n v="0.7853"/>
    <n v="1.03445853509548"/>
    <n v="0.99339999999999995"/>
    <n v="71500"/>
    <n v="56992"/>
    <n v="24000"/>
    <n v="30030"/>
    <s v=" -_x0009_The measurement at Weather Station 5 (STS-2) is not normal. _x000a_-_x0009_Power limitation on Busbar 1 (STS1-STS5) due to considerations of the feeder line capacity."/>
  </r>
  <r>
    <x v="219"/>
    <n v="249932.632258064"/>
    <n v="4.2064516129032299"/>
    <n v="3.4480283870967701"/>
    <n v="0.81969999999999998"/>
    <n v="0.99"/>
    <n v="77850"/>
    <n v="77682"/>
    <n v="59167"/>
    <n v="64931"/>
    <n v="58841"/>
    <n v="338471"/>
    <n v="341639.33"/>
    <n v="3168.3300000000199"/>
    <n v="3168.3300000000199"/>
    <n v="341639.33"/>
    <n v="341639.33"/>
    <n v="339931.13335000002"/>
    <n v="30730"/>
    <n v="30260"/>
    <n v="26350"/>
    <n v="33750"/>
    <n v="35440"/>
    <n v="40340"/>
    <n v="34130"/>
    <n v="33720"/>
    <n v="36630"/>
    <n v="34530"/>
    <n v="335880"/>
    <n v="339048.33"/>
    <n v="1385.2"/>
    <n v="0.78910000000000002"/>
    <n v="0.77700000000000002"/>
    <n v="0.76100000000000001"/>
    <n v="0.76759999999999995"/>
    <n v="0.80049999999999999"/>
    <n v="0.88919999999999999"/>
    <n v="0.91039999999999999"/>
    <n v="0.85819999999999996"/>
    <n v="0.84640000000000004"/>
    <n v="0.87890000000000001"/>
    <n v="0.99234498671968896"/>
    <n v="4.7781724475524499"/>
    <n v="5.41"/>
    <n v="5.81"/>
    <n v="5.67"/>
    <n v="5.77"/>
    <m/>
    <n v="5.665"/>
    <n v="0.82779999999999998"/>
    <n v="0.84345497750263898"/>
    <n v="0.995"/>
    <n v="71500"/>
    <n v="56992"/>
    <n v="24000"/>
    <n v="30030"/>
    <s v=" -_x0009_The measurement at Weather Station 5 (STS-2) is not normal. _x000a_-_x0009_Power limitation on Busbar 1 (STS1-STS5) due to considerations of the feeder line capacity."/>
  </r>
  <r>
    <x v="220"/>
    <n v="249932.632258064"/>
    <n v="4.2064516129032299"/>
    <n v="3.4480283870967701"/>
    <n v="0.81969999999999998"/>
    <n v="0.99"/>
    <n v="63333"/>
    <n v="63140"/>
    <n v="48747.5"/>
    <n v="54190"/>
    <n v="47309"/>
    <n v="276719.5"/>
    <n v="265537.17"/>
    <n v="-11182.33"/>
    <n v="0"/>
    <n v="276719.5"/>
    <n v="276719.5"/>
    <n v="264209.48414999997"/>
    <n v="25490"/>
    <n v="25050"/>
    <n v="21710"/>
    <n v="27610"/>
    <n v="28320"/>
    <n v="32270"/>
    <n v="27020"/>
    <n v="27680"/>
    <n v="30990"/>
    <n v="27700"/>
    <n v="273840"/>
    <n v="273840"/>
    <n v="1426.67"/>
    <n v="0.81740000000000002"/>
    <n v="0.80320000000000003"/>
    <n v="0.7833"/>
    <n v="0.7843"/>
    <n v="0.82420000000000004"/>
    <n v="0.92949999999999999"/>
    <n v="0.87809999999999999"/>
    <n v="0.92030000000000001"/>
    <n v="0.87229999999999996"/>
    <n v="0.92090000000000005"/>
    <n v="0.98959415581482302"/>
    <n v="3.8702027972028001"/>
    <n v="4.4400000000000004"/>
    <n v="4.51"/>
    <n v="4.34"/>
    <n v="4.62"/>
    <m/>
    <n v="4.4775"/>
    <n v="0.85329999999999995"/>
    <n v="0.86436690054780496"/>
    <n v="0.995"/>
    <n v="71500"/>
    <n v="56992"/>
    <n v="24000"/>
    <n v="30030"/>
    <s v=" -_x0009_The measurement at Weather Station 5 (STS-2) is not normal. _x000a_-_x0009_Power limitation on Busbar 1 (STS1-STS5) due to considerations of the feeder line capacity."/>
  </r>
  <r>
    <x v="221"/>
    <n v="249932.632258064"/>
    <n v="4.2064516129032299"/>
    <n v="3.4480283870967701"/>
    <n v="0.81969999999999998"/>
    <n v="0.99"/>
    <n v="50788"/>
    <n v="50865"/>
    <n v="34814"/>
    <n v="40171"/>
    <n v="34982"/>
    <n v="211620"/>
    <n v="193884.33"/>
    <n v="-17735.669999999998"/>
    <n v="0"/>
    <n v="211620"/>
    <n v="211620"/>
    <n v="192914.90835000001"/>
    <n v="21600"/>
    <n v="20560"/>
    <n v="17890"/>
    <n v="22930"/>
    <n v="23450"/>
    <n v="25310"/>
    <n v="21280"/>
    <n v="21630"/>
    <n v="24190"/>
    <n v="22210"/>
    <n v="221050"/>
    <n v="221050"/>
    <n v="1318.72"/>
    <n v="0.94669999999999999"/>
    <n v="0.90110000000000001"/>
    <n v="0.88200000000000001"/>
    <n v="0.89019999999999999"/>
    <n v="0.90249999999999997"/>
    <n v="0.97950000000000004"/>
    <n v="0.92779999999999996"/>
    <n v="0.96650000000000003"/>
    <n v="0.91359999999999997"/>
    <n v="0.99209999999999998"/>
    <n v="1.0445610055760299"/>
    <n v="2.9597202797202802"/>
    <n v="3.31"/>
    <n v="3.41"/>
    <n v="3.23"/>
    <n v="3.38"/>
    <m/>
    <n v="3.3325"/>
    <n v="0.93020000000000003"/>
    <n v="0.88813811844569501"/>
    <n v="0.995"/>
    <n v="71500"/>
    <n v="56992"/>
    <n v="24000"/>
    <n v="29154"/>
    <s v=" -_x0009_The measurement at Weather Station 5 (STS-2) is not normal. _x000a_-_x0009_Power limitation on Busbar 1 (STS1-STS5) due to considerations of the feeder line capacity."/>
  </r>
  <r>
    <x v="222"/>
    <n v="249932.632258064"/>
    <n v="4.2064516129032299"/>
    <n v="3.4480283870967701"/>
    <n v="0.81969999999999998"/>
    <n v="0.99"/>
    <n v="64469"/>
    <n v="64164"/>
    <n v="41255"/>
    <n v="46660"/>
    <n v="45330"/>
    <n v="261878"/>
    <n v="255644"/>
    <n v="-6234"/>
    <n v="0"/>
    <n v="261878"/>
    <n v="261878"/>
    <n v="254365.78"/>
    <n v="24940"/>
    <n v="23830"/>
    <n v="20520"/>
    <n v="26410"/>
    <n v="26670"/>
    <n v="27950"/>
    <n v="15570"/>
    <n v="23680"/>
    <n v="25930"/>
    <n v="24390"/>
    <n v="239890"/>
    <n v="239890"/>
    <n v="1552.62"/>
    <n v="0.9355"/>
    <n v="0.89380000000000004"/>
    <n v="0.8659"/>
    <n v="0.87749999999999995"/>
    <n v="0.89290000000000003"/>
    <n v="0.9052"/>
    <n v="0.59419999999999995"/>
    <n v="0.88519999999999999"/>
    <n v="0.85729999999999995"/>
    <n v="0.91190000000000004"/>
    <n v="0.91603723871420994"/>
    <n v="3.6626293706293702"/>
    <n v="3.78"/>
    <n v="3.92"/>
    <n v="3.86"/>
    <n v="3.95"/>
    <m/>
    <n v="3.8774999999999999"/>
    <n v="0.86199999999999999"/>
    <n v="0.94458526644213303"/>
    <n v="0.995"/>
    <n v="71500"/>
    <n v="56992"/>
    <n v="24000"/>
    <n v="30030"/>
    <s v=" -_x0009_The measurement at Weather Station 5 (STS-2) is not normal. _x000a_-_x0009_Power limitation on Busbar 1 (STS1-STS5) due to considerations of the feeder line capacity."/>
  </r>
  <r>
    <x v="223"/>
    <n v="249932.632258064"/>
    <n v="4.2064516129032299"/>
    <n v="3.4480283870967701"/>
    <n v="0.81969999999999998"/>
    <n v="0.99"/>
    <n v="49759"/>
    <n v="49714"/>
    <n v="34881.78"/>
    <n v="39934"/>
    <n v="38702"/>
    <n v="212990.78"/>
    <n v="200842.5"/>
    <n v="-12148.28"/>
    <n v="0"/>
    <n v="212990.78"/>
    <n v="212990.78"/>
    <n v="199838.28750000001"/>
    <n v="20420"/>
    <n v="19290"/>
    <n v="17150"/>
    <n v="21340"/>
    <n v="22070"/>
    <n v="24900"/>
    <n v="21040"/>
    <n v="21120"/>
    <n v="24050"/>
    <n v="20990"/>
    <n v="212370"/>
    <n v="212370"/>
    <n v="1638.41"/>
    <n v="0.88719999999999999"/>
    <n v="0.83809999999999996"/>
    <n v="0.83799999999999997"/>
    <n v="0.82130000000000003"/>
    <n v="0.83"/>
    <n v="0.94030000000000002"/>
    <n v="0.89029999999999998"/>
    <n v="0.92090000000000005"/>
    <n v="0.88160000000000005"/>
    <n v="0.91479999999999995"/>
    <n v="0.99708541374420101"/>
    <n v="2.9788920279720301"/>
    <n v="3.41"/>
    <n v="3.49"/>
    <n v="3.31"/>
    <n v="3.41"/>
    <m/>
    <n v="3.4049999999999998"/>
    <n v="0.87619999999999998"/>
    <n v="0.874858157994722"/>
    <n v="0.995"/>
    <n v="71500"/>
    <n v="56992"/>
    <n v="24000"/>
    <n v="30030"/>
    <s v=" -_x0009_The measurement at Weather Station 5 (STS-2) is not normal. _x000a_-_x0009_Power limitation on Busbar 1 (STS1-STS5) due to considerations of the feeder line capacity."/>
  </r>
  <r>
    <x v="224"/>
    <n v="249932.632258064"/>
    <n v="4.2064516129032299"/>
    <n v="3.4480283870967701"/>
    <n v="0.81969999999999998"/>
    <n v="0.99"/>
    <n v="59631"/>
    <n v="59472"/>
    <n v="43423.5"/>
    <n v="46259"/>
    <n v="45853"/>
    <n v="254638.5"/>
    <n v="250187.83"/>
    <n v="-4450.6700000000101"/>
    <n v="0"/>
    <n v="254638.5"/>
    <n v="254638.5"/>
    <n v="248936.89085"/>
    <n v="25920"/>
    <n v="25010"/>
    <n v="9.22692233389569E-5"/>
    <n v="27400"/>
    <n v="25670"/>
    <n v="32260"/>
    <n v="25120"/>
    <n v="27250"/>
    <n v="30390"/>
    <n v="28530"/>
    <n v="247550.00009226901"/>
    <n v="247550.00009226901"/>
    <n v="1312.07"/>
    <n v="0.84750000000000003"/>
    <n v="0.81810000000000005"/>
    <n v="0.78879999999999995"/>
    <n v="0.79369999999999996"/>
    <n v="0.79079999999999995"/>
    <n v="0.9143"/>
    <n v="0.84699999999999998"/>
    <n v="0.89170000000000005"/>
    <n v="0.88770000000000004"/>
    <n v="0.9335"/>
    <n v="0.97216249739245697"/>
    <n v="3.5613776223776199"/>
    <n v="4.28"/>
    <n v="4.26"/>
    <n v="4.41"/>
    <n v="4.53"/>
    <m/>
    <n v="4.37"/>
    <n v="0.85129999999999995"/>
    <n v="0.81496055431982195"/>
    <n v="0.995"/>
    <n v="71500"/>
    <n v="56992"/>
    <n v="23633"/>
    <n v="26449"/>
    <s v=" -_x0009_The measurement at Weather Station 5 (STS-2) is not normal. _x000a_-_x0009_Power limitation on Busbar 1 (STS1-STS5) due to considerations of the feeder line capacity."/>
  </r>
  <r>
    <x v="225"/>
    <n v="249932.632258064"/>
    <n v="4.2064516129032299"/>
    <n v="3.4480283870967701"/>
    <n v="0.81969999999999998"/>
    <n v="0.99"/>
    <n v="55616"/>
    <n v="52952"/>
    <n v="48743"/>
    <n v="37546"/>
    <n v="35181"/>
    <n v="230038"/>
    <n v="237816.17"/>
    <n v="7778.1700000000101"/>
    <n v="7778.1700000000101"/>
    <n v="237816.17"/>
    <n v="237816.17"/>
    <n v="236627.08915000001"/>
    <n v="27060"/>
    <n v="26340"/>
    <n v="22940"/>
    <n v="29610"/>
    <n v="28160"/>
    <n v="33510"/>
    <n v="28320"/>
    <n v="28760"/>
    <n v="32400"/>
    <n v="29370"/>
    <n v="286470"/>
    <n v="294248.17"/>
    <n v="1660.16"/>
    <n v="0.82320000000000004"/>
    <n v="0.80120000000000002"/>
    <n v="0.78490000000000004"/>
    <n v="0.79790000000000005"/>
    <n v="0.78280000000000005"/>
    <n v="0.89900000000000002"/>
    <n v="0.86750000000000005"/>
    <n v="0.89039999999999997"/>
    <n v="0.8599"/>
    <n v="0.9093"/>
    <n v="1.2453159912710099"/>
    <n v="3.3261002797202801"/>
    <n v="4.71"/>
    <n v="4.72"/>
    <n v="4.66"/>
    <n v="4.87"/>
    <m/>
    <n v="4.74"/>
    <n v="0.84160000000000001"/>
    <n v="0.70170891977221095"/>
    <n v="0.995"/>
    <n v="71500"/>
    <n v="56992"/>
    <n v="12000"/>
    <n v="12617"/>
    <s v=" -_x0009_The measurement at Weather Station 5 (STS-2) is not normal. _x000a_-_x0009_Power limitation on Busbar 1 (STS1-STS5) due to considerations of the feeder line capacity."/>
  </r>
  <r>
    <x v="226"/>
    <n v="249932.632258064"/>
    <n v="4.2064516129032299"/>
    <n v="3.4480283870967701"/>
    <n v="0.81969999999999998"/>
    <n v="0.99"/>
    <n v="42334"/>
    <n v="0"/>
    <n v="33252.5"/>
    <n v="0"/>
    <n v="11883"/>
    <n v="87469.5"/>
    <n v="85814.83"/>
    <n v="-1654.67"/>
    <n v="0"/>
    <n v="87469.5"/>
    <n v="87469.5"/>
    <n v="85385.755850000001"/>
    <n v="5160"/>
    <n v="5300"/>
    <n v="4980"/>
    <n v="6030"/>
    <n v="6160"/>
    <n v="6700"/>
    <n v="5680"/>
    <n v="5720"/>
    <n v="6180"/>
    <n v="5850"/>
    <n v="57760"/>
    <n v="57760"/>
    <n v="1564.38"/>
    <n v="0.91020000000000001"/>
    <n v="0.93510000000000004"/>
    <n v="0.98850000000000005"/>
    <n v="0.94159999999999999"/>
    <n v="0.92959999999999998"/>
    <n v="0.9849"/>
    <n v="0.97540000000000004"/>
    <n v="0.97170000000000001"/>
    <n v="0.91990000000000005"/>
    <n v="0.99309999999999998"/>
    <n v="0.66034446292707705"/>
    <n v="1.2233496503496499"/>
    <n v="0.84"/>
    <n v="0.87"/>
    <n v="0.85"/>
    <n v="0.84"/>
    <m/>
    <n v="0.85"/>
    <n v="0.95499999999999996"/>
    <n v="1.43923488276429"/>
    <n v="0.995"/>
    <n v="71500"/>
    <n v="56992"/>
    <n v="10483"/>
    <n v="24897"/>
    <s v=" -_x0009_The measurement at Weather Station 5 (STS-2) is not normal. _x000a_-_x0009_Power limitation on Busbar 1 (STS1-STS5) due to considerations of the feeder line capacity._x000a_- Request Outage OG.4 NST.2 and OG.5 NST.3 due to Relocation of the 20 kV Medium Voltage Overhead Line (SUTM) due to the impact of a road construction project._x000a_- OG.2 has been outage due to trip Overcurrent Stage 1 Lockout at GSK.2 and GSK.3 at July 14, 17:49 due to disturbances at 20 kV network distribution"/>
  </r>
  <r>
    <x v="227"/>
    <n v="249932.632258064"/>
    <n v="4.2064516129032299"/>
    <n v="3.4480283870967701"/>
    <n v="0.81969999999999998"/>
    <n v="0.99"/>
    <n v="76944"/>
    <n v="1106"/>
    <n v="33643"/>
    <n v="35048"/>
    <n v="45453"/>
    <n v="192194"/>
    <n v="222352.5"/>
    <n v="30158.5"/>
    <n v="30158.5"/>
    <n v="222352.5"/>
    <n v="222352.5"/>
    <n v="222352.5"/>
    <n v="18380"/>
    <n v="17640"/>
    <n v="16170"/>
    <n v="20410"/>
    <n v="20260"/>
    <n v="25770"/>
    <n v="22000"/>
    <n v="21890"/>
    <n v="24570"/>
    <n v="22730"/>
    <n v="209820"/>
    <n v="239978.5"/>
    <n v="1465.1"/>
    <n v="0.65620000000000001"/>
    <n v="0.62980000000000003"/>
    <n v="0.64929999999999999"/>
    <n v="0.64539999999999997"/>
    <n v="0.64059999999999995"/>
    <n v="0.77239999999999998"/>
    <n v="0.78979999999999995"/>
    <n v="0.75749999999999995"/>
    <n v="0.76390000000000002"/>
    <n v="0.78669999999999995"/>
    <n v="1.0917094186082801"/>
    <n v="3.1098251748251702"/>
    <n v="4.0199999999999996"/>
    <n v="4.1500000000000004"/>
    <n v="4.17"/>
    <n v="4.1500000000000004"/>
    <m/>
    <n v="4.1224999999999996"/>
    <n v="0.70909999999999995"/>
    <n v="0.75435419644030899"/>
    <n v="1"/>
    <n v="71500"/>
    <n v="56992"/>
    <n v="20611"/>
    <n v="26094"/>
    <s v="-_x0009_The measurement at Weather Station 5 (STS-2) is not normal. _x000a_-_x0009_Power limitation on Busbar 1 (STS1-STS5) due to considerations of the feeder line capacity._x000a_- Request Outage OG.1 – GSK.3 due to jointing repair work on the 20 kV distribution line from GSK.2 to OG.2. OG.2 has been outaged since July 14th at 17:49._x000a_- Request Outage OG.3 NST.5, OG.4 NST.2, and OG.5 NST.3 due to disturbances at 20 kV network distribution from 9.43 to 11.51"/>
  </r>
  <r>
    <x v="228"/>
    <n v="249932.632258064"/>
    <n v="4.2064516129032299"/>
    <n v="3.4480283870967701"/>
    <n v="0.81969999999999998"/>
    <n v="0.99"/>
    <n v="27901"/>
    <n v="27964"/>
    <n v="27816.5"/>
    <n v="29512"/>
    <n v="6521"/>
    <n v="119714.5"/>
    <n v="100630.67"/>
    <n v="-19083.830000000002"/>
    <n v="0"/>
    <n v="119714.5"/>
    <n v="119714.5"/>
    <n v="100630.67"/>
    <n v="6720"/>
    <n v="6900"/>
    <n v="6210"/>
    <n v="7860"/>
    <n v="7610"/>
    <n v="8210"/>
    <n v="7050"/>
    <n v="7030"/>
    <n v="8150"/>
    <n v="7310"/>
    <n v="73050"/>
    <n v="73050"/>
    <n v="1727.61"/>
    <n v="0.96640000000000004"/>
    <n v="0.99219999999999997"/>
    <n v="1"/>
    <n v="1"/>
    <n v="0.95130000000000003"/>
    <n v="1"/>
    <n v="0.98750000000000004"/>
    <n v="0.99470000000000003"/>
    <n v="0.98939999999999995"/>
    <n v="1"/>
    <n v="0.61020177171520595"/>
    <n v="1.67432867132867"/>
    <n v="1.03"/>
    <n v="1.05"/>
    <n v="1.02"/>
    <n v="1.03"/>
    <m/>
    <n v="1.0325"/>
    <n v="0.99280000000000002"/>
    <n v="1.62162583179532"/>
    <n v="1"/>
    <n v="71500"/>
    <n v="56992"/>
    <n v="24000"/>
    <n v="24000"/>
    <s v="-_x0009_The measurement at Weather Station 5 (STS-2) is not normal. _x000a_-_x0009_Power limitation on Busbar 1 (STS1-STS5) due to considerations of the feeder line capacity._x000a_- OG.2 has been outaged since July 14th at 17:49 until July 17th at 9:07._x000a_- In relation to the relocation work of the 20 kV Medium Voltage Overhead Line (SUTM) Eucalyptus Rise Pole, which was affected by the East Axis (Sumbu Timur) Road Construction Project by the Ministry of Public Works (PU), the 20 kV distribution network on the OG.5 to NST.3 line was disconnected in the middle by the Dispatcher. OG.5 remains in a closed Circuit Breaker (CB) position, has not experienced an outage, and is still receiving voltage feedback."/>
  </r>
  <r>
    <x v="229"/>
    <n v="249932.632258064"/>
    <n v="4.2064516129032299"/>
    <n v="3.4480283870967701"/>
    <n v="0.81969999999999998"/>
    <n v="0.99"/>
    <n v="60626"/>
    <n v="60557"/>
    <n v="59018"/>
    <n v="59905"/>
    <n v="13016"/>
    <n v="253122"/>
    <n v="243984.33"/>
    <n v="-9137.6700000000092"/>
    <n v="0"/>
    <n v="253122"/>
    <n v="253122"/>
    <n v="243984.33"/>
    <n v="25260"/>
    <n v="25580"/>
    <n v="23090"/>
    <n v="29030"/>
    <n v="26730"/>
    <n v="29880"/>
    <n v="25380"/>
    <n v="25360"/>
    <n v="29240"/>
    <n v="26110"/>
    <n v="265660"/>
    <n v="265660"/>
    <n v="1257"/>
    <n v="0.87029999999999996"/>
    <n v="0.88119999999999998"/>
    <n v="0.89490000000000003"/>
    <n v="0.88600000000000001"/>
    <n v="0.83330000000000004"/>
    <n v="0.86670000000000003"/>
    <n v="0.91569999999999996"/>
    <n v="0.84909999999999997"/>
    <n v="0.91379999999999995"/>
    <n v="0.87409999999999999"/>
    <n v="1.0495334265690099"/>
    <n v="3.54016783216783"/>
    <n v="4"/>
    <n v="4.21"/>
    <n v="4.3099999999999996"/>
    <n v="4.3"/>
    <m/>
    <n v="4.2050000000000001"/>
    <n v="0.87849999999999995"/>
    <n v="0.84189484712671403"/>
    <n v="1"/>
    <n v="71500"/>
    <n v="56992"/>
    <n v="24000"/>
    <n v="29511"/>
    <s v="-_x0009_The measurement at Weather Station 5 (STS-2) is not normal. _x000a_-_x0009_Power limitation on Busbar 1 (STS1-STS5) due to considerations of the feeder line capacity._x000a_- In relation to the relocation work of the 20 kV Medium Voltage Overhead Line (SUTM) Eucalyptus Rise Pole, which was affected by the East Axis (Sumbu Timur) Road Construction Project by the Ministry of Public Works (PU), the 20 kV distribution network on the OG.5 to NST.3 line was disconnected in the middle by the Dispatcher. OG.5 remains in a closed Circuit Breaker (CB) position, has not experienced an outage, and is still receiving voltage feedback."/>
  </r>
  <r>
    <x v="230"/>
    <n v="249932.632258064"/>
    <n v="4.2064516129032299"/>
    <n v="3.4480283870967701"/>
    <n v="0.81969999999999998"/>
    <n v="0.99"/>
    <n v="68784"/>
    <n v="68668"/>
    <n v="43500.5"/>
    <n v="54054"/>
    <n v="51344"/>
    <n v="286350.5"/>
    <n v="275916.33"/>
    <n v="-10434.17"/>
    <n v="0"/>
    <n v="286350.5"/>
    <n v="286350.5"/>
    <n v="275364.49734"/>
    <n v="24280"/>
    <n v="25090"/>
    <n v="22030"/>
    <n v="27900"/>
    <n v="25440"/>
    <n v="29480"/>
    <n v="25390"/>
    <n v="25180"/>
    <n v="28230"/>
    <n v="26200"/>
    <n v="259220"/>
    <n v="259220"/>
    <n v="1762.66"/>
    <n v="0.88360000000000005"/>
    <n v="0.9133"/>
    <n v="0.90200000000000002"/>
    <n v="0.89959999999999996"/>
    <n v="0.82040000000000002"/>
    <n v="0.88360000000000005"/>
    <n v="0.93940000000000001"/>
    <n v="0.87119999999999997"/>
    <n v="0.90469999999999995"/>
    <n v="0.90669999999999995"/>
    <n v="0.905254225154138"/>
    <n v="4.0049020979021002"/>
    <n v="3.9"/>
    <n v="4.07"/>
    <n v="4.17"/>
    <n v="4.07"/>
    <m/>
    <n v="4.0525000000000002"/>
    <n v="0.89239999999999997"/>
    <n v="0.988254681777199"/>
    <n v="0.998"/>
    <n v="71500"/>
    <n v="56992"/>
    <n v="24000"/>
    <n v="30030"/>
    <s v="-_x0009_Power limitation on Busbar 1 (STS1-STS5) due to considerations of the feeder line capacity."/>
  </r>
  <r>
    <x v="231"/>
    <n v="249932.632258064"/>
    <n v="4.2064516129032299"/>
    <n v="3.4480283870967701"/>
    <n v="0.81969999999999998"/>
    <n v="0.99"/>
    <n v="83186"/>
    <n v="83301"/>
    <n v="63548"/>
    <n v="66655"/>
    <n v="62883"/>
    <n v="359573"/>
    <n v="359675.17"/>
    <n v="102.169999999984"/>
    <n v="102.169999999984"/>
    <n v="359675.17"/>
    <n v="359675.17"/>
    <n v="358775.98207500001"/>
    <n v="31440"/>
    <n v="32610"/>
    <n v="27430"/>
    <n v="36860"/>
    <n v="34730"/>
    <n v="40380"/>
    <n v="34270"/>
    <n v="34380"/>
    <n v="38850"/>
    <n v="35320"/>
    <n v="346270"/>
    <n v="346372.17"/>
    <n v="1535.7"/>
    <n v="0.80179999999999996"/>
    <n v="0.83150000000000002"/>
    <n v="0.78669999999999995"/>
    <n v="0.83260000000000001"/>
    <n v="0.80100000000000005"/>
    <n v="0.90290000000000004"/>
    <n v="0.89270000000000005"/>
    <n v="0.88749999999999996"/>
    <n v="0.87670000000000003"/>
    <n v="0.91169999999999995"/>
    <n v="0.96300334007280897"/>
    <n v="5.03042195804196"/>
    <n v="5.54"/>
    <n v="5.69"/>
    <n v="5.59"/>
    <n v="5.81"/>
    <n v="6.13"/>
    <n v="5.7519999999999998"/>
    <n v="0.85250000000000004"/>
    <n v="0.87455180077224604"/>
    <n v="0.99750000000000005"/>
    <n v="71500"/>
    <n v="56992"/>
    <n v="24000"/>
    <n v="30030"/>
    <s v="-_x0009_Power limitation on Busbar 1 (STS1-STS5) due to considerations of the feeder line capacity."/>
  </r>
  <r>
    <x v="232"/>
    <n v="249932.632258064"/>
    <n v="4.2064516129032299"/>
    <n v="3.4480283870967701"/>
    <n v="0.81969999999999998"/>
    <n v="0.99"/>
    <n v="84620"/>
    <n v="84826"/>
    <n v="65907.5"/>
    <n v="67828"/>
    <n v="65959"/>
    <n v="369140.5"/>
    <n v="356641.83"/>
    <n v="-12498.67"/>
    <n v="0"/>
    <n v="369140.5"/>
    <n v="369140.5"/>
    <n v="356641.83"/>
    <n v="33240"/>
    <n v="33330"/>
    <n v="29550"/>
    <n v="38160"/>
    <n v="38850"/>
    <n v="42700"/>
    <n v="37050"/>
    <n v="36970"/>
    <n v="43890"/>
    <n v="37820"/>
    <n v="371560"/>
    <n v="371560"/>
    <n v="1511.41"/>
    <n v="0.79679999999999995"/>
    <n v="0.79900000000000004"/>
    <n v="0.79700000000000004"/>
    <n v="0.81030000000000002"/>
    <n v="0.81579999999999997"/>
    <n v="0.89700000000000002"/>
    <n v="0.87790000000000001"/>
    <n v="0.89649999999999996"/>
    <n v="0.90080000000000005"/>
    <n v="0.9173"/>
    <n v="1.0065544149179"/>
    <n v="5.1628041958041999"/>
    <n v="6.09"/>
    <n v="6.25"/>
    <n v="5.95"/>
    <n v="6.18"/>
    <n v="6.55"/>
    <n v="6.2039999999999997"/>
    <n v="0.8508"/>
    <n v="0.83217346805354497"/>
    <n v="1"/>
    <n v="71500"/>
    <n v="56992"/>
    <n v="24000"/>
    <n v="30030"/>
    <s v="-_x0009_Power limitation on Busbar 1 (STS1-STS5) due to considerations of the feeder line capacity."/>
  </r>
  <r>
    <x v="233"/>
    <n v="249932.632258064"/>
    <n v="4.2064516129032299"/>
    <n v="3.4480283870967701"/>
    <n v="0.81969999999999998"/>
    <n v="0.99"/>
    <n v="71206"/>
    <n v="71214"/>
    <n v="51195.5"/>
    <n v="56461"/>
    <n v="53111"/>
    <n v="303187.5"/>
    <n v="301606.5"/>
    <n v="-1581"/>
    <n v="0"/>
    <n v="303187.5"/>
    <n v="303187.5"/>
    <n v="301606.5"/>
    <n v="29620"/>
    <n v="28910"/>
    <n v="25740"/>
    <n v="32770"/>
    <n v="34180"/>
    <n v="35420"/>
    <n v="30380"/>
    <n v="29590"/>
    <n v="34390"/>
    <n v="29270"/>
    <n v="310270"/>
    <n v="310270"/>
    <n v="1641.5"/>
    <n v="0.874"/>
    <n v="0.85309999999999997"/>
    <n v="0.85470000000000002"/>
    <n v="0.85660000000000003"/>
    <n v="0.86409999999999998"/>
    <n v="0.89090000000000003"/>
    <n v="0.94479999999999997"/>
    <n v="0.85899999999999999"/>
    <n v="0.92649999999999999"/>
    <n v="0.84989999999999999"/>
    <n v="1.0233601319315599"/>
    <n v="4.2403846153846096"/>
    <n v="4.6399999999999997"/>
    <n v="5.19"/>
    <n v="4.97"/>
    <n v="5.0199999999999996"/>
    <n v="5.53"/>
    <n v="5.07"/>
    <n v="0.87739999999999996"/>
    <n v="0.83636777423759701"/>
    <n v="1"/>
    <n v="71500"/>
    <n v="56992"/>
    <n v="24000"/>
    <n v="30030"/>
    <s v="-_x0009_Power limitation on Busbar 1 (STS1-STS5) due to considerations of the feeder line capacity."/>
  </r>
  <r>
    <x v="234"/>
    <n v="249932.632258064"/>
    <n v="4.2064516129032299"/>
    <n v="3.4480283870967701"/>
    <n v="0.81969999999999998"/>
    <n v="0.99"/>
    <n v="64943"/>
    <n v="65052"/>
    <n v="42976.5"/>
    <n v="49064"/>
    <n v="45064"/>
    <n v="267099.5"/>
    <n v="281751.5"/>
    <n v="14652"/>
    <n v="14652"/>
    <n v="281751.5"/>
    <n v="281751.5"/>
    <n v="281751.5"/>
    <n v="25310"/>
    <n v="25150"/>
    <n v="21720"/>
    <n v="28890"/>
    <n v="29380"/>
    <n v="29340"/>
    <n v="25600"/>
    <n v="25570"/>
    <n v="31700"/>
    <n v="26490"/>
    <n v="269150"/>
    <n v="283802"/>
    <n v="1479.74"/>
    <n v="0.80820000000000003"/>
    <n v="0.80300000000000005"/>
    <n v="0.78010000000000002"/>
    <n v="0.81720000000000004"/>
    <n v="0.83460000000000001"/>
    <n v="0.80410000000000004"/>
    <n v="0.77610000000000001"/>
    <n v="0.80910000000000004"/>
    <n v="0.83250000000000002"/>
    <n v="0.83830000000000005"/>
    <n v="1.0076769144083"/>
    <n v="3.9405804195804199"/>
    <n v="4.76"/>
    <n v="4.62"/>
    <n v="4.5599999999999996"/>
    <n v="4.6399999999999997"/>
    <n v="4.8099999999999996"/>
    <n v="4.6779999999999999"/>
    <n v="0.81030000000000002"/>
    <n v="0.84236434792227899"/>
    <n v="1"/>
    <n v="71500"/>
    <n v="56992"/>
    <n v="23800"/>
    <n v="29054"/>
    <s v="-_x0009_Power limitation on Busbar 1 (STS1-STS5) due to considerations of the feeder line capacity._x000a_- Auto-reclose on GSK.3 and OG.1 temporarily lost voltage feedback before regaining it shortly afterward. OG.1 remained in the CB closed position and did not experience an outage trip._x000a_- Loss of feedback voltage at busbar 2. External Outage, Trip Earth Fault stage 1 at OG.3, NST.2, and NST.3 due to disturbances at 20 kV network distribution"/>
  </r>
  <r>
    <x v="235"/>
    <n v="249932.632258064"/>
    <n v="4.2064516129032299"/>
    <n v="3.4480283870967701"/>
    <n v="0.81969999999999998"/>
    <n v="0.99"/>
    <n v="70228"/>
    <n v="70378"/>
    <n v="52658"/>
    <n v="61064"/>
    <n v="54636"/>
    <n v="308964"/>
    <n v="303598.33"/>
    <n v="-5365.6699999999801"/>
    <n v="0"/>
    <n v="308964"/>
    <n v="308964"/>
    <n v="303598.33"/>
    <n v="26650"/>
    <n v="27180"/>
    <n v="23580"/>
    <n v="31550"/>
    <n v="31710"/>
    <n v="35520"/>
    <n v="30280"/>
    <n v="30470"/>
    <n v="36020"/>
    <n v="31200"/>
    <n v="304160"/>
    <n v="304160"/>
    <n v="1674.85"/>
    <n v="0.76819999999999999"/>
    <n v="0.78339999999999999"/>
    <n v="0.76459999999999995"/>
    <n v="0.80379999999999996"/>
    <n v="0.80649999999999999"/>
    <n v="0.85050000000000003"/>
    <n v="0.88629999999999998"/>
    <n v="0.84219999999999995"/>
    <n v="0.91320000000000001"/>
    <n v="0.86240000000000006"/>
    <n v="0.98445126293030905"/>
    <n v="4.3211748251748299"/>
    <n v="4.93"/>
    <n v="5.16"/>
    <n v="5.22"/>
    <n v="5.15"/>
    <n v="5.14"/>
    <n v="5.12"/>
    <n v="0.82809999999999995"/>
    <n v="0.84397945804195795"/>
    <n v="1"/>
    <n v="71500"/>
    <n v="56992"/>
    <n v="24000"/>
    <n v="30030"/>
    <s v="-_x0009_Power limitation on Busbar 1 (STS1-STS5) due to considerations of the feeder line capacity."/>
  </r>
  <r>
    <x v="236"/>
    <n v="249932.632258064"/>
    <n v="4.2064516129032299"/>
    <n v="3.4480283870967701"/>
    <n v="0.81969999999999998"/>
    <n v="0.99"/>
    <n v="67606"/>
    <n v="67757"/>
    <n v="53241.5"/>
    <n v="61898"/>
    <n v="55464"/>
    <n v="305966.5"/>
    <n v="308583.17"/>
    <n v="2616.6699999999801"/>
    <n v="2616.6699999999801"/>
    <n v="308583.17"/>
    <n v="308583.17"/>
    <n v="308583.17"/>
    <n v="27600"/>
    <n v="28290"/>
    <n v="24030"/>
    <n v="31690"/>
    <n v="32060"/>
    <n v="37480"/>
    <n v="32460"/>
    <n v="32240"/>
    <n v="38530"/>
    <n v="32470"/>
    <n v="316850"/>
    <n v="319466.67"/>
    <n v="1633.36"/>
    <n v="0.72099999999999997"/>
    <n v="0.73899999999999999"/>
    <n v="0.70640000000000003"/>
    <n v="0.78029999999999999"/>
    <n v="0.77349999999999997"/>
    <n v="0.87409999999999999"/>
    <n v="0.87229999999999996"/>
    <n v="0.86780000000000002"/>
    <n v="0.89680000000000004"/>
    <n v="0.87419999999999998"/>
    <n v="1.03557088766254"/>
    <n v="4.3158485314685304"/>
    <n v="5.37"/>
    <n v="5.44"/>
    <n v="5.36"/>
    <n v="5.33"/>
    <n v="5.67"/>
    <n v="5.4340000000000002"/>
    <n v="0.81059999999999999"/>
    <n v="0.79423049898206299"/>
    <n v="1"/>
    <n v="71500"/>
    <n v="56992"/>
    <n v="22851"/>
    <n v="30030"/>
    <s v="-_x0009_Power limitation on Busbar 1 (STS1-STS5) due to considerations of the feeder line capacity._x000a_- The request to lower the setpoint on busbar 1 was made due to manuver work to de-energize transformer 1 at Gersik Substation. Busbar 1 remained in normal operation with two couplers, OG.1 and OG.2, and no outage occurred."/>
  </r>
  <r>
    <x v="237"/>
    <n v="249932.632258064"/>
    <n v="4.2064516129032299"/>
    <n v="3.4480283870967701"/>
    <n v="0.81969999999999998"/>
    <n v="0.99"/>
    <n v="74810"/>
    <n v="74978"/>
    <n v="48406.5"/>
    <n v="64749"/>
    <n v="60348"/>
    <n v="323291.5"/>
    <n v="327529.17"/>
    <n v="4237.6699999999801"/>
    <n v="4237.6699999999801"/>
    <n v="327529.17"/>
    <n v="327529.17"/>
    <n v="327529.17"/>
    <n v="29300"/>
    <n v="29520"/>
    <n v="25410"/>
    <n v="33330"/>
    <n v="33330"/>
    <n v="37050"/>
    <n v="32010"/>
    <n v="32070"/>
    <n v="37530"/>
    <n v="32650"/>
    <n v="322200"/>
    <n v="326437.67"/>
    <n v="1728.39"/>
    <n v="0.75239999999999996"/>
    <n v="0.75800000000000001"/>
    <n v="0.73399999999999999"/>
    <n v="0.80400000000000005"/>
    <n v="0.79959999999999998"/>
    <n v="0.85289999999999999"/>
    <n v="0.89339999999999997"/>
    <n v="0.85209999999999997"/>
    <n v="0.90739999999999998"/>
    <n v="0.86760000000000004"/>
    <n v="0.99662378998519896"/>
    <n v="4.5808275524475501"/>
    <n v="5.17"/>
    <n v="5.47"/>
    <n v="5.43"/>
    <n v="5.44"/>
    <n v="5.77"/>
    <n v="5.4560000000000004"/>
    <n v="0.82210000000000005"/>
    <n v="0.83959449275065101"/>
    <n v="1"/>
    <n v="71500"/>
    <n v="56992"/>
    <n v="24000"/>
    <n v="30030"/>
    <s v="-_x0009_Power limitation on Busbar 1 (STS1-STS5) due to considerations of the feeder line capacity."/>
  </r>
  <r>
    <x v="238"/>
    <n v="249932.632258064"/>
    <n v="4.2064516129032299"/>
    <n v="3.4480283870967701"/>
    <n v="0.81969999999999998"/>
    <n v="0.99"/>
    <n v="79168"/>
    <n v="79226"/>
    <n v="17210"/>
    <n v="89830"/>
    <n v="82387"/>
    <n v="347821"/>
    <n v="330108.83"/>
    <n v="-17712.169999999998"/>
    <n v="0"/>
    <n v="347821"/>
    <n v="347821"/>
    <n v="330108.83"/>
    <n v="32470"/>
    <n v="32750"/>
    <n v="28350"/>
    <n v="37480"/>
    <n v="37820"/>
    <n v="41900"/>
    <n v="35980"/>
    <n v="34790"/>
    <n v="42440"/>
    <n v="35360"/>
    <n v="359340"/>
    <n v="359340"/>
    <n v="1326.18"/>
    <n v="0.754"/>
    <n v="0.76039999999999996"/>
    <n v="0.74060000000000004"/>
    <n v="0.80630000000000002"/>
    <n v="0.81100000000000005"/>
    <n v="0.87150000000000005"/>
    <n v="0.88900000000000001"/>
    <n v="0.83530000000000004"/>
    <n v="0.90849999999999997"/>
    <n v="0.84889999999999999"/>
    <n v="1.03311760934504"/>
    <n v="4.8646293706293697"/>
    <n v="5.84"/>
    <n v="6.12"/>
    <n v="6.01"/>
    <n v="6.1"/>
    <n v="6.38"/>
    <n v="6.09"/>
    <n v="0.82250000000000001"/>
    <n v="0.79878971603109505"/>
    <n v="1"/>
    <n v="71500"/>
    <n v="56992"/>
    <n v="24000"/>
    <n v="30030"/>
    <s v="-_x0009_Power limitation on Busbar 1 (STS1-STS5) due to considerations of the feeder line capacity."/>
  </r>
  <r>
    <x v="239"/>
    <n v="249932.632258064"/>
    <n v="4.2064516129032299"/>
    <n v="3.4480283870967701"/>
    <n v="0.81969999999999998"/>
    <n v="0.99"/>
    <n v="72105"/>
    <n v="72267"/>
    <n v="20162"/>
    <n v="80675"/>
    <n v="75777"/>
    <n v="320986"/>
    <n v="321888.67"/>
    <n v="902.66999999998404"/>
    <n v="902.66999999998404"/>
    <n v="321888.67"/>
    <n v="321888.67"/>
    <n v="321888.67"/>
    <n v="24940"/>
    <n v="25170"/>
    <n v="22060"/>
    <n v="28900"/>
    <n v="29950"/>
    <n v="34210"/>
    <n v="30610"/>
    <n v="29520"/>
    <n v="35040"/>
    <n v="30550"/>
    <n v="290950"/>
    <n v="291852.67"/>
    <n v="1232.73"/>
    <n v="0.75880000000000003"/>
    <n v="0.76549999999999996"/>
    <n v="0.75480000000000003"/>
    <n v="0.81379999999999997"/>
    <n v="0.79090000000000005"/>
    <n v="0.89080000000000004"/>
    <n v="0.91069999999999995"/>
    <n v="0.88739999999999997"/>
    <n v="0.90300000000000002"/>
    <n v="0.91839999999999999"/>
    <n v="0.90642582542540795"/>
    <n v="4.5019394405594397"/>
    <n v="4.8499999999999996"/>
    <n v="4.97"/>
    <n v="4.8"/>
    <n v="4.66"/>
    <n v="4.87"/>
    <n v="4.83"/>
    <n v="0.83940000000000003"/>
    <n v="0.93207855912203696"/>
    <n v="1"/>
    <n v="71500"/>
    <n v="56992"/>
    <n v="20667"/>
    <n v="30030"/>
    <s v="-_x0009_Power limitation on Busbar 1 (STS1-STS5) due to considerations of the feeder line capacity._x000a_- The request to lower the setpoint on busbar 1 was made to ensure the reliability of the 20 kV distribution network in connection with a VVIP visit at IKN Airport. Busbar 1 remained in normal operation with two couplers, OG.1 and OG.2, and no outage occurred."/>
  </r>
  <r>
    <x v="240"/>
    <n v="249932.632258064"/>
    <n v="4.2064516129032299"/>
    <n v="3.4480283870967701"/>
    <n v="0.81969999999999998"/>
    <n v="0.99"/>
    <n v="80323"/>
    <n v="80400"/>
    <n v="57568.5"/>
    <n v="61512"/>
    <n v="59431"/>
    <n v="339234.5"/>
    <n v="351744.67"/>
    <n v="12510.17"/>
    <n v="12510.17"/>
    <n v="351744.67"/>
    <n v="351744.67"/>
    <n v="351744.67"/>
    <n v="30600"/>
    <n v="30870"/>
    <n v="26950"/>
    <n v="35360"/>
    <n v="35250"/>
    <n v="39900"/>
    <n v="33560"/>
    <n v="33980"/>
    <n v="39670"/>
    <n v="34550"/>
    <n v="340690"/>
    <n v="353200.17"/>
    <n v="1428.36"/>
    <n v="0.73960000000000004"/>
    <n v="0.74609999999999999"/>
    <n v="0.73280000000000001"/>
    <n v="0.80289999999999995"/>
    <n v="0.8004"/>
    <n v="0.88270000000000004"/>
    <n v="0.89180000000000004"/>
    <n v="0.86770000000000003"/>
    <n v="0.91310000000000002"/>
    <n v="0.88229999999999997"/>
    <n v="1.00429054238292"/>
    <n v="4.9195058741258704"/>
    <n v="5.43"/>
    <n v="5.78"/>
    <n v="5.65"/>
    <n v="5.78"/>
    <n v="6.13"/>
    <n v="5.7539999999999996"/>
    <n v="0.82589999999999997"/>
    <n v="0.85497147621235203"/>
    <n v="1"/>
    <n v="71500"/>
    <n v="56992"/>
    <n v="24000"/>
    <n v="30030"/>
    <s v="-_x0009_Power limitation on Busbar 1 (STS1-STS5) due to considerations of the feeder line capacity."/>
  </r>
  <r>
    <x v="241"/>
    <n v="249932.632258064"/>
    <n v="4.2064516129032299"/>
    <n v="3.4480283870967701"/>
    <n v="0.81969999999999998"/>
    <n v="0.99"/>
    <n v="76308"/>
    <n v="76506"/>
    <n v="59099"/>
    <n v="63362"/>
    <n v="61865"/>
    <n v="337140"/>
    <n v="326820.67"/>
    <n v="-10319.33"/>
    <n v="0"/>
    <n v="337140"/>
    <n v="337140"/>
    <n v="326820.67"/>
    <n v="30800"/>
    <n v="30910"/>
    <n v="26760"/>
    <n v="34890"/>
    <n v="36000"/>
    <n v="37170"/>
    <n v="32820"/>
    <n v="32310"/>
    <n v="39550"/>
    <n v="33330"/>
    <n v="334540"/>
    <n v="334540"/>
    <n v="1301.52"/>
    <n v="0.75929999999999997"/>
    <n v="0.76200000000000001"/>
    <n v="0.74219999999999997"/>
    <n v="0.81469999999999998"/>
    <n v="0.8075"/>
    <n v="0.82079999999999997"/>
    <n v="0.85029999999999994"/>
    <n v="0.82369999999999999"/>
    <n v="0.88770000000000004"/>
    <n v="0.84970000000000001"/>
    <n v="0.99228807023788301"/>
    <n v="4.7152447552447496"/>
    <n v="5.57"/>
    <n v="5.85"/>
    <n v="5.66"/>
    <n v="5.62"/>
    <n v="6.01"/>
    <n v="5.742"/>
    <n v="0.81179999999999997"/>
    <n v="0.82118508450796801"/>
    <n v="1"/>
    <n v="71500"/>
    <n v="56992"/>
    <n v="24000"/>
    <n v="27361"/>
    <s v="-_x0009_Power limitation on Busbar 1 (STS1-STS5) due to considerations of the feeder line capacity."/>
  </r>
  <r>
    <x v="242"/>
    <n v="249932.632258064"/>
    <n v="4.2064516129032299"/>
    <n v="3.4480283870967701"/>
    <n v="0.81969999999999998"/>
    <n v="0.99"/>
    <n v="73299"/>
    <n v="49687"/>
    <n v="38941.5"/>
    <n v="58247"/>
    <n v="53646"/>
    <n v="273820.5"/>
    <n v="286539"/>
    <n v="12718.5"/>
    <n v="12718.5"/>
    <n v="286539"/>
    <n v="286539"/>
    <n v="286539"/>
    <n v="26560"/>
    <n v="26330"/>
    <n v="22520"/>
    <n v="30190"/>
    <n v="30920"/>
    <n v="33410"/>
    <n v="28990"/>
    <n v="29350"/>
    <n v="35530"/>
    <n v="30320"/>
    <n v="294120"/>
    <n v="306838.5"/>
    <n v="1505.44"/>
    <n v="0.78859999999999997"/>
    <n v="0.78169999999999995"/>
    <n v="0.75209999999999999"/>
    <n v="0.81530000000000002"/>
    <n v="0.82469999999999999"/>
    <n v="0.90790000000000004"/>
    <n v="0.87329999999999997"/>
    <n v="0.92069999999999996"/>
    <n v="0.92720000000000002"/>
    <n v="0.95109999999999995"/>
    <n v="1.0741343325280599"/>
    <n v="4.0075384615384602"/>
    <n v="4.79"/>
    <n v="4.92"/>
    <n v="4.5999999999999996"/>
    <n v="4.8600000000000003"/>
    <n v="4.99"/>
    <n v="4.8319999999999999"/>
    <n v="0.85429999999999995"/>
    <n v="0.82937468160978101"/>
    <n v="1"/>
    <n v="71500"/>
    <n v="56992"/>
    <n v="24000"/>
    <n v="26709"/>
    <s v="-_x0009_Power limitation on Busbar 1 (STS1-STS5) due to considerations of the feeder line capacity._x000a_- External Outage, Trip at NST.5, OG.4, and OG.5 due to a fault was identified at the 20 kV medium voltage overhead line (SUTM) termination in GIS.4 Substation."/>
  </r>
  <r>
    <x v="243"/>
    <n v="261950.629032258"/>
    <n v="4.4193548387096797"/>
    <n v="3.6225451612903199"/>
    <n v="0.81969999999999998"/>
    <n v="0.99"/>
    <n v="81970"/>
    <n v="20072"/>
    <n v="12624"/>
    <n v="76348"/>
    <n v="74753"/>
    <n v="265767"/>
    <n v="308087"/>
    <n v="42320"/>
    <n v="42320"/>
    <n v="308087"/>
    <n v="308087"/>
    <n v="306423.33020000003"/>
    <n v="19310"/>
    <n v="18860"/>
    <n v="16120"/>
    <n v="20920"/>
    <n v="20930"/>
    <n v="33490"/>
    <n v="28150"/>
    <n v="28660"/>
    <n v="33290"/>
    <n v="28930"/>
    <n v="248660"/>
    <n v="290980"/>
    <n v="1776.44"/>
    <n v="0.52480000000000004"/>
    <n v="0.51280000000000003"/>
    <n v="0.49309999999999998"/>
    <n v="0.52300000000000002"/>
    <n v="0.51910000000000001"/>
    <n v="0.79879999999999995"/>
    <n v="0.80910000000000004"/>
    <n v="0.78920000000000001"/>
    <n v="0.82889999999999997"/>
    <n v="0.79649999999999999"/>
    <n v="0.935631587066867"/>
    <n v="4.3089090909090899"/>
    <n v="5.0199999999999996"/>
    <n v="5.29"/>
    <n v="5.24"/>
    <n v="5.25"/>
    <n v="5.45"/>
    <n v="5.25"/>
    <n v="0.65949999999999998"/>
    <n v="0.820744588744589"/>
    <n v="0.99460000000000004"/>
    <n v="71500"/>
    <n v="56992"/>
    <n v="13933"/>
    <n v="24000"/>
    <s v="-_x0009_Power limitation on Busbar 1 (STS1-STS5) due to considerations of the feeder line capacity._x000a_- Loss of feedback voltage at busbar 1. External Outage, Trip at GSK.3 and GSK.2 due to disturbances at 20 kV network distribution_x000a_- OG.3 NST.5 has been outage from July 31 at 16.35 due to a fault was identified at the 20 kV medium voltage overhead line (SUTM) termination in GIS.4 Substation. OG.3 normalized in August 1th at 17.39 "/>
  </r>
  <r>
    <x v="244"/>
    <n v="261950.629032258"/>
    <n v="4.4193548387096797"/>
    <n v="3.6225451612903199"/>
    <n v="0.81969999999999998"/>
    <n v="0.99"/>
    <n v="67521"/>
    <n v="0"/>
    <n v="30346.5"/>
    <n v="36639"/>
    <n v="38144"/>
    <n v="172650.5"/>
    <n v="187576.67"/>
    <n v="14926.17"/>
    <n v="14926.17"/>
    <n v="187576.67"/>
    <n v="187576.67"/>
    <n v="187576.67"/>
    <n v="13240"/>
    <n v="12200"/>
    <n v="11580"/>
    <n v="14460"/>
    <n v="14610"/>
    <n v="22090"/>
    <n v="18520"/>
    <n v="18830"/>
    <n v="22490"/>
    <n v="19010"/>
    <n v="167030"/>
    <n v="181956.17"/>
    <n v="1440.88"/>
    <n v="0.60189999999999999"/>
    <n v="0.55430000000000001"/>
    <n v="0.59199999999999997"/>
    <n v="0.58220000000000005"/>
    <n v="0.58440000000000003"/>
    <n v="0.92049999999999998"/>
    <n v="0.90290000000000004"/>
    <n v="0.90559999999999996"/>
    <n v="0.94989999999999997"/>
    <n v="0.91410000000000002"/>
    <n v="0.96744579366987105"/>
    <n v="2.6234499300699299"/>
    <n v="2.96"/>
    <n v="3.28"/>
    <n v="3"/>
    <n v="3.26"/>
    <m/>
    <n v="3.125"/>
    <n v="0.75080000000000002"/>
    <n v="0.83950397762237805"/>
    <n v="1"/>
    <n v="71500"/>
    <n v="56992"/>
    <n v="11550"/>
    <n v="30030"/>
    <s v="-_x0009_Power limitation on Busbar 1 (STS1-STS5) due to considerations of the feeder line capacity._x000a_-Loss of feedback voltage at busbar 1. External Outage, Trip at GSK.3 due to disturbances at 20 kV network distribution. OG.2 has been outaged since August 1th at 12:34_x000a_- The power cable of the pyranometer at Weather Station 5 is suspected to be faulty."/>
  </r>
  <r>
    <x v="245"/>
    <n v="261950.629032258"/>
    <n v="4.4193548387096797"/>
    <n v="3.6225451612903199"/>
    <n v="0.81969999999999998"/>
    <n v="0.99"/>
    <n v="45753"/>
    <n v="7194"/>
    <n v="17769"/>
    <n v="24604"/>
    <n v="26550"/>
    <n v="121870"/>
    <n v="119396.67"/>
    <n v="-2473.33"/>
    <n v="0"/>
    <n v="121870"/>
    <n v="121870"/>
    <n v="119396.67"/>
    <n v="13760"/>
    <n v="11980"/>
    <n v="12120"/>
    <n v="15030"/>
    <n v="15410"/>
    <n v="18960"/>
    <n v="16330"/>
    <n v="16540"/>
    <n v="20250"/>
    <n v="16610"/>
    <n v="156990"/>
    <n v="156990"/>
    <n v="1286.1600000000001"/>
    <n v="0.75800000000000001"/>
    <n v="0.65969999999999995"/>
    <n v="0.75080000000000002"/>
    <n v="0.73329999999999995"/>
    <n v="0.7379"/>
    <n v="0.94820000000000004"/>
    <n v="0.92759999999999998"/>
    <n v="0.9546"/>
    <n v="0.99660000000000004"/>
    <n v="0.95860000000000001"/>
    <n v="1.28817592516616"/>
    <n v="1.7044755244755201"/>
    <n v="2.54"/>
    <n v="2.74"/>
    <n v="2.5"/>
    <n v="2.69"/>
    <m/>
    <n v="2.6175000000000002"/>
    <n v="0.84250000000000003"/>
    <n v="0.651184536571356"/>
    <n v="1"/>
    <n v="71500"/>
    <n v="56992"/>
    <n v="12000"/>
    <n v="30030"/>
    <s v="-_x0009_Power limitation on Busbar 1 (STS1-STS5) due to considerations of the feeder line capacity._x000a_- OG.2 has been outaged since August 1th at 12:34 due to External Outage, Trip at GSK.3 and GSK.2 at August 1th, 12:34 due to disturbances at 20 kV network distribution._x000a_- The power cable of the pyranometer at Weather Station 5 is suspected to be faulty."/>
  </r>
  <r>
    <x v="246"/>
    <n v="261950.629032258"/>
    <n v="4.4193548387096797"/>
    <n v="3.6225451612903199"/>
    <n v="0.81969999999999998"/>
    <n v="0.99"/>
    <n v="44767"/>
    <n v="45034"/>
    <n v="32304"/>
    <n v="37996"/>
    <n v="39092"/>
    <n v="199193"/>
    <n v="179978.5"/>
    <n v="-19214.5"/>
    <n v="0"/>
    <n v="199193"/>
    <n v="199193"/>
    <n v="179978.5"/>
    <n v="14500"/>
    <n v="10880"/>
    <n v="12970"/>
    <n v="16690"/>
    <n v="15570"/>
    <n v="18680"/>
    <n v="16530"/>
    <n v="16210"/>
    <n v="18170"/>
    <n v="17120"/>
    <n v="157320"/>
    <n v="157320"/>
    <n v="1614.14"/>
    <n v="0.88029999999999997"/>
    <n v="0.66059999999999997"/>
    <n v="0.8861"/>
    <n v="0.89759999999999995"/>
    <n v="0.79200000000000004"/>
    <n v="0.92669999999999997"/>
    <n v="0.96179999999999999"/>
    <n v="0.92820000000000003"/>
    <n v="0.91579999999999995"/>
    <n v="0.98029999999999995"/>
    <n v="0.78978678969642502"/>
    <n v="2.7859160839160801"/>
    <n v="2.48"/>
    <n v="2.58"/>
    <n v="2.52"/>
    <n v="2.44"/>
    <m/>
    <n v="2.5049999999999999"/>
    <n v="0.88290000000000002"/>
    <n v="1.1121421492679"/>
    <n v="1"/>
    <n v="71500"/>
    <n v="56992"/>
    <n v="22643"/>
    <n v="30030"/>
    <s v="-_x0009_Power limitation on Busbar 1 (STS1-STS5) due to considerations of the feeder line capacity._x000a_- The power cable of the pyranometer at Weather Station 5 is suspected to be faulty."/>
  </r>
  <r>
    <x v="247"/>
    <n v="261950.629032258"/>
    <n v="4.4193548387096797"/>
    <n v="3.6225451612903199"/>
    <n v="0.81969999999999998"/>
    <n v="0.99"/>
    <n v="61857"/>
    <n v="61873"/>
    <n v="41648"/>
    <n v="46253"/>
    <n v="46288"/>
    <n v="257919"/>
    <n v="258907.67"/>
    <n v="988.67000000001303"/>
    <n v="988.67000000001303"/>
    <n v="258907.67"/>
    <n v="258907.67"/>
    <n v="258907.67"/>
    <n v="25420"/>
    <n v="25670"/>
    <n v="22130"/>
    <n v="28300"/>
    <n v="28520"/>
    <n v="30770"/>
    <n v="26640"/>
    <n v="26650"/>
    <n v="30350"/>
    <n v="27390"/>
    <n v="271840"/>
    <n v="272828.67"/>
    <n v="1646.44"/>
    <n v="0.84050000000000002"/>
    <n v="0.8488"/>
    <n v="0.82310000000000005"/>
    <n v="0.82909999999999995"/>
    <n v="0.83909999999999996"/>
    <n v="0.874"/>
    <n v="0.91310000000000002"/>
    <n v="0.87390000000000001"/>
    <n v="0.9012"/>
    <n v="0.89829999999999999"/>
    <n v="1.05397430976392"/>
    <n v="3.62108629370629"/>
    <n v="4.21"/>
    <n v="4.46"/>
    <n v="4.4000000000000004"/>
    <n v="4.4800000000000004"/>
    <m/>
    <n v="4.3875000000000002"/>
    <n v="0.86409999999999998"/>
    <n v="0.82531881338035196"/>
    <n v="1"/>
    <n v="71500"/>
    <n v="56992"/>
    <n v="23267"/>
    <n v="29988"/>
    <s v="-_x0009_Power limitation on Busbar 1 (STS1-STS5) due to considerations of the feeder line capacity._x000a_- The power cable of the pyranometer at Weather Station 5 is suspected to be faulty."/>
  </r>
  <r>
    <x v="248"/>
    <n v="261950.629032258"/>
    <n v="4.4193548387096797"/>
    <n v="3.6225451612903199"/>
    <n v="0.81969999999999998"/>
    <n v="0.99"/>
    <n v="48785"/>
    <n v="48978"/>
    <n v="33930"/>
    <n v="39492"/>
    <n v="40012"/>
    <n v="211197"/>
    <n v="193267.33"/>
    <n v="-17929.669999999998"/>
    <n v="0"/>
    <n v="211197"/>
    <n v="211197"/>
    <n v="193267.33"/>
    <n v="18790"/>
    <n v="18450"/>
    <n v="16470"/>
    <n v="21030"/>
    <n v="21590"/>
    <n v="22730"/>
    <n v="19610"/>
    <n v="19750"/>
    <n v="23380"/>
    <n v="20410"/>
    <n v="202210"/>
    <n v="202210"/>
    <n v="1462.64"/>
    <n v="0.88949999999999996"/>
    <n v="0.873"/>
    <n v="0.87690000000000001"/>
    <n v="0.88160000000000005"/>
    <n v="0.88839999999999997"/>
    <n v="0.91930000000000001"/>
    <n v="0.91869999999999996"/>
    <n v="0.9224"/>
    <n v="0.94889999999999997"/>
    <n v="0.95320000000000005"/>
    <n v="0.95744731222507895"/>
    <n v="2.9538041958041998"/>
    <n v="3.08"/>
    <n v="3.19"/>
    <n v="3.19"/>
    <n v="3.13"/>
    <m/>
    <n v="3.1475"/>
    <n v="0.90720000000000001"/>
    <n v="0.93846042757877501"/>
    <n v="1"/>
    <n v="71500"/>
    <n v="56992"/>
    <n v="24000"/>
    <n v="30030"/>
    <s v="-_x0009_Power limitation on Busbar 1 (STS1-STS5) due to considerations of the feeder line capacity. _x000a_-_x0009_The power cable of the pyranometer at Weather Station 5 is suspected to be faulty"/>
  </r>
  <r>
    <x v="249"/>
    <n v="261950.629032258"/>
    <n v="4.4193548387096797"/>
    <n v="3.6225451612903199"/>
    <n v="0.81969999999999998"/>
    <n v="0.99"/>
    <n v="32548"/>
    <n v="73153"/>
    <n v="46699"/>
    <n v="51401"/>
    <n v="49026"/>
    <n v="252827"/>
    <n v="253360.33"/>
    <n v="533.32999999998697"/>
    <n v="533.32999999998697"/>
    <n v="253360.33"/>
    <n v="253360.33"/>
    <n v="253360.33"/>
    <n v="24100"/>
    <n v="22950"/>
    <n v="20650"/>
    <n v="25790"/>
    <n v="26210"/>
    <n v="33220"/>
    <n v="28880"/>
    <n v="28640"/>
    <n v="33460"/>
    <n v="29670"/>
    <n v="273570"/>
    <n v="274103.33"/>
    <n v="1717.89"/>
    <n v="0.77270000000000005"/>
    <n v="0.73609999999999998"/>
    <n v="0.74480000000000002"/>
    <n v="0.73270000000000002"/>
    <n v="0.72119999999999995"/>
    <n v="0.87970000000000004"/>
    <n v="0.90390000000000004"/>
    <n v="0.87570000000000003"/>
    <n v="0.90710000000000002"/>
    <n v="0.90700000000000003"/>
    <n v="1.0820442436923301"/>
    <n v="3.5435011188811201"/>
    <n v="4.6100000000000003"/>
    <n v="4.7699999999999996"/>
    <n v="4.72"/>
    <n v="4.62"/>
    <m/>
    <n v="4.68"/>
    <n v="0.81810000000000005"/>
    <n v="0.75715835873528203"/>
    <n v="1"/>
    <n v="71500"/>
    <n v="56992"/>
    <n v="19583"/>
    <n v="30030"/>
    <s v="-_x0009_Power limitation on Busbar 1 (STS1-STS5) due to considerations of the feeder line capacity._x000a_-Loss of feedback voltage at busbar 1. External Outage, Trip at GSK.3 due to disturbances at 20 kV network distribution. OG.2 remained get feedback voltage from GSK as result of auto reclose_x000a_- The power cable of the pyranometer at Weather Station 5 is suspected to be faulty."/>
  </r>
  <r>
    <x v="250"/>
    <n v="261950.629032258"/>
    <n v="4.4193548387096797"/>
    <n v="3.6225451612903199"/>
    <n v="0.81969999999999998"/>
    <n v="0.99"/>
    <n v="0"/>
    <n v="78034"/>
    <n v="34766"/>
    <n v="40221"/>
    <n v="41140"/>
    <n v="194161"/>
    <n v="214476.67"/>
    <n v="20315.669999999998"/>
    <n v="20315.669999999998"/>
    <n v="214476.67"/>
    <n v="214476.67"/>
    <n v="214476.67"/>
    <n v="15370"/>
    <n v="15350"/>
    <n v="13900"/>
    <n v="17700"/>
    <n v="17670"/>
    <n v="26070"/>
    <n v="22220"/>
    <n v="22530"/>
    <n v="25490"/>
    <n v="22740"/>
    <n v="199040"/>
    <n v="219355.67"/>
    <n v="1719.01"/>
    <n v="0.61550000000000005"/>
    <n v="0.61460000000000004"/>
    <n v="0.626"/>
    <n v="0.62770000000000004"/>
    <n v="0.63170000000000004"/>
    <n v="0.88070000000000004"/>
    <n v="0.8831"/>
    <n v="0.87860000000000005"/>
    <n v="0.87770000000000004"/>
    <n v="0.88690000000000002"/>
    <n v="1.0251286303634599"/>
    <n v="2.9996737062937102"/>
    <n v="3.63"/>
    <n v="3.67"/>
    <n v="3.7"/>
    <n v="3.7"/>
    <m/>
    <n v="3.6749999999999998"/>
    <n v="0.75219999999999998"/>
    <n v="0.81623774320917197"/>
    <n v="1"/>
    <n v="71500"/>
    <n v="56992"/>
    <n v="12000"/>
    <n v="30030"/>
    <s v="-_x0009_Power limitation on Busbar 1 (STS1-STS5) due to considerations of the feeder line capacity._x000a_-Loss of feedback voltage at busbar 1. External Outage, Trip at GSK.3 due to disturbances at 20 kV network distribution. OG.2 remained get feedback voltage from GSK as result of auto reclose_x000a_- The power cable of the pyranometer at Weather Station 5 is suspected to be faulty."/>
  </r>
  <r>
    <x v="251"/>
    <n v="261950.629032258"/>
    <n v="4.4193548387096797"/>
    <n v="3.6225451612903199"/>
    <n v="0.81969999999999998"/>
    <n v="0.99"/>
    <n v="6349"/>
    <n v="60694"/>
    <n v="23899"/>
    <n v="28953"/>
    <n v="28780"/>
    <n v="148675"/>
    <n v="140715.5"/>
    <n v="-7959.5"/>
    <n v="0"/>
    <n v="148675"/>
    <n v="148675"/>
    <n v="140715.5"/>
    <n v="13190"/>
    <n v="13230"/>
    <n v="11820"/>
    <n v="15090"/>
    <n v="15010"/>
    <n v="16800"/>
    <n v="14750"/>
    <n v="14350"/>
    <n v="16450"/>
    <n v="15040"/>
    <n v="145730"/>
    <n v="145730"/>
    <n v="1432.32"/>
    <n v="0.86470000000000002"/>
    <n v="0.86729999999999996"/>
    <n v="0.87170000000000003"/>
    <n v="0.87629999999999997"/>
    <n v="0.82750000000000001"/>
    <n v="0.94169999999999998"/>
    <n v="0.93369999999999997"/>
    <n v="0.92820000000000003"/>
    <n v="0.90190000000000003"/>
    <n v="0.97350000000000003"/>
    <n v="0.98019169329073497"/>
    <n v="2.0793706293706302"/>
    <n v="2.2799999999999998"/>
    <n v="2.38"/>
    <n v="2.23"/>
    <n v="2.2599999999999998"/>
    <m/>
    <n v="2.2875000000000001"/>
    <n v="0.89870000000000005"/>
    <n v="0.90901448278497499"/>
    <n v="1"/>
    <n v="71500"/>
    <n v="56992"/>
    <n v="12000"/>
    <n v="26793"/>
    <s v="-_x0009_Power limitation on Busbar 1 (STS1-STS5) due to considerations of the feeder line capacity._x000a_-Loss of feedback voltage at busbar 1. External Outage, Trip at GSK.3 due to disturbances at 20 kV network distribution. OG.2 remained get feedback voltage from GSK as result of auto reclose_x000a_- Loss of feedback voltage at busbar 2. External Outage, OG3, OG4, and OG5 experienced a loss of voltage due to a disturbance in the PMCB ini 20kV network distribution_x000a_- The power cable of the pyranometer at Weather Station 5 is suspected to be faulty"/>
  </r>
  <r>
    <x v="252"/>
    <n v="261950.629032258"/>
    <n v="4.4193548387096797"/>
    <n v="3.6225451612903199"/>
    <n v="0.81969999999999998"/>
    <n v="0.99"/>
    <n v="38711"/>
    <n v="38874"/>
    <n v="24279"/>
    <n v="29828"/>
    <n v="31294"/>
    <n v="162986"/>
    <n v="144023.32999999999"/>
    <n v="-18962.669999999998"/>
    <n v="0"/>
    <n v="162986"/>
    <n v="162986"/>
    <n v="144023.32999999999"/>
    <n v="11250"/>
    <n v="11040"/>
    <n v="9860"/>
    <n v="12450"/>
    <n v="12720"/>
    <n v="12950"/>
    <n v="11220"/>
    <n v="11190"/>
    <n v="13040"/>
    <n v="11590"/>
    <n v="117310"/>
    <n v="117310"/>
    <n v="1253.6400000000001"/>
    <n v="0.99199999999999999"/>
    <n v="0.97389999999999999"/>
    <n v="0.97850000000000004"/>
    <n v="0.97240000000000004"/>
    <n v="0.97609999999999997"/>
    <n v="0.96340000000000003"/>
    <n v="0.97570000000000001"/>
    <n v="0.96109999999999995"/>
    <n v="0.98160000000000003"/>
    <n v="0.99539999999999995"/>
    <n v="0.71975507098769198"/>
    <n v="2.2795244755244801"/>
    <n v="1.66"/>
    <n v="1.71"/>
    <n v="1.66"/>
    <n v="1.68"/>
    <m/>
    <n v="1.6775"/>
    <n v="0.97699999999999998"/>
    <n v="1.3588819526226401"/>
    <n v="1"/>
    <n v="71500"/>
    <n v="56992"/>
    <n v="22233"/>
    <n v="30030"/>
    <s v="-_x0009_Power limitation on Busbar 1 (STS1-STS5) due to considerations of the feeder line capacity._x000a_-Loss of feedback voltage at busbar 1. External Outage, Trip at GSK.3 due to disturbances at 20 kV network distribution. OG.2 remained get feedback voltage from GSK as result of auto reclose_x000a_- The power cable of the pyranometer at Weather Station 5 is suspected to be faulty"/>
  </r>
  <r>
    <x v="253"/>
    <n v="261950.629032258"/>
    <n v="4.4193548387096797"/>
    <n v="3.6225451612903199"/>
    <n v="0.81969999999999998"/>
    <n v="0.99"/>
    <n v="57238"/>
    <n v="57315"/>
    <n v="42749"/>
    <n v="47232"/>
    <n v="47470"/>
    <n v="252004"/>
    <n v="239210.33"/>
    <n v="-12793.67"/>
    <n v="0"/>
    <n v="252004"/>
    <n v="252004"/>
    <n v="239210.33"/>
    <n v="24540"/>
    <n v="24180"/>
    <n v="21270"/>
    <n v="26660"/>
    <n v="27410"/>
    <n v="30530"/>
    <n v="26010"/>
    <n v="26330"/>
    <n v="32000"/>
    <n v="26580"/>
    <n v="265510"/>
    <n v="265510"/>
    <n v="1216.51"/>
    <n v="0.8206"/>
    <n v="0.8085"/>
    <n v="0.80020000000000002"/>
    <n v="0.78990000000000005"/>
    <n v="0.80830000000000002"/>
    <n v="0.86129999999999995"/>
    <n v="0.88939999999999997"/>
    <n v="0.85760000000000003"/>
    <n v="0.94799999999999995"/>
    <n v="0.86580000000000001"/>
    <n v="1.0535943873906799"/>
    <n v="3.5245314685314701"/>
    <n v="4.22"/>
    <n v="4.45"/>
    <n v="4.25"/>
    <n v="4.43"/>
    <m/>
    <n v="4.3375000000000004"/>
    <n v="0.84499999999999997"/>
    <n v="0.81257209649140505"/>
    <n v="1"/>
    <n v="71500"/>
    <n v="56992"/>
    <n v="24000"/>
    <n v="30030"/>
    <s v="-_x0009_Power limitation on Busbar 1 (STS1-STS5) due to considerations of the feeder line capacity._x000a_- The power cable of the pyranometer at Weather Station 5 is suspected to be faulty"/>
  </r>
  <r>
    <x v="254"/>
    <n v="261950.629032258"/>
    <n v="4.4193548387096797"/>
    <n v="3.6225451612903199"/>
    <n v="0.81969999999999998"/>
    <n v="0.99"/>
    <n v="23963"/>
    <n v="24098"/>
    <n v="13166"/>
    <n v="19657"/>
    <n v="23146"/>
    <n v="104030"/>
    <n v="84116.67"/>
    <n v="-19913.330000000002"/>
    <n v="0"/>
    <n v="104030"/>
    <n v="104030"/>
    <n v="84116.67"/>
    <n v="12310"/>
    <n v="12340"/>
    <n v="10550"/>
    <n v="13410"/>
    <n v="13590"/>
    <n v="14100"/>
    <n v="12070"/>
    <n v="12110"/>
    <n v="14210"/>
    <n v="12330"/>
    <n v="127020"/>
    <n v="127020"/>
    <n v="1628.06"/>
    <n v="0.94950000000000001"/>
    <n v="0.95230000000000004"/>
    <n v="0.91549999999999998"/>
    <n v="0.91639999999999999"/>
    <n v="0.93840000000000001"/>
    <n v="0.91800000000000004"/>
    <n v="0.97260000000000002"/>
    <n v="0.91"/>
    <n v="0.99260000000000004"/>
    <n v="0.92659999999999998"/>
    <n v="1.2209939440546"/>
    <n v="1.45496503496503"/>
    <n v="1.79"/>
    <n v="1.9"/>
    <n v="1.87"/>
    <n v="1.92"/>
    <m/>
    <n v="1.87"/>
    <n v="0.93920000000000003"/>
    <n v="0.77805616843049996"/>
    <n v="1"/>
    <n v="71500"/>
    <n v="56992"/>
    <n v="24000"/>
    <n v="30030"/>
    <s v="-_x0009_Power limitation on Busbar 1 (STS1-STS5) due to considerations of the feeder line capacity._x000a_- The power cable of the pyranometer at Weather Station 5 is suspected to be faulty"/>
  </r>
  <r>
    <x v="255"/>
    <n v="261950.629032258"/>
    <n v="4.4193548387096797"/>
    <n v="3.6225451612903199"/>
    <n v="0.81969999999999998"/>
    <n v="0.99"/>
    <n v="66282"/>
    <n v="66481"/>
    <n v="20615"/>
    <n v="23315"/>
    <n v="24442"/>
    <n v="201135"/>
    <n v="261923"/>
    <n v="60788"/>
    <n v="60788"/>
    <n v="261923"/>
    <n v="261923"/>
    <n v="261923"/>
    <n v="22050"/>
    <n v="22120"/>
    <n v="19210"/>
    <n v="24820"/>
    <n v="24750"/>
    <n v="9040"/>
    <n v="7760"/>
    <n v="7840"/>
    <n v="9190"/>
    <n v="8140"/>
    <n v="154920"/>
    <n v="215708"/>
    <n v="1553.37"/>
    <n v="0.88300000000000001"/>
    <n v="0.88560000000000005"/>
    <n v="0.86529999999999996"/>
    <n v="0.88019999999999998"/>
    <n v="0.89739999999999998"/>
    <n v="0.30549999999999999"/>
    <n v="0.31180000000000002"/>
    <n v="0.30559999999999998"/>
    <n v="0.3201"/>
    <n v="0.31730000000000003"/>
    <n v="0.77022895070475095"/>
    <n v="3.6632587412587401"/>
    <n v="3.59"/>
    <n v="3.62"/>
    <n v="3.74"/>
    <n v="3.7"/>
    <m/>
    <n v="3.6625000000000001"/>
    <n v="0.59719999999999995"/>
    <n v="1.0002071648488"/>
    <n v="1"/>
    <n v="71500"/>
    <n v="56992"/>
    <n v="24000"/>
    <n v="13847"/>
    <s v="-_x0009_Power limitation on Busbar 1 (STS1-STS5) due to considerations of the feeder line capacity._x000a_- Loss of feedback voltage at busbar 2. External Outage, OG3, OG4, and OG5 experienced a loss of voltage due to a disturbance in the MVTIC (Medium Voltage Twisted Insulated Cable) in 20kV network distribution_x000a_- The power cable of the pyranometer at Weather Station 5 is suspected to be faulty"/>
  </r>
  <r>
    <x v="256"/>
    <n v="261950.629032258"/>
    <n v="4.4193548387096797"/>
    <n v="3.6225451612903199"/>
    <n v="0.81969999999999998"/>
    <n v="0.99"/>
    <n v="64842"/>
    <n v="64942"/>
    <n v="55192"/>
    <n v="54330"/>
    <n v="31178"/>
    <n v="270484"/>
    <n v="269566"/>
    <n v="-918"/>
    <n v="0"/>
    <n v="270484"/>
    <n v="270484"/>
    <n v="269566"/>
    <n v="23930"/>
    <n v="23990"/>
    <n v="21010"/>
    <n v="26810"/>
    <n v="27240"/>
    <n v="29830"/>
    <n v="25490"/>
    <n v="25830"/>
    <n v="31120"/>
    <n v="26930"/>
    <n v="262180"/>
    <n v="262180"/>
    <n v="1635.82"/>
    <n v="0.82620000000000005"/>
    <n v="0.82850000000000001"/>
    <n v="0.81630000000000003"/>
    <n v="0.82020000000000004"/>
    <n v="0.81989999999999996"/>
    <n v="0.86909999999999998"/>
    <n v="0.86539999999999995"/>
    <n v="0.86890000000000001"/>
    <n v="0.9153"/>
    <n v="0.90580000000000005"/>
    <n v="0.96929947797281901"/>
    <n v="3.78299300699301"/>
    <n v="4.25"/>
    <n v="4.3600000000000003"/>
    <n v="4.16"/>
    <n v="4.29"/>
    <m/>
    <n v="4.2649999999999997"/>
    <n v="0.85360000000000003"/>
    <n v="0.88698546471113904"/>
    <n v="1"/>
    <n v="71500"/>
    <n v="56992"/>
    <n v="24000"/>
    <n v="27844"/>
    <s v="-_x0009_Power limitation on Busbar 1 (STS1-STS5) due to considerations of the feeder line capacity._x000a_- Power limitation on Busbar 2 (STS6-STS10) due to Emergency shutdown to perform jointing repair on the SKTM work at the OG3-NST5 network distribution._x000a_- The power cable of the pyranometer at Weather Station 5 is suspected to be faulty"/>
  </r>
  <r>
    <x v="257"/>
    <n v="261950.629032258"/>
    <n v="4.4193548387096797"/>
    <n v="3.6225451612903199"/>
    <n v="0.81969999999999998"/>
    <n v="0.99"/>
    <n v="55259"/>
    <n v="55322"/>
    <n v="45483"/>
    <n v="47209"/>
    <n v="44672"/>
    <n v="247945"/>
    <n v="275637.5"/>
    <n v="27692.5"/>
    <n v="27692.5"/>
    <n v="275637.5"/>
    <n v="275637.5"/>
    <n v="275637.5"/>
    <n v="25290"/>
    <n v="24360"/>
    <n v="20810"/>
    <n v="26820"/>
    <n v="28050"/>
    <n v="31360"/>
    <n v="27520"/>
    <n v="26820"/>
    <n v="32020"/>
    <n v="26800"/>
    <n v="269850"/>
    <n v="297542.5"/>
    <n v="1440.08"/>
    <n v="0.7954"/>
    <n v="0.76619999999999999"/>
    <n v="0.73619999999999997"/>
    <n v="0.74739999999999995"/>
    <n v="0.71479999999999999"/>
    <n v="0.83230000000000004"/>
    <n v="0.80889999999999995"/>
    <n v="0.82179999999999997"/>
    <n v="0.81499999999999995"/>
    <n v="0.82089999999999996"/>
    <n v="1.0883462058117701"/>
    <n v="3.8550699300699298"/>
    <n v="4.91"/>
    <n v="5.15"/>
    <n v="4.55"/>
    <n v="4.71"/>
    <m/>
    <n v="4.83"/>
    <n v="0.78590000000000004"/>
    <n v="0.79815112423808099"/>
    <n v="1"/>
    <n v="71500"/>
    <n v="56992"/>
    <n v="22000"/>
    <n v="25240"/>
    <s v="-_x0009_Power limitation on Busbar 1 (STS1-STS5) due to considerations of the feeder line capacity._x000a_- Power limitation on Busbar 2 (STS6-STS10) due to energizing of parallel Transformer #2 at the Gresik Mobile Substation.._x000a_- The power cable of the pyranometer at Weather Station 5 is suspected to be faulty"/>
  </r>
  <r>
    <x v="258"/>
    <n v="261950.629032258"/>
    <n v="4.4193548387096797"/>
    <n v="3.6225451612903199"/>
    <n v="0.81969999999999998"/>
    <n v="0.99"/>
    <n v="57365"/>
    <n v="57481"/>
    <n v="33706"/>
    <n v="33706"/>
    <n v="30644"/>
    <n v="212902"/>
    <n v="234872.67"/>
    <n v="21970.67"/>
    <n v="21970.67"/>
    <n v="234872.67"/>
    <n v="234872.67"/>
    <n v="234872.67"/>
    <n v="24170"/>
    <n v="24510"/>
    <n v="19530"/>
    <n v="26670"/>
    <n v="26450"/>
    <n v="29560"/>
    <n v="24080"/>
    <n v="24860"/>
    <n v="28120"/>
    <n v="25650"/>
    <n v="253600"/>
    <n v="275570.67"/>
    <n v="1593.14"/>
    <n v="0.84050000000000002"/>
    <n v="0.85229999999999995"/>
    <n v="0.76390000000000002"/>
    <n v="0.82140000000000002"/>
    <n v="0.84660000000000002"/>
    <n v="0.86739999999999995"/>
    <n v="0.90500000000000003"/>
    <n v="0.84209999999999996"/>
    <n v="0.91520000000000001"/>
    <n v="0.86880000000000002"/>
    <n v="1.19115837333609"/>
    <n v="3.2849324475524502"/>
    <n v="3.84"/>
    <n v="4.0999999999999996"/>
    <n v="4.1100000000000003"/>
    <n v="4.26"/>
    <m/>
    <n v="4.0774999999999997"/>
    <n v="0.85229999999999995"/>
    <n v="0.80562414409624705"/>
    <n v="1"/>
    <n v="71500"/>
    <n v="56992"/>
    <n v="24000"/>
    <n v="30030"/>
    <s v="-_x0009_Power limitation on Busbar 1 (STS1-STS5) due to considerations of the feeder line capacity._x000a_- The power cable of the pyranometer at Weather Station 5 is suspected to be faulty"/>
  </r>
  <r>
    <x v="259"/>
    <n v="261950.629032258"/>
    <n v="4.4193548387096797"/>
    <n v="3.6225451612903199"/>
    <n v="0.81969999999999998"/>
    <n v="0.99"/>
    <n v="31537"/>
    <n v="31692"/>
    <n v="5409"/>
    <n v="5409"/>
    <n v="6188"/>
    <n v="80235"/>
    <n v="148938"/>
    <n v="68703"/>
    <n v="68703"/>
    <n v="148938"/>
    <n v="148938"/>
    <n v="148938"/>
    <n v="13200"/>
    <n v="12850"/>
    <n v="10800"/>
    <n v="14490"/>
    <n v="14870"/>
    <n v="0"/>
    <n v="0"/>
    <n v="0"/>
    <n v="0"/>
    <n v="0"/>
    <n v="66210"/>
    <n v="134913"/>
    <n v="1515.15"/>
    <n v="0.93120000000000003"/>
    <n v="0.90669999999999995"/>
    <n v="0.85740000000000005"/>
    <n v="0.90569999999999995"/>
    <n v="0.93400000000000005"/>
    <n v="0"/>
    <n v="0"/>
    <n v="0"/>
    <n v="0"/>
    <n v="0"/>
    <n v="0.82520097214432597"/>
    <n v="2.08304895104895"/>
    <n v="1"/>
    <n v="2.09"/>
    <n v="1.2"/>
    <n v="2.1"/>
    <m/>
    <n v="1.5974999999999999"/>
    <n v="0.90700000000000003"/>
    <n v="1.30394300535146"/>
    <n v="1"/>
    <n v="71500"/>
    <n v="56992"/>
    <n v="24000"/>
    <n v="0"/>
    <s v="-_x0009_Power limitation on Busbar 1 (STS1-STS5) due to considerations of the feeder line capacity._x000a_- Outage on Busbar 2  (OG3, OG4, OG5 and STS6-STS10) due to ensure system reliability during the Independence Day at IKN_x000a_- The power cable of the pyranometer at Weather Station 5 is suspected to be faulty"/>
  </r>
  <r>
    <x v="260"/>
    <n v="261950.629032258"/>
    <n v="4.4193548387096797"/>
    <n v="3.6225451612903199"/>
    <n v="0.81969999999999998"/>
    <n v="0.99"/>
    <n v="75422"/>
    <n v="75736"/>
    <n v="57485"/>
    <n v="57485"/>
    <n v="50328"/>
    <n v="316456"/>
    <n v="299374"/>
    <n v="-17082"/>
    <n v="0"/>
    <n v="316456"/>
    <n v="316456"/>
    <n v="298326.19099999999"/>
    <n v="27700"/>
    <n v="27380"/>
    <n v="22480"/>
    <n v="30410"/>
    <n v="30560"/>
    <n v="30420"/>
    <n v="26620"/>
    <n v="27040"/>
    <n v="29760"/>
    <n v="27880"/>
    <n v="280250"/>
    <n v="280250"/>
    <n v="1609.6"/>
    <n v="0.91590000000000005"/>
    <n v="0.90539999999999998"/>
    <n v="0.83620000000000005"/>
    <n v="0.89090000000000003"/>
    <n v="0.88339999999999996"/>
    <n v="0.84889999999999999"/>
    <n v="0.89749999999999996"/>
    <n v="0.87109999999999999"/>
    <n v="0.86899999999999999"/>
    <n v="0.89800000000000002"/>
    <n v="0.88558914983441595"/>
    <n v="4.4259580419580402"/>
    <n v="4.28"/>
    <n v="4.54"/>
    <n v="4.57"/>
    <n v="4.4800000000000004"/>
    <m/>
    <n v="4.4675000000000002"/>
    <n v="0.88160000000000005"/>
    <n v="0.99070129646514604"/>
    <n v="0.99650000000000005"/>
    <n v="71500"/>
    <n v="56992"/>
    <n v="24000"/>
    <n v="30030"/>
    <s v="-_x0009_Power limitation on Busbar 1 (STS1-STS5) due to considerations of the feeder line capacity._x000a_- The power cable of the pyranometer at Weather Station 5 is suspected to be faulty"/>
  </r>
  <r>
    <x v="261"/>
    <n v="261950.629032258"/>
    <n v="4.4193548387096797"/>
    <n v="3.6225451612903199"/>
    <n v="0.81969999999999998"/>
    <n v="0.99"/>
    <n v="36297"/>
    <n v="62086"/>
    <n v="43870"/>
    <n v="45860"/>
    <n v="39898"/>
    <n v="228011"/>
    <n v="239849.5"/>
    <n v="11838.5"/>
    <n v="11838.5"/>
    <n v="239849.5"/>
    <n v="239849.5"/>
    <n v="239010.02674999999"/>
    <n v="23670"/>
    <n v="22810"/>
    <n v="19060"/>
    <n v="25170"/>
    <n v="25430"/>
    <n v="31710"/>
    <n v="26440"/>
    <n v="27010"/>
    <n v="31870"/>
    <n v="27600"/>
    <n v="260770"/>
    <n v="272608.5"/>
    <n v="1316.38"/>
    <n v="0.7429"/>
    <n v="0.71609999999999996"/>
    <n v="0.67310000000000003"/>
    <n v="0.69979999999999998"/>
    <n v="0.71919999999999995"/>
    <n v="0.83979999999999999"/>
    <n v="0.85170000000000001"/>
    <n v="0.82569999999999999"/>
    <n v="0.88929999999999998"/>
    <n v="0.84389999999999998"/>
    <n v="1.14367289297446"/>
    <n v="3.3545384615384601"/>
    <n v="4.4800000000000004"/>
    <n v="4.6399999999999997"/>
    <n v="4.5"/>
    <n v="4.72"/>
    <m/>
    <n v="4.585"/>
    <n v="0.7802"/>
    <n v="0.73163325224393905"/>
    <n v="0.99650000000000005"/>
    <n v="71500"/>
    <n v="56992"/>
    <n v="17967"/>
    <n v="29863"/>
    <s v="-_x0009_Power limitation on Busbar 1 (STS1-STS5) due to considerations of the feeder line capacity._x000a_- Loss of feedback voltage at busbar 1. External Outage, Trip Earth Fault stage 1 at OG.1-GSK.3 and Overcurrent stage 2 at OG.2 due to disturbances at 20 kV network distribution. An attempt was made to energize OG1 via GSK3; however, GSK3 tripped upon operation. OG2 remained get feedback voltage as a result of the auto-reclose mechanism of GSK2_x000a_- OG.3, OG.4, and OG.5 experienced a temporary voltage loss (CB remained in the closed position and did not trip) due to an autoreclose disturbance at GIS.4 - Kariangau_x000a_- The power cable of the pyranometer at Weather Station 5 is suspected to be faulty"/>
  </r>
  <r>
    <x v="262"/>
    <n v="261950.629032258"/>
    <n v="4.4193548387096797"/>
    <n v="3.6225451612903199"/>
    <n v="0.81969999999999998"/>
    <n v="0.99"/>
    <n v="62419"/>
    <n v="62487"/>
    <n v="49197"/>
    <n v="51069"/>
    <n v="43662"/>
    <n v="268834"/>
    <n v="273304.33"/>
    <n v="4470.3300000000199"/>
    <n v="4470.3300000000199"/>
    <n v="273304.33"/>
    <n v="273304.33"/>
    <n v="273304.33"/>
    <n v="27240"/>
    <n v="26940"/>
    <n v="23890"/>
    <n v="29550"/>
    <n v="30220"/>
    <n v="34670"/>
    <n v="29530"/>
    <n v="29880"/>
    <n v="34420"/>
    <n v="30580"/>
    <n v="296920"/>
    <n v="301390.33"/>
    <n v="1668.26"/>
    <n v="0.76870000000000005"/>
    <n v="0.76029999999999998"/>
    <n v="0.75829999999999997"/>
    <n v="0.73870000000000002"/>
    <n v="0.754"/>
    <n v="0.82550000000000001"/>
    <n v="0.81940000000000002"/>
    <n v="0.82120000000000004"/>
    <n v="0.82750000000000001"/>
    <n v="0.84050000000000002"/>
    <n v="1.1044733925024399"/>
    <n v="3.8224381818181801"/>
    <n v="5.2"/>
    <n v="5.26"/>
    <n v="5.16"/>
    <n v="5.25"/>
    <m/>
    <n v="5.2175000000000002"/>
    <n v="0.79139999999999999"/>
    <n v="0.73261872195844402"/>
    <n v="1"/>
    <n v="71500"/>
    <n v="56992"/>
    <n v="24000"/>
    <n v="30030"/>
    <s v="-_x0009_Power limitation on Busbar 1 (STS1-STS5) due to considerations of the feeder line capacity._x000a_- The power cable of the pyranometer at Weather Station 5 is suspected to be faulty"/>
  </r>
  <r>
    <x v="263"/>
    <n v="261950.629032258"/>
    <n v="4.4193548387096797"/>
    <n v="3.6225451612903199"/>
    <n v="0.81969999999999998"/>
    <n v="0.99"/>
    <n v="47737"/>
    <n v="47891"/>
    <n v="34509"/>
    <n v="37211"/>
    <n v="32102"/>
    <n v="199450"/>
    <n v="183674.67"/>
    <n v="-15775.33"/>
    <n v="0"/>
    <n v="199450"/>
    <n v="199450"/>
    <n v="183674.67"/>
    <n v="18970"/>
    <n v="18890"/>
    <n v="16660"/>
    <n v="21130"/>
    <n v="21400"/>
    <n v="22530"/>
    <n v="18980"/>
    <n v="18940"/>
    <n v="21670"/>
    <n v="19570"/>
    <n v="198740"/>
    <n v="198740"/>
    <n v="1435.65"/>
    <n v="0.92759999999999998"/>
    <n v="0.92349999999999999"/>
    <n v="0.9163"/>
    <n v="0.9153"/>
    <n v="0.93600000000000005"/>
    <n v="0.92959999999999998"/>
    <n v="0.9476"/>
    <n v="0.90190000000000003"/>
    <n v="0.93720000000000003"/>
    <n v="0.93210000000000004"/>
    <n v="0.99644021057909204"/>
    <n v="2.7895104895104899"/>
    <n v="2.89"/>
    <n v="3"/>
    <n v="3"/>
    <n v="3.03"/>
    <m/>
    <n v="2.98"/>
    <n v="0.92669999999999997"/>
    <n v="0.936077345473319"/>
    <n v="1"/>
    <n v="71500"/>
    <n v="56992"/>
    <n v="24000"/>
    <n v="30030"/>
    <s v="-_x0009_Power limitation on Busbar 1 (STS1-STS5) due to considerations of the feeder line capacity._x000a_- The power cable of the pyranometer at Weather Station 5 is suspected to be faulty"/>
  </r>
  <r>
    <x v="264"/>
    <n v="261950.629032258"/>
    <n v="4.4193548387096797"/>
    <n v="3.6225451612903199"/>
    <n v="0.81969999999999998"/>
    <n v="0.99"/>
    <n v="75100"/>
    <n v="75261"/>
    <n v="57807"/>
    <n v="59583"/>
    <n v="51168"/>
    <n v="318919"/>
    <n v="323925.33"/>
    <n v="5006.3300000000199"/>
    <n v="5006.3300000000199"/>
    <n v="323925.33"/>
    <n v="323925.33"/>
    <n v="323925.33"/>
    <n v="27600"/>
    <n v="27630"/>
    <n v="23890"/>
    <n v="30150"/>
    <n v="30410"/>
    <n v="34840"/>
    <n v="29590"/>
    <n v="29500"/>
    <n v="33250"/>
    <n v="30470"/>
    <n v="297330"/>
    <n v="302336.33"/>
    <n v="1742.69"/>
    <n v="0.81620000000000004"/>
    <n v="0.81710000000000005"/>
    <n v="0.79459999999999997"/>
    <n v="0.78969999999999996"/>
    <n v="0.80300000000000005"/>
    <n v="0.86929999999999996"/>
    <n v="0.88039999999999996"/>
    <n v="0.8498"/>
    <n v="0.85699999999999998"/>
    <n v="0.87749999999999995"/>
    <n v="0.93230569517651796"/>
    <n v="4.5304241958042004"/>
    <n v="4.8499999999999996"/>
    <n v="4.97"/>
    <n v="4.99"/>
    <n v="5.01"/>
    <m/>
    <n v="4.9550000000000001"/>
    <n v="0.83550000000000002"/>
    <n v="0.91431366211991805"/>
    <n v="1"/>
    <n v="71500"/>
    <n v="56992"/>
    <n v="24000"/>
    <n v="30030"/>
    <s v="-_x0009_Power limitation on Busbar 1 (STS1-STS5) due to considerations of the feeder line capacity._x000a_- The power cable of the pyranometer at Weather Station 5 is suspected to be faulty"/>
  </r>
  <r>
    <x v="265"/>
    <n v="261950.629032258"/>
    <n v="4.4193548387096797"/>
    <n v="3.6225451612903199"/>
    <n v="0.81969999999999998"/>
    <n v="0.99"/>
    <n v="40451"/>
    <n v="40499"/>
    <n v="29442"/>
    <n v="33852"/>
    <n v="27044"/>
    <n v="171288"/>
    <n v="152708.17000000001"/>
    <n v="-18579.830000000002"/>
    <n v="0"/>
    <n v="171288"/>
    <n v="171288"/>
    <n v="152708.17000000001"/>
    <n v="20310"/>
    <n v="19750"/>
    <n v="17890"/>
    <n v="22160"/>
    <n v="23050"/>
    <n v="23770"/>
    <n v="20350"/>
    <n v="20340"/>
    <n v="24020"/>
    <n v="21150"/>
    <n v="212790"/>
    <n v="212790"/>
    <n v="1776.42"/>
    <n v="0.94889999999999997"/>
    <n v="0.92290000000000005"/>
    <n v="0.9405"/>
    <n v="0.91759999999999997"/>
    <n v="0.93669999999999998"/>
    <n v="0.93730000000000002"/>
    <n v="0.92949999999999999"/>
    <n v="0.92610000000000003"/>
    <n v="0.95"/>
    <n v="0.9627"/>
    <n v="1.2422936808182701"/>
    <n v="2.3956363636363598"/>
    <n v="3.16"/>
    <n v="3.23"/>
    <n v="3.11"/>
    <n v="3.17"/>
    <m/>
    <n v="3.1675"/>
    <n v="0.93720000000000003"/>
    <n v="0.75631771543373805"/>
    <n v="1"/>
    <n v="71500"/>
    <n v="56992"/>
    <n v="24000"/>
    <n v="30030"/>
    <s v="-_x0009_Power limitation on Busbar 1 (STS1-STS5) due to considerations of the feeder line capacity._x000a_- The power cable of the pyranometer at Weather Station 5 is suspected to be faulty"/>
  </r>
  <r>
    <x v="266"/>
    <n v="261950.629032258"/>
    <n v="4.4193548387096797"/>
    <n v="3.6225451612903199"/>
    <n v="0.81969999999999998"/>
    <n v="0.99"/>
    <n v="42350"/>
    <n v="42519"/>
    <n v="26540"/>
    <n v="31380"/>
    <n v="26098"/>
    <n v="168887"/>
    <n v="167039"/>
    <n v="-1848"/>
    <n v="0"/>
    <n v="168887"/>
    <n v="168887"/>
    <n v="167039"/>
    <n v="11940"/>
    <n v="11860"/>
    <n v="10700"/>
    <n v="13590"/>
    <n v="13910"/>
    <n v="14530"/>
    <n v="12260"/>
    <n v="12290"/>
    <n v="14320"/>
    <n v="12770"/>
    <n v="128170"/>
    <n v="128170"/>
    <n v="1506.81"/>
    <n v="0.95099999999999996"/>
    <n v="0.94450000000000001"/>
    <n v="0.95909999999999995"/>
    <n v="0.95850000000000002"/>
    <n v="0.97589999999999999"/>
    <n v="0.97609999999999997"/>
    <n v="0.96160000000000001"/>
    <n v="0.95320000000000005"/>
    <n v="0.9728"/>
    <n v="0.99029999999999996"/>
    <n v="0.75890980359648796"/>
    <n v="2.3620559440559399"/>
    <n v="1.84"/>
    <n v="1.87"/>
    <n v="1.85"/>
    <n v="1.86"/>
    <m/>
    <n v="1.855"/>
    <n v="0.96430000000000005"/>
    <n v="1.2733455224021299"/>
    <n v="1"/>
    <n v="71500"/>
    <n v="56992"/>
    <n v="24000"/>
    <n v="30030"/>
    <s v="-_x0009_Power limitation on Busbar 1 (STS1-STS5) due to considerations of the feeder line capacity._x000a_- The power cable of the pyranometer at Weather Station 5 is suspected to be faulty"/>
  </r>
  <r>
    <x v="267"/>
    <n v="261950.629032258"/>
    <n v="4.4193548387096797"/>
    <n v="3.6225451612903199"/>
    <n v="0.81969999999999998"/>
    <n v="0.99"/>
    <n v="62222"/>
    <n v="62364"/>
    <n v="43425"/>
    <n v="48659"/>
    <n v="49230"/>
    <n v="265900"/>
    <n v="263643.67"/>
    <n v="-2256.3300000000199"/>
    <n v="0"/>
    <n v="265900"/>
    <n v="265900"/>
    <n v="263643.67"/>
    <n v="24540"/>
    <n v="24130"/>
    <n v="21720"/>
    <n v="27310"/>
    <n v="28090"/>
    <n v="26980"/>
    <n v="22900"/>
    <n v="22730"/>
    <n v="26510"/>
    <n v="23650"/>
    <n v="248560"/>
    <n v="248560"/>
    <n v="1630.88"/>
    <n v="0.94169999999999998"/>
    <n v="0.92610000000000003"/>
    <n v="0.93779999999999997"/>
    <n v="0.92849999999999999"/>
    <n v="0.94750000000000001"/>
    <n v="0.87360000000000004"/>
    <n v="0.87649999999999995"/>
    <n v="0.84970000000000001"/>
    <n v="0.87880000000000003"/>
    <n v="0.88419999999999999"/>
    <n v="0.93478751410304595"/>
    <n v="3.7188811188811202"/>
    <n v="3.77"/>
    <n v="3.89"/>
    <n v="3.83"/>
    <n v="3.86"/>
    <m/>
    <n v="3.8374999999999999"/>
    <n v="0.90439999999999998"/>
    <n v="0.969089542379445"/>
    <n v="1"/>
    <n v="71500"/>
    <n v="56992"/>
    <n v="24000"/>
    <n v="27694"/>
    <s v="-_x0009_Power limitation on Busbar 1 (STS1-STS5) due to considerations of the feeder line capacity._x000a_- Loss of feedback voltage at busbar 2. External Outage, OG3, OG4, and OG5 experienced a loss of voltage due to a disturbance in the MVTIC (Medium Voltage Twisted Insukated Cable) in 20kV network distribution, while the circuit breaker remained in the CLOSED position_x000a_- The power cable of the pyranometer at Weather Station 5 is suspected to be faulty"/>
  </r>
  <r>
    <x v="268"/>
    <n v="261950.629032258"/>
    <n v="4.4193548387096797"/>
    <n v="3.6225451612903199"/>
    <n v="0.81969999999999998"/>
    <n v="0.99"/>
    <n v="70698"/>
    <n v="70808"/>
    <n v="47318"/>
    <n v="51617"/>
    <n v="49492"/>
    <n v="289933"/>
    <n v="285846.5"/>
    <n v="-4086.5"/>
    <n v="0"/>
    <n v="289933"/>
    <n v="289933"/>
    <n v="285846.5"/>
    <n v="28520"/>
    <n v="28800"/>
    <n v="25380"/>
    <n v="32140"/>
    <n v="32420"/>
    <n v="35630"/>
    <n v="30190"/>
    <n v="29930"/>
    <n v="34030"/>
    <n v="30960"/>
    <n v="308000"/>
    <n v="308000"/>
    <n v="1514.78"/>
    <n v="0.84519999999999995"/>
    <n v="0.85333999999999999"/>
    <n v="0.84599999999999997"/>
    <n v="0.84350000000000003"/>
    <n v="0.84919999999999995"/>
    <n v="0.89070000000000005"/>
    <n v="0.90749999999999997"/>
    <n v="0.8639"/>
    <n v="0.8861"/>
    <n v="0.89349999999999996"/>
    <n v="1.06231439677443"/>
    <n v="4.0550069930069901"/>
    <n v="4.8"/>
    <n v="5.01"/>
    <n v="4.92"/>
    <n v="5"/>
    <m/>
    <n v="4.9325000000000001"/>
    <n v="0.8679"/>
    <n v="0.82209974516107298"/>
    <n v="1"/>
    <n v="71500"/>
    <n v="56992"/>
    <n v="24000"/>
    <n v="30030"/>
    <s v="-_x0009_Power limitation on Busbar 1 (STS1-STS5) due to considerations of the feeder line capacity._x000a_- The power cable of the pyranometer at Weather Station 5 is suspected to be faulty"/>
  </r>
  <r>
    <x v="269"/>
    <n v="261950.629032258"/>
    <n v="4.4193548387096797"/>
    <n v="3.6225451612903199"/>
    <n v="0.81969999999999998"/>
    <n v="0.99"/>
    <n v="52914"/>
    <n v="53050"/>
    <n v="35473"/>
    <n v="41529"/>
    <n v="42558"/>
    <n v="225524"/>
    <n v="196550"/>
    <n v="-28974"/>
    <n v="0"/>
    <n v="225524"/>
    <n v="225524"/>
    <n v="196550"/>
    <n v="23550"/>
    <n v="23420"/>
    <n v="21030"/>
    <n v="26570"/>
    <n v="26950"/>
    <n v="27080"/>
    <n v="23050"/>
    <n v="22830"/>
    <n v="26020"/>
    <n v="23900"/>
    <n v="244400"/>
    <n v="244400"/>
    <n v="1729.79"/>
    <n v="0.93789999999999996"/>
    <n v="0.93279999999999996"/>
    <n v="0.94210000000000005"/>
    <n v="0.93730000000000002"/>
    <n v="0.93799999999999994"/>
    <n v="0.90990000000000004"/>
    <n v="0.92149999999999999"/>
    <n v="0.88539999999999996"/>
    <n v="0.90100000000000002"/>
    <n v="0.92700000000000005"/>
    <n v="1.08369840903851"/>
    <n v="3.15418181818182"/>
    <n v="3.61"/>
    <n v="3.77"/>
    <n v="3.75"/>
    <n v="3.72"/>
    <m/>
    <n v="3.7124999999999999"/>
    <n v="0.92330000000000001"/>
    <n v="0.84961126415671895"/>
    <n v="1"/>
    <n v="71500"/>
    <n v="56992"/>
    <n v="24000"/>
    <n v="27986"/>
    <s v="-_x0009_Power limitation on Busbar 1 (STS1-STS5) due to considerations of the feeder line capacity._x000a_- Loss of feedback voltage at busbar 2. External Outage, OG3, OG4, and OG5 experienced a loss of voltage due to a disturbance in the MVTIC (Medium Voltage Twisted Insukated Cable) in 20kV network distribution, while the circuit breaker remained in the CLOSED position_x000a_- The power cable of the pyranometer at Weather Station 5 is suspected to be faulty"/>
  </r>
  <r>
    <x v="270"/>
    <n v="261950.629032258"/>
    <n v="4.4193548387096797"/>
    <n v="3.6225451612903199"/>
    <n v="0.81969999999999998"/>
    <n v="0.99"/>
    <n v="72372"/>
    <n v="72533"/>
    <n v="52110"/>
    <n v="56806"/>
    <n v="56228"/>
    <n v="310049"/>
    <n v="300956.17"/>
    <n v="-9092.8300000000199"/>
    <n v="0"/>
    <n v="310049"/>
    <n v="310049"/>
    <n v="300956.17"/>
    <n v="22930"/>
    <n v="22970"/>
    <n v="20300"/>
    <n v="25580"/>
    <n v="26100"/>
    <n v="28760"/>
    <n v="24310"/>
    <n v="24320"/>
    <n v="27640"/>
    <n v="25600"/>
    <n v="248510"/>
    <n v="248510"/>
    <n v="1728.24"/>
    <n v="0.86229999999999996"/>
    <n v="0.86380000000000001"/>
    <n v="0.85850000000000004"/>
    <n v="0.85189999999999999"/>
    <n v="0.85429999999999995"/>
    <n v="0.91249999999999998"/>
    <n v="0.91120000000000001"/>
    <n v="0.89080000000000004"/>
    <n v="0.89739999999999998"/>
    <n v="0.93769999999999998"/>
    <n v="0.80151846966124696"/>
    <n v="4.3363496503496499"/>
    <n v="3.85"/>
    <n v="4.01"/>
    <n v="4.01"/>
    <n v="3.94"/>
    <m/>
    <n v="3.9525000000000001"/>
    <n v="0.88400000000000001"/>
    <n v="1.0971156610625299"/>
    <n v="1"/>
    <n v="71500"/>
    <n v="56992"/>
    <n v="24000"/>
    <n v="30030"/>
    <s v="-_x0009_Power limitation on Busbar 1 (STS1-STS5) due to considerations of the feeder line capacity._x000a_- The power cable of the pyranometer at Weather Station 5 is suspected to be faulty"/>
  </r>
  <r>
    <x v="271"/>
    <n v="261950.629032258"/>
    <n v="4.4193548387096797"/>
    <n v="3.6225451612903199"/>
    <n v="0.81969999999999998"/>
    <n v="0.99"/>
    <n v="59612"/>
    <n v="59685"/>
    <n v="43460"/>
    <n v="48214"/>
    <n v="49234"/>
    <n v="260205"/>
    <n v="261305.67"/>
    <n v="1100.6700000000101"/>
    <n v="1100.6700000000101"/>
    <n v="261305.67"/>
    <n v="261305.67"/>
    <n v="261305.67"/>
    <n v="25960"/>
    <n v="25170"/>
    <n v="21490"/>
    <n v="27470"/>
    <n v="28670"/>
    <n v="32230"/>
    <n v="26570"/>
    <n v="27100"/>
    <n v="32630"/>
    <n v="27280"/>
    <n v="274570"/>
    <n v="275670.67"/>
    <n v="1725.43"/>
    <n v="0.83250000000000002"/>
    <n v="0.80720000000000003"/>
    <n v="0.77529999999999999"/>
    <n v="0.78039999999999998"/>
    <n v="0.80210000000000004"/>
    <n v="0.87190000000000001"/>
    <n v="0.85589999999999999"/>
    <n v="0.84650000000000003"/>
    <n v="0.91039999999999999"/>
    <n v="0.85199999999999998"/>
    <n v="1.0552064718203"/>
    <n v="3.6546247552447602"/>
    <n v="4.4800000000000004"/>
    <n v="4.6900000000000004"/>
    <n v="4.51"/>
    <n v="4.62"/>
    <m/>
    <n v="4.5750000000000002"/>
    <n v="0.83340000000000003"/>
    <n v="0.798825083113608"/>
    <n v="1"/>
    <n v="71500"/>
    <n v="56992"/>
    <n v="23333"/>
    <n v="30030"/>
    <s v="-_x0009_Power limitation on Busbar 1 (STS1-STS5) due to considerations of the feeder line capacity._x000a_- Loss of feedback voltage at busbar 1. External Outage, Trip Earth Fault stage 1 at OG.1 and GSK.2 due to disturbances at 20 kV network distribution._x000a_- The power cable of the pyranometer at Weather Station 5 is suspected to be faulty"/>
  </r>
  <r>
    <x v="272"/>
    <n v="261950.629032258"/>
    <n v="4.4193548387096797"/>
    <n v="3.6225451612903199"/>
    <n v="0.81969999999999998"/>
    <n v="0.99"/>
    <n v="40859"/>
    <n v="40941"/>
    <n v="27190"/>
    <n v="33495"/>
    <n v="34122"/>
    <n v="176607"/>
    <n v="161206.17000000001"/>
    <n v="-15400.83"/>
    <n v="0"/>
    <n v="176607"/>
    <n v="176607"/>
    <n v="161206.17000000001"/>
    <n v="21440"/>
    <n v="21040"/>
    <n v="18920"/>
    <n v="23480"/>
    <n v="24070"/>
    <n v="25740"/>
    <n v="21470"/>
    <n v="21610"/>
    <n v="25850"/>
    <n v="22100"/>
    <n v="225720"/>
    <n v="225720"/>
    <n v="1421.77"/>
    <n v="0.90480000000000005"/>
    <n v="0.88780000000000003"/>
    <n v="0.89810000000000001"/>
    <n v="0.87780000000000002"/>
    <n v="0.89990000000000003"/>
    <n v="0.91659999999999997"/>
    <n v="0.90580000000000005"/>
    <n v="0.88839999999999997"/>
    <n v="0.94489999999999996"/>
    <n v="0.90859999999999996"/>
    <n v="1.2780920348570599"/>
    <n v="2.4700279720279701"/>
    <n v="3.42"/>
    <n v="3.51"/>
    <n v="3.41"/>
    <n v="3.51"/>
    <m/>
    <n v="3.4624999999999999"/>
    <n v="0.90329999999999999"/>
    <n v="0.71336547928605698"/>
    <n v="1"/>
    <n v="71500"/>
    <n v="56992"/>
    <n v="24000"/>
    <n v="30030"/>
    <s v="-_x0009_Power limitation on Busbar 1 (STS1-STS5) due to considerations of the feeder line capacity._x000a_- The power cable of the pyranometer at Weather Station 5 is suspected to be faulty"/>
  </r>
  <r>
    <x v="273"/>
    <n v="261950.629032258"/>
    <n v="4.4193548387096797"/>
    <n v="3.6225451612903199"/>
    <n v="0.81969999999999998"/>
    <n v="0.99"/>
    <n v="30995"/>
    <n v="31226"/>
    <n v="19157"/>
    <n v="25544"/>
    <n v="27280"/>
    <n v="134202"/>
    <n v="123393.83"/>
    <n v="-10808.17"/>
    <n v="0"/>
    <n v="134202"/>
    <n v="134202"/>
    <n v="123393.83"/>
    <n v="8030"/>
    <n v="7980"/>
    <n v="7140"/>
    <n v="9040"/>
    <n v="9150"/>
    <n v="9560"/>
    <n v="8040"/>
    <n v="8060"/>
    <n v="9260"/>
    <n v="8330"/>
    <n v="84590"/>
    <n v="84590"/>
    <n v="1601.16"/>
    <n v="0.93710000000000004"/>
    <n v="0.93030000000000002"/>
    <n v="0.93669999999999998"/>
    <n v="0.93379999999999996"/>
    <n v="0.95289999999999997"/>
    <n v="0.94099999999999995"/>
    <n v="0.95140000000000002"/>
    <n v="0.91520000000000001"/>
    <n v="0.94910000000000005"/>
    <n v="0.94620000000000004"/>
    <n v="0.63031847513449901"/>
    <n v="1.8769510489510499"/>
    <n v="1.22"/>
    <n v="1.26"/>
    <n v="1.26"/>
    <n v="1.27"/>
    <m/>
    <n v="1.2524999999999999"/>
    <n v="0.93940000000000001"/>
    <n v="1.49856371173736"/>
    <n v="1"/>
    <n v="71500"/>
    <n v="56992"/>
    <n v="24000"/>
    <n v="30030"/>
    <s v="-_x0009_Power limitation on Busbar 1 (STS1-STS5) due to considerations of the feeder line capacity._x000a_- The power cable of the pyranometer at Weather Station 5 is suspected to be faulty"/>
  </r>
  <r>
    <x v="274"/>
    <n v="280814.82"/>
    <n v="4.7433333333333296"/>
    <n v="3.88811033333333"/>
    <n v="0.81969999999999998"/>
    <n v="0.99"/>
    <n v="61739"/>
    <n v="61848"/>
    <n v="44324"/>
    <n v="49475"/>
    <n v="50332"/>
    <n v="267718"/>
    <n v="267833.83"/>
    <n v="115.830000000016"/>
    <n v="115.830000000016"/>
    <n v="267833.83"/>
    <n v="267833.83"/>
    <n v="267833.83"/>
    <n v="25630"/>
    <n v="25820"/>
    <n v="21630"/>
    <n v="27450"/>
    <n v="27430"/>
    <n v="32120"/>
    <n v="26610"/>
    <n v="27080"/>
    <n v="31460"/>
    <n v="27830"/>
    <n v="273060"/>
    <n v="273175.83"/>
    <n v="1675.79"/>
    <n v="0.78620000000000001"/>
    <n v="0.79210000000000003"/>
    <n v="0.74619999999999997"/>
    <n v="0.74590000000000001"/>
    <n v="0.76749999999999996"/>
    <n v="0.83120000000000005"/>
    <n v="0.8347"/>
    <n v="0.80889999999999995"/>
    <n v="0.8548"/>
    <n v="0.83140000000000003"/>
    <n v="1.0199538320172701"/>
    <n v="3.7459276923076898"/>
    <n v="4.5999999999999996"/>
    <n v="4.6900000000000004"/>
    <n v="4.7300000000000004"/>
    <n v="4.83"/>
    <n v="1.1000000000000001"/>
    <n v="3.99"/>
    <n v="0.79990000000000006"/>
    <n v="0.93882899556583799"/>
    <n v="1"/>
    <n v="71500"/>
    <n v="56992"/>
    <n v="24000"/>
    <n v="30030"/>
    <s v="-_x0009_Power limitation on Busbar 1 (STS1-STS5) due to considerations of the feeder line capacity."/>
  </r>
  <r>
    <x v="275"/>
    <n v="280814.82"/>
    <n v="4.7433333333333296"/>
    <n v="3.88811033333333"/>
    <n v="0.81969999999999998"/>
    <n v="0.99"/>
    <n v="26841"/>
    <n v="60468"/>
    <n v="42315"/>
    <n v="47067"/>
    <n v="48980"/>
    <n v="225671"/>
    <n v="250165.33"/>
    <n v="24494.33"/>
    <n v="24494.33"/>
    <n v="250165.33"/>
    <n v="250165.33"/>
    <n v="250165.33"/>
    <n v="15990"/>
    <n v="15200"/>
    <n v="13890"/>
    <n v="17210"/>
    <n v="17730"/>
    <n v="29160"/>
    <n v="23920"/>
    <n v="23880"/>
    <n v="27450"/>
    <n v="23310"/>
    <n v="207740"/>
    <n v="232234.33"/>
    <n v="1392.08"/>
    <n v="0.54969999999999997"/>
    <n v="0.52249999999999996"/>
    <n v="0.53720000000000001"/>
    <n v="0.52390000000000003"/>
    <n v="0.52749999999999997"/>
    <n v="0.8458"/>
    <n v="0.85660000000000003"/>
    <n v="0.79959999999999998"/>
    <n v="0.85140000000000005"/>
    <n v="0.78039999999999998"/>
    <n v="0.92054362323913996"/>
    <n v="3.4988158041958002"/>
    <n v="4.03"/>
    <n v="4.41"/>
    <n v="4.47"/>
    <n v="4.3099999999999996"/>
    <n v="1.1000000000000001"/>
    <n v="3.6640000000000001"/>
    <n v="0.67949999999999999"/>
    <n v="0.95491697712767598"/>
    <n v="1"/>
    <n v="71500"/>
    <n v="56992"/>
    <n v="16433"/>
    <n v="30030"/>
    <s v="-_x0009_Power limitation on Busbar 1 (STS1-STS5) due to considerations of the feeder line capacity._x000a_- Loss of feedback voltage at busbar 1. External Outage, Trip Overcurrent stage 2 at OG.1, GSK.3, and OG.2 due to disturbances at 20 kV network distribution."/>
  </r>
  <r>
    <x v="276"/>
    <n v="280814.82"/>
    <n v="4.7433333333333296"/>
    <n v="3.88811033333333"/>
    <n v="0.81969999999999998"/>
    <n v="0.99"/>
    <n v="49875"/>
    <n v="49939"/>
    <n v="34765"/>
    <n v="39600"/>
    <n v="44232"/>
    <n v="218411"/>
    <n v="206217.83"/>
    <n v="-12193.17"/>
    <n v="0"/>
    <n v="218411"/>
    <n v="218411"/>
    <n v="206217.83"/>
    <n v="22220"/>
    <n v="22910"/>
    <n v="19590"/>
    <n v="24020"/>
    <n v="25010"/>
    <n v="26800"/>
    <n v="22870"/>
    <n v="22820"/>
    <n v="27280"/>
    <n v="23580"/>
    <n v="237100"/>
    <n v="237100"/>
    <n v="1676.18"/>
    <n v="0.87080000000000002"/>
    <n v="0.89770000000000005"/>
    <n v="0.8639"/>
    <n v="0.83379999999999999"/>
    <n v="0.84370000000000001"/>
    <n v="0.88629999999999998"/>
    <n v="0.85050000000000003"/>
    <n v="0.87109999999999999"/>
    <n v="0.87880000000000003"/>
    <n v="0.90010000000000001"/>
    <n v="1.08556803457701"/>
    <n v="3.0546993006993"/>
    <n v="3.88"/>
    <n v="3.89"/>
    <n v="3.73"/>
    <n v="3.78"/>
    <m/>
    <n v="3.82"/>
    <n v="0.86970000000000003"/>
    <n v="0.79965950280086395"/>
    <n v="1"/>
    <n v="71500"/>
    <n v="56992"/>
    <n v="24000"/>
    <n v="30030"/>
    <s v="-_x0009_Power limitation on Busbar 1 (STS1-STS5) due to considerations of the feeder line capacity._x000a_- The power cable of the pyranometer at Weather Station 5 is suspected to be faulty"/>
  </r>
  <r>
    <x v="277"/>
    <n v="280814.82"/>
    <n v="4.7433333333333296"/>
    <n v="3.88811033333333"/>
    <n v="0.81969999999999998"/>
    <n v="0.99"/>
    <n v="70532"/>
    <n v="70602"/>
    <n v="46996"/>
    <n v="53520"/>
    <n v="54898"/>
    <n v="296548"/>
    <n v="288761.67"/>
    <n v="-7786.3300000000199"/>
    <n v="0"/>
    <n v="296548"/>
    <n v="296548"/>
    <n v="288761.67"/>
    <n v="28790"/>
    <n v="29170"/>
    <n v="24910"/>
    <n v="31530"/>
    <n v="31170"/>
    <n v="35050"/>
    <n v="29530"/>
    <n v="28990"/>
    <n v="32670"/>
    <n v="29330"/>
    <n v="301140"/>
    <n v="301140"/>
    <n v="1795.79"/>
    <n v="0.8155"/>
    <n v="0.82630000000000003"/>
    <n v="0.79369999999999996"/>
    <n v="0.79120000000000001"/>
    <n v="0.80369999999999997"/>
    <n v="0.83760000000000001"/>
    <n v="0.89529999999999998"/>
    <n v="0.79969999999999997"/>
    <n v="0.85799999999999998"/>
    <n v="0.80910000000000004"/>
    <n v="1.0154848456236401"/>
    <n v="4.14752447552448"/>
    <n v="4.76"/>
    <n v="5.09"/>
    <n v="5.01"/>
    <n v="5.23"/>
    <m/>
    <n v="5.0225"/>
    <n v="0.82299999999999995"/>
    <n v="0.82578884530104002"/>
    <n v="1"/>
    <n v="71500"/>
    <n v="56992"/>
    <n v="24000"/>
    <n v="30030"/>
    <s v="-_x0009_Power limitation on Busbar 1 (STS1-STS5) due to considerations of the feeder line capacity._x000a_- The power cable of the pyranometer at Weather Station 5 is suspected to be faulty"/>
  </r>
  <r>
    <x v="278"/>
    <n v="280814.82"/>
    <n v="4.7433333333333296"/>
    <n v="3.88811033333333"/>
    <n v="0.81969999999999998"/>
    <n v="0.99"/>
    <n v="42801"/>
    <n v="42938"/>
    <n v="27619"/>
    <n v="33177"/>
    <n v="36250"/>
    <n v="182785"/>
    <n v="160492.82999999999"/>
    <n v="-22292.17"/>
    <n v="0"/>
    <n v="182785"/>
    <n v="182785"/>
    <n v="160492.82999999999"/>
    <n v="17580"/>
    <n v="17570"/>
    <n v="15630"/>
    <n v="19800"/>
    <n v="19860"/>
    <n v="21310"/>
    <n v="17550"/>
    <n v="17740"/>
    <n v="20290"/>
    <n v="18320"/>
    <n v="185650"/>
    <n v="185650"/>
    <n v="1302.1099999999999"/>
    <n v="0.90090000000000003"/>
    <n v="0.90080000000000005"/>
    <n v="0.90159999999999996"/>
    <n v="0.89900000000000002"/>
    <n v="0.92759999999999998"/>
    <n v="0.92169999999999996"/>
    <n v="0.92749999999999999"/>
    <n v="0.88570000000000004"/>
    <n v="0.92910000000000004"/>
    <n v="0.91479999999999995"/>
    <n v="1.0156741526930499"/>
    <n v="2.55643356643357"/>
    <n v="2.73"/>
    <n v="2.81"/>
    <n v="2.86"/>
    <n v="2.89"/>
    <m/>
    <n v="2.8224999999999998"/>
    <n v="0.91090000000000004"/>
    <n v="0.90573377021561297"/>
    <n v="1"/>
    <n v="71500"/>
    <n v="56992"/>
    <n v="24000"/>
    <n v="30030"/>
    <s v="-_x0009_Power limitation on Busbar 1 (STS1-STS5) due to considerations of the feeder line capacity._x000a_- The power cable of the pyranometer at Weather Station 5 is suspected to be faulty"/>
  </r>
  <r>
    <x v="279"/>
    <n v="280814.82"/>
    <n v="4.7433333333333296"/>
    <n v="3.88811033333333"/>
    <n v="0.81969999999999998"/>
    <n v="0.99"/>
    <n v="41585"/>
    <n v="65377"/>
    <n v="32872"/>
    <n v="37962"/>
    <n v="40562"/>
    <n v="218358"/>
    <n v="205127"/>
    <n v="-13231"/>
    <n v="0"/>
    <n v="218358"/>
    <n v="218358"/>
    <n v="205127"/>
    <n v="20680"/>
    <n v="20930"/>
    <n v="17650"/>
    <n v="22330"/>
    <n v="21840"/>
    <n v="23110"/>
    <n v="18520"/>
    <n v="19150"/>
    <n v="21560"/>
    <n v="20140"/>
    <n v="205910"/>
    <n v="205910"/>
    <n v="1529.67"/>
    <n v="0.95730000000000004"/>
    <n v="0.96879999999999999"/>
    <n v="0.91930000000000001"/>
    <n v="0.91569999999999996"/>
    <n v="0.95840000000000003"/>
    <n v="0.90269999999999995"/>
    <n v="0.95109999999999995"/>
    <n v="0.86329999999999996"/>
    <n v="0.95930000000000004"/>
    <n v="0.90810000000000002"/>
    <n v="0.94299270006136704"/>
    <n v="3.0539580419580399"/>
    <n v="2.81"/>
    <n v="2.99"/>
    <n v="3.08"/>
    <n v="3.2"/>
    <m/>
    <n v="3.02"/>
    <n v="0.9304"/>
    <n v="1.01124438475432"/>
    <n v="1"/>
    <n v="71500"/>
    <n v="56992"/>
    <n v="24000"/>
    <n v="30030"/>
    <s v="-_x0009_Power limitation on Busbar 1 (STS1-STS5) due to considerations of the feeder line capacity._x000a_- The power cable of the pyranometer at Weather Station 5 is suspected to be faulty"/>
  </r>
  <r>
    <x v="280"/>
    <n v="280814.82"/>
    <n v="4.7433333333333296"/>
    <n v="3.88811033333333"/>
    <n v="0.81969999999999998"/>
    <n v="0.99"/>
    <n v="18512"/>
    <n v="74160"/>
    <n v="41410"/>
    <n v="45795"/>
    <n v="46362"/>
    <n v="226239"/>
    <n v="240627.67"/>
    <n v="14388.67"/>
    <n v="14388.67"/>
    <n v="240627.67"/>
    <n v="240627.67"/>
    <n v="240627.67"/>
    <n v="15440"/>
    <n v="15480"/>
    <n v="14010"/>
    <n v="17670"/>
    <n v="17810"/>
    <n v="26350"/>
    <n v="21490"/>
    <n v="21840"/>
    <n v="25760"/>
    <n v="22190"/>
    <n v="198040"/>
    <n v="212428.67"/>
    <n v="1682.82"/>
    <n v="0.60189999999999999"/>
    <n v="0.60360000000000003"/>
    <n v="0.61450000000000005"/>
    <n v="0.61029999999999995"/>
    <n v="0.63009999999999999"/>
    <n v="0.86670000000000003"/>
    <n v="0.87119999999999997"/>
    <n v="0.82950000000000002"/>
    <n v="0.90449999999999997"/>
    <n v="0.84240000000000004"/>
    <n v="0.87535747594358204"/>
    <n v="3.36542195804196"/>
    <n v="3.56"/>
    <n v="3.71"/>
    <n v="3.75"/>
    <n v="3.8"/>
    <m/>
    <n v="3.7050000000000001"/>
    <n v="0.73750000000000004"/>
    <n v="0.90834600756868"/>
    <n v="1"/>
    <n v="71500"/>
    <n v="56992"/>
    <n v="12500"/>
    <n v="30030"/>
    <s v="-_x0009_Power limitation on Busbar 1 (STS1-STS5) due to considerations of the feeder line capacity._x000a_- External Outage, Trip Ground Fault stage 1 at OG.1 and GSK.3 due to disturbances at 20 kV network distribution._x000a_- The power cable of the pyranometer at Weather Station 5 is suspected to be faulty"/>
  </r>
  <r>
    <x v="281"/>
    <n v="280814.82"/>
    <n v="4.7433333333333296"/>
    <n v="3.88811033333333"/>
    <n v="0.81969999999999998"/>
    <n v="0.99"/>
    <n v="47218"/>
    <n v="47205"/>
    <n v="31196"/>
    <n v="36836"/>
    <n v="39338"/>
    <n v="201793"/>
    <n v="189452"/>
    <n v="-12341"/>
    <n v="0"/>
    <n v="201793"/>
    <n v="201793"/>
    <n v="189452"/>
    <n v="24550"/>
    <n v="24580"/>
    <n v="21790"/>
    <n v="27380"/>
    <n v="27810"/>
    <n v="29710"/>
    <n v="24540"/>
    <n v="25110"/>
    <n v="29430"/>
    <n v="25890"/>
    <n v="260790"/>
    <n v="260790"/>
    <n v="1221.8900000000001"/>
    <n v="0.89590000000000003"/>
    <n v="0.89670000000000005"/>
    <n v="0.89449999999999996"/>
    <n v="0.88500000000000001"/>
    <n v="0.91020000000000001"/>
    <n v="0.91459999999999997"/>
    <n v="0.90569999999999995"/>
    <n v="0.89249999999999996"/>
    <n v="0.94079999999999997"/>
    <n v="0.92030000000000001"/>
    <n v="1.2923639571243799"/>
    <n v="2.8222797202797199"/>
    <n v="3.91"/>
    <n v="4.01"/>
    <n v="3.98"/>
    <n v="4.0599999999999996"/>
    <m/>
    <n v="3.99"/>
    <n v="0.90559999999999996"/>
    <n v="0.70733827575932795"/>
    <n v="1"/>
    <n v="71500"/>
    <n v="56992"/>
    <n v="24000"/>
    <n v="30030"/>
    <s v="-_x0009_Power limitation on Busbar 1 (STS1-STS5) due to considerations of the feeder line capacity._x000a_- The power cable of the pyranometer at Weather Station 5 is suspected to be faulty"/>
  </r>
  <r>
    <x v="282"/>
    <n v="280814.82"/>
    <n v="4.7433333333333296"/>
    <n v="3.88811033333333"/>
    <n v="0.81969999999999998"/>
    <n v="0.99"/>
    <n v="40868"/>
    <n v="40968"/>
    <n v="22811"/>
    <n v="35828"/>
    <n v="35758"/>
    <n v="176233"/>
    <n v="159846.5"/>
    <n v="-16386.5"/>
    <n v="0"/>
    <n v="176233"/>
    <n v="176233"/>
    <n v="159846.5"/>
    <n v="10010"/>
    <n v="10060"/>
    <n v="8840"/>
    <n v="11220"/>
    <n v="11380"/>
    <n v="11770"/>
    <n v="9820"/>
    <n v="9750"/>
    <n v="11120"/>
    <n v="9910"/>
    <n v="103880"/>
    <n v="103880"/>
    <n v="1537.18"/>
    <n v="0.93820000000000003"/>
    <n v="0.94299999999999995"/>
    <n v="0.93289999999999995"/>
    <n v="0.93159999999999998"/>
    <n v="0.9698"/>
    <n v="0.93120000000000003"/>
    <n v="0.97729999999999995"/>
    <n v="0.89059999999999995"/>
    <n v="0.95899999999999996"/>
    <n v="0.90510000000000002"/>
    <n v="0.589446925377199"/>
    <n v="2.4647972027971998"/>
    <n v="1.45"/>
    <n v="1.54"/>
    <n v="1.53"/>
    <n v="1.58"/>
    <m/>
    <n v="1.5249999999999999"/>
    <n v="0.93779999999999997"/>
    <n v="1.6162604608506199"/>
    <n v="1"/>
    <n v="71500"/>
    <n v="56992"/>
    <n v="24000"/>
    <n v="27325"/>
    <s v="-_x0009_Power limitation on Busbar 1 (STS1-STS5) due to considerations of the feeder line capacity._x000a_- OG.3 is currently in a closed Circuit Breaker (CB) position, not experiencing an outage, and still receiving feedback voltage from NST.5. However, a disturbance occurred at the Switching Substation (GH), causing OG.3 and NST.5 to become unsynchronized. As a result, the OG.3 to NST.5 line is unable to deliver the generated power from the solar power plant (PLTS)._x000a_- The power cable of the pyranometer at Weather Station 5 is suspected to be faulty"/>
  </r>
  <r>
    <x v="283"/>
    <n v="280814.82"/>
    <n v="4.7433333333333296"/>
    <n v="3.88811033333333"/>
    <n v="0.81969999999999998"/>
    <n v="0.99"/>
    <n v="80952"/>
    <n v="81039"/>
    <n v="71442"/>
    <n v="64451"/>
    <n v="46788"/>
    <n v="344672"/>
    <n v="334527.17"/>
    <n v="-10144.83"/>
    <n v="0"/>
    <n v="344672"/>
    <n v="344672"/>
    <n v="334527.17"/>
    <n v="32670"/>
    <n v="33280"/>
    <n v="29040"/>
    <n v="36240"/>
    <n v="36850"/>
    <n v="41130"/>
    <n v="34520"/>
    <n v="34510"/>
    <n v="40880"/>
    <n v="36690"/>
    <n v="355810"/>
    <n v="355810"/>
    <n v="1649.23"/>
    <n v="0.80930000000000002"/>
    <n v="0.82440000000000002"/>
    <n v="0.8095"/>
    <n v="0.79520000000000002"/>
    <n v="0.81689999999999996"/>
    <n v="0.85970000000000002"/>
    <n v="0.85729999999999995"/>
    <n v="0.8327"/>
    <n v="0.87939999999999996"/>
    <n v="0.88529999999999998"/>
    <n v="1.0323147804289301"/>
    <n v="4.8205874125874102"/>
    <n v="5.81"/>
    <n v="5.92"/>
    <n v="6.04"/>
    <n v="5.98"/>
    <m/>
    <n v="5.9375"/>
    <n v="0.83699999999999997"/>
    <n v="0.81188840633051196"/>
    <n v="1"/>
    <n v="71500"/>
    <n v="56992"/>
    <n v="24000"/>
    <n v="29059"/>
    <s v="-_x0009_Power limitation on Busbar 1 (STS1-STS5) due to considerations of the feeder line capacity._x000a_- OG.4 dan OG.5 is currently in a closed Circuit Breaker (CB) position, not experiencing an outage, and still receiving feedback voltage from NST.2 and NST.3. However, a disturbance occurred at the Switching Substation (GH), causing OG.4 NST.2 and OG.5 NST.3 to become unsynchronized. As a result, the OG.4 to NST.2 and OG.5 to NST.3 line is unable to deliver the generated power from the solar power plant (PLTS)._x000a_- The power cable of the pyranometer at Weather Station 5 is suspected to be faulty"/>
  </r>
  <r>
    <x v="284"/>
    <n v="280814.82"/>
    <n v="4.7433333333333296"/>
    <n v="3.88811033333333"/>
    <n v="0.81969999999999998"/>
    <n v="0.99"/>
    <n v="49604"/>
    <n v="49734"/>
    <n v="52102"/>
    <n v="46474"/>
    <n v="7804"/>
    <n v="205718"/>
    <n v="186780.83"/>
    <n v="-18937.169999999998"/>
    <n v="0"/>
    <n v="205718"/>
    <n v="205718"/>
    <n v="186780.83"/>
    <n v="23100"/>
    <n v="22650"/>
    <n v="20080"/>
    <n v="25070"/>
    <n v="25880"/>
    <n v="26880"/>
    <n v="22500"/>
    <n v="22530"/>
    <n v="26250"/>
    <n v="23460"/>
    <n v="238400"/>
    <n v="238400"/>
    <n v="1525.68"/>
    <n v="0.92979999999999996"/>
    <n v="0.91169999999999995"/>
    <n v="0.9093"/>
    <n v="0.89419999999999999"/>
    <n v="0.91310000000000002"/>
    <n v="0.91320000000000001"/>
    <n v="0.91220000000000001"/>
    <n v="0.88349999999999995"/>
    <n v="0.92159999999999997"/>
    <n v="0.91979999999999995"/>
    <n v="1.1588679648839699"/>
    <n v="2.8771748251748299"/>
    <n v="3.56"/>
    <n v="3.72"/>
    <n v="3.68"/>
    <n v="3.68"/>
    <m/>
    <n v="3.66"/>
    <n v="0.91080000000000005"/>
    <n v="0.78611334021170098"/>
    <n v="1"/>
    <n v="71500"/>
    <n v="56992"/>
    <n v="24000"/>
    <n v="23217"/>
    <s v="-_x0009_Power limitation on Busbar 1 (STS1-STS5) due to considerations of the feeder line capacity._x000a_- OG.4 dan OG.5 is currently in a closed Circuit Breaker (CB) position, not experiencing an outage, and still receiving feedback voltage from NST.2 and NST.3. However, a disturbance occurred at the Switching Substation (GH), causing OG.4 NST.2 and OG.5 NST.3 to become unsynchronized. As a result, the OG.4 to NST.2 and OG.5 to NST.3 line is unable to deliver the generated power from the solar power plant (PLTS)._x000a_- The request to lower the setpoint on busbar 2 was made due to maintaining the reliability of the 20 kV distribution network on busbar 2 in relation to a fault occurring in the MVTIC (Medium Voltage Twisted Insukated Cable) at 20 kV network distribution._x000a_- The power cable of the pyranometer at Weather Station 5 is suspected to be faulty"/>
  </r>
  <r>
    <x v="285"/>
    <n v="280814.82"/>
    <n v="4.7433333333333296"/>
    <n v="3.88811033333333"/>
    <n v="0.81969999999999998"/>
    <n v="0.99"/>
    <n v="46621"/>
    <n v="46645"/>
    <n v="33772"/>
    <n v="32284"/>
    <n v="14326"/>
    <n v="173648"/>
    <n v="215300.83"/>
    <n v="41652.83"/>
    <n v="41652.83"/>
    <n v="215300.83"/>
    <n v="215300.83"/>
    <n v="215300.83"/>
    <n v="20370"/>
    <n v="20360"/>
    <n v="17770"/>
    <n v="22130"/>
    <n v="22980"/>
    <n v="18340"/>
    <n v="15420"/>
    <n v="15460"/>
    <n v="18190"/>
    <n v="15730"/>
    <n v="186750"/>
    <n v="228402.83"/>
    <n v="1640.31"/>
    <n v="0.77759999999999996"/>
    <n v="0.77749999999999997"/>
    <n v="0.76339999999999997"/>
    <n v="0.74839999999999995"/>
    <n v="0.74829999999999997"/>
    <n v="0.59089999999999998"/>
    <n v="0.56200000000000006"/>
    <n v="0.57499999999999996"/>
    <n v="0.57410000000000005"/>
    <n v="0.58489999999999998"/>
    <n v="1.0754514880678201"/>
    <n v="3.0112004195804198"/>
    <n v="3.96"/>
    <n v="4.03"/>
    <n v="3.98"/>
    <n v="3.88"/>
    <m/>
    <n v="3.9624999999999999"/>
    <n v="0.67020000000000002"/>
    <n v="0.75992439610862295"/>
    <n v="1"/>
    <n v="71500"/>
    <n v="56992"/>
    <n v="24000"/>
    <n v="20939"/>
    <s v="-_x0009_Power limitation on Busbar 1 (STS1-STS5) due to considerations of the feeder line capacity._x000a_- Loss of feedback voltage at busbar 2. External Outage, OG3, OG4, and OG5 experienced a loss of voltage due to a disturbance in the MVTIC (Medium Voltage Twisted Insukated Cable) in 20kV network distribution, while the circuit breaker remained in the CLOSED position_x000a_- The request to lower the setpoint on busbar 2 was made due to maintaining the reliability of the 20 kV distribution network on busbar 2 in relation to a fault occurring in the MVTIC (Medium Voltage Twisted Insukated Cable) at 20 kV network distribution._x000a_- The power cable of the pyranometer at Weather Station 5 is suspected to be faulty"/>
  </r>
  <r>
    <x v="286"/>
    <n v="280814.82"/>
    <n v="4.7433333333333296"/>
    <n v="3.88811033333333"/>
    <n v="0.81969999999999998"/>
    <n v="0.99"/>
    <n v="72110"/>
    <n v="72285"/>
    <n v="49636"/>
    <n v="54151"/>
    <n v="62502"/>
    <n v="310684"/>
    <n v="317252.67"/>
    <n v="6568.6699999999801"/>
    <n v="6568.6699999999801"/>
    <n v="317252.67"/>
    <n v="317252.67"/>
    <n v="317252.67"/>
    <n v="22990"/>
    <n v="23020"/>
    <n v="20370"/>
    <n v="25640"/>
    <n v="25250"/>
    <n v="29440"/>
    <n v="25860"/>
    <n v="29320"/>
    <n v="29030"/>
    <n v="25990"/>
    <n v="256910"/>
    <n v="263478.67"/>
    <n v="1671.08"/>
    <n v="0.78129999999999999"/>
    <n v="0.78210000000000002"/>
    <n v="0.77849999999999997"/>
    <n v="0.77159999999999995"/>
    <n v="0.73480000000000001"/>
    <n v="0.84409999999999996"/>
    <n v="0.8659"/>
    <n v="0.97050000000000003"/>
    <n v="0.84179999999999999"/>
    <n v="0.86029999999999995"/>
    <n v="0.82691738229197498"/>
    <n v="4.4371002797202799"/>
    <n v="4.3099999999999996"/>
    <n v="4.51"/>
    <n v="4.38"/>
    <n v="4.3600000000000003"/>
    <m/>
    <n v="4.3899999999999997"/>
    <n v="0.82310000000000005"/>
    <n v="1.01072899310257"/>
    <n v="1"/>
    <n v="71500"/>
    <n v="56992"/>
    <n v="24000"/>
    <n v="30030"/>
    <s v="-_x0009_Power limitation on Busbar 1 (STS1-STS5) due to considerations of the feeder line capacity._x000a_- The power cable of the pyranometer at Weather Station 5 is suspected to be faulty"/>
  </r>
  <r>
    <x v="287"/>
    <n v="280814.82"/>
    <n v="4.7433333333333296"/>
    <n v="3.88811033333333"/>
    <n v="0.81969999999999998"/>
    <n v="0.99"/>
    <n v="63821"/>
    <n v="63816"/>
    <n v="44177"/>
    <n v="46345"/>
    <n v="49746"/>
    <n v="267905"/>
    <n v="253883.83"/>
    <n v="-14021.17"/>
    <n v="0"/>
    <n v="267905"/>
    <n v="267905"/>
    <n v="253883.83"/>
    <n v="28300"/>
    <n v="27850"/>
    <n v="25120"/>
    <n v="31400"/>
    <n v="32320"/>
    <n v="24180"/>
    <n v="28150"/>
    <n v="28630"/>
    <n v="34080"/>
    <n v="29030"/>
    <n v="289060"/>
    <n v="289060"/>
    <n v="1728.1"/>
    <n v="0.87719999999999998"/>
    <n v="0.86309999999999998"/>
    <n v="0.87580000000000002"/>
    <n v="0.86199999999999999"/>
    <n v="0.8911"/>
    <n v="0.63229999999999997"/>
    <n v="0.89059999999999995"/>
    <n v="0.86429999999999996"/>
    <n v="0.93430000000000002"/>
    <n v="0.87639999999999996"/>
    <n v="1.07896455833224"/>
    <n v="3.7469230769230801"/>
    <n v="4.5599999999999996"/>
    <n v="4.76"/>
    <n v="4.76"/>
    <n v="4.78"/>
    <m/>
    <n v="4.7149999999999999"/>
    <n v="0.85670000000000002"/>
    <n v="0.79468145852027094"/>
    <n v="1"/>
    <n v="71500"/>
    <n v="56992"/>
    <n v="24000"/>
    <n v="30030"/>
    <s v="-_x0009_Power limitation on Busbar 1 (STS1-STS5) due to considerations of the feeder line capacity._x000a_- The power cable of the pyranometer at Weather Station 5 is suspected to be faulty"/>
  </r>
  <r>
    <x v="288"/>
    <n v="280814.82"/>
    <n v="4.7433333333333296"/>
    <n v="3.88811033333333"/>
    <n v="0.81969999999999998"/>
    <n v="0.99"/>
    <n v="63771"/>
    <n v="63873"/>
    <n v="43115"/>
    <n v="46486"/>
    <n v="52696"/>
    <n v="269941"/>
    <n v="248491.33"/>
    <n v="-21449.67"/>
    <n v="0"/>
    <n v="269941"/>
    <n v="269941"/>
    <n v="248491.33"/>
    <n v="21650"/>
    <n v="21520"/>
    <n v="19240"/>
    <n v="24640"/>
    <n v="24610"/>
    <n v="26090"/>
    <n v="21640"/>
    <n v="21830"/>
    <n v="24330"/>
    <n v="22540"/>
    <n v="228090"/>
    <n v="228090"/>
    <n v="1264.29"/>
    <n v="0.91359999999999997"/>
    <n v="0.9083"/>
    <n v="0.91349999999999998"/>
    <n v="0.92130000000000001"/>
    <n v="0.9335"/>
    <n v="0.92920000000000003"/>
    <n v="0.94640000000000002"/>
    <n v="0.89749999999999996"/>
    <n v="0.92159999999999997"/>
    <n v="0.92669999999999997"/>
    <n v="0.8449624177135"/>
    <n v="3.7753986013985998"/>
    <n v="3.3"/>
    <n v="3.46"/>
    <n v="3.52"/>
    <n v="3.51"/>
    <m/>
    <n v="3.4474999999999998"/>
    <n v="0.92120000000000002"/>
    <n v="1.0951119946043799"/>
    <n v="1"/>
    <n v="71500"/>
    <n v="56992"/>
    <n v="24000"/>
    <n v="29854"/>
    <s v="-_x0009_Power limitation on Busbar 1 (STS1-STS5) due to considerations of the feeder line capacity._x000a_- The power cable of the pyranometer at Weather Station 5 is suspected to be faulty"/>
  </r>
  <r>
    <x v="289"/>
    <n v="280814.82"/>
    <n v="4.7433333333333296"/>
    <n v="3.88811033333333"/>
    <n v="0.81969999999999998"/>
    <n v="0.99"/>
    <n v="34738"/>
    <n v="64491"/>
    <n v="33575"/>
    <n v="38432"/>
    <n v="42322"/>
    <n v="213558"/>
    <n v="203642.33"/>
    <n v="-9915.6700000000092"/>
    <n v="0"/>
    <n v="213558"/>
    <n v="213558"/>
    <n v="203642.33"/>
    <n v="22000"/>
    <n v="21490"/>
    <n v="19750"/>
    <n v="24270"/>
    <n v="25040"/>
    <n v="26600"/>
    <n v="22090"/>
    <n v="22570"/>
    <n v="24450"/>
    <n v="23060"/>
    <n v="231320"/>
    <n v="231320"/>
    <n v="1704.52"/>
    <n v="0.82089999999999996"/>
    <n v="0.80189999999999995"/>
    <n v="0.82909999999999995"/>
    <n v="0.80220000000000002"/>
    <n v="0.81940000000000002"/>
    <n v="0.83740000000000003"/>
    <n v="0.81299999999999994"/>
    <n v="0.82050000000000001"/>
    <n v="0.77949999999999997"/>
    <n v="0.83830000000000005"/>
    <n v="1.0831717847142199"/>
    <n v="2.98682517482517"/>
    <n v="3.92"/>
    <n v="4.01"/>
    <n v="3.89"/>
    <n v="3.97"/>
    <m/>
    <n v="3.9474999999999998"/>
    <n v="0.81620000000000004"/>
    <n v="0.756637156383831"/>
    <n v="1"/>
    <n v="71500"/>
    <n v="56992"/>
    <n v="24000"/>
    <n v="28495"/>
    <s v="-_x0009_Power limitation on Busbar 1 (STS1-STS5) due to considerations of the feeder line capacity._x000a_- The power cable of the pyranometer at Weather Station 5 is suspected to be faulty"/>
  </r>
  <r>
    <x v="290"/>
    <n v="280814.82"/>
    <n v="4.7433333333333296"/>
    <n v="3.88811033333333"/>
    <n v="0.81969999999999998"/>
    <n v="0.99"/>
    <n v="8257"/>
    <n v="41870"/>
    <n v="15922"/>
    <n v="22893"/>
    <n v="25166"/>
    <n v="114108"/>
    <n v="103290"/>
    <n v="-10818"/>
    <n v="0"/>
    <n v="114108"/>
    <n v="114108"/>
    <n v="103290"/>
    <n v="12460"/>
    <n v="12330"/>
    <n v="11180"/>
    <n v="14000"/>
    <n v="14370"/>
    <n v="15830"/>
    <n v="13040"/>
    <n v="13360"/>
    <n v="16000"/>
    <n v="13640"/>
    <n v="136210"/>
    <n v="136210"/>
    <n v="1623.95"/>
    <n v="0.83889999999999998"/>
    <n v="0.83020000000000005"/>
    <n v="0.84660000000000002"/>
    <n v="0.83509999999999995"/>
    <n v="0.8609"/>
    <n v="0.89939999999999998"/>
    <n v="0.88780000000000003"/>
    <n v="0.876"/>
    <n v="0.94320000000000004"/>
    <n v="0.89459999999999995"/>
    <n v="1.1936936936936899"/>
    <n v="1.59591608391608"/>
    <n v="2.12"/>
    <n v="2.19"/>
    <n v="2.15"/>
    <n v="2.2000000000000002"/>
    <m/>
    <n v="2.165"/>
    <n v="0.87129999999999996"/>
    <n v="0.73714368772105499"/>
    <n v="1"/>
    <n v="71500"/>
    <n v="56992"/>
    <n v="12000"/>
    <n v="28878"/>
    <s v="-_x0009_Power limitation on Busbar 1 (STS1-STS5) due to considerations of the feeder line capacity._x000a_- External Outage, Trip Earth Fault stage 1 at OG.1 and GSK.3 due to disturbances at 20 kV network distribution._x000a_- Loss of feedback voltage at busbar 2. External Outage, OG3, OG4, and OG5 experienced a loss of voltage due to a disturbance in the MVTIC (Medium Voltage Twisted Insukated Cable) in 20kV network distribution, while the circuit breaker remained in the CLOSED position_x000a_- The power cable of the pyranometer at Weather Station 5 is suspected to be faulty"/>
  </r>
  <r>
    <x v="291"/>
    <n v="280814.82"/>
    <n v="4.7433333333333296"/>
    <n v="3.88811033333333"/>
    <n v="0.81969999999999998"/>
    <n v="0.99"/>
    <n v="51970"/>
    <n v="52160"/>
    <n v="35751"/>
    <n v="41278"/>
    <n v="42034"/>
    <n v="223193"/>
    <n v="204350.67"/>
    <n v="-18842.330000000002"/>
    <n v="0"/>
    <n v="223193"/>
    <n v="223193"/>
    <n v="204350.67"/>
    <n v="17750"/>
    <n v="17630"/>
    <n v="15770"/>
    <n v="19670"/>
    <n v="20390"/>
    <n v="21670"/>
    <n v="18270"/>
    <n v="18360"/>
    <n v="21300"/>
    <n v="19090"/>
    <n v="189900"/>
    <n v="189900"/>
    <n v="1774.1"/>
    <n v="0.90680000000000005"/>
    <n v="0.90059999999999996"/>
    <n v="0.90600000000000003"/>
    <n v="0.89019999999999999"/>
    <n v="0.90390000000000004"/>
    <n v="0.93389999999999995"/>
    <n v="0.91520000000000001"/>
    <n v="0.91369999999999996"/>
    <n v="0.92449999999999999"/>
    <n v="0.94979999999999998"/>
    <n v="0.85083313544779604"/>
    <n v="3.12158041958042"/>
    <n v="2.88"/>
    <n v="2.96"/>
    <n v="2.93"/>
    <n v="2.9"/>
    <m/>
    <n v="2.9175"/>
    <n v="0.91449999999999998"/>
    <n v="1.0699504437293601"/>
    <n v="1"/>
    <n v="71500"/>
    <n v="56992"/>
    <n v="24000"/>
    <n v="30030"/>
    <s v="-_x0009_Power limitation on Busbar 1 (STS1-STS5) due to considerations of the feeder line capacity._x000a_- The power cable of the pyranometer at Weather Station 5 is suspected to be faulty"/>
  </r>
  <r>
    <x v="292"/>
    <n v="280814.82"/>
    <n v="4.7433333333333296"/>
    <n v="3.88811033333333"/>
    <n v="0.81969999999999998"/>
    <n v="0.99"/>
    <n v="66612"/>
    <n v="66673"/>
    <n v="49519"/>
    <n v="53364"/>
    <n v="54110"/>
    <n v="290278"/>
    <n v="298735.5"/>
    <n v="8457.5"/>
    <n v="8457.5"/>
    <n v="298735.5"/>
    <n v="298735.5"/>
    <n v="297988.66125"/>
    <n v="27010"/>
    <n v="27350"/>
    <n v="23320"/>
    <n v="29690"/>
    <n v="29810"/>
    <n v="35150"/>
    <n v="29090"/>
    <n v="30090"/>
    <n v="32930"/>
    <n v="31380"/>
    <n v="295820"/>
    <n v="304277.5"/>
    <n v="1444.73"/>
    <n v="0.78149999999999997"/>
    <n v="0.7913"/>
    <n v="0.7591"/>
    <n v="0.76100000000000001"/>
    <n v="0.77929999999999999"/>
    <n v="0.85829999999999995"/>
    <n v="0.83109999999999995"/>
    <n v="0.84799999999999998"/>
    <n v="0.81499999999999995"/>
    <n v="0.88429999999999997"/>
    <n v="1.01909204280035"/>
    <n v="4.1781188811188796"/>
    <n v="5.05"/>
    <n v="5.0199999999999996"/>
    <n v="5.25"/>
    <n v="5.12"/>
    <m/>
    <n v="5.1100000000000003"/>
    <n v="0.81089999999999995"/>
    <n v="0.81763578886866595"/>
    <n v="0.99750000000000005"/>
    <n v="71500"/>
    <n v="56992"/>
    <n v="24000"/>
    <n v="30030"/>
    <s v="-_x0009_Power limitation on Busbar 1 (STS1-STS5) due to considerations of the feeder line capacity._x000a_- The power cable of the pyranometer at Weather Station 5 is suspected to be faulty"/>
  </r>
  <r>
    <x v="293"/>
    <n v="280814.82"/>
    <n v="4.7433333333333296"/>
    <n v="3.88811033333333"/>
    <n v="0.81969999999999998"/>
    <n v="0.99"/>
    <n v="48790"/>
    <n v="48822"/>
    <n v="32017"/>
    <n v="36797"/>
    <n v="39084"/>
    <n v="205510"/>
    <n v="195101.83"/>
    <n v="-10408.17"/>
    <n v="0"/>
    <n v="205510"/>
    <n v="205510"/>
    <n v="194614.07542499999"/>
    <n v="22120"/>
    <n v="22140"/>
    <n v="19210"/>
    <n v="23940"/>
    <n v="24660"/>
    <n v="26250"/>
    <n v="21950"/>
    <n v="22310"/>
    <n v="24980"/>
    <n v="23080"/>
    <n v="230640"/>
    <n v="230640"/>
    <n v="1509.36"/>
    <n v="0.85550000000000004"/>
    <n v="0.85629999999999995"/>
    <n v="0.83589999999999998"/>
    <n v="0.82010000000000005"/>
    <n v="0.84040000000000004"/>
    <n v="0.85660000000000003"/>
    <n v="0.89490000000000003"/>
    <n v="0.84060000000000001"/>
    <n v="0.8821"/>
    <n v="0.86939999999999995"/>
    <n v="1.1222811542017399"/>
    <n v="2.8742657342657298"/>
    <n v="3.54"/>
    <n v="3.85"/>
    <n v="3.67"/>
    <n v="3.83"/>
    <m/>
    <n v="3.7225000000000001"/>
    <n v="0.85519999999999996"/>
    <n v="0.77213317240180901"/>
    <n v="0.99750000000000005"/>
    <n v="71500"/>
    <n v="56992"/>
    <n v="24000"/>
    <n v="30030"/>
    <s v="-_x0009_Power limitation on Busbar 1 (STS1-STS5) due to considerations of the feeder line capacity._x000a_- The power cable of the pyranometer at Weather Station 5 is suspected to be faulty"/>
  </r>
  <r>
    <x v="294"/>
    <n v="280814.82"/>
    <n v="4.7433333333333296"/>
    <n v="3.88811033333333"/>
    <n v="0.81969999999999998"/>
    <n v="0.99"/>
    <n v="76073"/>
    <n v="76173"/>
    <n v="54637"/>
    <n v="57712"/>
    <n v="57922"/>
    <n v="322517"/>
    <n v="333266.17"/>
    <n v="10749.17"/>
    <n v="10749.17"/>
    <n v="333266.17"/>
    <n v="333266.17"/>
    <n v="332433.00457500003"/>
    <n v="26400"/>
    <n v="26290"/>
    <n v="23170"/>
    <n v="28760"/>
    <n v="30590"/>
    <n v="33320"/>
    <n v="28370"/>
    <n v="27830"/>
    <n v="30010"/>
    <n v="28960"/>
    <n v="283700"/>
    <n v="294449.17"/>
    <n v="1658.15"/>
    <n v="0.83760000000000001"/>
    <n v="0.83389999999999997"/>
    <n v="0.82689999999999997"/>
    <n v="0.80810000000000004"/>
    <n v="0.80769999999999997"/>
    <n v="0.89190000000000003"/>
    <n v="0.88039999999999996"/>
    <n v="0.85980000000000001"/>
    <n v="0.80669999999999997"/>
    <n v="0.89490000000000003"/>
    <n v="0.87964355367313996"/>
    <n v="4.6610653146853096"/>
    <n v="4.6500000000000004"/>
    <n v="4.97"/>
    <n v="4.7699999999999996"/>
    <n v="4.67"/>
    <m/>
    <n v="4.7649999999999997"/>
    <n v="0.8448"/>
    <n v="0.978187893952846"/>
    <n v="0.99750000000000005"/>
    <n v="71500"/>
    <n v="56992"/>
    <n v="24000"/>
    <n v="30030"/>
    <s v="-_x0009_Power limitation on Busbar 1 (STS1-STS5) due to considerations of the feeder line capacity._x000a_- The power cable of the pyranometer at Weather Station 5 is suspected to be faulty"/>
  </r>
  <r>
    <x v="295"/>
    <n v="280814.82"/>
    <n v="4.7433333333333296"/>
    <n v="3.88811033333333"/>
    <n v="0.81969999999999998"/>
    <n v="0.99"/>
    <n v="25952"/>
    <n v="95492"/>
    <n v="62043"/>
    <n v="65598"/>
    <n v="64770"/>
    <n v="313855"/>
    <n v="372014.67"/>
    <n v="58159.67"/>
    <n v="58159.67"/>
    <n v="372014.67"/>
    <n v="372014.67"/>
    <n v="371084.633325"/>
    <n v="24900"/>
    <n v="25650"/>
    <n v="22290"/>
    <n v="28290"/>
    <n v="28230"/>
    <n v="41310"/>
    <n v="34330"/>
    <n v="34760"/>
    <n v="38620"/>
    <n v="36100"/>
    <n v="314480"/>
    <n v="372639.67"/>
    <n v="1604.13"/>
    <n v="0.59009999999999996"/>
    <n v="0.60799999999999998"/>
    <n v="0.59430000000000005"/>
    <n v="0.59399999999999997"/>
    <n v="0.59850000000000003"/>
    <n v="0.82630000000000003"/>
    <n v="0.82420000000000004"/>
    <n v="0.80259999999999998"/>
    <n v="0.80330000000000001"/>
    <n v="0.83360000000000001"/>
    <n v="1.0019913654394501"/>
    <n v="5.2030023776223802"/>
    <n v="6.01"/>
    <n v="6.19"/>
    <n v="6.31"/>
    <n v="6.25"/>
    <m/>
    <n v="6.19"/>
    <n v="0.70750000000000002"/>
    <n v="0.840549657128009"/>
    <n v="0.99750000000000005"/>
    <n v="71500"/>
    <n v="56992"/>
    <n v="17817"/>
    <n v="30030"/>
    <s v="-_x0009_Power limitation on Busbar 1 (STS1-STS5) due to considerations of the feeder line capacity._x000a_- Loss of feedback voltage at busbar 1. External Outage, Trip Overcurrent stage 2 at OG.1, GSK.3, and OG.2 due to disturbances at 20 kV network distribution._x000a_- The power cable of the pyranometer at Weather Station 5 is suspected to be faulty"/>
  </r>
  <r>
    <x v="296"/>
    <n v="280814.82"/>
    <n v="4.7433333333333296"/>
    <n v="3.88811033333333"/>
    <n v="0.81969999999999998"/>
    <n v="0.99"/>
    <n v="0"/>
    <n v="115755"/>
    <n v="77338"/>
    <n v="78085"/>
    <n v="53930"/>
    <n v="325108"/>
    <n v="394129.83"/>
    <n v="69021.83"/>
    <n v="69021.83"/>
    <n v="394129.83"/>
    <n v="394129.83"/>
    <n v="393144.50542499998"/>
    <n v="21180"/>
    <n v="21160"/>
    <n v="19570"/>
    <n v="24840"/>
    <n v="24900"/>
    <n v="45370"/>
    <n v="37320"/>
    <n v="37980"/>
    <n v="42300"/>
    <n v="38970"/>
    <n v="313590"/>
    <n v="382611.83"/>
    <n v="1228.82"/>
    <n v="0.46560000000000001"/>
    <n v="0.46500000000000002"/>
    <n v="0.4839"/>
    <n v="0.48370000000000002"/>
    <n v="0.48620000000000002"/>
    <n v="0.84130000000000005"/>
    <n v="0.81479999999999997"/>
    <n v="0.81320000000000003"/>
    <n v="0.8"/>
    <n v="0.83440000000000003"/>
    <n v="0.96457177307233299"/>
    <n v="5.5123053146853103"/>
    <n v="6.61"/>
    <n v="6.72"/>
    <n v="6.87"/>
    <n v="6.74"/>
    <m/>
    <n v="6.7350000000000003"/>
    <n v="0.64880000000000004"/>
    <n v="0.81845661687978"/>
    <n v="0.99750000000000005"/>
    <n v="71500"/>
    <n v="56992"/>
    <n v="12000"/>
    <n v="29804"/>
    <s v="-_x0009_Power limitation on Busbar 1 (STS1-STS5) due to considerations of the feeder line capacity._x000a_- Loss of feedback voltage at busbar 1. External Outage, Trip Overcurrent stage 2 at OG.1, GSK.3, and OG.2 due to disturbances at 20 kV network distribution. OG.1 has been outaged since September 22 at 12.36_x000a_- The power cable of the pyranometer at Weather Station 5 is suspected to be faulty"/>
  </r>
  <r>
    <x v="297"/>
    <n v="280814.82"/>
    <n v="4.7433333333333296"/>
    <n v="3.88811033333333"/>
    <n v="0.81969999999999998"/>
    <n v="0.99"/>
    <n v="9920"/>
    <n v="66852"/>
    <n v="51489"/>
    <n v="53953"/>
    <n v="11538"/>
    <n v="193752"/>
    <n v="241919"/>
    <n v="48167"/>
    <n v="48167"/>
    <n v="241919"/>
    <n v="241919"/>
    <n v="241314.20250000001"/>
    <n v="17350"/>
    <n v="17010"/>
    <n v="16110"/>
    <n v="20160"/>
    <n v="20580"/>
    <n v="31150"/>
    <n v="25740"/>
    <n v="26390"/>
    <n v="31450"/>
    <n v="26700"/>
    <n v="232640"/>
    <n v="280807"/>
    <n v="1491.7"/>
    <n v="0.49440000000000001"/>
    <n v="0.48470000000000002"/>
    <n v="0.51619999999999999"/>
    <n v="0.50880000000000003"/>
    <n v="0.50960000000000005"/>
    <n v="0.74880000000000002"/>
    <n v="0.6996"/>
    <n v="0.73219999999999996"/>
    <n v="0.74039999999999995"/>
    <n v="0.74080000000000001"/>
    <n v="1.2007101862174301"/>
    <n v="3.3834825174825198"/>
    <n v="5.31"/>
    <n v="5.3"/>
    <n v="5.19"/>
    <n v="5.2"/>
    <m/>
    <n v="5.25"/>
    <n v="0.61750000000000005"/>
    <n v="0.64447286047286001"/>
    <n v="0.99750000000000005"/>
    <n v="71500"/>
    <n v="56992"/>
    <n v="12000"/>
    <n v="24000"/>
    <s v="-_x0009_Power limitation on Busbar 1 (STS1-STS5) due to considerations of the feeder line capacity._x000a_- Loss of feedback voltage at busbar 1. External Outage, Trip Overcurrent stage 2 at OG.1, GSK.3, and OG.2 due to disturbances at 20 kV network distribution. OG.1 has been outaged since September 22 at 12.36_x000a_- OG.3 is currently in a closed Circuit Breaker (CB) position, not experiencing an outage, and still receiving feedback voltage from NST.5. However, a disturbance occurred at the Switching Substation (GH), causing OG.3 and NST.5 to become unsynchronized. As a result, the OG.3 to NST.5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_x000a_- The power cable of the pyranometer at Weather Station 5 is suspected to be faulty"/>
  </r>
  <r>
    <x v="298"/>
    <n v="280814.82"/>
    <n v="4.7433333333333296"/>
    <n v="3.88811033333333"/>
    <n v="0.81969999999999998"/>
    <n v="0.99"/>
    <n v="56712"/>
    <n v="56805"/>
    <n v="55059"/>
    <n v="61265"/>
    <n v="10818"/>
    <n v="240659"/>
    <n v="249496.5"/>
    <n v="8837.5"/>
    <n v="8837.5"/>
    <n v="249496.5"/>
    <n v="249496.5"/>
    <n v="248872.75875000001"/>
    <n v="18490"/>
    <n v="18290"/>
    <n v="16780"/>
    <n v="20930"/>
    <n v="21300"/>
    <n v="21760"/>
    <n v="18330"/>
    <n v="18590"/>
    <n v="21060"/>
    <n v="18730"/>
    <n v="194260"/>
    <n v="203097.5"/>
    <n v="1765.35"/>
    <n v="0.72460000000000002"/>
    <n v="0.71679999999999999"/>
    <n v="0.73980000000000001"/>
    <n v="0.72650000000000003"/>
    <n v="0.72230000000000005"/>
    <n v="0.71950000000000003"/>
    <n v="0.71109999999999995"/>
    <n v="0.7097"/>
    <n v="0.7077"/>
    <n v="0.71509999999999996"/>
    <n v="0.80720022937018798"/>
    <n v="3.4894615384615402"/>
    <n v="3.72"/>
    <n v="3.87"/>
    <n v="3.77"/>
    <n v="3.78"/>
    <m/>
    <n v="3.7850000000000001"/>
    <n v="0.71930000000000005"/>
    <n v="0.92191850421705102"/>
    <n v="0.99750000000000005"/>
    <n v="71500"/>
    <n v="56992"/>
    <n v="24000"/>
    <n v="24000"/>
    <s v="-_x0009_Power limitation on Busbar 1 (STS1-STS5) due to considerations of the feeder line capacity._x000a_- OG.5 is currently in a closed Circuit Breaker (CB) position, not experiencing an outage, and still receiving feedback voltage from NST.3. However, a disturbance occurred at the Switching Substation (GH), causing OG.5 and NST.3 to become unsynchronized. As a result, the OG.5 to NST.3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_x000a_- The power cable of the pyranometer at Weather Station 5 is suspected to be faulty"/>
  </r>
  <r>
    <x v="299"/>
    <n v="280814.82"/>
    <n v="4.7433333333333296"/>
    <n v="3.88811033333333"/>
    <n v="0.81969999999999998"/>
    <n v="0.99"/>
    <n v="39916"/>
    <n v="40117"/>
    <n v="29065"/>
    <n v="36490"/>
    <n v="17886"/>
    <n v="163474"/>
    <n v="237459.33"/>
    <n v="73985.33"/>
    <n v="73985.33"/>
    <n v="237459.33"/>
    <n v="237459.33"/>
    <n v="236865.681675"/>
    <n v="19650"/>
    <n v="20270"/>
    <n v="18610"/>
    <n v="23460"/>
    <n v="24810"/>
    <n v="14380"/>
    <n v="12150"/>
    <n v="12450"/>
    <n v="15350"/>
    <n v="12830"/>
    <n v="173960"/>
    <n v="247945.33"/>
    <n v="1685.84"/>
    <n v="0.74070000000000003"/>
    <n v="0.76390000000000002"/>
    <n v="0.7893"/>
    <n v="0.78320000000000001"/>
    <n v="0.7883"/>
    <n v="0.45739999999999997"/>
    <n v="0.41260000000000002"/>
    <n v="0.45710000000000001"/>
    <n v="0.45140000000000002"/>
    <n v="0.47110000000000002"/>
    <n v="1.06414475696441"/>
    <n v="3.3211095104895101"/>
    <n v="4.25"/>
    <n v="4.13"/>
    <n v="4.1399999999999997"/>
    <n v="3.93"/>
    <m/>
    <n v="4.1124999999999998"/>
    <n v="0.61150000000000004"/>
    <n v="0.80756462261143103"/>
    <n v="0.99750000000000005"/>
    <n v="71500"/>
    <n v="56992"/>
    <n v="23000"/>
    <n v="18067"/>
    <s v="-_x0009_Power limitation on Busbar 1 (STS1-STS5) due to considerations of the feeder line capacity._x000a_- OG.5 is currently in a closed Circuit Breaker (CB) position, not experiencing an outage, and still receiving feedback voltage from NST.3. However, a disturbance occurred at the Switching Substation (GH), causing OG.5 and NST.3 to become unsynchronized. As a result, the OG.5 to NST.3 line is unable to deliver the generated power from the solar power plant (PLTS). The request to lower the setpoint on busbar 2 was made due to maintaining the reliability of the 20 kV distribution network on busbar 2 in relation to a fault occurring in the MVTIC (Medium Voltage Twisted Insukated Cable) at 20 kV network distribution._x000a_- Request outage STS 6-10 and STS BESS 1-3 at busbar 2 due to BESS commissioning at GIS.4_x000a_- The power cable of the pyranometer at Weather Station 5 is suspected to be faulty"/>
  </r>
  <r>
    <x v="300"/>
    <n v="280814.82"/>
    <n v="4.7433333333333296"/>
    <n v="3.88811033333333"/>
    <n v="0.81969999999999998"/>
    <n v="0.99"/>
    <n v="47168"/>
    <n v="47244"/>
    <n v="32705"/>
    <n v="38205"/>
    <n v="36688"/>
    <n v="202010"/>
    <n v="199332.33"/>
    <n v="-2677.6700000000101"/>
    <n v="0"/>
    <n v="202010"/>
    <n v="202010"/>
    <n v="198833.999175"/>
    <n v="19750"/>
    <n v="20300"/>
    <n v="17790"/>
    <n v="22770"/>
    <n v="22900"/>
    <n v="23420"/>
    <n v="19440"/>
    <n v="20540"/>
    <n v="22530"/>
    <n v="20920"/>
    <n v="210360"/>
    <n v="210360"/>
    <n v="1741.5"/>
    <n v="0.81510000000000005"/>
    <n v="0.8377"/>
    <n v="0.82589999999999997"/>
    <n v="0.83220000000000005"/>
    <n v="0.84640000000000004"/>
    <n v="0.8155"/>
    <n v="0.81789999999999996"/>
    <n v="0.82540000000000002"/>
    <n v="0.82099999999999995"/>
    <n v="0.84079999999999999"/>
    <n v="1.04133458739666"/>
    <n v="2.82531468531469"/>
    <n v="3.43"/>
    <n v="3.55"/>
    <n v="3.56"/>
    <n v="3.59"/>
    <m/>
    <n v="3.5325000000000002"/>
    <n v="0.82779999999999998"/>
    <n v="0.79980599725822599"/>
    <n v="0.99750000000000005"/>
    <n v="71500"/>
    <n v="56992"/>
    <n v="24000"/>
    <n v="29821"/>
    <s v="-_x0009_Power limitation on Busbar 1 (STS1-STS5) due to considerations of the feeder line capacity._x000a_- The power cable of the pyranometer at Weather Station 5 is suspected to be faulty"/>
  </r>
  <r>
    <x v="301"/>
    <n v="280814.82"/>
    <n v="4.7433333333333296"/>
    <n v="3.88811033333333"/>
    <n v="0.81969999999999998"/>
    <n v="0.99"/>
    <n v="70072"/>
    <n v="70135"/>
    <n v="47634"/>
    <n v="49481"/>
    <n v="45643"/>
    <n v="282965"/>
    <n v="292745.17"/>
    <n v="9780.1699999999801"/>
    <n v="9780.1699999999801"/>
    <n v="292745.17"/>
    <n v="292745.17"/>
    <n v="292013.30707500002"/>
    <n v="26700"/>
    <n v="26570"/>
    <n v="23920"/>
    <n v="30240"/>
    <n v="30930"/>
    <n v="32180"/>
    <n v="27270"/>
    <n v="27170"/>
    <n v="29880"/>
    <n v="27730"/>
    <n v="282590"/>
    <n v="292370.17"/>
    <n v="1628.44"/>
    <n v="0.84519999999999995"/>
    <n v="0.84119999999999995"/>
    <n v="0.85199999999999998"/>
    <n v="0.84799999999999998"/>
    <n v="0.85619999999999996"/>
    <n v="0.85960000000000003"/>
    <n v="0.90680000000000005"/>
    <n v="0.8377"/>
    <n v="0.86060000000000003"/>
    <n v="0.85489999999999999"/>
    <n v="0.99867474776032406"/>
    <n v="4.0943380419580402"/>
    <n v="4.34"/>
    <n v="4.74"/>
    <n v="4.74"/>
    <n v="4.68"/>
    <m/>
    <n v="4.625"/>
    <n v="0.85619999999999996"/>
    <n v="0.88526227934227897"/>
    <n v="0.99750000000000005"/>
    <n v="71500"/>
    <n v="56992"/>
    <n v="24000"/>
    <n v="30030"/>
    <s v="-_x0009_Power limitation on Busbar 1 (STS1-STS5) due to considerations of the feeder line capacity._x000a_- The power cable of the pyranometer at Weather Station 5 is suspected to be faulty"/>
  </r>
  <r>
    <x v="302"/>
    <n v="280814.82"/>
    <n v="4.7433333333333296"/>
    <n v="3.88811033333333"/>
    <n v="0.81969999999999998"/>
    <n v="0.99"/>
    <n v="56978"/>
    <n v="57151"/>
    <n v="39188"/>
    <n v="51249"/>
    <n v="49893"/>
    <n v="254459"/>
    <n v="291524"/>
    <n v="37065"/>
    <n v="37065"/>
    <n v="291524"/>
    <n v="291524"/>
    <n v="290795.19"/>
    <n v="29320"/>
    <n v="29550"/>
    <n v="25210"/>
    <n v="31940"/>
    <n v="31870"/>
    <n v="25730"/>
    <n v="21840"/>
    <n v="21920"/>
    <n v="24700"/>
    <n v="22540"/>
    <n v="264620"/>
    <n v="301685"/>
    <n v="1683.22"/>
    <n v="0.78539999999999999"/>
    <n v="0.79149999999999998"/>
    <n v="0.75970000000000004"/>
    <n v="0.7581"/>
    <n v="0.77310000000000001"/>
    <n v="0.58150000000000002"/>
    <n v="0.57920000000000005"/>
    <n v="0.57210000000000005"/>
    <n v="0.56759999999999999"/>
    <n v="0.58809999999999996"/>
    <n v="1.0399317768284899"/>
    <n v="4.0772587412587402"/>
    <n v="5.44"/>
    <n v="5.41"/>
    <n v="5.55"/>
    <n v="5.53"/>
    <m/>
    <n v="5.4824999999999999"/>
    <n v="0.67559999999999998"/>
    <n v="0.743686044917235"/>
    <n v="0.99750000000000005"/>
    <n v="71500"/>
    <n v="56992"/>
    <n v="24000"/>
    <n v="23857"/>
    <s v="-_x0009_Power limitation on Busbar 1 (STS1-STS5) due to considerations of the feeder line capacity._x000a_- Request outage STS 6-10 and STS BESS 1-3 due to BESS commissioning at GIS.4_x000a_- The power cable of the pyranometer at Weather Station 5 is suspected to be faulty"/>
  </r>
  <r>
    <x v="303"/>
    <n v="280814.82"/>
    <n v="4.7433333333333296"/>
    <n v="3.88811033333333"/>
    <n v="0.81969999999999998"/>
    <n v="0.99"/>
    <n v="66689"/>
    <n v="66820"/>
    <n v="47018"/>
    <n v="51513"/>
    <n v="52048"/>
    <n v="284088"/>
    <n v="270765.17"/>
    <n v="-13322.83"/>
    <n v="0"/>
    <n v="284088"/>
    <n v="284088"/>
    <n v="270765.17"/>
    <n v="22620"/>
    <n v="22230"/>
    <n v="19940"/>
    <n v="24970"/>
    <n v="25560"/>
    <n v="24140"/>
    <n v="22840"/>
    <n v="23030"/>
    <n v="27110"/>
    <n v="23580"/>
    <n v="236020"/>
    <n v="236020"/>
    <n v="1637.09"/>
    <n v="0.88190000000000002"/>
    <n v="0.86650000000000005"/>
    <n v="0.87439999999999996"/>
    <n v="0.86229999999999996"/>
    <n v="0.86899999999999999"/>
    <n v="0.79400000000000004"/>
    <n v="0.89329999999999998"/>
    <n v="0.87450000000000006"/>
    <n v="0.91839999999999999"/>
    <n v="0.89559999999999995"/>
    <n v="0.83079890738081197"/>
    <n v="3.9732587412587401"/>
    <n v="3.69"/>
    <n v="3.86"/>
    <n v="3.73"/>
    <n v="3.8"/>
    <m/>
    <n v="3.77"/>
    <n v="0.873"/>
    <n v="1.0539147854797699"/>
    <n v="1"/>
    <n v="71500"/>
    <n v="56992"/>
    <n v="24000"/>
    <n v="30030"/>
    <s v="-_x0009_Power limitation on Busbar 1 (STS1-STS5) due to considerations of the feeder line capacity._x000a_- The power cable of the pyranometer at Weather Station 5 is suspected to be faulty"/>
  </r>
  <r>
    <x v="304"/>
    <n v="267120.30967741902"/>
    <n v="4.4903225806451603"/>
    <n v="3.6807174193548402"/>
    <n v="0.81969999999999998"/>
    <n v="0.99"/>
    <n v="74153"/>
    <n v="74183"/>
    <n v="56437"/>
    <n v="60068"/>
    <n v="60364"/>
    <n v="325205"/>
    <m/>
    <n v="-325205"/>
    <n v="0"/>
    <n v="325205"/>
    <n v="325205"/>
    <n v="0"/>
    <n v="30140"/>
    <n v="29070"/>
    <n v="25640"/>
    <n v="31530"/>
    <n v="33160"/>
    <n v="38100"/>
    <n v="32390"/>
    <n v="32920"/>
    <n v="38980"/>
    <n v="33340"/>
    <n v="325270"/>
    <n v="325270"/>
    <m/>
    <n v="0.75939999999999996"/>
    <n v="0.73240000000000005"/>
    <n v="0.72660000000000002"/>
    <n v="0.70369999999999999"/>
    <n v="0.70750000000000002"/>
    <n v="0.80989999999999995"/>
    <n v="0.78690000000000004"/>
    <n v="0.80779999999999996"/>
    <n v="0.82030000000000003"/>
    <n v="0.81820000000000004"/>
    <n v="1.0001998739256801"/>
    <n v="4.5483216783216802"/>
    <n v="5.94"/>
    <n v="6.15"/>
    <n v="5.91"/>
    <n v="5.88"/>
    <m/>
    <n v="5.97"/>
    <n v="0.76729999999999998"/>
    <n v="0.76186292769207298"/>
    <n v="1"/>
    <n v="71500"/>
    <n v="56992"/>
    <n v="24000"/>
    <n v="30030"/>
    <s v="-_x0009_Power limitation on Busbar 1 (STS1-STS5) due to considerations of the feeder line capacity._x000a_- The power cable of the pyranometer at Weather Station 5 is suspected to be faulty"/>
  </r>
  <r>
    <x v="305"/>
    <n v="267120.30967741902"/>
    <n v="4.4903225806451603"/>
    <n v="3.6807174193548402"/>
    <n v="0.81969999999999998"/>
    <n v="0.99"/>
    <n v="75856"/>
    <n v="75993"/>
    <n v="55553"/>
    <n v="60066"/>
    <n v="60920"/>
    <n v="328388"/>
    <m/>
    <n v="-328388"/>
    <n v="0"/>
    <n v="328388"/>
    <n v="328388"/>
    <n v="0"/>
    <n v="32040"/>
    <n v="31180"/>
    <n v="27240"/>
    <n v="33940"/>
    <n v="31130"/>
    <n v="39360"/>
    <n v="32670"/>
    <n v="33110"/>
    <n v="38100"/>
    <n v="33590"/>
    <n v="332360"/>
    <n v="332360"/>
    <m/>
    <n v="0.75690000000000002"/>
    <n v="0.73670000000000002"/>
    <n v="0.72399999999999998"/>
    <n v="0.71030000000000004"/>
    <n v="0.67310000000000003"/>
    <n v="0.78469999999999995"/>
    <n v="0.85389999999999999"/>
    <n v="0.76190000000000002"/>
    <n v="0.86280000000000001"/>
    <n v="0.77300000000000002"/>
    <n v="1.0120954480675299"/>
    <n v="4.5928391608391603"/>
    <n v="5.52"/>
    <n v="6.07"/>
    <n v="6.28"/>
    <n v="6.27"/>
    <m/>
    <n v="6.0350000000000001"/>
    <n v="0.76380000000000003"/>
    <n v="0.76103382946796405"/>
    <n v="1"/>
    <n v="71500"/>
    <n v="56992"/>
    <n v="24000"/>
    <n v="30030"/>
    <s v="-_x0009_Power limitation on Busbar 1 (STS1-STS5) due to considerations of the feeder line capacity._x000a_- The power cable of the pyranometer at Weather Station 5 is suspected to be faulty"/>
  </r>
  <r>
    <x v="306"/>
    <n v="267120.30967741902"/>
    <n v="4.4903225806451603"/>
    <n v="3.6807174193548402"/>
    <n v="0.81969999999999998"/>
    <n v="0.99"/>
    <n v="44157"/>
    <n v="45119"/>
    <n v="32684"/>
    <n v="38143"/>
    <n v="40086"/>
    <n v="200189"/>
    <m/>
    <n v="-200189"/>
    <n v="0"/>
    <n v="200189"/>
    <n v="200189"/>
    <n v="0"/>
    <n v="26250"/>
    <n v="25230"/>
    <n v="22760"/>
    <n v="27750"/>
    <n v="29170"/>
    <n v="32120"/>
    <n v="27090"/>
    <n v="27520"/>
    <n v="33270"/>
    <n v="27630"/>
    <n v="278790"/>
    <n v="278790"/>
    <m/>
    <n v="0.82909999999999995"/>
    <n v="0.79710000000000003"/>
    <n v="0.80900000000000005"/>
    <n v="0.77649999999999997"/>
    <n v="0.7641"/>
    <n v="0.85599999999999998"/>
    <n v="0.84079999999999999"/>
    <n v="0.8468"/>
    <n v="0.89439999999999997"/>
    <n v="0.85009999999999997"/>
    <n v="1.39263396090694"/>
    <n v="2.7998461538461501"/>
    <n v="4.6500000000000004"/>
    <n v="5.01"/>
    <n v="4.87"/>
    <n v="4.6900000000000004"/>
    <m/>
    <n v="4.8049999999999997"/>
    <n v="0.82640000000000002"/>
    <n v="0.58269430881293505"/>
    <n v="1"/>
    <n v="71500"/>
    <n v="56992"/>
    <n v="24000"/>
    <n v="30030"/>
    <s v="-_x0009_Power limitation on Busbar 1 (STS1-STS5) due to considerations of the feeder line capacity._x000a_- The power cable of the pyranometer at Weather Station 5 is suspected to be faulty"/>
  </r>
  <r>
    <x v="307"/>
    <n v="267120.30967741902"/>
    <n v="4.4903225806451603"/>
    <n v="3.6807174193548402"/>
    <n v="0.81969999999999998"/>
    <n v="0.99"/>
    <n v="13147"/>
    <n v="13952"/>
    <n v="8846"/>
    <n v="16266"/>
    <n v="18486"/>
    <n v="70697"/>
    <m/>
    <n v="-70697"/>
    <n v="0"/>
    <n v="70697"/>
    <n v="70697"/>
    <n v="0"/>
    <n v="2830"/>
    <n v="2770"/>
    <n v="2500"/>
    <n v="3150"/>
    <n v="3240"/>
    <n v="2650"/>
    <n v="5530"/>
    <n v="7970"/>
    <n v="6490"/>
    <n v="7620"/>
    <n v="44750"/>
    <n v="44750"/>
    <m/>
    <n v="0.2591"/>
    <n v="0.2535"/>
    <n v="0.25719999999999998"/>
    <n v="0.25519999999999998"/>
    <n v="0.26090000000000002"/>
    <n v="0.20480000000000001"/>
    <n v="0.51490000000000002"/>
    <n v="0.70989999999999998"/>
    <n v="0.52300000000000002"/>
    <n v="0.67869999999999997"/>
    <n v="0.63298301200899598"/>
    <n v="0.98876923076923096"/>
    <n v="1.55"/>
    <n v="1.63"/>
    <n v="1.61"/>
    <n v="1.62"/>
    <m/>
    <n v="1.6025"/>
    <n v="0.39169999999999999"/>
    <n v="0.61701668066722704"/>
    <n v="1"/>
    <n v="71500"/>
    <n v="56992"/>
    <n v="8500"/>
    <n v="30030"/>
    <s v="-_x0009_Power limitation on Busbar 1 (STS1-STS5) due to considerations of the feeder line capacity._x000a_- External Outage, Trip Earth Fault stage 1 at OG.1 and GSK.3 due to disturbances at 20 kV network distribution._x000a_- Request outage OG.1 GSK.3 and OG.2 GSK.2 due to repair work on the 20 kV medium voltage overhead line (SUTM) at GSK.2 and GSK.3 network, which experienced a broken conductor._x000a_- Request outage OG.1 GSK.3 and OG.2 GSK.2 due to repair work on the 20 kV medium voltage overhead line (SUTM) at GSK.1 network, which experienced a broken conductor. The network is a single-pole triple-circuit configuration, requiring a power outage on OG.1 GSK.3 and OG.2 GSK.2 as well._x000a_- The power cable of the pyranometer at Weather Station 5 is suspected to be faulty"/>
  </r>
  <r>
    <x v="308"/>
    <n v="267120.30967741902"/>
    <n v="4.4903225806451603"/>
    <n v="3.6807174193548402"/>
    <n v="0.81969999999999998"/>
    <n v="0.99"/>
    <n v="50683"/>
    <n v="50728"/>
    <n v="35037"/>
    <n v="40352"/>
    <n v="40350"/>
    <n v="217150"/>
    <m/>
    <n v="-217150"/>
    <n v="0"/>
    <n v="217150"/>
    <n v="217150"/>
    <n v="0"/>
    <n v="20260"/>
    <n v="20280"/>
    <n v="18010"/>
    <n v="22860"/>
    <n v="22960"/>
    <n v="23960"/>
    <n v="20450"/>
    <n v="20020"/>
    <n v="22380"/>
    <n v="20600"/>
    <n v="211780"/>
    <n v="211780"/>
    <m/>
    <n v="0.90400000000000003"/>
    <n v="0.90480000000000005"/>
    <n v="0.9042"/>
    <n v="0.90339999999999998"/>
    <n v="0.92710000000000004"/>
    <n v="0.90229999999999999"/>
    <n v="0.91910000000000003"/>
    <n v="0.87"/>
    <n v="0.87160000000000004"/>
    <n v="0.89529999999999998"/>
    <n v="0.97527055031084497"/>
    <n v="3.0370629370629398"/>
    <n v="3.21"/>
    <n v="3.25"/>
    <n v="3.28"/>
    <n v="3.32"/>
    <m/>
    <n v="3.2650000000000001"/>
    <n v="0.9002"/>
    <n v="0.93018772957517204"/>
    <n v="1"/>
    <n v="71500"/>
    <n v="56992"/>
    <n v="24000"/>
    <n v="30030"/>
    <s v="-_x0009_Power limitation on Busbar 1 (STS1-STS5) due to considerations of the feeder line capacity._x000a_- The power cable of the pyranometer at Weather Station 5 is suspected to be faulty"/>
  </r>
  <r>
    <x v="309"/>
    <n v="267120.30967741902"/>
    <n v="4.4903225806451603"/>
    <n v="3.6807174193548402"/>
    <n v="0.81969999999999998"/>
    <n v="0.99"/>
    <n v="45129"/>
    <n v="45287"/>
    <n v="28060"/>
    <n v="33442"/>
    <n v="36614"/>
    <n v="188532"/>
    <m/>
    <n v="-188532"/>
    <n v="0"/>
    <n v="188532"/>
    <n v="188532"/>
    <n v="0"/>
    <n v="13330"/>
    <n v="13080"/>
    <n v="11740"/>
    <n v="14780"/>
    <n v="15090"/>
    <n v="15040"/>
    <n v="12800"/>
    <n v="12930"/>
    <n v="14990"/>
    <n v="13170"/>
    <n v="136950"/>
    <n v="136950"/>
    <m/>
    <n v="0.96"/>
    <n v="0.95"/>
    <n v="0.95"/>
    <n v="0.94"/>
    <n v="0.96"/>
    <n v="0.93910000000000005"/>
    <n v="0.9425"/>
    <n v="0.91"/>
    <n v="0.95569999999999999"/>
    <n v="0.92710000000000004"/>
    <n v="0.72640188403029704"/>
    <n v="2.63681118881119"/>
    <n v="1.96"/>
    <n v="2.06"/>
    <n v="2.0499999999999998"/>
    <n v="2.0499999999999998"/>
    <m/>
    <n v="2.0299999999999998"/>
    <n v="0.94440000000000002"/>
    <n v="1.29892176788729"/>
    <n v="1"/>
    <n v="71500"/>
    <n v="56992"/>
    <n v="24000"/>
    <n v="30030"/>
    <s v="-_x0009_Power limitation on Busbar 1 (STS1-STS5) due to considerations of the feeder line capacity._x000a_- The power cable of the pyranometer at Weather Station 5 is suspected to be faulty"/>
  </r>
  <r>
    <x v="310"/>
    <n v="267120.30967741902"/>
    <n v="4.4903225806451603"/>
    <n v="3.6807174193548402"/>
    <n v="0.81969999999999998"/>
    <n v="0.99"/>
    <n v="74219"/>
    <n v="74348"/>
    <n v="50585"/>
    <n v="54868"/>
    <n v="54886"/>
    <n v="308906"/>
    <m/>
    <n v="-308906"/>
    <n v="0"/>
    <n v="308906"/>
    <n v="308906"/>
    <n v="0"/>
    <n v="28070"/>
    <n v="27620"/>
    <n v="24600"/>
    <n v="31190"/>
    <n v="31440"/>
    <n v="33500"/>
    <n v="27430"/>
    <n v="28420"/>
    <n v="31630"/>
    <n v="28970"/>
    <n v="292870"/>
    <n v="292870"/>
    <m/>
    <n v="0.76300000000000001"/>
    <n v="0.75090000000000001"/>
    <n v="0.75229999999999997"/>
    <n v="0.751"/>
    <n v="0.74880000000000002"/>
    <n v="0.76829999999999998"/>
    <n v="0.71189999999999998"/>
    <n v="0.75260000000000005"/>
    <n v="0.71120000000000005"/>
    <n v="0.7671"/>
    <n v="0.94808776779991299"/>
    <n v="4.3203636363636404"/>
    <n v="5.56"/>
    <n v="5.51"/>
    <n v="5.81"/>
    <n v="5.45"/>
    <m/>
    <n v="5.5824999999999996"/>
    <n v="0.74770000000000003"/>
    <n v="0.773911981435492"/>
    <n v="0.9919"/>
    <n v="71500"/>
    <n v="56992"/>
    <n v="24000"/>
    <n v="28654"/>
    <s v="-_x0009_Power limitation on Busbar 1 (STS1-STS5) due to considerations of the feeder line capacity._x000a_- The power cable of the pyranometer at Weather Station 5 is suspected to be faulty"/>
  </r>
  <r>
    <x v="311"/>
    <n v="267120.30967741902"/>
    <n v="4.4903225806451603"/>
    <n v="3.6807174193548402"/>
    <n v="0.81969999999999998"/>
    <n v="0.99"/>
    <m/>
    <m/>
    <m/>
    <m/>
    <m/>
    <n v="0"/>
    <m/>
    <n v="0"/>
    <n v="0"/>
    <n v="0"/>
    <n v="0"/>
    <n v="0"/>
    <n v="26940"/>
    <n v="2660"/>
    <n v="23940"/>
    <n v="30260"/>
    <n v="30660"/>
    <n v="33080"/>
    <n v="27380"/>
    <n v="28080"/>
    <n v="33070"/>
    <n v="28390"/>
    <n v="264460"/>
    <n v="264460"/>
    <m/>
    <n v="0.80469999999999997"/>
    <n v="0.7944"/>
    <n v="0.8044"/>
    <n v="0.80069999999999997"/>
    <n v="0.8246"/>
    <n v="0.83360000000000001"/>
    <n v="0.81620000000000004"/>
    <n v="0.81689999999999996"/>
    <n v="0.85399999999999998"/>
    <n v="0.82589999999999997"/>
    <m/>
    <n v="0"/>
    <n v="4.84"/>
    <n v="4.88"/>
    <n v="4.6500000000000004"/>
    <n v="4.96"/>
    <m/>
    <n v="4.8324999999999996"/>
    <n v="0.8175"/>
    <n v="0"/>
    <n v="1"/>
    <n v="71500"/>
    <n v="56992"/>
    <n v="24000"/>
    <n v="30030"/>
    <s v="-_x0009_Power limitation on Busbar 1 (STS1-STS5) due to considerations of the feeder line capacity._x000a_- The power cable of the pyranometer at Weather Station 5 is suspected to be faulty"/>
  </r>
  <r>
    <x v="312"/>
    <n v="267120.30967741902"/>
    <n v="4.4903225806451603"/>
    <n v="3.6807174193548402"/>
    <n v="0.81969999999999998"/>
    <n v="0.99"/>
    <m/>
    <m/>
    <m/>
    <m/>
    <m/>
    <n v="0"/>
    <m/>
    <n v="0"/>
    <n v="0"/>
    <n v="0"/>
    <n v="0"/>
    <n v="0"/>
    <m/>
    <m/>
    <m/>
    <m/>
    <m/>
    <m/>
    <m/>
    <m/>
    <m/>
    <m/>
    <n v="0"/>
    <n v="0"/>
    <m/>
    <m/>
    <m/>
    <m/>
    <m/>
    <m/>
    <m/>
    <m/>
    <m/>
    <m/>
    <m/>
    <m/>
    <n v="0"/>
    <m/>
    <m/>
    <m/>
    <m/>
    <m/>
    <m/>
    <m/>
    <m/>
    <m/>
    <n v="71500"/>
    <n v="56992"/>
    <m/>
    <m/>
    <m/>
  </r>
  <r>
    <x v="313"/>
    <n v="267120.30967741902"/>
    <n v="4.4903225806451603"/>
    <n v="3.6807174193548402"/>
    <n v="0.81969999999999998"/>
    <n v="0.99"/>
    <m/>
    <m/>
    <m/>
    <m/>
    <m/>
    <n v="0"/>
    <m/>
    <n v="0"/>
    <n v="0"/>
    <n v="0"/>
    <n v="0"/>
    <n v="0"/>
    <m/>
    <m/>
    <m/>
    <m/>
    <m/>
    <m/>
    <m/>
    <m/>
    <m/>
    <m/>
    <n v="0"/>
    <n v="0"/>
    <m/>
    <m/>
    <m/>
    <m/>
    <m/>
    <m/>
    <m/>
    <m/>
    <m/>
    <m/>
    <m/>
    <m/>
    <n v="0"/>
    <m/>
    <m/>
    <m/>
    <m/>
    <m/>
    <m/>
    <m/>
    <m/>
    <m/>
    <n v="71500"/>
    <n v="56992"/>
    <m/>
    <m/>
    <m/>
  </r>
  <r>
    <x v="314"/>
    <n v="267120.30967741902"/>
    <n v="4.4903225806451603"/>
    <n v="3.6807174193548402"/>
    <n v="0.81969999999999998"/>
    <n v="0.99"/>
    <m/>
    <m/>
    <m/>
    <m/>
    <m/>
    <n v="0"/>
    <m/>
    <n v="0"/>
    <n v="0"/>
    <n v="0"/>
    <n v="0"/>
    <n v="0"/>
    <m/>
    <m/>
    <m/>
    <m/>
    <m/>
    <m/>
    <m/>
    <m/>
    <m/>
    <m/>
    <n v="0"/>
    <n v="0"/>
    <m/>
    <m/>
    <m/>
    <m/>
    <m/>
    <m/>
    <m/>
    <m/>
    <m/>
    <m/>
    <m/>
    <m/>
    <n v="0"/>
    <m/>
    <m/>
    <m/>
    <m/>
    <m/>
    <m/>
    <m/>
    <m/>
    <m/>
    <n v="71500"/>
    <n v="56992"/>
    <m/>
    <m/>
    <m/>
  </r>
  <r>
    <x v="315"/>
    <n v="267120.30967741902"/>
    <n v="4.4903225806451603"/>
    <n v="3.6807174193548402"/>
    <n v="0.81969999999999998"/>
    <n v="0.99"/>
    <m/>
    <m/>
    <m/>
    <m/>
    <m/>
    <n v="0"/>
    <m/>
    <n v="0"/>
    <n v="0"/>
    <n v="0"/>
    <n v="0"/>
    <n v="0"/>
    <m/>
    <m/>
    <m/>
    <m/>
    <m/>
    <m/>
    <m/>
    <m/>
    <m/>
    <m/>
    <n v="0"/>
    <n v="0"/>
    <m/>
    <m/>
    <m/>
    <m/>
    <m/>
    <m/>
    <m/>
    <m/>
    <m/>
    <m/>
    <m/>
    <m/>
    <n v="0"/>
    <m/>
    <m/>
    <m/>
    <m/>
    <m/>
    <m/>
    <m/>
    <m/>
    <m/>
    <n v="71500"/>
    <n v="56992"/>
    <m/>
    <m/>
    <m/>
  </r>
  <r>
    <x v="316"/>
    <n v="267120.30967741902"/>
    <n v="4.4903225806451603"/>
    <n v="3.6807174193548402"/>
    <n v="0.81969999999999998"/>
    <n v="0.99"/>
    <m/>
    <m/>
    <m/>
    <m/>
    <m/>
    <n v="0"/>
    <m/>
    <n v="0"/>
    <n v="0"/>
    <n v="0"/>
    <n v="0"/>
    <n v="0"/>
    <m/>
    <m/>
    <m/>
    <m/>
    <m/>
    <m/>
    <m/>
    <m/>
    <m/>
    <m/>
    <n v="0"/>
    <n v="0"/>
    <m/>
    <m/>
    <m/>
    <m/>
    <m/>
    <m/>
    <m/>
    <m/>
    <m/>
    <m/>
    <m/>
    <m/>
    <n v="0"/>
    <m/>
    <m/>
    <m/>
    <m/>
    <m/>
    <m/>
    <m/>
    <m/>
    <m/>
    <n v="71500"/>
    <n v="56992"/>
    <m/>
    <m/>
    <m/>
  </r>
  <r>
    <x v="317"/>
    <n v="267120.30967741902"/>
    <n v="4.4903225806451603"/>
    <n v="3.6807174193548402"/>
    <n v="0.81969999999999998"/>
    <n v="0.99"/>
    <m/>
    <m/>
    <m/>
    <m/>
    <m/>
    <n v="0"/>
    <m/>
    <n v="0"/>
    <n v="0"/>
    <n v="0"/>
    <n v="0"/>
    <n v="0"/>
    <m/>
    <m/>
    <m/>
    <m/>
    <m/>
    <m/>
    <m/>
    <m/>
    <m/>
    <m/>
    <n v="0"/>
    <n v="0"/>
    <m/>
    <m/>
    <m/>
    <m/>
    <m/>
    <m/>
    <m/>
    <m/>
    <m/>
    <m/>
    <m/>
    <m/>
    <n v="0"/>
    <m/>
    <m/>
    <m/>
    <m/>
    <m/>
    <m/>
    <m/>
    <m/>
    <m/>
    <n v="71500"/>
    <n v="56992"/>
    <m/>
    <m/>
    <m/>
  </r>
  <r>
    <x v="318"/>
    <n v="267120.30967741902"/>
    <n v="4.4903225806451603"/>
    <n v="3.6807174193548402"/>
    <n v="0.81969999999999998"/>
    <n v="0.99"/>
    <m/>
    <m/>
    <m/>
    <m/>
    <m/>
    <n v="0"/>
    <m/>
    <n v="0"/>
    <n v="0"/>
    <n v="0"/>
    <n v="0"/>
    <n v="0"/>
    <m/>
    <m/>
    <m/>
    <m/>
    <m/>
    <m/>
    <m/>
    <m/>
    <m/>
    <m/>
    <n v="0"/>
    <n v="0"/>
    <m/>
    <m/>
    <m/>
    <m/>
    <m/>
    <m/>
    <m/>
    <m/>
    <m/>
    <m/>
    <m/>
    <m/>
    <n v="0"/>
    <m/>
    <m/>
    <m/>
    <m/>
    <m/>
    <m/>
    <m/>
    <m/>
    <m/>
    <n v="71500"/>
    <n v="56992"/>
    <m/>
    <m/>
    <m/>
  </r>
  <r>
    <x v="319"/>
    <n v="267120.30967741902"/>
    <n v="4.4903225806451603"/>
    <n v="3.6807174193548402"/>
    <n v="0.81969999999999998"/>
    <n v="0.99"/>
    <m/>
    <m/>
    <m/>
    <m/>
    <m/>
    <n v="0"/>
    <m/>
    <n v="0"/>
    <n v="0"/>
    <n v="0"/>
    <n v="0"/>
    <n v="0"/>
    <m/>
    <m/>
    <m/>
    <m/>
    <m/>
    <m/>
    <m/>
    <m/>
    <m/>
    <m/>
    <n v="0"/>
    <n v="0"/>
    <m/>
    <m/>
    <m/>
    <m/>
    <m/>
    <m/>
    <m/>
    <m/>
    <m/>
    <m/>
    <m/>
    <m/>
    <n v="0"/>
    <m/>
    <m/>
    <m/>
    <m/>
    <m/>
    <m/>
    <m/>
    <m/>
    <m/>
    <n v="71500"/>
    <n v="56992"/>
    <m/>
    <m/>
    <m/>
  </r>
  <r>
    <x v="320"/>
    <n v="267120.30967741902"/>
    <n v="4.4903225806451603"/>
    <n v="3.6807174193548402"/>
    <n v="0.81969999999999998"/>
    <n v="0.99"/>
    <m/>
    <m/>
    <m/>
    <m/>
    <m/>
    <n v="0"/>
    <m/>
    <n v="0"/>
    <n v="0"/>
    <n v="0"/>
    <n v="0"/>
    <n v="0"/>
    <m/>
    <m/>
    <m/>
    <m/>
    <m/>
    <m/>
    <m/>
    <m/>
    <m/>
    <m/>
    <n v="0"/>
    <n v="0"/>
    <m/>
    <m/>
    <m/>
    <m/>
    <m/>
    <m/>
    <m/>
    <m/>
    <m/>
    <m/>
    <m/>
    <m/>
    <n v="0"/>
    <m/>
    <m/>
    <m/>
    <m/>
    <m/>
    <m/>
    <m/>
    <m/>
    <m/>
    <n v="71500"/>
    <n v="56992"/>
    <m/>
    <m/>
    <m/>
  </r>
  <r>
    <x v="321"/>
    <n v="267120.30967741902"/>
    <n v="4.4903225806451603"/>
    <n v="3.6807174193548402"/>
    <n v="0.81969999999999998"/>
    <n v="0.99"/>
    <m/>
    <m/>
    <m/>
    <m/>
    <m/>
    <n v="0"/>
    <m/>
    <n v="0"/>
    <n v="0"/>
    <n v="0"/>
    <n v="0"/>
    <n v="0"/>
    <m/>
    <m/>
    <m/>
    <m/>
    <m/>
    <m/>
    <m/>
    <m/>
    <m/>
    <m/>
    <n v="0"/>
    <n v="0"/>
    <m/>
    <m/>
    <m/>
    <m/>
    <m/>
    <m/>
    <m/>
    <m/>
    <m/>
    <m/>
    <m/>
    <m/>
    <n v="0"/>
    <m/>
    <m/>
    <m/>
    <m/>
    <m/>
    <m/>
    <m/>
    <m/>
    <m/>
    <n v="71500"/>
    <n v="56992"/>
    <m/>
    <m/>
    <m/>
  </r>
  <r>
    <x v="322"/>
    <n v="267120.30967741902"/>
    <n v="4.4903225806451603"/>
    <n v="3.6807174193548402"/>
    <n v="0.81969999999999998"/>
    <n v="0.99"/>
    <m/>
    <m/>
    <m/>
    <m/>
    <m/>
    <n v="0"/>
    <m/>
    <n v="0"/>
    <n v="0"/>
    <n v="0"/>
    <n v="0"/>
    <n v="0"/>
    <m/>
    <m/>
    <m/>
    <m/>
    <m/>
    <m/>
    <m/>
    <m/>
    <m/>
    <m/>
    <n v="0"/>
    <n v="0"/>
    <m/>
    <m/>
    <m/>
    <m/>
    <m/>
    <m/>
    <m/>
    <m/>
    <m/>
    <m/>
    <m/>
    <m/>
    <n v="0"/>
    <m/>
    <m/>
    <m/>
    <m/>
    <m/>
    <m/>
    <m/>
    <m/>
    <m/>
    <n v="71500"/>
    <n v="56992"/>
    <m/>
    <m/>
    <m/>
  </r>
  <r>
    <x v="323"/>
    <n v="267120.30967741902"/>
    <n v="4.4903225806451603"/>
    <n v="3.6807174193548402"/>
    <n v="0.81969999999999998"/>
    <n v="0.99"/>
    <m/>
    <m/>
    <m/>
    <m/>
    <m/>
    <n v="0"/>
    <m/>
    <n v="0"/>
    <n v="0"/>
    <n v="0"/>
    <n v="0"/>
    <n v="0"/>
    <m/>
    <m/>
    <m/>
    <m/>
    <m/>
    <m/>
    <m/>
    <m/>
    <m/>
    <m/>
    <n v="0"/>
    <n v="0"/>
    <m/>
    <m/>
    <m/>
    <m/>
    <m/>
    <m/>
    <m/>
    <m/>
    <m/>
    <m/>
    <m/>
    <m/>
    <n v="0"/>
    <m/>
    <m/>
    <m/>
    <m/>
    <m/>
    <m/>
    <m/>
    <m/>
    <m/>
    <n v="71500"/>
    <n v="56992"/>
    <m/>
    <m/>
    <m/>
  </r>
  <r>
    <x v="324"/>
    <n v="267120.30967741902"/>
    <n v="4.4903225806451603"/>
    <n v="3.6807174193548402"/>
    <n v="0.81969999999999998"/>
    <n v="0.99"/>
    <m/>
    <m/>
    <m/>
    <m/>
    <m/>
    <n v="0"/>
    <m/>
    <n v="0"/>
    <n v="0"/>
    <n v="0"/>
    <n v="0"/>
    <n v="0"/>
    <m/>
    <m/>
    <m/>
    <m/>
    <m/>
    <m/>
    <m/>
    <m/>
    <m/>
    <m/>
    <n v="0"/>
    <n v="0"/>
    <m/>
    <m/>
    <m/>
    <m/>
    <m/>
    <m/>
    <m/>
    <m/>
    <m/>
    <m/>
    <m/>
    <m/>
    <n v="0"/>
    <m/>
    <m/>
    <m/>
    <m/>
    <m/>
    <m/>
    <m/>
    <m/>
    <m/>
    <n v="71500"/>
    <n v="56992"/>
    <m/>
    <m/>
    <m/>
  </r>
  <r>
    <x v="325"/>
    <n v="267120.30967741902"/>
    <n v="4.4903225806451603"/>
    <n v="3.6807174193548402"/>
    <n v="0.81969999999999998"/>
    <n v="0.99"/>
    <m/>
    <m/>
    <m/>
    <m/>
    <m/>
    <n v="0"/>
    <m/>
    <n v="0"/>
    <n v="0"/>
    <n v="0"/>
    <n v="0"/>
    <n v="0"/>
    <m/>
    <m/>
    <m/>
    <m/>
    <m/>
    <m/>
    <m/>
    <m/>
    <m/>
    <m/>
    <n v="0"/>
    <n v="0"/>
    <m/>
    <m/>
    <m/>
    <m/>
    <m/>
    <m/>
    <m/>
    <m/>
    <m/>
    <m/>
    <m/>
    <m/>
    <n v="0"/>
    <m/>
    <m/>
    <m/>
    <m/>
    <m/>
    <m/>
    <m/>
    <m/>
    <m/>
    <n v="71500"/>
    <n v="56992"/>
    <m/>
    <m/>
    <m/>
  </r>
  <r>
    <x v="326"/>
    <n v="267120.30967741902"/>
    <n v="4.4903225806451603"/>
    <n v="3.6807174193548402"/>
    <n v="0.81969999999999998"/>
    <n v="0.99"/>
    <m/>
    <m/>
    <m/>
    <m/>
    <m/>
    <n v="0"/>
    <m/>
    <n v="0"/>
    <n v="0"/>
    <n v="0"/>
    <n v="0"/>
    <n v="0"/>
    <m/>
    <m/>
    <m/>
    <m/>
    <m/>
    <m/>
    <m/>
    <m/>
    <m/>
    <m/>
    <n v="0"/>
    <n v="0"/>
    <m/>
    <m/>
    <m/>
    <m/>
    <m/>
    <m/>
    <m/>
    <m/>
    <m/>
    <m/>
    <m/>
    <m/>
    <n v="0"/>
    <m/>
    <m/>
    <m/>
    <m/>
    <m/>
    <m/>
    <m/>
    <m/>
    <m/>
    <n v="71500"/>
    <n v="56992"/>
    <m/>
    <m/>
    <m/>
  </r>
  <r>
    <x v="327"/>
    <n v="267120.30967741902"/>
    <n v="4.4903225806451603"/>
    <n v="3.6807174193548402"/>
    <n v="0.81969999999999998"/>
    <n v="0.99"/>
    <m/>
    <m/>
    <m/>
    <m/>
    <m/>
    <n v="0"/>
    <m/>
    <n v="0"/>
    <n v="0"/>
    <n v="0"/>
    <n v="0"/>
    <n v="0"/>
    <m/>
    <m/>
    <m/>
    <m/>
    <m/>
    <m/>
    <m/>
    <m/>
    <m/>
    <m/>
    <n v="0"/>
    <n v="0"/>
    <m/>
    <m/>
    <m/>
    <m/>
    <m/>
    <m/>
    <m/>
    <m/>
    <m/>
    <m/>
    <m/>
    <m/>
    <n v="0"/>
    <m/>
    <m/>
    <m/>
    <m/>
    <m/>
    <m/>
    <m/>
    <m/>
    <m/>
    <n v="71500"/>
    <n v="56992"/>
    <m/>
    <m/>
    <m/>
  </r>
  <r>
    <x v="328"/>
    <n v="267120.30967741902"/>
    <n v="4.4903225806451603"/>
    <n v="3.6807174193548402"/>
    <n v="0.81969999999999998"/>
    <n v="0.99"/>
    <m/>
    <m/>
    <m/>
    <m/>
    <m/>
    <n v="0"/>
    <m/>
    <n v="0"/>
    <n v="0"/>
    <n v="0"/>
    <n v="0"/>
    <n v="0"/>
    <m/>
    <m/>
    <m/>
    <m/>
    <m/>
    <m/>
    <m/>
    <m/>
    <m/>
    <m/>
    <n v="0"/>
    <n v="0"/>
    <m/>
    <m/>
    <m/>
    <m/>
    <m/>
    <m/>
    <m/>
    <m/>
    <m/>
    <m/>
    <m/>
    <m/>
    <n v="0"/>
    <m/>
    <m/>
    <m/>
    <m/>
    <m/>
    <m/>
    <m/>
    <m/>
    <m/>
    <n v="71500"/>
    <n v="56992"/>
    <m/>
    <m/>
    <m/>
  </r>
  <r>
    <x v="329"/>
    <n v="267120.30967741902"/>
    <n v="4.4903225806451603"/>
    <n v="3.6807174193548402"/>
    <n v="0.81969999999999998"/>
    <n v="0.99"/>
    <m/>
    <m/>
    <m/>
    <m/>
    <m/>
    <n v="0"/>
    <m/>
    <n v="0"/>
    <n v="0"/>
    <n v="0"/>
    <n v="0"/>
    <n v="0"/>
    <m/>
    <m/>
    <m/>
    <m/>
    <m/>
    <m/>
    <m/>
    <m/>
    <m/>
    <m/>
    <n v="0"/>
    <n v="0"/>
    <m/>
    <m/>
    <m/>
    <m/>
    <m/>
    <m/>
    <m/>
    <m/>
    <m/>
    <m/>
    <m/>
    <m/>
    <n v="0"/>
    <m/>
    <m/>
    <m/>
    <m/>
    <m/>
    <m/>
    <m/>
    <m/>
    <m/>
    <n v="71500"/>
    <n v="56992"/>
    <m/>
    <m/>
    <m/>
  </r>
  <r>
    <x v="330"/>
    <n v="267120.30967741902"/>
    <n v="4.4903225806451603"/>
    <n v="3.6807174193548402"/>
    <n v="0.81969999999999998"/>
    <n v="0.99"/>
    <m/>
    <m/>
    <m/>
    <m/>
    <m/>
    <n v="0"/>
    <m/>
    <n v="0"/>
    <n v="0"/>
    <n v="0"/>
    <n v="0"/>
    <n v="0"/>
    <m/>
    <m/>
    <m/>
    <m/>
    <m/>
    <m/>
    <m/>
    <m/>
    <m/>
    <m/>
    <n v="0"/>
    <n v="0"/>
    <m/>
    <m/>
    <m/>
    <m/>
    <m/>
    <m/>
    <m/>
    <m/>
    <m/>
    <m/>
    <m/>
    <m/>
    <n v="0"/>
    <m/>
    <m/>
    <m/>
    <m/>
    <m/>
    <m/>
    <m/>
    <m/>
    <m/>
    <n v="71500"/>
    <n v="56992"/>
    <m/>
    <m/>
    <m/>
  </r>
  <r>
    <x v="331"/>
    <n v="267120.30967741902"/>
    <n v="4.4903225806451603"/>
    <n v="3.6807174193548402"/>
    <n v="0.81969999999999998"/>
    <n v="0.99"/>
    <m/>
    <m/>
    <m/>
    <m/>
    <m/>
    <n v="0"/>
    <m/>
    <n v="0"/>
    <n v="0"/>
    <n v="0"/>
    <n v="0"/>
    <n v="0"/>
    <m/>
    <m/>
    <m/>
    <m/>
    <m/>
    <m/>
    <m/>
    <m/>
    <m/>
    <m/>
    <n v="0"/>
    <n v="0"/>
    <m/>
    <m/>
    <m/>
    <m/>
    <m/>
    <m/>
    <m/>
    <m/>
    <m/>
    <m/>
    <m/>
    <m/>
    <n v="0"/>
    <m/>
    <m/>
    <m/>
    <m/>
    <m/>
    <m/>
    <m/>
    <m/>
    <m/>
    <n v="71500"/>
    <n v="56992"/>
    <m/>
    <m/>
    <m/>
  </r>
  <r>
    <x v="332"/>
    <n v="267120.30967741902"/>
    <n v="4.4903225806451603"/>
    <n v="3.6807174193548402"/>
    <n v="0.81969999999999998"/>
    <n v="0.99"/>
    <m/>
    <m/>
    <m/>
    <m/>
    <m/>
    <n v="0"/>
    <m/>
    <n v="0"/>
    <n v="0"/>
    <n v="0"/>
    <n v="0"/>
    <n v="0"/>
    <m/>
    <m/>
    <m/>
    <m/>
    <m/>
    <m/>
    <m/>
    <m/>
    <m/>
    <m/>
    <n v="0"/>
    <n v="0"/>
    <m/>
    <m/>
    <m/>
    <m/>
    <m/>
    <m/>
    <m/>
    <m/>
    <m/>
    <m/>
    <m/>
    <m/>
    <n v="0"/>
    <m/>
    <m/>
    <m/>
    <m/>
    <m/>
    <m/>
    <m/>
    <m/>
    <m/>
    <n v="71500"/>
    <n v="56992"/>
    <m/>
    <m/>
    <m/>
  </r>
  <r>
    <x v="333"/>
    <n v="267120.30967741902"/>
    <n v="4.4903225806451603"/>
    <n v="3.6807174193548402"/>
    <n v="0.81969999999999998"/>
    <n v="0.99"/>
    <m/>
    <m/>
    <m/>
    <m/>
    <m/>
    <n v="0"/>
    <m/>
    <n v="0"/>
    <n v="0"/>
    <n v="0"/>
    <n v="0"/>
    <n v="0"/>
    <m/>
    <m/>
    <m/>
    <m/>
    <m/>
    <m/>
    <m/>
    <m/>
    <m/>
    <m/>
    <n v="0"/>
    <n v="0"/>
    <m/>
    <m/>
    <m/>
    <m/>
    <m/>
    <m/>
    <m/>
    <m/>
    <m/>
    <m/>
    <m/>
    <m/>
    <n v="0"/>
    <m/>
    <m/>
    <m/>
    <m/>
    <m/>
    <m/>
    <m/>
    <m/>
    <m/>
    <n v="71500"/>
    <n v="56992"/>
    <m/>
    <m/>
    <m/>
  </r>
  <r>
    <x v="334"/>
    <n v="267120.30967741902"/>
    <n v="4.4903225806451603"/>
    <n v="3.6807174193548402"/>
    <n v="0.81969999999999998"/>
    <n v="0.99"/>
    <m/>
    <m/>
    <m/>
    <m/>
    <m/>
    <n v="0"/>
    <m/>
    <n v="0"/>
    <n v="0"/>
    <n v="0"/>
    <n v="0"/>
    <n v="0"/>
    <m/>
    <m/>
    <m/>
    <m/>
    <m/>
    <m/>
    <m/>
    <m/>
    <m/>
    <m/>
    <n v="0"/>
    <n v="0"/>
    <m/>
    <m/>
    <m/>
    <m/>
    <m/>
    <m/>
    <m/>
    <m/>
    <m/>
    <m/>
    <m/>
    <m/>
    <n v="0"/>
    <m/>
    <m/>
    <m/>
    <m/>
    <m/>
    <m/>
    <m/>
    <m/>
    <m/>
    <n v="71500"/>
    <n v="56992"/>
    <m/>
    <m/>
    <m/>
  </r>
  <r>
    <x v="335"/>
    <n v="247960.808333333"/>
    <n v="4.18333333333333"/>
    <n v="3.4290783333333299"/>
    <n v="0.81969999999999998"/>
    <n v="0.99"/>
    <m/>
    <m/>
    <m/>
    <m/>
    <m/>
    <n v="0"/>
    <m/>
    <n v="0"/>
    <n v="0"/>
    <n v="0"/>
    <n v="0"/>
    <n v="0"/>
    <m/>
    <m/>
    <m/>
    <m/>
    <m/>
    <m/>
    <m/>
    <m/>
    <m/>
    <m/>
    <n v="0"/>
    <n v="0"/>
    <m/>
    <m/>
    <m/>
    <m/>
    <m/>
    <m/>
    <m/>
    <m/>
    <m/>
    <m/>
    <m/>
    <m/>
    <n v="0"/>
    <m/>
    <m/>
    <m/>
    <m/>
    <m/>
    <m/>
    <m/>
    <m/>
    <m/>
    <n v="71500"/>
    <n v="56992"/>
    <m/>
    <m/>
    <m/>
  </r>
  <r>
    <x v="336"/>
    <n v="247960.808333333"/>
    <n v="4.18333333333333"/>
    <n v="3.4290783333333299"/>
    <n v="0.81969999999999998"/>
    <n v="0.99"/>
    <m/>
    <m/>
    <m/>
    <m/>
    <m/>
    <n v="0"/>
    <m/>
    <n v="0"/>
    <n v="0"/>
    <n v="0"/>
    <n v="0"/>
    <n v="0"/>
    <m/>
    <m/>
    <m/>
    <m/>
    <m/>
    <m/>
    <m/>
    <m/>
    <m/>
    <m/>
    <n v="0"/>
    <n v="0"/>
    <m/>
    <m/>
    <m/>
    <m/>
    <m/>
    <m/>
    <m/>
    <m/>
    <m/>
    <m/>
    <m/>
    <m/>
    <n v="0"/>
    <m/>
    <m/>
    <m/>
    <m/>
    <m/>
    <m/>
    <m/>
    <m/>
    <m/>
    <n v="71500"/>
    <n v="56992"/>
    <m/>
    <m/>
    <m/>
  </r>
  <r>
    <x v="337"/>
    <n v="247960.808333333"/>
    <n v="4.18333333333333"/>
    <n v="3.4290783333333299"/>
    <n v="0.81969999999999998"/>
    <n v="0.99"/>
    <m/>
    <m/>
    <m/>
    <m/>
    <m/>
    <n v="0"/>
    <m/>
    <n v="0"/>
    <n v="0"/>
    <n v="0"/>
    <n v="0"/>
    <n v="0"/>
    <m/>
    <m/>
    <m/>
    <m/>
    <m/>
    <m/>
    <m/>
    <m/>
    <m/>
    <m/>
    <n v="0"/>
    <n v="0"/>
    <m/>
    <m/>
    <m/>
    <m/>
    <m/>
    <m/>
    <m/>
    <m/>
    <m/>
    <m/>
    <m/>
    <m/>
    <n v="0"/>
    <m/>
    <m/>
    <m/>
    <m/>
    <m/>
    <m/>
    <m/>
    <m/>
    <m/>
    <n v="71500"/>
    <n v="56992"/>
    <m/>
    <m/>
    <m/>
  </r>
  <r>
    <x v="338"/>
    <n v="247960.808333333"/>
    <n v="4.18333333333333"/>
    <n v="3.4290783333333299"/>
    <n v="0.81969999999999998"/>
    <n v="0.99"/>
    <m/>
    <m/>
    <m/>
    <m/>
    <m/>
    <n v="0"/>
    <m/>
    <n v="0"/>
    <n v="0"/>
    <n v="0"/>
    <n v="0"/>
    <n v="0"/>
    <m/>
    <m/>
    <m/>
    <m/>
    <m/>
    <m/>
    <m/>
    <m/>
    <m/>
    <m/>
    <n v="0"/>
    <n v="0"/>
    <m/>
    <m/>
    <m/>
    <m/>
    <m/>
    <m/>
    <m/>
    <m/>
    <m/>
    <m/>
    <m/>
    <m/>
    <n v="0"/>
    <m/>
    <m/>
    <m/>
    <m/>
    <m/>
    <m/>
    <m/>
    <m/>
    <m/>
    <n v="71500"/>
    <n v="56992"/>
    <m/>
    <m/>
    <m/>
  </r>
  <r>
    <x v="339"/>
    <n v="247960.808333333"/>
    <n v="4.18333333333333"/>
    <n v="3.4290783333333299"/>
    <n v="0.81969999999999998"/>
    <n v="0.99"/>
    <m/>
    <m/>
    <m/>
    <m/>
    <m/>
    <n v="0"/>
    <m/>
    <n v="0"/>
    <n v="0"/>
    <n v="0"/>
    <n v="0"/>
    <n v="0"/>
    <m/>
    <m/>
    <m/>
    <m/>
    <m/>
    <m/>
    <m/>
    <m/>
    <m/>
    <m/>
    <n v="0"/>
    <n v="0"/>
    <m/>
    <m/>
    <m/>
    <m/>
    <m/>
    <m/>
    <m/>
    <m/>
    <m/>
    <m/>
    <m/>
    <m/>
    <n v="0"/>
    <m/>
    <m/>
    <m/>
    <m/>
    <m/>
    <m/>
    <m/>
    <m/>
    <m/>
    <n v="71500"/>
    <n v="56992"/>
    <m/>
    <m/>
    <m/>
  </r>
  <r>
    <x v="340"/>
    <n v="247960.808333333"/>
    <n v="4.18333333333333"/>
    <n v="3.4290783333333299"/>
    <n v="0.81969999999999998"/>
    <n v="0.99"/>
    <m/>
    <m/>
    <m/>
    <m/>
    <m/>
    <n v="0"/>
    <m/>
    <n v="0"/>
    <n v="0"/>
    <n v="0"/>
    <n v="0"/>
    <n v="0"/>
    <m/>
    <m/>
    <m/>
    <m/>
    <m/>
    <m/>
    <m/>
    <m/>
    <m/>
    <m/>
    <n v="0"/>
    <n v="0"/>
    <m/>
    <m/>
    <m/>
    <m/>
    <m/>
    <m/>
    <m/>
    <m/>
    <m/>
    <m/>
    <m/>
    <m/>
    <n v="0"/>
    <m/>
    <m/>
    <m/>
    <m/>
    <m/>
    <m/>
    <m/>
    <m/>
    <m/>
    <n v="71500"/>
    <n v="56992"/>
    <m/>
    <m/>
    <m/>
  </r>
  <r>
    <x v="341"/>
    <n v="247960.808333333"/>
    <n v="4.18333333333333"/>
    <n v="3.4290783333333299"/>
    <n v="0.81969999999999998"/>
    <n v="0.99"/>
    <m/>
    <m/>
    <m/>
    <m/>
    <m/>
    <n v="0"/>
    <m/>
    <n v="0"/>
    <n v="0"/>
    <n v="0"/>
    <n v="0"/>
    <n v="0"/>
    <m/>
    <m/>
    <m/>
    <m/>
    <m/>
    <m/>
    <m/>
    <m/>
    <m/>
    <m/>
    <n v="0"/>
    <n v="0"/>
    <m/>
    <m/>
    <m/>
    <m/>
    <m/>
    <m/>
    <m/>
    <m/>
    <m/>
    <m/>
    <m/>
    <m/>
    <n v="0"/>
    <m/>
    <m/>
    <m/>
    <m/>
    <m/>
    <m/>
    <m/>
    <m/>
    <m/>
    <n v="71500"/>
    <n v="56992"/>
    <m/>
    <m/>
    <m/>
  </r>
  <r>
    <x v="342"/>
    <n v="247960.808333333"/>
    <n v="4.18333333333333"/>
    <n v="3.4290783333333299"/>
    <n v="0.81969999999999998"/>
    <n v="0.99"/>
    <m/>
    <m/>
    <m/>
    <m/>
    <m/>
    <n v="0"/>
    <m/>
    <n v="0"/>
    <n v="0"/>
    <n v="0"/>
    <n v="0"/>
    <n v="0"/>
    <m/>
    <m/>
    <m/>
    <m/>
    <m/>
    <m/>
    <m/>
    <m/>
    <m/>
    <m/>
    <n v="0"/>
    <n v="0"/>
    <m/>
    <m/>
    <m/>
    <m/>
    <m/>
    <m/>
    <m/>
    <m/>
    <m/>
    <m/>
    <m/>
    <m/>
    <n v="0"/>
    <m/>
    <m/>
    <m/>
    <m/>
    <m/>
    <m/>
    <m/>
    <m/>
    <m/>
    <n v="71500"/>
    <n v="56992"/>
    <m/>
    <m/>
    <m/>
  </r>
  <r>
    <x v="343"/>
    <n v="247960.808333333"/>
    <n v="4.18333333333333"/>
    <n v="3.4290783333333299"/>
    <n v="0.81969999999999998"/>
    <n v="0.99"/>
    <m/>
    <m/>
    <m/>
    <m/>
    <m/>
    <n v="0"/>
    <m/>
    <n v="0"/>
    <n v="0"/>
    <n v="0"/>
    <n v="0"/>
    <n v="0"/>
    <m/>
    <m/>
    <m/>
    <m/>
    <m/>
    <m/>
    <m/>
    <m/>
    <m/>
    <m/>
    <n v="0"/>
    <n v="0"/>
    <m/>
    <m/>
    <m/>
    <m/>
    <m/>
    <m/>
    <m/>
    <m/>
    <m/>
    <m/>
    <m/>
    <m/>
    <n v="0"/>
    <m/>
    <m/>
    <m/>
    <m/>
    <m/>
    <m/>
    <m/>
    <m/>
    <m/>
    <n v="71500"/>
    <n v="56992"/>
    <m/>
    <m/>
    <m/>
  </r>
  <r>
    <x v="344"/>
    <n v="247960.808333333"/>
    <n v="4.18333333333333"/>
    <n v="3.4290783333333299"/>
    <n v="0.81969999999999998"/>
    <n v="0.99"/>
    <m/>
    <m/>
    <m/>
    <m/>
    <m/>
    <n v="0"/>
    <m/>
    <n v="0"/>
    <n v="0"/>
    <n v="0"/>
    <n v="0"/>
    <n v="0"/>
    <m/>
    <m/>
    <m/>
    <m/>
    <m/>
    <m/>
    <m/>
    <m/>
    <m/>
    <m/>
    <n v="0"/>
    <n v="0"/>
    <m/>
    <m/>
    <m/>
    <m/>
    <m/>
    <m/>
    <m/>
    <m/>
    <m/>
    <m/>
    <m/>
    <m/>
    <n v="0"/>
    <m/>
    <m/>
    <m/>
    <m/>
    <m/>
    <m/>
    <m/>
    <m/>
    <m/>
    <n v="71500"/>
    <n v="56992"/>
    <m/>
    <m/>
    <m/>
  </r>
  <r>
    <x v="345"/>
    <n v="247960.808333333"/>
    <n v="4.18333333333333"/>
    <n v="3.4290783333333299"/>
    <n v="0.81969999999999998"/>
    <n v="0.99"/>
    <m/>
    <m/>
    <m/>
    <m/>
    <m/>
    <n v="0"/>
    <m/>
    <n v="0"/>
    <n v="0"/>
    <n v="0"/>
    <n v="0"/>
    <n v="0"/>
    <m/>
    <m/>
    <m/>
    <m/>
    <m/>
    <m/>
    <m/>
    <m/>
    <m/>
    <m/>
    <n v="0"/>
    <n v="0"/>
    <m/>
    <m/>
    <m/>
    <m/>
    <m/>
    <m/>
    <m/>
    <m/>
    <m/>
    <m/>
    <m/>
    <m/>
    <n v="0"/>
    <m/>
    <m/>
    <m/>
    <m/>
    <m/>
    <m/>
    <m/>
    <m/>
    <m/>
    <n v="71500"/>
    <n v="56992"/>
    <m/>
    <m/>
    <m/>
  </r>
  <r>
    <x v="346"/>
    <n v="247960.808333333"/>
    <n v="4.18333333333333"/>
    <n v="3.4290783333333299"/>
    <n v="0.81969999999999998"/>
    <n v="0.99"/>
    <m/>
    <m/>
    <m/>
    <m/>
    <m/>
    <n v="0"/>
    <m/>
    <n v="0"/>
    <n v="0"/>
    <n v="0"/>
    <n v="0"/>
    <n v="0"/>
    <m/>
    <m/>
    <m/>
    <m/>
    <m/>
    <m/>
    <m/>
    <m/>
    <m/>
    <m/>
    <n v="0"/>
    <n v="0"/>
    <m/>
    <m/>
    <m/>
    <m/>
    <m/>
    <m/>
    <m/>
    <m/>
    <m/>
    <m/>
    <m/>
    <m/>
    <n v="0"/>
    <m/>
    <m/>
    <m/>
    <m/>
    <m/>
    <m/>
    <m/>
    <m/>
    <m/>
    <n v="71500"/>
    <n v="56992"/>
    <m/>
    <m/>
    <m/>
  </r>
  <r>
    <x v="347"/>
    <n v="247960.808333333"/>
    <n v="4.18333333333333"/>
    <n v="3.4290783333333299"/>
    <n v="0.81969999999999998"/>
    <n v="0.99"/>
    <m/>
    <m/>
    <m/>
    <m/>
    <m/>
    <n v="0"/>
    <m/>
    <n v="0"/>
    <n v="0"/>
    <n v="0"/>
    <n v="0"/>
    <n v="0"/>
    <m/>
    <m/>
    <m/>
    <m/>
    <m/>
    <m/>
    <m/>
    <m/>
    <m/>
    <m/>
    <n v="0"/>
    <n v="0"/>
    <m/>
    <m/>
    <m/>
    <m/>
    <m/>
    <m/>
    <m/>
    <m/>
    <m/>
    <m/>
    <m/>
    <m/>
    <n v="0"/>
    <m/>
    <m/>
    <m/>
    <m/>
    <m/>
    <m/>
    <m/>
    <m/>
    <m/>
    <n v="71500"/>
    <n v="56992"/>
    <m/>
    <m/>
    <m/>
  </r>
  <r>
    <x v="348"/>
    <n v="247960.808333333"/>
    <n v="4.18333333333333"/>
    <n v="3.4290783333333299"/>
    <n v="0.81969999999999998"/>
    <n v="0.99"/>
    <m/>
    <m/>
    <m/>
    <m/>
    <m/>
    <n v="0"/>
    <m/>
    <n v="0"/>
    <n v="0"/>
    <n v="0"/>
    <n v="0"/>
    <n v="0"/>
    <m/>
    <m/>
    <m/>
    <m/>
    <m/>
    <m/>
    <m/>
    <m/>
    <m/>
    <m/>
    <n v="0"/>
    <n v="0"/>
    <m/>
    <m/>
    <m/>
    <m/>
    <m/>
    <m/>
    <m/>
    <m/>
    <m/>
    <m/>
    <m/>
    <m/>
    <n v="0"/>
    <m/>
    <m/>
    <m/>
    <m/>
    <m/>
    <m/>
    <m/>
    <m/>
    <m/>
    <n v="71500"/>
    <n v="56992"/>
    <m/>
    <m/>
    <m/>
  </r>
  <r>
    <x v="349"/>
    <n v="247960.808333333"/>
    <n v="4.18333333333333"/>
    <n v="3.4290783333333299"/>
    <n v="0.81969999999999998"/>
    <n v="0.99"/>
    <m/>
    <m/>
    <m/>
    <m/>
    <m/>
    <n v="0"/>
    <m/>
    <n v="0"/>
    <n v="0"/>
    <n v="0"/>
    <n v="0"/>
    <n v="0"/>
    <m/>
    <m/>
    <m/>
    <m/>
    <m/>
    <m/>
    <m/>
    <m/>
    <m/>
    <m/>
    <n v="0"/>
    <n v="0"/>
    <m/>
    <m/>
    <m/>
    <m/>
    <m/>
    <m/>
    <m/>
    <m/>
    <m/>
    <m/>
    <m/>
    <m/>
    <n v="0"/>
    <m/>
    <m/>
    <m/>
    <m/>
    <m/>
    <m/>
    <m/>
    <m/>
    <m/>
    <n v="71500"/>
    <n v="56992"/>
    <m/>
    <m/>
    <m/>
  </r>
  <r>
    <x v="350"/>
    <n v="247960.808333333"/>
    <n v="4.18333333333333"/>
    <n v="3.4290783333333299"/>
    <n v="0.81969999999999998"/>
    <n v="0.99"/>
    <m/>
    <m/>
    <m/>
    <m/>
    <m/>
    <n v="0"/>
    <m/>
    <n v="0"/>
    <n v="0"/>
    <n v="0"/>
    <n v="0"/>
    <n v="0"/>
    <m/>
    <m/>
    <m/>
    <m/>
    <m/>
    <m/>
    <m/>
    <m/>
    <m/>
    <m/>
    <n v="0"/>
    <n v="0"/>
    <m/>
    <m/>
    <m/>
    <m/>
    <m/>
    <m/>
    <m/>
    <m/>
    <m/>
    <m/>
    <m/>
    <m/>
    <n v="0"/>
    <m/>
    <m/>
    <m/>
    <m/>
    <m/>
    <m/>
    <m/>
    <m/>
    <m/>
    <n v="71500"/>
    <n v="56992"/>
    <m/>
    <m/>
    <m/>
  </r>
  <r>
    <x v="351"/>
    <n v="247960.808333333"/>
    <n v="4.18333333333333"/>
    <n v="3.4290783333333299"/>
    <n v="0.81969999999999998"/>
    <n v="0.99"/>
    <m/>
    <m/>
    <m/>
    <m/>
    <m/>
    <n v="0"/>
    <m/>
    <n v="0"/>
    <n v="0"/>
    <n v="0"/>
    <n v="0"/>
    <n v="0"/>
    <m/>
    <m/>
    <m/>
    <m/>
    <m/>
    <m/>
    <m/>
    <m/>
    <m/>
    <m/>
    <n v="0"/>
    <n v="0"/>
    <m/>
    <m/>
    <m/>
    <m/>
    <m/>
    <m/>
    <m/>
    <m/>
    <m/>
    <m/>
    <m/>
    <m/>
    <n v="0"/>
    <m/>
    <m/>
    <m/>
    <m/>
    <m/>
    <m/>
    <m/>
    <m/>
    <m/>
    <n v="71500"/>
    <n v="56992"/>
    <m/>
    <m/>
    <m/>
  </r>
  <r>
    <x v="352"/>
    <n v="247960.808333333"/>
    <n v="4.18333333333333"/>
    <n v="3.4290783333333299"/>
    <n v="0.81969999999999998"/>
    <n v="0.99"/>
    <m/>
    <m/>
    <m/>
    <m/>
    <m/>
    <n v="0"/>
    <m/>
    <n v="0"/>
    <n v="0"/>
    <n v="0"/>
    <n v="0"/>
    <n v="0"/>
    <m/>
    <m/>
    <m/>
    <m/>
    <m/>
    <m/>
    <m/>
    <m/>
    <m/>
    <m/>
    <n v="0"/>
    <n v="0"/>
    <m/>
    <m/>
    <m/>
    <m/>
    <m/>
    <m/>
    <m/>
    <m/>
    <m/>
    <m/>
    <m/>
    <m/>
    <n v="0"/>
    <m/>
    <m/>
    <m/>
    <m/>
    <m/>
    <m/>
    <m/>
    <m/>
    <m/>
    <n v="71500"/>
    <n v="56992"/>
    <m/>
    <m/>
    <m/>
  </r>
  <r>
    <x v="353"/>
    <n v="247960.808333333"/>
    <n v="4.18333333333333"/>
    <n v="3.4290783333333299"/>
    <n v="0.81969999999999998"/>
    <n v="0.99"/>
    <m/>
    <m/>
    <m/>
    <m/>
    <m/>
    <n v="0"/>
    <m/>
    <n v="0"/>
    <n v="0"/>
    <n v="0"/>
    <n v="0"/>
    <n v="0"/>
    <m/>
    <m/>
    <m/>
    <m/>
    <m/>
    <m/>
    <m/>
    <m/>
    <m/>
    <m/>
    <n v="0"/>
    <n v="0"/>
    <m/>
    <m/>
    <m/>
    <m/>
    <m/>
    <m/>
    <m/>
    <m/>
    <m/>
    <m/>
    <m/>
    <m/>
    <n v="0"/>
    <m/>
    <m/>
    <m/>
    <m/>
    <m/>
    <m/>
    <m/>
    <m/>
    <m/>
    <n v="71500"/>
    <n v="56992"/>
    <m/>
    <m/>
    <m/>
  </r>
  <r>
    <x v="354"/>
    <n v="247960.808333333"/>
    <n v="4.18333333333333"/>
    <n v="3.4290783333333299"/>
    <n v="0.81969999999999998"/>
    <n v="0.99"/>
    <m/>
    <m/>
    <m/>
    <m/>
    <m/>
    <n v="0"/>
    <m/>
    <n v="0"/>
    <n v="0"/>
    <n v="0"/>
    <n v="0"/>
    <n v="0"/>
    <m/>
    <m/>
    <m/>
    <m/>
    <m/>
    <m/>
    <m/>
    <m/>
    <m/>
    <m/>
    <n v="0"/>
    <n v="0"/>
    <m/>
    <m/>
    <m/>
    <m/>
    <m/>
    <m/>
    <m/>
    <m/>
    <m/>
    <m/>
    <m/>
    <m/>
    <n v="0"/>
    <m/>
    <m/>
    <m/>
    <m/>
    <m/>
    <m/>
    <m/>
    <m/>
    <m/>
    <n v="71500"/>
    <n v="56992"/>
    <m/>
    <m/>
    <m/>
  </r>
  <r>
    <x v="355"/>
    <n v="247960.808333333"/>
    <n v="4.18333333333333"/>
    <n v="3.4290783333333299"/>
    <n v="0.81969999999999998"/>
    <n v="0.99"/>
    <m/>
    <m/>
    <m/>
    <m/>
    <m/>
    <n v="0"/>
    <m/>
    <n v="0"/>
    <n v="0"/>
    <n v="0"/>
    <n v="0"/>
    <n v="0"/>
    <m/>
    <m/>
    <m/>
    <m/>
    <m/>
    <m/>
    <m/>
    <m/>
    <m/>
    <m/>
    <n v="0"/>
    <n v="0"/>
    <m/>
    <m/>
    <m/>
    <m/>
    <m/>
    <m/>
    <m/>
    <m/>
    <m/>
    <m/>
    <m/>
    <m/>
    <n v="0"/>
    <m/>
    <m/>
    <m/>
    <m/>
    <m/>
    <m/>
    <m/>
    <m/>
    <m/>
    <n v="71500"/>
    <n v="56992"/>
    <m/>
    <m/>
    <m/>
  </r>
  <r>
    <x v="356"/>
    <n v="247960.808333333"/>
    <n v="4.18333333333333"/>
    <n v="3.4290783333333299"/>
    <n v="0.81969999999999998"/>
    <n v="0.99"/>
    <m/>
    <m/>
    <m/>
    <m/>
    <m/>
    <n v="0"/>
    <m/>
    <n v="0"/>
    <n v="0"/>
    <n v="0"/>
    <n v="0"/>
    <n v="0"/>
    <m/>
    <m/>
    <m/>
    <m/>
    <m/>
    <m/>
    <m/>
    <m/>
    <m/>
    <m/>
    <n v="0"/>
    <n v="0"/>
    <m/>
    <m/>
    <m/>
    <m/>
    <m/>
    <m/>
    <m/>
    <m/>
    <m/>
    <m/>
    <m/>
    <m/>
    <n v="0"/>
    <m/>
    <m/>
    <m/>
    <m/>
    <m/>
    <m/>
    <m/>
    <m/>
    <m/>
    <n v="71500"/>
    <n v="56992"/>
    <m/>
    <m/>
    <m/>
  </r>
  <r>
    <x v="357"/>
    <n v="247960.808333333"/>
    <n v="4.18333333333333"/>
    <n v="3.4290783333333299"/>
    <n v="0.81969999999999998"/>
    <n v="0.99"/>
    <m/>
    <m/>
    <m/>
    <m/>
    <m/>
    <n v="0"/>
    <m/>
    <n v="0"/>
    <n v="0"/>
    <n v="0"/>
    <n v="0"/>
    <n v="0"/>
    <m/>
    <m/>
    <m/>
    <m/>
    <m/>
    <m/>
    <m/>
    <m/>
    <m/>
    <m/>
    <n v="0"/>
    <n v="0"/>
    <m/>
    <m/>
    <m/>
    <m/>
    <m/>
    <m/>
    <m/>
    <m/>
    <m/>
    <m/>
    <m/>
    <m/>
    <n v="0"/>
    <m/>
    <m/>
    <m/>
    <m/>
    <m/>
    <m/>
    <m/>
    <m/>
    <m/>
    <n v="71500"/>
    <n v="56992"/>
    <m/>
    <m/>
    <m/>
  </r>
  <r>
    <x v="358"/>
    <n v="247960.808333333"/>
    <n v="4.18333333333333"/>
    <n v="3.4290783333333299"/>
    <n v="0.81969999999999998"/>
    <n v="0.99"/>
    <m/>
    <m/>
    <m/>
    <m/>
    <m/>
    <n v="0"/>
    <m/>
    <n v="0"/>
    <n v="0"/>
    <n v="0"/>
    <n v="0"/>
    <n v="0"/>
    <m/>
    <m/>
    <m/>
    <m/>
    <m/>
    <m/>
    <m/>
    <m/>
    <m/>
    <m/>
    <n v="0"/>
    <n v="0"/>
    <m/>
    <m/>
    <m/>
    <m/>
    <m/>
    <m/>
    <m/>
    <m/>
    <m/>
    <m/>
    <m/>
    <m/>
    <n v="0"/>
    <m/>
    <m/>
    <m/>
    <m/>
    <m/>
    <m/>
    <m/>
    <m/>
    <m/>
    <n v="71500"/>
    <n v="56992"/>
    <m/>
    <m/>
    <m/>
  </r>
  <r>
    <x v="359"/>
    <n v="247960.808333333"/>
    <n v="4.18333333333333"/>
    <n v="3.4290783333333299"/>
    <n v="0.81969999999999998"/>
    <n v="0.99"/>
    <m/>
    <m/>
    <m/>
    <m/>
    <m/>
    <n v="0"/>
    <m/>
    <n v="0"/>
    <n v="0"/>
    <n v="0"/>
    <n v="0"/>
    <n v="0"/>
    <m/>
    <m/>
    <m/>
    <m/>
    <m/>
    <m/>
    <m/>
    <m/>
    <m/>
    <m/>
    <n v="0"/>
    <n v="0"/>
    <m/>
    <m/>
    <m/>
    <m/>
    <m/>
    <m/>
    <m/>
    <m/>
    <m/>
    <m/>
    <m/>
    <m/>
    <n v="0"/>
    <m/>
    <m/>
    <m/>
    <m/>
    <m/>
    <m/>
    <m/>
    <m/>
    <m/>
    <n v="71500"/>
    <n v="56992"/>
    <m/>
    <m/>
    <m/>
  </r>
  <r>
    <x v="360"/>
    <n v="247960.808333333"/>
    <n v="4.18333333333333"/>
    <n v="3.4290783333333299"/>
    <n v="0.81969999999999998"/>
    <n v="0.99"/>
    <m/>
    <m/>
    <m/>
    <m/>
    <m/>
    <n v="0"/>
    <m/>
    <n v="0"/>
    <n v="0"/>
    <n v="0"/>
    <n v="0"/>
    <n v="0"/>
    <m/>
    <m/>
    <m/>
    <m/>
    <m/>
    <m/>
    <m/>
    <m/>
    <m/>
    <m/>
    <n v="0"/>
    <n v="0"/>
    <m/>
    <m/>
    <m/>
    <m/>
    <m/>
    <m/>
    <m/>
    <m/>
    <m/>
    <m/>
    <m/>
    <m/>
    <n v="0"/>
    <m/>
    <m/>
    <m/>
    <m/>
    <m/>
    <m/>
    <m/>
    <m/>
    <m/>
    <n v="71500"/>
    <n v="56992"/>
    <m/>
    <m/>
    <m/>
  </r>
  <r>
    <x v="361"/>
    <n v="247960.808333333"/>
    <n v="4.18333333333333"/>
    <n v="3.4290783333333299"/>
    <n v="0.81969999999999998"/>
    <n v="0.99"/>
    <m/>
    <m/>
    <m/>
    <m/>
    <m/>
    <n v="0"/>
    <m/>
    <n v="0"/>
    <n v="0"/>
    <n v="0"/>
    <n v="0"/>
    <n v="0"/>
    <m/>
    <m/>
    <m/>
    <m/>
    <m/>
    <m/>
    <m/>
    <m/>
    <m/>
    <m/>
    <n v="0"/>
    <n v="0"/>
    <m/>
    <m/>
    <m/>
    <m/>
    <m/>
    <m/>
    <m/>
    <m/>
    <m/>
    <m/>
    <m/>
    <m/>
    <n v="0"/>
    <m/>
    <m/>
    <m/>
    <m/>
    <m/>
    <m/>
    <m/>
    <m/>
    <m/>
    <n v="71500"/>
    <n v="56992"/>
    <m/>
    <m/>
    <m/>
  </r>
  <r>
    <x v="362"/>
    <n v="247960.808333333"/>
    <n v="4.18333333333333"/>
    <n v="3.4290783333333299"/>
    <n v="0.81969999999999998"/>
    <n v="0.99"/>
    <m/>
    <m/>
    <m/>
    <m/>
    <m/>
    <n v="0"/>
    <m/>
    <n v="0"/>
    <n v="0"/>
    <n v="0"/>
    <n v="0"/>
    <n v="0"/>
    <m/>
    <m/>
    <m/>
    <m/>
    <m/>
    <m/>
    <m/>
    <m/>
    <m/>
    <m/>
    <n v="0"/>
    <n v="0"/>
    <m/>
    <m/>
    <m/>
    <m/>
    <m/>
    <m/>
    <m/>
    <m/>
    <m/>
    <m/>
    <m/>
    <m/>
    <n v="0"/>
    <m/>
    <m/>
    <m/>
    <m/>
    <m/>
    <m/>
    <m/>
    <m/>
    <m/>
    <n v="71500"/>
    <n v="56992"/>
    <m/>
    <m/>
    <m/>
  </r>
  <r>
    <x v="363"/>
    <n v="247960.808333333"/>
    <n v="4.18333333333333"/>
    <n v="3.4290783333333299"/>
    <n v="0.81969999999999998"/>
    <n v="0.99"/>
    <m/>
    <m/>
    <m/>
    <m/>
    <m/>
    <n v="0"/>
    <m/>
    <n v="0"/>
    <n v="0"/>
    <n v="0"/>
    <n v="0"/>
    <n v="0"/>
    <m/>
    <m/>
    <m/>
    <m/>
    <m/>
    <m/>
    <m/>
    <m/>
    <m/>
    <m/>
    <n v="0"/>
    <n v="0"/>
    <m/>
    <m/>
    <m/>
    <m/>
    <m/>
    <m/>
    <m/>
    <m/>
    <m/>
    <m/>
    <m/>
    <m/>
    <n v="0"/>
    <m/>
    <m/>
    <m/>
    <m/>
    <m/>
    <m/>
    <m/>
    <m/>
    <m/>
    <n v="71500"/>
    <n v="56992"/>
    <m/>
    <m/>
    <m/>
  </r>
  <r>
    <x v="364"/>
    <n v="247960.808333333"/>
    <n v="4.18333333333333"/>
    <n v="3.4290783333333299"/>
    <n v="0.81969999999999998"/>
    <n v="0.99"/>
    <m/>
    <m/>
    <m/>
    <m/>
    <m/>
    <n v="0"/>
    <m/>
    <n v="0"/>
    <n v="0"/>
    <n v="0"/>
    <n v="0"/>
    <n v="0"/>
    <m/>
    <m/>
    <m/>
    <m/>
    <m/>
    <m/>
    <m/>
    <m/>
    <m/>
    <m/>
    <n v="0"/>
    <n v="0"/>
    <m/>
    <m/>
    <m/>
    <m/>
    <m/>
    <m/>
    <m/>
    <m/>
    <m/>
    <m/>
    <m/>
    <m/>
    <n v="0"/>
    <m/>
    <m/>
    <m/>
    <m/>
    <m/>
    <m/>
    <m/>
    <m/>
    <m/>
    <n v="71500"/>
    <n v="56992"/>
    <m/>
    <m/>
    <m/>
  </r>
  <r>
    <x v="365"/>
    <n v="235895.33709677399"/>
    <n v="4.1709677419354803"/>
    <n v="3.4189422580645199"/>
    <n v="0.81969999999999998"/>
    <n v="0.99"/>
    <m/>
    <m/>
    <m/>
    <m/>
    <m/>
    <n v="0"/>
    <m/>
    <n v="0"/>
    <n v="0"/>
    <n v="0"/>
    <n v="0"/>
    <n v="0"/>
    <m/>
    <m/>
    <m/>
    <m/>
    <m/>
    <m/>
    <m/>
    <m/>
    <m/>
    <m/>
    <n v="0"/>
    <n v="0"/>
    <m/>
    <m/>
    <m/>
    <m/>
    <m/>
    <m/>
    <m/>
    <m/>
    <m/>
    <m/>
    <m/>
    <m/>
    <n v="0"/>
    <m/>
    <m/>
    <m/>
    <m/>
    <m/>
    <m/>
    <m/>
    <m/>
    <m/>
    <n v="71500"/>
    <n v="56992"/>
    <m/>
    <m/>
    <m/>
  </r>
  <r>
    <x v="366"/>
    <n v="235895.33709677399"/>
    <n v="4.1709677419354803"/>
    <n v="3.4189422580645199"/>
    <n v="0.81969999999999998"/>
    <n v="0.99"/>
    <m/>
    <m/>
    <m/>
    <m/>
    <m/>
    <n v="0"/>
    <m/>
    <n v="0"/>
    <n v="0"/>
    <n v="0"/>
    <n v="0"/>
    <n v="0"/>
    <m/>
    <m/>
    <m/>
    <m/>
    <m/>
    <m/>
    <m/>
    <m/>
    <m/>
    <m/>
    <n v="0"/>
    <n v="0"/>
    <m/>
    <m/>
    <m/>
    <m/>
    <m/>
    <m/>
    <m/>
    <m/>
    <m/>
    <m/>
    <m/>
    <m/>
    <n v="0"/>
    <m/>
    <m/>
    <m/>
    <m/>
    <m/>
    <m/>
    <m/>
    <m/>
    <m/>
    <n v="71500"/>
    <n v="56992"/>
    <m/>
    <m/>
    <m/>
  </r>
  <r>
    <x v="367"/>
    <n v="235895.33709677399"/>
    <n v="4.1709677419354803"/>
    <n v="3.4189422580645199"/>
    <n v="0.81969999999999998"/>
    <n v="0.99"/>
    <m/>
    <m/>
    <m/>
    <m/>
    <m/>
    <n v="0"/>
    <m/>
    <n v="0"/>
    <n v="0"/>
    <n v="0"/>
    <n v="0"/>
    <n v="0"/>
    <m/>
    <m/>
    <m/>
    <m/>
    <m/>
    <m/>
    <m/>
    <m/>
    <m/>
    <m/>
    <n v="0"/>
    <n v="0"/>
    <m/>
    <m/>
    <m/>
    <m/>
    <m/>
    <m/>
    <m/>
    <m/>
    <m/>
    <m/>
    <m/>
    <m/>
    <n v="0"/>
    <m/>
    <m/>
    <m/>
    <m/>
    <m/>
    <m/>
    <m/>
    <m/>
    <m/>
    <n v="71500"/>
    <n v="56992"/>
    <m/>
    <m/>
    <m/>
  </r>
  <r>
    <x v="368"/>
    <n v="235895.33709677399"/>
    <n v="4.1709677419354803"/>
    <n v="3.4189422580645199"/>
    <n v="0.81969999999999998"/>
    <n v="0.99"/>
    <m/>
    <m/>
    <m/>
    <m/>
    <m/>
    <n v="0"/>
    <m/>
    <n v="0"/>
    <n v="0"/>
    <n v="0"/>
    <n v="0"/>
    <n v="0"/>
    <m/>
    <m/>
    <m/>
    <m/>
    <m/>
    <m/>
    <m/>
    <m/>
    <m/>
    <m/>
    <n v="0"/>
    <n v="0"/>
    <m/>
    <m/>
    <m/>
    <m/>
    <m/>
    <m/>
    <m/>
    <m/>
    <m/>
    <m/>
    <m/>
    <m/>
    <n v="0"/>
    <m/>
    <m/>
    <m/>
    <m/>
    <m/>
    <m/>
    <m/>
    <m/>
    <m/>
    <n v="71500"/>
    <n v="56992"/>
    <m/>
    <m/>
    <m/>
  </r>
  <r>
    <x v="369"/>
    <n v="235895.33709677399"/>
    <n v="4.1709677419354803"/>
    <n v="3.4189422580645199"/>
    <n v="0.81969999999999998"/>
    <n v="0.99"/>
    <m/>
    <m/>
    <m/>
    <m/>
    <m/>
    <n v="0"/>
    <m/>
    <n v="0"/>
    <n v="0"/>
    <n v="0"/>
    <n v="0"/>
    <n v="0"/>
    <m/>
    <m/>
    <m/>
    <m/>
    <m/>
    <m/>
    <m/>
    <m/>
    <m/>
    <m/>
    <n v="0"/>
    <n v="0"/>
    <m/>
    <m/>
    <m/>
    <m/>
    <m/>
    <m/>
    <m/>
    <m/>
    <m/>
    <m/>
    <m/>
    <m/>
    <n v="0"/>
    <m/>
    <m/>
    <m/>
    <m/>
    <m/>
    <m/>
    <m/>
    <m/>
    <m/>
    <n v="71500"/>
    <n v="56992"/>
    <m/>
    <m/>
    <m/>
  </r>
  <r>
    <x v="370"/>
    <n v="235895.33709677399"/>
    <n v="4.1709677419354803"/>
    <n v="3.4189422580645199"/>
    <n v="0.81969999999999998"/>
    <n v="0.99"/>
    <m/>
    <m/>
    <m/>
    <m/>
    <m/>
    <n v="0"/>
    <m/>
    <n v="0"/>
    <n v="0"/>
    <n v="0"/>
    <n v="0"/>
    <n v="0"/>
    <m/>
    <m/>
    <m/>
    <m/>
    <m/>
    <m/>
    <m/>
    <m/>
    <m/>
    <m/>
    <n v="0"/>
    <n v="0"/>
    <m/>
    <m/>
    <m/>
    <m/>
    <m/>
    <m/>
    <m/>
    <m/>
    <m/>
    <m/>
    <m/>
    <m/>
    <n v="0"/>
    <m/>
    <m/>
    <m/>
    <m/>
    <m/>
    <m/>
    <m/>
    <m/>
    <m/>
    <n v="71500"/>
    <n v="56992"/>
    <m/>
    <m/>
    <m/>
  </r>
  <r>
    <x v="371"/>
    <n v="235895.33709677399"/>
    <n v="4.1709677419354803"/>
    <n v="3.4189422580645199"/>
    <n v="0.81969999999999998"/>
    <n v="0.99"/>
    <m/>
    <m/>
    <m/>
    <m/>
    <m/>
    <n v="0"/>
    <m/>
    <n v="0"/>
    <n v="0"/>
    <n v="0"/>
    <n v="0"/>
    <n v="0"/>
    <m/>
    <m/>
    <m/>
    <m/>
    <m/>
    <m/>
    <m/>
    <m/>
    <m/>
    <m/>
    <n v="0"/>
    <n v="0"/>
    <m/>
    <m/>
    <m/>
    <m/>
    <m/>
    <m/>
    <m/>
    <m/>
    <m/>
    <m/>
    <m/>
    <m/>
    <n v="0"/>
    <m/>
    <m/>
    <m/>
    <m/>
    <m/>
    <m/>
    <m/>
    <m/>
    <m/>
    <n v="71500"/>
    <n v="56992"/>
    <m/>
    <m/>
    <m/>
  </r>
  <r>
    <x v="372"/>
    <n v="235895.33709677399"/>
    <n v="4.1709677419354803"/>
    <n v="3.4189422580645199"/>
    <n v="0.81969999999999998"/>
    <n v="0.99"/>
    <m/>
    <m/>
    <m/>
    <m/>
    <m/>
    <n v="0"/>
    <m/>
    <n v="0"/>
    <n v="0"/>
    <n v="0"/>
    <n v="0"/>
    <n v="0"/>
    <m/>
    <m/>
    <m/>
    <m/>
    <m/>
    <m/>
    <m/>
    <m/>
    <m/>
    <m/>
    <n v="0"/>
    <n v="0"/>
    <m/>
    <m/>
    <m/>
    <m/>
    <m/>
    <m/>
    <m/>
    <m/>
    <m/>
    <m/>
    <m/>
    <m/>
    <n v="0"/>
    <m/>
    <m/>
    <m/>
    <m/>
    <m/>
    <m/>
    <m/>
    <m/>
    <m/>
    <n v="71500"/>
    <n v="56992"/>
    <m/>
    <m/>
    <m/>
  </r>
  <r>
    <x v="373"/>
    <n v="235895.33709677399"/>
    <n v="4.1709677419354803"/>
    <n v="3.4189422580645199"/>
    <n v="0.81969999999999998"/>
    <n v="0.99"/>
    <m/>
    <m/>
    <m/>
    <m/>
    <m/>
    <n v="0"/>
    <m/>
    <n v="0"/>
    <n v="0"/>
    <n v="0"/>
    <n v="0"/>
    <n v="0"/>
    <m/>
    <m/>
    <m/>
    <m/>
    <m/>
    <m/>
    <m/>
    <m/>
    <m/>
    <m/>
    <n v="0"/>
    <n v="0"/>
    <m/>
    <m/>
    <m/>
    <m/>
    <m/>
    <m/>
    <m/>
    <m/>
    <m/>
    <m/>
    <m/>
    <m/>
    <n v="0"/>
    <m/>
    <m/>
    <m/>
    <m/>
    <m/>
    <m/>
    <m/>
    <m/>
    <m/>
    <n v="71500"/>
    <n v="56992"/>
    <m/>
    <m/>
    <m/>
  </r>
  <r>
    <x v="374"/>
    <n v="235895.33709677399"/>
    <n v="4.1709677419354803"/>
    <n v="3.4189422580645199"/>
    <n v="0.81969999999999998"/>
    <n v="0.99"/>
    <m/>
    <m/>
    <m/>
    <m/>
    <m/>
    <n v="0"/>
    <m/>
    <n v="0"/>
    <n v="0"/>
    <n v="0"/>
    <n v="0"/>
    <n v="0"/>
    <m/>
    <m/>
    <m/>
    <m/>
    <m/>
    <m/>
    <m/>
    <m/>
    <m/>
    <m/>
    <n v="0"/>
    <n v="0"/>
    <m/>
    <m/>
    <m/>
    <m/>
    <m/>
    <m/>
    <m/>
    <m/>
    <m/>
    <m/>
    <m/>
    <m/>
    <n v="0"/>
    <m/>
    <m/>
    <m/>
    <m/>
    <m/>
    <m/>
    <m/>
    <m/>
    <m/>
    <n v="71500"/>
    <n v="56992"/>
    <m/>
    <m/>
    <m/>
  </r>
  <r>
    <x v="375"/>
    <n v="235895.33709677399"/>
    <n v="4.1709677419354803"/>
    <n v="3.4189422580645199"/>
    <n v="0.81969999999999998"/>
    <n v="0.99"/>
    <m/>
    <m/>
    <m/>
    <m/>
    <m/>
    <n v="0"/>
    <m/>
    <n v="0"/>
    <n v="0"/>
    <n v="0"/>
    <n v="0"/>
    <n v="0"/>
    <m/>
    <m/>
    <m/>
    <m/>
    <m/>
    <m/>
    <m/>
    <m/>
    <m/>
    <m/>
    <n v="0"/>
    <n v="0"/>
    <m/>
    <m/>
    <m/>
    <m/>
    <m/>
    <m/>
    <m/>
    <m/>
    <m/>
    <m/>
    <m/>
    <m/>
    <n v="0"/>
    <m/>
    <m/>
    <m/>
    <m/>
    <m/>
    <m/>
    <m/>
    <m/>
    <m/>
    <n v="71500"/>
    <n v="56992"/>
    <m/>
    <m/>
    <m/>
  </r>
  <r>
    <x v="376"/>
    <n v="235895.33709677399"/>
    <n v="4.1709677419354803"/>
    <n v="3.4189422580645199"/>
    <n v="0.81969999999999998"/>
    <n v="0.99"/>
    <m/>
    <m/>
    <m/>
    <m/>
    <m/>
    <n v="0"/>
    <m/>
    <n v="0"/>
    <n v="0"/>
    <n v="0"/>
    <n v="0"/>
    <n v="0"/>
    <m/>
    <m/>
    <m/>
    <m/>
    <m/>
    <m/>
    <m/>
    <m/>
    <m/>
    <m/>
    <n v="0"/>
    <n v="0"/>
    <m/>
    <m/>
    <m/>
    <m/>
    <m/>
    <m/>
    <m/>
    <m/>
    <m/>
    <m/>
    <m/>
    <m/>
    <n v="0"/>
    <m/>
    <m/>
    <m/>
    <m/>
    <m/>
    <m/>
    <m/>
    <m/>
    <m/>
    <n v="71500"/>
    <n v="56992"/>
    <m/>
    <m/>
    <m/>
  </r>
  <r>
    <x v="377"/>
    <n v="235895.33709677399"/>
    <n v="4.1709677419354803"/>
    <n v="3.4189422580645199"/>
    <n v="0.81969999999999998"/>
    <n v="0.99"/>
    <m/>
    <m/>
    <m/>
    <m/>
    <m/>
    <n v="0"/>
    <m/>
    <n v="0"/>
    <n v="0"/>
    <n v="0"/>
    <n v="0"/>
    <n v="0"/>
    <m/>
    <m/>
    <m/>
    <m/>
    <m/>
    <m/>
    <m/>
    <m/>
    <m/>
    <m/>
    <n v="0"/>
    <n v="0"/>
    <m/>
    <m/>
    <m/>
    <m/>
    <m/>
    <m/>
    <m/>
    <m/>
    <m/>
    <m/>
    <m/>
    <m/>
    <n v="0"/>
    <m/>
    <m/>
    <m/>
    <m/>
    <m/>
    <m/>
    <m/>
    <m/>
    <m/>
    <n v="71500"/>
    <n v="56992"/>
    <m/>
    <m/>
    <m/>
  </r>
  <r>
    <x v="378"/>
    <n v="235895.33709677399"/>
    <n v="4.1709677419354803"/>
    <n v="3.4189422580645199"/>
    <n v="0.81969999999999998"/>
    <n v="0.99"/>
    <m/>
    <m/>
    <m/>
    <m/>
    <m/>
    <n v="0"/>
    <m/>
    <n v="0"/>
    <n v="0"/>
    <n v="0"/>
    <n v="0"/>
    <n v="0"/>
    <m/>
    <m/>
    <m/>
    <m/>
    <m/>
    <m/>
    <m/>
    <m/>
    <m/>
    <m/>
    <n v="0"/>
    <n v="0"/>
    <m/>
    <m/>
    <m/>
    <m/>
    <m/>
    <m/>
    <m/>
    <m/>
    <m/>
    <m/>
    <m/>
    <m/>
    <n v="0"/>
    <m/>
    <m/>
    <m/>
    <m/>
    <m/>
    <m/>
    <m/>
    <m/>
    <m/>
    <n v="71500"/>
    <n v="56992"/>
    <m/>
    <m/>
    <m/>
  </r>
  <r>
    <x v="379"/>
    <n v="235895.33709677399"/>
    <n v="4.1709677419354803"/>
    <n v="3.4189422580645199"/>
    <n v="0.81969999999999998"/>
    <n v="0.99"/>
    <m/>
    <m/>
    <m/>
    <m/>
    <m/>
    <n v="0"/>
    <m/>
    <n v="0"/>
    <n v="0"/>
    <n v="0"/>
    <n v="0"/>
    <n v="0"/>
    <m/>
    <m/>
    <m/>
    <m/>
    <m/>
    <m/>
    <m/>
    <m/>
    <m/>
    <m/>
    <n v="0"/>
    <n v="0"/>
    <m/>
    <m/>
    <m/>
    <m/>
    <m/>
    <m/>
    <m/>
    <m/>
    <m/>
    <m/>
    <m/>
    <m/>
    <n v="0"/>
    <m/>
    <m/>
    <m/>
    <m/>
    <m/>
    <m/>
    <m/>
    <m/>
    <m/>
    <n v="71500"/>
    <n v="56992"/>
    <m/>
    <m/>
    <m/>
  </r>
  <r>
    <x v="380"/>
    <n v="235895.33709677399"/>
    <n v="4.1709677419354803"/>
    <n v="3.4189422580645199"/>
    <n v="0.81969999999999998"/>
    <n v="0.99"/>
    <m/>
    <m/>
    <m/>
    <m/>
    <m/>
    <n v="0"/>
    <m/>
    <n v="0"/>
    <n v="0"/>
    <n v="0"/>
    <n v="0"/>
    <n v="0"/>
    <m/>
    <m/>
    <m/>
    <m/>
    <m/>
    <m/>
    <m/>
    <m/>
    <m/>
    <m/>
    <n v="0"/>
    <n v="0"/>
    <m/>
    <m/>
    <m/>
    <m/>
    <m/>
    <m/>
    <m/>
    <m/>
    <m/>
    <m/>
    <m/>
    <m/>
    <n v="0"/>
    <m/>
    <m/>
    <m/>
    <m/>
    <m/>
    <m/>
    <m/>
    <m/>
    <m/>
    <n v="71500"/>
    <n v="56992"/>
    <m/>
    <m/>
    <m/>
  </r>
  <r>
    <x v="381"/>
    <n v="235895.33709677399"/>
    <n v="4.1709677419354803"/>
    <n v="3.4189422580645199"/>
    <n v="0.81969999999999998"/>
    <n v="0.99"/>
    <m/>
    <m/>
    <m/>
    <m/>
    <m/>
    <n v="0"/>
    <m/>
    <n v="0"/>
    <n v="0"/>
    <n v="0"/>
    <n v="0"/>
    <n v="0"/>
    <m/>
    <m/>
    <m/>
    <m/>
    <m/>
    <m/>
    <m/>
    <m/>
    <m/>
    <m/>
    <n v="0"/>
    <n v="0"/>
    <m/>
    <m/>
    <m/>
    <m/>
    <m/>
    <m/>
    <m/>
    <m/>
    <m/>
    <m/>
    <m/>
    <m/>
    <n v="0"/>
    <m/>
    <m/>
    <m/>
    <m/>
    <m/>
    <m/>
    <m/>
    <m/>
    <m/>
    <n v="71500"/>
    <n v="56992"/>
    <m/>
    <m/>
    <m/>
  </r>
  <r>
    <x v="382"/>
    <n v="235895.33709677399"/>
    <n v="4.1709677419354803"/>
    <n v="3.4189422580645199"/>
    <n v="0.81969999999999998"/>
    <n v="0.99"/>
    <m/>
    <m/>
    <m/>
    <m/>
    <m/>
    <n v="0"/>
    <m/>
    <n v="0"/>
    <n v="0"/>
    <n v="0"/>
    <n v="0"/>
    <n v="0"/>
    <m/>
    <m/>
    <m/>
    <m/>
    <m/>
    <m/>
    <m/>
    <m/>
    <m/>
    <m/>
    <n v="0"/>
    <n v="0"/>
    <m/>
    <m/>
    <m/>
    <m/>
    <m/>
    <m/>
    <m/>
    <m/>
    <m/>
    <m/>
    <m/>
    <m/>
    <n v="0"/>
    <m/>
    <m/>
    <m/>
    <m/>
    <m/>
    <m/>
    <m/>
    <m/>
    <m/>
    <n v="71500"/>
    <n v="56992"/>
    <m/>
    <m/>
    <m/>
  </r>
  <r>
    <x v="383"/>
    <n v="235895.33709677399"/>
    <n v="4.1709677419354803"/>
    <n v="3.4189422580645199"/>
    <n v="0.81969999999999998"/>
    <n v="0.99"/>
    <m/>
    <m/>
    <m/>
    <m/>
    <m/>
    <n v="0"/>
    <m/>
    <n v="0"/>
    <n v="0"/>
    <n v="0"/>
    <n v="0"/>
    <n v="0"/>
    <m/>
    <m/>
    <m/>
    <m/>
    <m/>
    <m/>
    <m/>
    <m/>
    <m/>
    <m/>
    <n v="0"/>
    <n v="0"/>
    <m/>
    <m/>
    <m/>
    <m/>
    <m/>
    <m/>
    <m/>
    <m/>
    <m/>
    <m/>
    <m/>
    <m/>
    <n v="0"/>
    <m/>
    <m/>
    <m/>
    <m/>
    <m/>
    <m/>
    <m/>
    <m/>
    <m/>
    <n v="71500"/>
    <n v="56992"/>
    <m/>
    <m/>
    <m/>
  </r>
  <r>
    <x v="384"/>
    <n v="235895.33709677399"/>
    <n v="4.1709677419354803"/>
    <n v="3.4189422580645199"/>
    <n v="0.81969999999999998"/>
    <n v="0.99"/>
    <m/>
    <m/>
    <m/>
    <m/>
    <m/>
    <n v="0"/>
    <m/>
    <n v="0"/>
    <n v="0"/>
    <n v="0"/>
    <n v="0"/>
    <n v="0"/>
    <m/>
    <m/>
    <m/>
    <m/>
    <m/>
    <m/>
    <m/>
    <m/>
    <m/>
    <m/>
    <n v="0"/>
    <n v="0"/>
    <m/>
    <m/>
    <m/>
    <m/>
    <m/>
    <m/>
    <m/>
    <m/>
    <m/>
    <m/>
    <m/>
    <m/>
    <n v="0"/>
    <m/>
    <m/>
    <m/>
    <m/>
    <m/>
    <m/>
    <m/>
    <m/>
    <m/>
    <n v="71500"/>
    <n v="56992"/>
    <m/>
    <m/>
    <m/>
  </r>
  <r>
    <x v="385"/>
    <n v="235895.33709677399"/>
    <n v="4.1709677419354803"/>
    <n v="3.4189422580645199"/>
    <n v="0.81969999999999998"/>
    <n v="0.99"/>
    <m/>
    <m/>
    <m/>
    <m/>
    <m/>
    <n v="0"/>
    <m/>
    <n v="0"/>
    <n v="0"/>
    <n v="0"/>
    <n v="0"/>
    <n v="0"/>
    <m/>
    <m/>
    <m/>
    <m/>
    <m/>
    <m/>
    <m/>
    <m/>
    <m/>
    <m/>
    <n v="0"/>
    <n v="0"/>
    <m/>
    <m/>
    <m/>
    <m/>
    <m/>
    <m/>
    <m/>
    <m/>
    <m/>
    <m/>
    <m/>
    <m/>
    <n v="0"/>
    <m/>
    <m/>
    <m/>
    <m/>
    <m/>
    <m/>
    <m/>
    <m/>
    <m/>
    <n v="71500"/>
    <n v="56992"/>
    <m/>
    <m/>
    <m/>
  </r>
  <r>
    <x v="386"/>
    <n v="235895.33709677399"/>
    <n v="4.1709677419354803"/>
    <n v="3.4189422580645199"/>
    <n v="0.81969999999999998"/>
    <n v="0.99"/>
    <m/>
    <m/>
    <m/>
    <m/>
    <m/>
    <n v="0"/>
    <m/>
    <n v="0"/>
    <n v="0"/>
    <n v="0"/>
    <n v="0"/>
    <n v="0"/>
    <m/>
    <m/>
    <m/>
    <m/>
    <m/>
    <m/>
    <m/>
    <m/>
    <m/>
    <m/>
    <n v="0"/>
    <n v="0"/>
    <m/>
    <m/>
    <m/>
    <m/>
    <m/>
    <m/>
    <m/>
    <m/>
    <m/>
    <m/>
    <m/>
    <m/>
    <n v="0"/>
    <m/>
    <m/>
    <m/>
    <m/>
    <m/>
    <m/>
    <m/>
    <m/>
    <m/>
    <n v="71500"/>
    <n v="56992"/>
    <m/>
    <m/>
    <m/>
  </r>
  <r>
    <x v="387"/>
    <n v="235895.33709677399"/>
    <n v="4.1709677419354803"/>
    <n v="3.4189422580645199"/>
    <n v="0.81969999999999998"/>
    <n v="0.99"/>
    <m/>
    <m/>
    <m/>
    <m/>
    <m/>
    <n v="0"/>
    <m/>
    <n v="0"/>
    <n v="0"/>
    <n v="0"/>
    <n v="0"/>
    <n v="0"/>
    <m/>
    <m/>
    <m/>
    <m/>
    <m/>
    <m/>
    <m/>
    <m/>
    <m/>
    <m/>
    <n v="0"/>
    <n v="0"/>
    <m/>
    <m/>
    <m/>
    <m/>
    <m/>
    <m/>
    <m/>
    <m/>
    <m/>
    <m/>
    <m/>
    <m/>
    <n v="0"/>
    <m/>
    <m/>
    <m/>
    <m/>
    <m/>
    <m/>
    <m/>
    <m/>
    <m/>
    <n v="71500"/>
    <n v="56992"/>
    <m/>
    <m/>
    <m/>
  </r>
  <r>
    <x v="388"/>
    <n v="235895.33709677399"/>
    <n v="4.1709677419354803"/>
    <n v="3.4189422580645199"/>
    <n v="0.81969999999999998"/>
    <n v="0.99"/>
    <m/>
    <m/>
    <m/>
    <m/>
    <m/>
    <n v="0"/>
    <m/>
    <n v="0"/>
    <n v="0"/>
    <n v="0"/>
    <n v="0"/>
    <n v="0"/>
    <m/>
    <m/>
    <m/>
    <m/>
    <m/>
    <m/>
    <m/>
    <m/>
    <m/>
    <m/>
    <n v="0"/>
    <n v="0"/>
    <m/>
    <m/>
    <m/>
    <m/>
    <m/>
    <m/>
    <m/>
    <m/>
    <m/>
    <m/>
    <m/>
    <m/>
    <n v="0"/>
    <m/>
    <m/>
    <m/>
    <m/>
    <m/>
    <m/>
    <m/>
    <m/>
    <m/>
    <n v="71500"/>
    <n v="56992"/>
    <m/>
    <m/>
    <m/>
  </r>
  <r>
    <x v="389"/>
    <n v="235895.33709677399"/>
    <n v="4.1709677419354803"/>
    <n v="3.4189422580645199"/>
    <n v="0.81969999999999998"/>
    <n v="0.99"/>
    <m/>
    <m/>
    <m/>
    <m/>
    <m/>
    <n v="0"/>
    <m/>
    <n v="0"/>
    <n v="0"/>
    <n v="0"/>
    <n v="0"/>
    <n v="0"/>
    <m/>
    <m/>
    <m/>
    <m/>
    <m/>
    <m/>
    <m/>
    <m/>
    <m/>
    <m/>
    <n v="0"/>
    <n v="0"/>
    <m/>
    <m/>
    <m/>
    <m/>
    <m/>
    <m/>
    <m/>
    <m/>
    <m/>
    <m/>
    <m/>
    <m/>
    <n v="0"/>
    <m/>
    <m/>
    <m/>
    <m/>
    <m/>
    <m/>
    <m/>
    <m/>
    <m/>
    <n v="71500"/>
    <n v="56992"/>
    <m/>
    <m/>
    <m/>
  </r>
  <r>
    <x v="390"/>
    <n v="235895.33709677399"/>
    <n v="4.1709677419354803"/>
    <n v="3.4189422580645199"/>
    <n v="0.81969999999999998"/>
    <n v="0.99"/>
    <m/>
    <m/>
    <m/>
    <m/>
    <m/>
    <n v="0"/>
    <m/>
    <n v="0"/>
    <n v="0"/>
    <n v="0"/>
    <n v="0"/>
    <n v="0"/>
    <m/>
    <m/>
    <m/>
    <m/>
    <m/>
    <m/>
    <m/>
    <m/>
    <m/>
    <m/>
    <n v="0"/>
    <n v="0"/>
    <m/>
    <m/>
    <m/>
    <m/>
    <m/>
    <m/>
    <m/>
    <m/>
    <m/>
    <m/>
    <m/>
    <m/>
    <n v="0"/>
    <m/>
    <m/>
    <m/>
    <m/>
    <m/>
    <m/>
    <m/>
    <m/>
    <m/>
    <n v="71500"/>
    <n v="56992"/>
    <m/>
    <m/>
    <m/>
  </r>
  <r>
    <x v="391"/>
    <n v="235895.33709677399"/>
    <n v="4.1709677419354803"/>
    <n v="3.4189422580645199"/>
    <n v="0.81969999999999998"/>
    <n v="0.99"/>
    <m/>
    <m/>
    <m/>
    <m/>
    <m/>
    <n v="0"/>
    <m/>
    <n v="0"/>
    <n v="0"/>
    <n v="0"/>
    <n v="0"/>
    <n v="0"/>
    <m/>
    <m/>
    <m/>
    <m/>
    <m/>
    <m/>
    <m/>
    <m/>
    <m/>
    <m/>
    <n v="0"/>
    <n v="0"/>
    <m/>
    <m/>
    <m/>
    <m/>
    <m/>
    <m/>
    <m/>
    <m/>
    <m/>
    <m/>
    <m/>
    <m/>
    <n v="0"/>
    <m/>
    <m/>
    <m/>
    <m/>
    <m/>
    <m/>
    <m/>
    <m/>
    <m/>
    <n v="71500"/>
    <n v="56992"/>
    <m/>
    <m/>
    <m/>
  </r>
  <r>
    <x v="392"/>
    <n v="235895.33709677399"/>
    <n v="4.1709677419354803"/>
    <n v="3.4189422580645199"/>
    <n v="0.81969999999999998"/>
    <n v="0.99"/>
    <m/>
    <m/>
    <m/>
    <m/>
    <m/>
    <n v="0"/>
    <m/>
    <n v="0"/>
    <n v="0"/>
    <n v="0"/>
    <n v="0"/>
    <n v="0"/>
    <m/>
    <m/>
    <m/>
    <m/>
    <m/>
    <m/>
    <m/>
    <m/>
    <m/>
    <m/>
    <n v="0"/>
    <n v="0"/>
    <m/>
    <m/>
    <m/>
    <m/>
    <m/>
    <m/>
    <m/>
    <m/>
    <m/>
    <m/>
    <m/>
    <m/>
    <n v="0"/>
    <m/>
    <m/>
    <m/>
    <m/>
    <m/>
    <m/>
    <m/>
    <m/>
    <m/>
    <n v="71500"/>
    <n v="56992"/>
    <m/>
    <m/>
    <m/>
  </r>
  <r>
    <x v="393"/>
    <n v="235895.33709677399"/>
    <n v="4.1709677419354803"/>
    <n v="3.4188959139784898"/>
    <n v="0.81968888888888902"/>
    <n v="0.99"/>
    <m/>
    <m/>
    <m/>
    <m/>
    <m/>
    <n v="0"/>
    <m/>
    <n v="0"/>
    <n v="0"/>
    <n v="0"/>
    <n v="0"/>
    <n v="0"/>
    <m/>
    <m/>
    <m/>
    <m/>
    <m/>
    <m/>
    <m/>
    <m/>
    <m/>
    <m/>
    <n v="0"/>
    <n v="0"/>
    <m/>
    <m/>
    <m/>
    <m/>
    <m/>
    <m/>
    <m/>
    <m/>
    <m/>
    <m/>
    <m/>
    <m/>
    <n v="0"/>
    <m/>
    <m/>
    <m/>
    <m/>
    <m/>
    <m/>
    <m/>
    <m/>
    <m/>
    <n v="71500"/>
    <n v="56992"/>
    <m/>
    <m/>
    <m/>
  </r>
  <r>
    <x v="394"/>
    <n v="235895.33709677399"/>
    <n v="4.1709677419354803"/>
    <n v="3.4188495698924699"/>
    <n v="0.81967777777777795"/>
    <n v="0.99"/>
    <m/>
    <m/>
    <m/>
    <m/>
    <m/>
    <n v="0"/>
    <m/>
    <n v="0"/>
    <n v="0"/>
    <n v="0"/>
    <n v="0"/>
    <n v="0"/>
    <m/>
    <m/>
    <m/>
    <m/>
    <m/>
    <m/>
    <m/>
    <m/>
    <m/>
    <m/>
    <n v="0"/>
    <n v="0"/>
    <m/>
    <m/>
    <m/>
    <m/>
    <m/>
    <m/>
    <m/>
    <m/>
    <m/>
    <m/>
    <m/>
    <m/>
    <n v="0"/>
    <m/>
    <m/>
    <m/>
    <m/>
    <m/>
    <m/>
    <m/>
    <m/>
    <m/>
    <n v="71500"/>
    <n v="56992"/>
    <m/>
    <m/>
    <m/>
  </r>
  <r>
    <x v="395"/>
    <n v="235895.33709677399"/>
    <n v="4.1709677419354803"/>
    <n v="3.41880322580645"/>
    <n v="0.81966666666666699"/>
    <n v="0.99"/>
    <m/>
    <m/>
    <m/>
    <m/>
    <m/>
    <n v="0"/>
    <m/>
    <n v="0"/>
    <n v="0"/>
    <n v="0"/>
    <n v="0"/>
    <n v="0"/>
    <m/>
    <m/>
    <m/>
    <m/>
    <m/>
    <m/>
    <m/>
    <m/>
    <m/>
    <m/>
    <n v="0"/>
    <n v="0"/>
    <m/>
    <m/>
    <m/>
    <m/>
    <m/>
    <m/>
    <m/>
    <m/>
    <m/>
    <m/>
    <m/>
    <m/>
    <n v="0"/>
    <m/>
    <m/>
    <m/>
    <m/>
    <m/>
    <m/>
    <m/>
    <m/>
    <m/>
    <n v="71500"/>
    <n v="56992"/>
    <m/>
    <m/>
    <m/>
  </r>
  <r>
    <x v="396"/>
    <n v="249932.632258064"/>
    <n v="4.2064516129032299"/>
    <n v="3.4478881720430099"/>
    <n v="0.81966666666666699"/>
    <n v="0.99"/>
    <m/>
    <m/>
    <m/>
    <m/>
    <m/>
    <n v="0"/>
    <m/>
    <n v="0"/>
    <n v="0"/>
    <n v="0"/>
    <n v="0"/>
    <n v="0"/>
    <m/>
    <m/>
    <m/>
    <m/>
    <m/>
    <m/>
    <m/>
    <m/>
    <m/>
    <m/>
    <n v="0"/>
    <n v="0"/>
    <m/>
    <m/>
    <m/>
    <m/>
    <m/>
    <m/>
    <m/>
    <m/>
    <m/>
    <m/>
    <m/>
    <m/>
    <n v="0"/>
    <m/>
    <m/>
    <m/>
    <m/>
    <m/>
    <m/>
    <m/>
    <m/>
    <m/>
    <n v="71500"/>
    <n v="56992"/>
    <m/>
    <m/>
    <m/>
  </r>
  <r>
    <x v="397"/>
    <n v="249932.632258064"/>
    <n v="4.2064516129032299"/>
    <n v="3.4478414336917602"/>
    <n v="0.81965555555555603"/>
    <n v="0.99"/>
    <m/>
    <m/>
    <m/>
    <m/>
    <m/>
    <n v="0"/>
    <m/>
    <n v="0"/>
    <n v="0"/>
    <n v="0"/>
    <n v="0"/>
    <n v="0"/>
    <m/>
    <m/>
    <m/>
    <m/>
    <m/>
    <m/>
    <m/>
    <m/>
    <m/>
    <m/>
    <n v="0"/>
    <n v="0"/>
    <m/>
    <m/>
    <m/>
    <m/>
    <m/>
    <m/>
    <m/>
    <m/>
    <m/>
    <m/>
    <m/>
    <m/>
    <n v="0"/>
    <m/>
    <m/>
    <m/>
    <m/>
    <m/>
    <m/>
    <m/>
    <m/>
    <m/>
    <n v="71500"/>
    <n v="56992"/>
    <m/>
    <m/>
    <m/>
  </r>
  <r>
    <x v="398"/>
    <n v="249932.632258064"/>
    <n v="4.2064516129032299"/>
    <n v="3.4477946953404999"/>
    <n v="0.81964444444444395"/>
    <n v="0.99"/>
    <m/>
    <m/>
    <m/>
    <m/>
    <m/>
    <n v="0"/>
    <m/>
    <n v="0"/>
    <n v="0"/>
    <n v="0"/>
    <n v="0"/>
    <n v="0"/>
    <m/>
    <m/>
    <m/>
    <m/>
    <m/>
    <m/>
    <m/>
    <m/>
    <m/>
    <m/>
    <n v="0"/>
    <n v="0"/>
    <m/>
    <m/>
    <m/>
    <m/>
    <m/>
    <m/>
    <m/>
    <m/>
    <m/>
    <m/>
    <m/>
    <m/>
    <n v="0"/>
    <m/>
    <m/>
    <m/>
    <m/>
    <m/>
    <m/>
    <m/>
    <m/>
    <m/>
    <n v="71500"/>
    <n v="56992"/>
    <m/>
    <m/>
    <m/>
  </r>
  <r>
    <x v="399"/>
    <n v="249932.632258064"/>
    <n v="4.2064516129032299"/>
    <n v="3.4477479569892502"/>
    <n v="0.81963333333333299"/>
    <n v="0.99"/>
    <m/>
    <m/>
    <m/>
    <m/>
    <m/>
    <n v="0"/>
    <m/>
    <n v="0"/>
    <n v="0"/>
    <n v="0"/>
    <n v="0"/>
    <n v="0"/>
    <m/>
    <m/>
    <m/>
    <m/>
    <m/>
    <m/>
    <m/>
    <m/>
    <m/>
    <m/>
    <n v="0"/>
    <n v="0"/>
    <m/>
    <m/>
    <m/>
    <m/>
    <m/>
    <m/>
    <m/>
    <m/>
    <m/>
    <m/>
    <m/>
    <m/>
    <n v="0"/>
    <m/>
    <m/>
    <m/>
    <m/>
    <m/>
    <m/>
    <m/>
    <m/>
    <m/>
    <n v="71500"/>
    <n v="56992"/>
    <m/>
    <m/>
    <m/>
  </r>
  <r>
    <x v="400"/>
    <n v="249932.632258064"/>
    <n v="4.2064516129032299"/>
    <n v="3.4477012186379898"/>
    <n v="0.81962222222222203"/>
    <n v="0.99"/>
    <m/>
    <m/>
    <m/>
    <m/>
    <m/>
    <n v="0"/>
    <m/>
    <n v="0"/>
    <n v="0"/>
    <n v="0"/>
    <n v="0"/>
    <n v="0"/>
    <m/>
    <m/>
    <m/>
    <m/>
    <m/>
    <m/>
    <m/>
    <m/>
    <m/>
    <m/>
    <n v="0"/>
    <n v="0"/>
    <m/>
    <m/>
    <m/>
    <m/>
    <m/>
    <m/>
    <m/>
    <m/>
    <m/>
    <m/>
    <m/>
    <m/>
    <n v="0"/>
    <m/>
    <m/>
    <m/>
    <m/>
    <m/>
    <m/>
    <m/>
    <m/>
    <m/>
    <n v="71500"/>
    <n v="56992"/>
    <m/>
    <m/>
    <m/>
  </r>
  <r>
    <x v="401"/>
    <n v="249932.632258064"/>
    <n v="4.2064516129032299"/>
    <n v="3.4476544802867402"/>
    <n v="0.81961111111111096"/>
    <n v="0.99"/>
    <m/>
    <m/>
    <m/>
    <m/>
    <m/>
    <n v="0"/>
    <m/>
    <n v="0"/>
    <n v="0"/>
    <n v="0"/>
    <n v="0"/>
    <n v="0"/>
    <m/>
    <m/>
    <m/>
    <m/>
    <m/>
    <m/>
    <m/>
    <m/>
    <m/>
    <m/>
    <n v="0"/>
    <n v="0"/>
    <m/>
    <m/>
    <m/>
    <m/>
    <m/>
    <m/>
    <m/>
    <m/>
    <m/>
    <m/>
    <m/>
    <m/>
    <n v="0"/>
    <m/>
    <m/>
    <m/>
    <m/>
    <m/>
    <m/>
    <m/>
    <m/>
    <m/>
    <n v="71500"/>
    <n v="56992"/>
    <m/>
    <m/>
    <m/>
  </r>
  <r>
    <x v="402"/>
    <n v="249932.632258064"/>
    <n v="4.2064516129032299"/>
    <n v="3.4476077419354798"/>
    <n v="0.8196"/>
    <n v="0.99"/>
    <m/>
    <m/>
    <m/>
    <m/>
    <m/>
    <n v="0"/>
    <m/>
    <n v="0"/>
    <n v="0"/>
    <n v="0"/>
    <n v="0"/>
    <n v="0"/>
    <m/>
    <m/>
    <m/>
    <m/>
    <m/>
    <m/>
    <m/>
    <m/>
    <m/>
    <m/>
    <n v="0"/>
    <n v="0"/>
    <m/>
    <m/>
    <m/>
    <m/>
    <m/>
    <m/>
    <m/>
    <m/>
    <m/>
    <m/>
    <m/>
    <m/>
    <n v="0"/>
    <m/>
    <m/>
    <m/>
    <m/>
    <m/>
    <m/>
    <m/>
    <m/>
    <m/>
    <n v="71500"/>
    <n v="56992"/>
    <m/>
    <m/>
    <m/>
  </r>
  <r>
    <x v="403"/>
    <n v="249932.632258064"/>
    <n v="4.2064516129032299"/>
    <n v="3.4475610035842301"/>
    <n v="0.81958888888888903"/>
    <n v="0.99"/>
    <m/>
    <m/>
    <m/>
    <m/>
    <m/>
    <n v="0"/>
    <m/>
    <n v="0"/>
    <n v="0"/>
    <n v="0"/>
    <n v="0"/>
    <n v="0"/>
    <m/>
    <m/>
    <m/>
    <m/>
    <m/>
    <m/>
    <m/>
    <m/>
    <m/>
    <m/>
    <n v="0"/>
    <n v="0"/>
    <m/>
    <m/>
    <m/>
    <m/>
    <m/>
    <m/>
    <m/>
    <m/>
    <m/>
    <m/>
    <m/>
    <m/>
    <n v="0"/>
    <m/>
    <m/>
    <m/>
    <m/>
    <m/>
    <m/>
    <m/>
    <m/>
    <m/>
    <n v="71500"/>
    <n v="56992"/>
    <m/>
    <m/>
    <m/>
  </r>
  <r>
    <x v="404"/>
    <n v="249932.632258064"/>
    <n v="4.2064516129032299"/>
    <n v="3.44751426523298"/>
    <n v="0.81957777777777796"/>
    <n v="0.99"/>
    <m/>
    <m/>
    <m/>
    <m/>
    <m/>
    <n v="0"/>
    <m/>
    <n v="0"/>
    <n v="0"/>
    <n v="0"/>
    <n v="0"/>
    <n v="0"/>
    <m/>
    <m/>
    <m/>
    <m/>
    <m/>
    <m/>
    <m/>
    <m/>
    <m/>
    <m/>
    <n v="0"/>
    <n v="0"/>
    <m/>
    <m/>
    <m/>
    <m/>
    <m/>
    <m/>
    <m/>
    <m/>
    <m/>
    <m/>
    <m/>
    <m/>
    <n v="0"/>
    <m/>
    <m/>
    <m/>
    <m/>
    <m/>
    <m/>
    <m/>
    <m/>
    <m/>
    <n v="71500"/>
    <n v="56992"/>
    <m/>
    <m/>
    <m/>
  </r>
  <r>
    <x v="405"/>
    <n v="249932.632258064"/>
    <n v="4.2064516129032299"/>
    <n v="3.4474675268817201"/>
    <n v="0.819566666666667"/>
    <n v="0.99"/>
    <m/>
    <m/>
    <m/>
    <m/>
    <m/>
    <n v="0"/>
    <m/>
    <n v="0"/>
    <n v="0"/>
    <n v="0"/>
    <n v="0"/>
    <n v="0"/>
    <m/>
    <m/>
    <m/>
    <m/>
    <m/>
    <m/>
    <m/>
    <m/>
    <m/>
    <m/>
    <n v="0"/>
    <n v="0"/>
    <m/>
    <m/>
    <m/>
    <m/>
    <m/>
    <m/>
    <m/>
    <m/>
    <m/>
    <m/>
    <m/>
    <m/>
    <n v="0"/>
    <m/>
    <m/>
    <m/>
    <m/>
    <m/>
    <m/>
    <m/>
    <m/>
    <m/>
    <n v="71500"/>
    <n v="56992"/>
    <m/>
    <m/>
    <m/>
  </r>
  <r>
    <x v="406"/>
    <n v="249932.632258064"/>
    <n v="4.2064516129032299"/>
    <n v="3.44742078853047"/>
    <n v="0.81955555555555604"/>
    <n v="0.99"/>
    <m/>
    <m/>
    <m/>
    <m/>
    <m/>
    <n v="0"/>
    <m/>
    <n v="0"/>
    <n v="0"/>
    <n v="0"/>
    <n v="0"/>
    <n v="0"/>
    <m/>
    <m/>
    <m/>
    <m/>
    <m/>
    <m/>
    <m/>
    <m/>
    <m/>
    <m/>
    <n v="0"/>
    <n v="0"/>
    <m/>
    <m/>
    <m/>
    <m/>
    <m/>
    <m/>
    <m/>
    <m/>
    <m/>
    <m/>
    <m/>
    <m/>
    <n v="0"/>
    <m/>
    <m/>
    <m/>
    <m/>
    <m/>
    <m/>
    <m/>
    <m/>
    <m/>
    <n v="71500"/>
    <n v="56992"/>
    <m/>
    <m/>
    <m/>
  </r>
  <r>
    <x v="407"/>
    <n v="249932.632258064"/>
    <n v="4.2064516129032299"/>
    <n v="3.4473740501792101"/>
    <n v="0.81954444444444396"/>
    <n v="0.99"/>
    <m/>
    <m/>
    <m/>
    <m/>
    <m/>
    <n v="0"/>
    <m/>
    <n v="0"/>
    <n v="0"/>
    <n v="0"/>
    <n v="0"/>
    <n v="0"/>
    <m/>
    <m/>
    <m/>
    <m/>
    <m/>
    <m/>
    <m/>
    <m/>
    <m/>
    <m/>
    <n v="0"/>
    <n v="0"/>
    <m/>
    <m/>
    <m/>
    <m/>
    <m/>
    <m/>
    <m/>
    <m/>
    <m/>
    <m/>
    <m/>
    <m/>
    <n v="0"/>
    <m/>
    <m/>
    <m/>
    <m/>
    <m/>
    <m/>
    <m/>
    <m/>
    <m/>
    <n v="71500"/>
    <n v="56992"/>
    <m/>
    <m/>
    <m/>
  </r>
  <r>
    <x v="408"/>
    <n v="249932.632258064"/>
    <n v="4.2064516129032299"/>
    <n v="3.4473273118279599"/>
    <n v="0.819533333333333"/>
    <n v="0.99"/>
    <m/>
    <m/>
    <m/>
    <m/>
    <m/>
    <n v="0"/>
    <m/>
    <n v="0"/>
    <n v="0"/>
    <n v="0"/>
    <n v="0"/>
    <n v="0"/>
    <m/>
    <m/>
    <m/>
    <m/>
    <m/>
    <m/>
    <m/>
    <m/>
    <m/>
    <m/>
    <n v="0"/>
    <n v="0"/>
    <m/>
    <m/>
    <m/>
    <m/>
    <m/>
    <m/>
    <m/>
    <m/>
    <m/>
    <m/>
    <m/>
    <m/>
    <n v="0"/>
    <m/>
    <m/>
    <m/>
    <m/>
    <m/>
    <m/>
    <m/>
    <m/>
    <m/>
    <n v="71500"/>
    <n v="56992"/>
    <m/>
    <m/>
    <m/>
  </r>
  <r>
    <x v="409"/>
    <n v="249932.632258064"/>
    <n v="4.2064516129032299"/>
    <n v="3.4472805734767"/>
    <n v="0.81952222222222204"/>
    <n v="0.99"/>
    <m/>
    <m/>
    <m/>
    <m/>
    <m/>
    <n v="0"/>
    <m/>
    <n v="0"/>
    <n v="0"/>
    <n v="0"/>
    <n v="0"/>
    <n v="0"/>
    <m/>
    <m/>
    <m/>
    <m/>
    <m/>
    <m/>
    <m/>
    <m/>
    <m/>
    <m/>
    <n v="0"/>
    <n v="0"/>
    <m/>
    <m/>
    <m/>
    <m/>
    <m/>
    <m/>
    <m/>
    <m/>
    <m/>
    <m/>
    <m/>
    <m/>
    <n v="0"/>
    <m/>
    <m/>
    <m/>
    <m/>
    <m/>
    <m/>
    <m/>
    <m/>
    <m/>
    <n v="71500"/>
    <n v="56992"/>
    <m/>
    <m/>
    <m/>
  </r>
  <r>
    <x v="410"/>
    <n v="249932.632258064"/>
    <n v="4.2064516129032299"/>
    <n v="3.4472338351254499"/>
    <n v="0.81951111111111097"/>
    <n v="0.99"/>
    <m/>
    <m/>
    <m/>
    <m/>
    <m/>
    <n v="0"/>
    <m/>
    <n v="0"/>
    <n v="0"/>
    <n v="0"/>
    <n v="0"/>
    <n v="0"/>
    <m/>
    <m/>
    <m/>
    <m/>
    <m/>
    <m/>
    <m/>
    <m/>
    <m/>
    <m/>
    <n v="0"/>
    <n v="0"/>
    <m/>
    <m/>
    <m/>
    <m/>
    <m/>
    <m/>
    <m/>
    <m/>
    <m/>
    <m/>
    <m/>
    <m/>
    <n v="0"/>
    <m/>
    <m/>
    <m/>
    <m/>
    <m/>
    <m/>
    <m/>
    <m/>
    <m/>
    <n v="71500"/>
    <n v="56992"/>
    <m/>
    <m/>
    <m/>
  </r>
  <r>
    <x v="411"/>
    <n v="249932.632258064"/>
    <n v="4.2064516129032299"/>
    <n v="3.44718709677419"/>
    <n v="0.81950000000000001"/>
    <n v="0.99"/>
    <m/>
    <m/>
    <m/>
    <m/>
    <m/>
    <n v="0"/>
    <m/>
    <n v="0"/>
    <n v="0"/>
    <n v="0"/>
    <n v="0"/>
    <n v="0"/>
    <m/>
    <m/>
    <m/>
    <m/>
    <m/>
    <m/>
    <m/>
    <m/>
    <m/>
    <m/>
    <n v="0"/>
    <n v="0"/>
    <m/>
    <m/>
    <m/>
    <m/>
    <m/>
    <m/>
    <m/>
    <m/>
    <m/>
    <m/>
    <m/>
    <m/>
    <n v="0"/>
    <m/>
    <m/>
    <m/>
    <m/>
    <m/>
    <m/>
    <m/>
    <m/>
    <m/>
    <n v="71500"/>
    <n v="56992"/>
    <m/>
    <m/>
    <m/>
  </r>
  <r>
    <x v="412"/>
    <n v="249932.632258064"/>
    <n v="4.2064516129032299"/>
    <n v="3.4471403584229399"/>
    <n v="0.81948888888888904"/>
    <n v="0.99"/>
    <m/>
    <m/>
    <m/>
    <m/>
    <m/>
    <n v="0"/>
    <m/>
    <n v="0"/>
    <n v="0"/>
    <n v="0"/>
    <n v="0"/>
    <n v="0"/>
    <m/>
    <m/>
    <m/>
    <m/>
    <m/>
    <m/>
    <m/>
    <m/>
    <m/>
    <m/>
    <n v="0"/>
    <n v="0"/>
    <m/>
    <m/>
    <m/>
    <m/>
    <m/>
    <m/>
    <m/>
    <m/>
    <m/>
    <m/>
    <m/>
    <m/>
    <n v="0"/>
    <m/>
    <m/>
    <m/>
    <m/>
    <m/>
    <m/>
    <m/>
    <m/>
    <m/>
    <n v="71500"/>
    <n v="56992"/>
    <m/>
    <m/>
    <m/>
  </r>
  <r>
    <x v="413"/>
    <n v="249932.632258064"/>
    <n v="4.2064516129032299"/>
    <n v="3.44709362007168"/>
    <n v="0.81947777777777797"/>
    <n v="0.99"/>
    <m/>
    <m/>
    <m/>
    <m/>
    <m/>
    <n v="0"/>
    <m/>
    <n v="0"/>
    <n v="0"/>
    <n v="0"/>
    <n v="0"/>
    <n v="0"/>
    <m/>
    <m/>
    <m/>
    <m/>
    <m/>
    <m/>
    <m/>
    <m/>
    <m/>
    <m/>
    <n v="0"/>
    <n v="0"/>
    <m/>
    <m/>
    <m/>
    <m/>
    <m/>
    <m/>
    <m/>
    <m/>
    <m/>
    <m/>
    <m/>
    <m/>
    <n v="0"/>
    <m/>
    <m/>
    <m/>
    <m/>
    <m/>
    <m/>
    <m/>
    <m/>
    <m/>
    <n v="71500"/>
    <n v="56992"/>
    <m/>
    <m/>
    <m/>
  </r>
  <r>
    <x v="414"/>
    <n v="249932.632258064"/>
    <n v="4.2064516129032299"/>
    <n v="3.4470468817204298"/>
    <n v="0.81946666666666701"/>
    <n v="0.99"/>
    <m/>
    <m/>
    <m/>
    <m/>
    <m/>
    <n v="0"/>
    <m/>
    <n v="0"/>
    <n v="0"/>
    <n v="0"/>
    <n v="0"/>
    <n v="0"/>
    <m/>
    <m/>
    <m/>
    <m/>
    <m/>
    <m/>
    <m/>
    <m/>
    <m/>
    <m/>
    <n v="0"/>
    <n v="0"/>
    <m/>
    <m/>
    <m/>
    <m/>
    <m/>
    <m/>
    <m/>
    <m/>
    <m/>
    <m/>
    <m/>
    <m/>
    <n v="0"/>
    <m/>
    <m/>
    <m/>
    <m/>
    <m/>
    <m/>
    <m/>
    <m/>
    <m/>
    <n v="71500"/>
    <n v="56992"/>
    <m/>
    <m/>
    <m/>
  </r>
  <r>
    <x v="415"/>
    <n v="249932.632258064"/>
    <n v="4.2064516129032299"/>
    <n v="3.4470001433691801"/>
    <n v="0.81945555555555505"/>
    <n v="0.99"/>
    <m/>
    <m/>
    <m/>
    <m/>
    <m/>
    <n v="0"/>
    <m/>
    <n v="0"/>
    <n v="0"/>
    <n v="0"/>
    <n v="0"/>
    <n v="0"/>
    <m/>
    <m/>
    <m/>
    <m/>
    <m/>
    <m/>
    <m/>
    <m/>
    <m/>
    <m/>
    <n v="0"/>
    <n v="0"/>
    <m/>
    <m/>
    <m/>
    <m/>
    <m/>
    <m/>
    <m/>
    <m/>
    <m/>
    <m/>
    <m/>
    <m/>
    <n v="0"/>
    <m/>
    <m/>
    <m/>
    <m/>
    <m/>
    <m/>
    <m/>
    <m/>
    <m/>
    <n v="71500"/>
    <n v="56992"/>
    <m/>
    <m/>
    <m/>
  </r>
  <r>
    <x v="416"/>
    <n v="249932.632258064"/>
    <n v="4.2064516129032299"/>
    <n v="3.4469534050179198"/>
    <n v="0.81944444444444398"/>
    <n v="0.99"/>
    <m/>
    <m/>
    <m/>
    <m/>
    <m/>
    <n v="0"/>
    <m/>
    <n v="0"/>
    <n v="0"/>
    <n v="0"/>
    <n v="0"/>
    <n v="0"/>
    <m/>
    <m/>
    <m/>
    <m/>
    <m/>
    <m/>
    <m/>
    <m/>
    <m/>
    <m/>
    <n v="0"/>
    <n v="0"/>
    <m/>
    <m/>
    <m/>
    <m/>
    <m/>
    <m/>
    <m/>
    <m/>
    <m/>
    <m/>
    <m/>
    <m/>
    <n v="0"/>
    <m/>
    <m/>
    <m/>
    <m/>
    <m/>
    <m/>
    <m/>
    <m/>
    <m/>
    <n v="71500"/>
    <n v="56992"/>
    <m/>
    <m/>
    <m/>
  </r>
  <r>
    <x v="417"/>
    <n v="249932.632258064"/>
    <n v="4.2064516129032299"/>
    <n v="3.4469066666666701"/>
    <n v="0.81943333333333301"/>
    <n v="0.99"/>
    <m/>
    <m/>
    <m/>
    <m/>
    <m/>
    <n v="0"/>
    <m/>
    <n v="0"/>
    <n v="0"/>
    <n v="0"/>
    <n v="0"/>
    <n v="0"/>
    <m/>
    <m/>
    <m/>
    <m/>
    <m/>
    <m/>
    <m/>
    <m/>
    <m/>
    <m/>
    <n v="0"/>
    <n v="0"/>
    <m/>
    <m/>
    <m/>
    <m/>
    <m/>
    <m/>
    <m/>
    <m/>
    <m/>
    <m/>
    <m/>
    <m/>
    <n v="0"/>
    <m/>
    <m/>
    <m/>
    <m/>
    <m/>
    <m/>
    <m/>
    <m/>
    <m/>
    <n v="71500"/>
    <n v="56992"/>
    <m/>
    <m/>
    <m/>
  </r>
  <r>
    <x v="418"/>
    <n v="249932.632258064"/>
    <n v="4.2064516129032299"/>
    <n v="3.4468599283154102"/>
    <n v="0.81942222222222205"/>
    <n v="0.99"/>
    <m/>
    <m/>
    <m/>
    <m/>
    <m/>
    <n v="0"/>
    <m/>
    <n v="0"/>
    <n v="0"/>
    <n v="0"/>
    <n v="0"/>
    <n v="0"/>
    <m/>
    <m/>
    <m/>
    <m/>
    <m/>
    <m/>
    <m/>
    <m/>
    <m/>
    <m/>
    <n v="0"/>
    <n v="0"/>
    <m/>
    <m/>
    <m/>
    <m/>
    <m/>
    <m/>
    <m/>
    <m/>
    <m/>
    <m/>
    <m/>
    <m/>
    <n v="0"/>
    <m/>
    <m/>
    <m/>
    <m/>
    <m/>
    <m/>
    <m/>
    <m/>
    <m/>
    <n v="71500"/>
    <n v="56992"/>
    <m/>
    <m/>
    <m/>
  </r>
  <r>
    <x v="419"/>
    <n v="249932.632258064"/>
    <n v="4.2064516129032299"/>
    <n v="3.4468131899641601"/>
    <n v="0.81941111111111098"/>
    <n v="0.99"/>
    <m/>
    <m/>
    <m/>
    <m/>
    <m/>
    <n v="0"/>
    <m/>
    <n v="0"/>
    <n v="0"/>
    <n v="0"/>
    <n v="0"/>
    <n v="0"/>
    <m/>
    <m/>
    <m/>
    <m/>
    <m/>
    <m/>
    <m/>
    <m/>
    <m/>
    <m/>
    <n v="0"/>
    <n v="0"/>
    <m/>
    <m/>
    <m/>
    <m/>
    <m/>
    <m/>
    <m/>
    <m/>
    <m/>
    <m/>
    <m/>
    <m/>
    <n v="0"/>
    <m/>
    <m/>
    <m/>
    <m/>
    <m/>
    <m/>
    <m/>
    <m/>
    <m/>
    <n v="71500"/>
    <n v="56992"/>
    <m/>
    <m/>
    <m/>
  </r>
  <r>
    <x v="420"/>
    <n v="249932.632258064"/>
    <n v="4.2064516129032299"/>
    <n v="3.4467664516129002"/>
    <n v="0.81940000000000002"/>
    <n v="0.99"/>
    <m/>
    <m/>
    <m/>
    <m/>
    <m/>
    <n v="0"/>
    <m/>
    <n v="0"/>
    <n v="0"/>
    <n v="0"/>
    <n v="0"/>
    <n v="0"/>
    <m/>
    <m/>
    <m/>
    <m/>
    <m/>
    <m/>
    <m/>
    <m/>
    <m/>
    <m/>
    <n v="0"/>
    <n v="0"/>
    <m/>
    <m/>
    <m/>
    <m/>
    <m/>
    <m/>
    <m/>
    <m/>
    <m/>
    <m/>
    <m/>
    <m/>
    <n v="0"/>
    <m/>
    <m/>
    <m/>
    <m/>
    <m/>
    <m/>
    <m/>
    <m/>
    <m/>
    <n v="71500"/>
    <n v="56992"/>
    <m/>
    <m/>
    <m/>
  </r>
  <r>
    <x v="421"/>
    <n v="249932.632258064"/>
    <n v="4.2064516129032299"/>
    <n v="3.4467197132616501"/>
    <n v="0.81938888888888906"/>
    <n v="0.99"/>
    <m/>
    <m/>
    <m/>
    <m/>
    <m/>
    <n v="0"/>
    <m/>
    <n v="0"/>
    <n v="0"/>
    <n v="0"/>
    <n v="0"/>
    <n v="0"/>
    <m/>
    <m/>
    <m/>
    <m/>
    <m/>
    <m/>
    <m/>
    <m/>
    <m/>
    <m/>
    <n v="0"/>
    <n v="0"/>
    <m/>
    <m/>
    <m/>
    <m/>
    <m/>
    <m/>
    <m/>
    <m/>
    <m/>
    <m/>
    <m/>
    <m/>
    <n v="0"/>
    <m/>
    <m/>
    <m/>
    <m/>
    <m/>
    <m/>
    <m/>
    <m/>
    <m/>
    <n v="71500"/>
    <n v="56992"/>
    <m/>
    <m/>
    <m/>
  </r>
  <r>
    <x v="422"/>
    <n v="249932.632258064"/>
    <n v="4.2064516129032299"/>
    <n v="3.4466729749103902"/>
    <n v="0.81937777777777798"/>
    <n v="0.99"/>
    <m/>
    <m/>
    <m/>
    <m/>
    <m/>
    <n v="0"/>
    <m/>
    <n v="0"/>
    <n v="0"/>
    <n v="0"/>
    <n v="0"/>
    <n v="0"/>
    <m/>
    <m/>
    <m/>
    <m/>
    <m/>
    <m/>
    <m/>
    <m/>
    <m/>
    <m/>
    <n v="0"/>
    <n v="0"/>
    <m/>
    <m/>
    <m/>
    <m/>
    <m/>
    <m/>
    <m/>
    <m/>
    <m/>
    <m/>
    <m/>
    <m/>
    <n v="0"/>
    <m/>
    <m/>
    <m/>
    <m/>
    <m/>
    <m/>
    <m/>
    <m/>
    <m/>
    <n v="71500"/>
    <n v="56992"/>
    <m/>
    <m/>
    <m/>
  </r>
  <r>
    <x v="423"/>
    <n v="249932.632258064"/>
    <n v="4.2064516129032299"/>
    <n v="3.44662623655914"/>
    <n v="0.81936666666666702"/>
    <n v="0.99"/>
    <m/>
    <m/>
    <m/>
    <m/>
    <m/>
    <n v="0"/>
    <m/>
    <n v="0"/>
    <n v="0"/>
    <n v="0"/>
    <n v="0"/>
    <n v="0"/>
    <m/>
    <m/>
    <m/>
    <m/>
    <m/>
    <m/>
    <m/>
    <m/>
    <m/>
    <m/>
    <n v="0"/>
    <n v="0"/>
    <m/>
    <m/>
    <m/>
    <m/>
    <m/>
    <m/>
    <m/>
    <m/>
    <m/>
    <m/>
    <m/>
    <m/>
    <n v="0"/>
    <m/>
    <m/>
    <m/>
    <m/>
    <m/>
    <m/>
    <m/>
    <m/>
    <m/>
    <n v="71500"/>
    <n v="56992"/>
    <m/>
    <m/>
    <m/>
  </r>
  <r>
    <x v="424"/>
    <n v="249932.632258064"/>
    <n v="4.2064516129032299"/>
    <n v="3.4465794982078899"/>
    <n v="0.81935555555555595"/>
    <n v="0.99"/>
    <m/>
    <m/>
    <m/>
    <m/>
    <m/>
    <n v="0"/>
    <m/>
    <n v="0"/>
    <n v="0"/>
    <n v="0"/>
    <n v="0"/>
    <n v="0"/>
    <m/>
    <m/>
    <m/>
    <m/>
    <m/>
    <m/>
    <m/>
    <m/>
    <m/>
    <m/>
    <n v="0"/>
    <n v="0"/>
    <m/>
    <m/>
    <m/>
    <m/>
    <m/>
    <m/>
    <m/>
    <m/>
    <m/>
    <m/>
    <m/>
    <m/>
    <n v="0"/>
    <m/>
    <m/>
    <m/>
    <m/>
    <m/>
    <m/>
    <m/>
    <m/>
    <m/>
    <n v="71500"/>
    <n v="56992"/>
    <m/>
    <m/>
    <m/>
  </r>
  <r>
    <x v="425"/>
    <n v="249932.632258064"/>
    <n v="4.2064516129032299"/>
    <n v="3.44653275985663"/>
    <n v="0.81934444444444399"/>
    <n v="0.99"/>
    <m/>
    <m/>
    <m/>
    <m/>
    <m/>
    <n v="0"/>
    <m/>
    <n v="0"/>
    <n v="0"/>
    <n v="0"/>
    <n v="0"/>
    <n v="0"/>
    <m/>
    <m/>
    <m/>
    <m/>
    <m/>
    <m/>
    <m/>
    <m/>
    <m/>
    <m/>
    <n v="0"/>
    <n v="0"/>
    <m/>
    <m/>
    <m/>
    <m/>
    <m/>
    <m/>
    <m/>
    <m/>
    <m/>
    <m/>
    <m/>
    <m/>
    <n v="0"/>
    <m/>
    <m/>
    <m/>
    <m/>
    <m/>
    <m/>
    <m/>
    <m/>
    <m/>
    <n v="71500"/>
    <n v="56992"/>
    <m/>
    <m/>
    <m/>
  </r>
  <r>
    <x v="426"/>
    <n v="249932.632258064"/>
    <n v="4.2064516129032299"/>
    <n v="3.4464860215053799"/>
    <n v="0.81933333333333302"/>
    <n v="0.99"/>
    <m/>
    <m/>
    <m/>
    <m/>
    <m/>
    <n v="0"/>
    <m/>
    <n v="0"/>
    <n v="0"/>
    <n v="0"/>
    <n v="0"/>
    <n v="0"/>
    <m/>
    <m/>
    <m/>
    <m/>
    <m/>
    <m/>
    <m/>
    <m/>
    <m/>
    <m/>
    <n v="0"/>
    <n v="0"/>
    <m/>
    <m/>
    <m/>
    <m/>
    <m/>
    <m/>
    <m/>
    <m/>
    <m/>
    <m/>
    <m/>
    <m/>
    <n v="0"/>
    <m/>
    <m/>
    <m/>
    <m/>
    <m/>
    <m/>
    <m/>
    <m/>
    <m/>
    <n v="71500"/>
    <n v="56992"/>
    <m/>
    <m/>
    <m/>
  </r>
  <r>
    <x v="427"/>
    <n v="266565.27857142902"/>
    <n v="4.5857142857142899"/>
    <n v="3.7572285714285698"/>
    <n v="0.81933333333333302"/>
    <n v="0.99"/>
    <m/>
    <m/>
    <m/>
    <m/>
    <m/>
    <n v="0"/>
    <m/>
    <n v="0"/>
    <n v="0"/>
    <n v="0"/>
    <n v="0"/>
    <n v="0"/>
    <m/>
    <m/>
    <m/>
    <m/>
    <m/>
    <m/>
    <m/>
    <m/>
    <m/>
    <m/>
    <n v="0"/>
    <n v="0"/>
    <m/>
    <m/>
    <m/>
    <m/>
    <m/>
    <m/>
    <m/>
    <m/>
    <m/>
    <m/>
    <m/>
    <m/>
    <n v="0"/>
    <m/>
    <m/>
    <m/>
    <m/>
    <m/>
    <m/>
    <m/>
    <m/>
    <m/>
    <n v="71500"/>
    <n v="56992"/>
    <m/>
    <m/>
    <m/>
  </r>
  <r>
    <x v="428"/>
    <n v="266565.27857142902"/>
    <n v="4.5857142857142899"/>
    <n v="3.7571776190476198"/>
    <n v="0.81932222222222195"/>
    <n v="0.99"/>
    <m/>
    <m/>
    <m/>
    <m/>
    <m/>
    <n v="0"/>
    <m/>
    <n v="0"/>
    <n v="0"/>
    <n v="0"/>
    <n v="0"/>
    <n v="0"/>
    <m/>
    <m/>
    <m/>
    <m/>
    <m/>
    <m/>
    <m/>
    <m/>
    <m/>
    <m/>
    <n v="0"/>
    <n v="0"/>
    <m/>
    <m/>
    <m/>
    <m/>
    <m/>
    <m/>
    <m/>
    <m/>
    <m/>
    <m/>
    <m/>
    <m/>
    <n v="0"/>
    <m/>
    <m/>
    <m/>
    <m/>
    <m/>
    <m/>
    <m/>
    <m/>
    <m/>
    <n v="71500"/>
    <n v="56992"/>
    <m/>
    <m/>
    <m/>
  </r>
  <r>
    <x v="429"/>
    <n v="266565.27857142902"/>
    <n v="4.5857142857142899"/>
    <n v="3.7571266666666698"/>
    <n v="0.81931111111111099"/>
    <n v="0.99"/>
    <m/>
    <m/>
    <m/>
    <m/>
    <m/>
    <n v="0"/>
    <m/>
    <n v="0"/>
    <n v="0"/>
    <n v="0"/>
    <n v="0"/>
    <n v="0"/>
    <m/>
    <m/>
    <m/>
    <m/>
    <m/>
    <m/>
    <m/>
    <m/>
    <m/>
    <m/>
    <n v="0"/>
    <n v="0"/>
    <m/>
    <m/>
    <m/>
    <m/>
    <m/>
    <m/>
    <m/>
    <m/>
    <m/>
    <m/>
    <m/>
    <m/>
    <n v="0"/>
    <m/>
    <m/>
    <m/>
    <m/>
    <m/>
    <m/>
    <m/>
    <m/>
    <m/>
    <n v="71500"/>
    <n v="56992"/>
    <m/>
    <m/>
    <m/>
  </r>
  <r>
    <x v="430"/>
    <n v="266565.27857142902"/>
    <n v="4.5857142857142899"/>
    <n v="3.7570757142857101"/>
    <n v="0.81930000000000003"/>
    <n v="0.99"/>
    <m/>
    <m/>
    <m/>
    <m/>
    <m/>
    <n v="0"/>
    <m/>
    <n v="0"/>
    <n v="0"/>
    <n v="0"/>
    <n v="0"/>
    <n v="0"/>
    <m/>
    <m/>
    <m/>
    <m/>
    <m/>
    <m/>
    <m/>
    <m/>
    <m/>
    <m/>
    <n v="0"/>
    <n v="0"/>
    <m/>
    <m/>
    <m/>
    <m/>
    <m/>
    <m/>
    <m/>
    <m/>
    <m/>
    <m/>
    <m/>
    <m/>
    <n v="0"/>
    <m/>
    <m/>
    <m/>
    <m/>
    <m/>
    <m/>
    <m/>
    <m/>
    <m/>
    <n v="71500"/>
    <n v="56992"/>
    <m/>
    <m/>
    <m/>
  </r>
  <r>
    <x v="431"/>
    <n v="266565.27857142902"/>
    <n v="4.5857142857142899"/>
    <n v="3.7570247619047601"/>
    <n v="0.81928888888888896"/>
    <n v="0.99"/>
    <m/>
    <m/>
    <m/>
    <m/>
    <m/>
    <n v="0"/>
    <m/>
    <n v="0"/>
    <n v="0"/>
    <n v="0"/>
    <n v="0"/>
    <n v="0"/>
    <m/>
    <m/>
    <m/>
    <m/>
    <m/>
    <m/>
    <m/>
    <m/>
    <m/>
    <m/>
    <n v="0"/>
    <n v="0"/>
    <m/>
    <m/>
    <m/>
    <m/>
    <m/>
    <m/>
    <m/>
    <m/>
    <m/>
    <m/>
    <m/>
    <m/>
    <n v="0"/>
    <m/>
    <m/>
    <m/>
    <m/>
    <m/>
    <m/>
    <m/>
    <m/>
    <m/>
    <n v="71500"/>
    <n v="56992"/>
    <m/>
    <m/>
    <m/>
  </r>
  <r>
    <x v="432"/>
    <n v="266565.27857142902"/>
    <n v="4.5857142857142899"/>
    <n v="3.7569738095238101"/>
    <n v="0.81927777777777799"/>
    <n v="0.99"/>
    <m/>
    <m/>
    <m/>
    <m/>
    <m/>
    <n v="0"/>
    <m/>
    <n v="0"/>
    <n v="0"/>
    <n v="0"/>
    <n v="0"/>
    <n v="0"/>
    <m/>
    <m/>
    <m/>
    <m/>
    <m/>
    <m/>
    <m/>
    <m/>
    <m/>
    <m/>
    <n v="0"/>
    <n v="0"/>
    <m/>
    <m/>
    <m/>
    <m/>
    <m/>
    <m/>
    <m/>
    <m/>
    <m/>
    <m/>
    <m/>
    <m/>
    <n v="0"/>
    <m/>
    <m/>
    <m/>
    <m/>
    <m/>
    <m/>
    <m/>
    <m/>
    <m/>
    <n v="71500"/>
    <n v="56992"/>
    <m/>
    <m/>
    <m/>
  </r>
  <r>
    <x v="433"/>
    <n v="266565.27857142902"/>
    <n v="4.5857142857142899"/>
    <n v="3.7569228571428601"/>
    <n v="0.81926666666666703"/>
    <n v="0.99"/>
    <m/>
    <m/>
    <m/>
    <m/>
    <m/>
    <n v="0"/>
    <m/>
    <n v="0"/>
    <n v="0"/>
    <n v="0"/>
    <n v="0"/>
    <n v="0"/>
    <m/>
    <m/>
    <m/>
    <m/>
    <m/>
    <m/>
    <m/>
    <m/>
    <m/>
    <m/>
    <n v="0"/>
    <n v="0"/>
    <m/>
    <m/>
    <m/>
    <m/>
    <m/>
    <m/>
    <m/>
    <m/>
    <m/>
    <m/>
    <m/>
    <m/>
    <n v="0"/>
    <m/>
    <m/>
    <m/>
    <m/>
    <m/>
    <m/>
    <m/>
    <m/>
    <m/>
    <n v="71500"/>
    <n v="56992"/>
    <m/>
    <m/>
    <m/>
  </r>
  <r>
    <x v="434"/>
    <n v="266565.27857142902"/>
    <n v="4.5857142857142899"/>
    <n v="3.7568719047619101"/>
    <n v="0.81925555555555596"/>
    <n v="0.99"/>
    <m/>
    <m/>
    <m/>
    <m/>
    <m/>
    <n v="0"/>
    <m/>
    <n v="0"/>
    <n v="0"/>
    <n v="0"/>
    <n v="0"/>
    <n v="0"/>
    <m/>
    <m/>
    <m/>
    <m/>
    <m/>
    <m/>
    <m/>
    <m/>
    <m/>
    <m/>
    <n v="0"/>
    <n v="0"/>
    <m/>
    <m/>
    <m/>
    <m/>
    <m/>
    <m/>
    <m/>
    <m/>
    <m/>
    <m/>
    <m/>
    <m/>
    <n v="0"/>
    <m/>
    <m/>
    <m/>
    <m/>
    <m/>
    <m/>
    <m/>
    <m/>
    <m/>
    <n v="71500"/>
    <n v="56992"/>
    <m/>
    <m/>
    <m/>
  </r>
  <r>
    <x v="435"/>
    <n v="266565.27857142902"/>
    <n v="4.5857142857142899"/>
    <n v="3.7568209523809499"/>
    <n v="0.819244444444444"/>
    <n v="0.99"/>
    <m/>
    <m/>
    <m/>
    <m/>
    <m/>
    <n v="0"/>
    <m/>
    <n v="0"/>
    <n v="0"/>
    <n v="0"/>
    <n v="0"/>
    <n v="0"/>
    <m/>
    <m/>
    <m/>
    <m/>
    <m/>
    <m/>
    <m/>
    <m/>
    <m/>
    <m/>
    <n v="0"/>
    <n v="0"/>
    <m/>
    <m/>
    <m/>
    <m/>
    <m/>
    <m/>
    <m/>
    <m/>
    <m/>
    <m/>
    <m/>
    <m/>
    <n v="0"/>
    <m/>
    <m/>
    <m/>
    <m/>
    <m/>
    <m/>
    <m/>
    <m/>
    <m/>
    <n v="71500"/>
    <n v="56992"/>
    <m/>
    <m/>
    <m/>
  </r>
  <r>
    <x v="436"/>
    <n v="266565.27857142902"/>
    <n v="4.5857142857142899"/>
    <n v="3.7567699999999999"/>
    <n v="0.81923333333333304"/>
    <n v="0.99"/>
    <m/>
    <m/>
    <m/>
    <m/>
    <m/>
    <n v="0"/>
    <m/>
    <n v="0"/>
    <n v="0"/>
    <n v="0"/>
    <n v="0"/>
    <n v="0"/>
    <m/>
    <m/>
    <m/>
    <m/>
    <m/>
    <m/>
    <m/>
    <m/>
    <m/>
    <m/>
    <n v="0"/>
    <n v="0"/>
    <m/>
    <m/>
    <m/>
    <m/>
    <m/>
    <m/>
    <m/>
    <m/>
    <m/>
    <m/>
    <m/>
    <m/>
    <n v="0"/>
    <m/>
    <m/>
    <m/>
    <m/>
    <m/>
    <m/>
    <m/>
    <m/>
    <m/>
    <n v="71500"/>
    <n v="56992"/>
    <m/>
    <m/>
    <m/>
  </r>
  <r>
    <x v="437"/>
    <n v="266565.27857142902"/>
    <n v="4.5857142857142899"/>
    <n v="3.75671904761905"/>
    <n v="0.81922222222222196"/>
    <n v="0.99"/>
    <m/>
    <m/>
    <m/>
    <m/>
    <m/>
    <n v="0"/>
    <m/>
    <n v="0"/>
    <n v="0"/>
    <n v="0"/>
    <n v="0"/>
    <n v="0"/>
    <m/>
    <m/>
    <m/>
    <m/>
    <m/>
    <m/>
    <m/>
    <m/>
    <m/>
    <m/>
    <n v="0"/>
    <n v="0"/>
    <m/>
    <m/>
    <m/>
    <m/>
    <m/>
    <m/>
    <m/>
    <m/>
    <m/>
    <m/>
    <m/>
    <m/>
    <n v="0"/>
    <m/>
    <m/>
    <m/>
    <m/>
    <m/>
    <m/>
    <m/>
    <m/>
    <m/>
    <n v="71500"/>
    <n v="56992"/>
    <m/>
    <m/>
    <m/>
  </r>
  <r>
    <x v="438"/>
    <n v="266565.27857142902"/>
    <n v="4.5857142857142899"/>
    <n v="3.7566680952381"/>
    <n v="0.819211111111111"/>
    <n v="0.99"/>
    <m/>
    <m/>
    <m/>
    <m/>
    <m/>
    <n v="0"/>
    <m/>
    <n v="0"/>
    <n v="0"/>
    <n v="0"/>
    <n v="0"/>
    <n v="0"/>
    <m/>
    <m/>
    <m/>
    <m/>
    <m/>
    <m/>
    <m/>
    <m/>
    <m/>
    <m/>
    <n v="0"/>
    <n v="0"/>
    <m/>
    <m/>
    <m/>
    <m/>
    <m/>
    <m/>
    <m/>
    <m/>
    <m/>
    <m/>
    <m/>
    <m/>
    <n v="0"/>
    <m/>
    <m/>
    <m/>
    <m/>
    <m/>
    <m/>
    <m/>
    <m/>
    <m/>
    <n v="71500"/>
    <n v="56992"/>
    <m/>
    <m/>
    <m/>
  </r>
  <r>
    <x v="439"/>
    <n v="266565.27857142902"/>
    <n v="4.5857142857142899"/>
    <n v="3.7566171428571402"/>
    <n v="0.81920000000000004"/>
    <n v="0.99"/>
    <m/>
    <m/>
    <m/>
    <m/>
    <m/>
    <n v="0"/>
    <m/>
    <n v="0"/>
    <n v="0"/>
    <n v="0"/>
    <n v="0"/>
    <n v="0"/>
    <m/>
    <m/>
    <m/>
    <m/>
    <m/>
    <m/>
    <m/>
    <m/>
    <m/>
    <m/>
    <n v="0"/>
    <n v="0"/>
    <m/>
    <m/>
    <m/>
    <m/>
    <m/>
    <m/>
    <m/>
    <m/>
    <m/>
    <m/>
    <m/>
    <m/>
    <n v="0"/>
    <m/>
    <m/>
    <m/>
    <m/>
    <m/>
    <m/>
    <m/>
    <m/>
    <m/>
    <n v="71500"/>
    <n v="56992"/>
    <m/>
    <m/>
    <m/>
  </r>
  <r>
    <x v="440"/>
    <n v="266565.27857142902"/>
    <n v="4.5857142857142899"/>
    <n v="3.7565661904761898"/>
    <n v="0.81918888888888897"/>
    <n v="0.99"/>
    <m/>
    <m/>
    <m/>
    <m/>
    <m/>
    <n v="0"/>
    <m/>
    <n v="0"/>
    <n v="0"/>
    <n v="0"/>
    <n v="0"/>
    <n v="0"/>
    <m/>
    <m/>
    <m/>
    <m/>
    <m/>
    <m/>
    <m/>
    <m/>
    <m/>
    <m/>
    <n v="0"/>
    <n v="0"/>
    <m/>
    <m/>
    <m/>
    <m/>
    <m/>
    <m/>
    <m/>
    <m/>
    <m/>
    <m/>
    <m/>
    <m/>
    <n v="0"/>
    <m/>
    <m/>
    <m/>
    <m/>
    <m/>
    <m/>
    <m/>
    <m/>
    <m/>
    <n v="71500"/>
    <n v="56992"/>
    <m/>
    <m/>
    <m/>
  </r>
  <r>
    <x v="441"/>
    <n v="266565.27857142902"/>
    <n v="4.5857142857142899"/>
    <n v="3.7565152380952398"/>
    <n v="0.819177777777778"/>
    <n v="0.99"/>
    <m/>
    <m/>
    <m/>
    <m/>
    <m/>
    <n v="0"/>
    <m/>
    <n v="0"/>
    <n v="0"/>
    <n v="0"/>
    <n v="0"/>
    <n v="0"/>
    <m/>
    <m/>
    <m/>
    <m/>
    <m/>
    <m/>
    <m/>
    <m/>
    <m/>
    <m/>
    <n v="0"/>
    <n v="0"/>
    <m/>
    <m/>
    <m/>
    <m/>
    <m/>
    <m/>
    <m/>
    <m/>
    <m/>
    <m/>
    <m/>
    <m/>
    <n v="0"/>
    <m/>
    <m/>
    <m/>
    <m/>
    <m/>
    <m/>
    <m/>
    <m/>
    <m/>
    <n v="71500"/>
    <n v="56992"/>
    <m/>
    <m/>
    <m/>
  </r>
  <r>
    <x v="442"/>
    <n v="266565.27857142902"/>
    <n v="4.5857142857142899"/>
    <n v="3.7564642857142898"/>
    <n v="0.81916666666666704"/>
    <n v="0.99"/>
    <m/>
    <m/>
    <m/>
    <m/>
    <m/>
    <n v="0"/>
    <m/>
    <n v="0"/>
    <n v="0"/>
    <n v="0"/>
    <n v="0"/>
    <n v="0"/>
    <m/>
    <m/>
    <m/>
    <m/>
    <m/>
    <m/>
    <m/>
    <m/>
    <m/>
    <m/>
    <n v="0"/>
    <n v="0"/>
    <m/>
    <m/>
    <m/>
    <m/>
    <m/>
    <m/>
    <m/>
    <m/>
    <m/>
    <m/>
    <m/>
    <m/>
    <n v="0"/>
    <m/>
    <m/>
    <m/>
    <m/>
    <m/>
    <m/>
    <m/>
    <m/>
    <m/>
    <n v="71500"/>
    <n v="56992"/>
    <m/>
    <m/>
    <m/>
  </r>
  <r>
    <x v="443"/>
    <n v="266565.27857142902"/>
    <n v="4.5857142857142899"/>
    <n v="3.7564133333333301"/>
    <n v="0.81915555555555597"/>
    <n v="0.99"/>
    <m/>
    <m/>
    <m/>
    <m/>
    <m/>
    <n v="0"/>
    <m/>
    <n v="0"/>
    <n v="0"/>
    <n v="0"/>
    <n v="0"/>
    <n v="0"/>
    <m/>
    <m/>
    <m/>
    <m/>
    <m/>
    <m/>
    <m/>
    <m/>
    <m/>
    <m/>
    <n v="0"/>
    <n v="0"/>
    <m/>
    <m/>
    <m/>
    <m/>
    <m/>
    <m/>
    <m/>
    <m/>
    <m/>
    <m/>
    <m/>
    <m/>
    <n v="0"/>
    <m/>
    <m/>
    <m/>
    <m/>
    <m/>
    <m/>
    <m/>
    <m/>
    <m/>
    <n v="71500"/>
    <n v="56992"/>
    <m/>
    <m/>
    <m/>
  </r>
  <r>
    <x v="444"/>
    <n v="266565.27857142902"/>
    <n v="4.5857142857142899"/>
    <n v="3.7563623809523801"/>
    <n v="0.81914444444444401"/>
    <n v="0.99"/>
    <m/>
    <m/>
    <m/>
    <m/>
    <m/>
    <n v="0"/>
    <m/>
    <n v="0"/>
    <n v="0"/>
    <n v="0"/>
    <n v="0"/>
    <n v="0"/>
    <m/>
    <m/>
    <m/>
    <m/>
    <m/>
    <m/>
    <m/>
    <m/>
    <m/>
    <m/>
    <n v="0"/>
    <n v="0"/>
    <m/>
    <m/>
    <m/>
    <m/>
    <m/>
    <m/>
    <m/>
    <m/>
    <m/>
    <m/>
    <m/>
    <m/>
    <n v="0"/>
    <m/>
    <m/>
    <m/>
    <m/>
    <m/>
    <m/>
    <m/>
    <m/>
    <m/>
    <n v="71500"/>
    <n v="56992"/>
    <m/>
    <m/>
    <m/>
  </r>
  <r>
    <x v="445"/>
    <n v="266565.27857142902"/>
    <n v="4.5857142857142899"/>
    <n v="3.7563114285714301"/>
    <n v="0.81913333333333305"/>
    <n v="0.99"/>
    <m/>
    <m/>
    <m/>
    <m/>
    <m/>
    <n v="0"/>
    <m/>
    <n v="0"/>
    <n v="0"/>
    <n v="0"/>
    <n v="0"/>
    <n v="0"/>
    <m/>
    <m/>
    <m/>
    <m/>
    <m/>
    <m/>
    <m/>
    <m/>
    <m/>
    <m/>
    <n v="0"/>
    <n v="0"/>
    <m/>
    <m/>
    <m/>
    <m/>
    <m/>
    <m/>
    <m/>
    <m/>
    <m/>
    <m/>
    <m/>
    <m/>
    <n v="0"/>
    <m/>
    <m/>
    <m/>
    <m/>
    <m/>
    <m/>
    <m/>
    <m/>
    <m/>
    <n v="71500"/>
    <n v="56992"/>
    <m/>
    <m/>
    <m/>
  </r>
  <r>
    <x v="446"/>
    <n v="266565.27857142902"/>
    <n v="4.5857142857142899"/>
    <n v="3.7562604761904801"/>
    <n v="0.81912222222222197"/>
    <n v="0.99"/>
    <m/>
    <m/>
    <m/>
    <m/>
    <m/>
    <n v="0"/>
    <m/>
    <n v="0"/>
    <n v="0"/>
    <n v="0"/>
    <n v="0"/>
    <n v="0"/>
    <m/>
    <m/>
    <m/>
    <m/>
    <m/>
    <m/>
    <m/>
    <m/>
    <m/>
    <m/>
    <n v="0"/>
    <n v="0"/>
    <m/>
    <m/>
    <m/>
    <m/>
    <m/>
    <m/>
    <m/>
    <m/>
    <m/>
    <m/>
    <m/>
    <m/>
    <n v="0"/>
    <m/>
    <m/>
    <m/>
    <m/>
    <m/>
    <m/>
    <m/>
    <m/>
    <m/>
    <n v="71500"/>
    <n v="56992"/>
    <m/>
    <m/>
    <m/>
  </r>
  <r>
    <x v="447"/>
    <n v="266565.27857142902"/>
    <n v="4.5857142857142899"/>
    <n v="3.7562095238095199"/>
    <n v="0.81911111111111101"/>
    <n v="0.99"/>
    <m/>
    <m/>
    <m/>
    <m/>
    <m/>
    <n v="0"/>
    <m/>
    <n v="0"/>
    <n v="0"/>
    <n v="0"/>
    <n v="0"/>
    <n v="0"/>
    <m/>
    <m/>
    <m/>
    <m/>
    <m/>
    <m/>
    <m/>
    <m/>
    <m/>
    <m/>
    <n v="0"/>
    <n v="0"/>
    <m/>
    <m/>
    <m/>
    <m/>
    <m/>
    <m/>
    <m/>
    <m/>
    <m/>
    <m/>
    <m/>
    <m/>
    <n v="0"/>
    <m/>
    <m/>
    <m/>
    <m/>
    <m/>
    <m/>
    <m/>
    <m/>
    <m/>
    <n v="71500"/>
    <n v="56992"/>
    <m/>
    <m/>
    <m/>
  </r>
  <r>
    <x v="448"/>
    <n v="266565.27857142902"/>
    <n v="4.5857142857142899"/>
    <n v="3.7561585714285699"/>
    <n v="0.81910000000000005"/>
    <n v="0.99"/>
    <m/>
    <m/>
    <m/>
    <m/>
    <m/>
    <n v="0"/>
    <m/>
    <n v="0"/>
    <n v="0"/>
    <n v="0"/>
    <n v="0"/>
    <n v="0"/>
    <m/>
    <m/>
    <m/>
    <m/>
    <m/>
    <m/>
    <m/>
    <m/>
    <m/>
    <m/>
    <n v="0"/>
    <n v="0"/>
    <m/>
    <m/>
    <m/>
    <m/>
    <m/>
    <m/>
    <m/>
    <m/>
    <m/>
    <m/>
    <m/>
    <m/>
    <n v="0"/>
    <m/>
    <m/>
    <m/>
    <m/>
    <m/>
    <m/>
    <m/>
    <m/>
    <m/>
    <n v="71500"/>
    <n v="56992"/>
    <m/>
    <m/>
    <m/>
  </r>
  <r>
    <x v="449"/>
    <n v="266565.27857142902"/>
    <n v="4.5857142857142899"/>
    <n v="3.7561076190476199"/>
    <n v="0.81908888888888898"/>
    <n v="0.99"/>
    <m/>
    <m/>
    <m/>
    <m/>
    <m/>
    <n v="0"/>
    <m/>
    <n v="0"/>
    <n v="0"/>
    <n v="0"/>
    <n v="0"/>
    <n v="0"/>
    <m/>
    <m/>
    <m/>
    <m/>
    <m/>
    <m/>
    <m/>
    <m/>
    <m/>
    <m/>
    <n v="0"/>
    <n v="0"/>
    <m/>
    <m/>
    <m/>
    <m/>
    <m/>
    <m/>
    <m/>
    <m/>
    <m/>
    <m/>
    <m/>
    <m/>
    <n v="0"/>
    <m/>
    <m/>
    <m/>
    <m/>
    <m/>
    <m/>
    <m/>
    <m/>
    <m/>
    <n v="71500"/>
    <n v="56992"/>
    <m/>
    <m/>
    <m/>
  </r>
  <r>
    <x v="450"/>
    <n v="266565.27857142902"/>
    <n v="4.5857142857142899"/>
    <n v="3.7560566666666699"/>
    <n v="0.81907777777777802"/>
    <n v="0.99"/>
    <m/>
    <m/>
    <m/>
    <m/>
    <m/>
    <n v="0"/>
    <m/>
    <n v="0"/>
    <n v="0"/>
    <n v="0"/>
    <n v="0"/>
    <n v="0"/>
    <m/>
    <m/>
    <m/>
    <m/>
    <m/>
    <m/>
    <m/>
    <m/>
    <m/>
    <m/>
    <n v="0"/>
    <n v="0"/>
    <m/>
    <m/>
    <m/>
    <m/>
    <m/>
    <m/>
    <m/>
    <m/>
    <m/>
    <m/>
    <m/>
    <m/>
    <n v="0"/>
    <m/>
    <m/>
    <m/>
    <m/>
    <m/>
    <m/>
    <m/>
    <m/>
    <m/>
    <n v="71500"/>
    <n v="56992"/>
    <m/>
    <m/>
    <m/>
  </r>
  <r>
    <x v="451"/>
    <n v="266565.27857142902"/>
    <n v="4.5857142857142899"/>
    <n v="3.7560057142857102"/>
    <n v="0.81906666666666705"/>
    <n v="0.99"/>
    <m/>
    <m/>
    <m/>
    <m/>
    <m/>
    <n v="0"/>
    <m/>
    <n v="0"/>
    <n v="0"/>
    <n v="0"/>
    <n v="0"/>
    <n v="0"/>
    <m/>
    <m/>
    <m/>
    <m/>
    <m/>
    <m/>
    <m/>
    <m/>
    <m/>
    <m/>
    <n v="0"/>
    <n v="0"/>
    <m/>
    <m/>
    <m/>
    <m/>
    <m/>
    <m/>
    <m/>
    <m/>
    <m/>
    <m/>
    <m/>
    <m/>
    <n v="0"/>
    <m/>
    <m/>
    <m/>
    <m/>
    <m/>
    <m/>
    <m/>
    <m/>
    <m/>
    <n v="71500"/>
    <n v="56992"/>
    <m/>
    <m/>
    <m/>
  </r>
  <r>
    <x v="452"/>
    <n v="266565.27857142902"/>
    <n v="4.5857142857142899"/>
    <n v="3.7559547619047602"/>
    <n v="0.81905555555555598"/>
    <n v="0.99"/>
    <m/>
    <m/>
    <m/>
    <m/>
    <m/>
    <n v="0"/>
    <m/>
    <n v="0"/>
    <n v="0"/>
    <n v="0"/>
    <n v="0"/>
    <n v="0"/>
    <m/>
    <m/>
    <m/>
    <m/>
    <m/>
    <m/>
    <m/>
    <m/>
    <m/>
    <m/>
    <n v="0"/>
    <n v="0"/>
    <m/>
    <m/>
    <m/>
    <m/>
    <m/>
    <m/>
    <m/>
    <m/>
    <m/>
    <m/>
    <m/>
    <m/>
    <n v="0"/>
    <m/>
    <m/>
    <m/>
    <m/>
    <m/>
    <m/>
    <m/>
    <m/>
    <m/>
    <n v="71500"/>
    <n v="56992"/>
    <m/>
    <m/>
    <m/>
  </r>
  <r>
    <x v="453"/>
    <n v="266565.27857142902"/>
    <n v="4.5857142857142899"/>
    <n v="3.7559038095238102"/>
    <n v="0.81904444444444402"/>
    <n v="0.99"/>
    <m/>
    <m/>
    <m/>
    <m/>
    <m/>
    <n v="0"/>
    <m/>
    <n v="0"/>
    <n v="0"/>
    <n v="0"/>
    <n v="0"/>
    <n v="0"/>
    <m/>
    <m/>
    <m/>
    <m/>
    <m/>
    <m/>
    <m/>
    <m/>
    <m/>
    <m/>
    <n v="0"/>
    <n v="0"/>
    <m/>
    <m/>
    <m/>
    <m/>
    <m/>
    <m/>
    <m/>
    <m/>
    <m/>
    <m/>
    <m/>
    <m/>
    <n v="0"/>
    <m/>
    <m/>
    <m/>
    <m/>
    <m/>
    <m/>
    <m/>
    <m/>
    <m/>
    <n v="71500"/>
    <n v="56992"/>
    <m/>
    <m/>
    <m/>
  </r>
  <r>
    <x v="454"/>
    <n v="266565.27857142902"/>
    <n v="4.5857142857142899"/>
    <n v="3.7558528571428602"/>
    <n v="0.81903333333333295"/>
    <n v="0.99"/>
    <m/>
    <m/>
    <m/>
    <m/>
    <m/>
    <n v="0"/>
    <m/>
    <n v="0"/>
    <n v="0"/>
    <n v="0"/>
    <n v="0"/>
    <n v="0"/>
    <m/>
    <m/>
    <m/>
    <m/>
    <m/>
    <m/>
    <m/>
    <m/>
    <m/>
    <m/>
    <n v="0"/>
    <n v="0"/>
    <m/>
    <m/>
    <m/>
    <m/>
    <m/>
    <m/>
    <m/>
    <m/>
    <m/>
    <m/>
    <m/>
    <m/>
    <n v="0"/>
    <m/>
    <m/>
    <m/>
    <m/>
    <m/>
    <m/>
    <m/>
    <m/>
    <m/>
    <n v="71500"/>
    <n v="56992"/>
    <m/>
    <m/>
    <m/>
  </r>
  <r>
    <x v="455"/>
    <n v="269369.09999999998"/>
    <n v="4.5999999999999996"/>
    <n v="3.7673999999999999"/>
    <n v="0.81899999999999995"/>
    <n v="0.99"/>
    <m/>
    <m/>
    <m/>
    <m/>
    <m/>
    <n v="0"/>
    <m/>
    <n v="0"/>
    <n v="0"/>
    <n v="0"/>
    <n v="0"/>
    <n v="0"/>
    <m/>
    <m/>
    <m/>
    <m/>
    <m/>
    <m/>
    <m/>
    <m/>
    <m/>
    <m/>
    <n v="0"/>
    <n v="0"/>
    <m/>
    <m/>
    <m/>
    <m/>
    <m/>
    <m/>
    <m/>
    <m/>
    <m/>
    <m/>
    <m/>
    <m/>
    <n v="0"/>
    <m/>
    <m/>
    <m/>
    <m/>
    <m/>
    <m/>
    <m/>
    <m/>
    <m/>
    <n v="71500"/>
    <n v="56992"/>
    <m/>
    <m/>
    <m/>
  </r>
  <r>
    <x v="456"/>
    <n v="269369.09999999998"/>
    <n v="4.5999999999999996"/>
    <n v="3.7673488888888902"/>
    <n v="0.81898888888888899"/>
    <n v="0.99"/>
    <m/>
    <m/>
    <m/>
    <m/>
    <m/>
    <n v="0"/>
    <m/>
    <n v="0"/>
    <n v="0"/>
    <n v="0"/>
    <n v="0"/>
    <n v="0"/>
    <m/>
    <m/>
    <m/>
    <m/>
    <m/>
    <m/>
    <m/>
    <m/>
    <m/>
    <m/>
    <n v="0"/>
    <n v="0"/>
    <m/>
    <m/>
    <m/>
    <m/>
    <m/>
    <m/>
    <m/>
    <m/>
    <m/>
    <m/>
    <m/>
    <m/>
    <n v="0"/>
    <m/>
    <m/>
    <m/>
    <m/>
    <m/>
    <m/>
    <m/>
    <m/>
    <m/>
    <n v="71500"/>
    <n v="56992"/>
    <m/>
    <m/>
    <m/>
  </r>
  <r>
    <x v="457"/>
    <n v="269369.09999999998"/>
    <n v="4.5999999999999996"/>
    <n v="3.7672977777777801"/>
    <n v="0.81897777777777803"/>
    <n v="0.99"/>
    <m/>
    <m/>
    <m/>
    <m/>
    <m/>
    <n v="0"/>
    <m/>
    <n v="0"/>
    <n v="0"/>
    <n v="0"/>
    <n v="0"/>
    <n v="0"/>
    <m/>
    <m/>
    <m/>
    <m/>
    <m/>
    <m/>
    <m/>
    <m/>
    <m/>
    <m/>
    <n v="0"/>
    <n v="0"/>
    <m/>
    <m/>
    <m/>
    <m/>
    <m/>
    <m/>
    <m/>
    <m/>
    <m/>
    <m/>
    <m/>
    <m/>
    <n v="0"/>
    <m/>
    <m/>
    <m/>
    <m/>
    <m/>
    <m/>
    <m/>
    <m/>
    <m/>
    <n v="71500"/>
    <n v="56992"/>
    <m/>
    <m/>
    <m/>
  </r>
  <r>
    <x v="458"/>
    <n v="269369.09999999998"/>
    <n v="4.5999999999999996"/>
    <n v="3.76724666666667"/>
    <n v="0.81896666666666695"/>
    <n v="0.99"/>
    <m/>
    <m/>
    <m/>
    <m/>
    <m/>
    <n v="0"/>
    <m/>
    <n v="0"/>
    <n v="0"/>
    <n v="0"/>
    <n v="0"/>
    <n v="0"/>
    <m/>
    <m/>
    <m/>
    <m/>
    <m/>
    <m/>
    <m/>
    <m/>
    <m/>
    <m/>
    <n v="0"/>
    <n v="0"/>
    <m/>
    <m/>
    <m/>
    <m/>
    <m/>
    <m/>
    <m/>
    <m/>
    <m/>
    <m/>
    <m/>
    <m/>
    <n v="0"/>
    <m/>
    <m/>
    <m/>
    <m/>
    <m/>
    <m/>
    <m/>
    <m/>
    <m/>
    <n v="71500"/>
    <n v="56992"/>
    <m/>
    <m/>
    <m/>
  </r>
  <r>
    <x v="459"/>
    <n v="269369.09999999998"/>
    <n v="4.5999999999999996"/>
    <n v="3.7671955555555598"/>
    <n v="0.81895555555555599"/>
    <n v="0.99"/>
    <m/>
    <m/>
    <m/>
    <m/>
    <m/>
    <n v="0"/>
    <m/>
    <n v="0"/>
    <n v="0"/>
    <n v="0"/>
    <n v="0"/>
    <n v="0"/>
    <m/>
    <m/>
    <m/>
    <m/>
    <m/>
    <m/>
    <m/>
    <m/>
    <m/>
    <m/>
    <n v="0"/>
    <n v="0"/>
    <m/>
    <m/>
    <m/>
    <m/>
    <m/>
    <m/>
    <m/>
    <m/>
    <m/>
    <m/>
    <m/>
    <m/>
    <n v="0"/>
    <m/>
    <m/>
    <m/>
    <m/>
    <m/>
    <m/>
    <m/>
    <m/>
    <m/>
    <n v="71500"/>
    <n v="56992"/>
    <m/>
    <m/>
    <m/>
  </r>
  <r>
    <x v="460"/>
    <n v="269369.09999999998"/>
    <n v="4.5999999999999996"/>
    <n v="3.76714444444444"/>
    <n v="0.81894444444444403"/>
    <n v="0.99"/>
    <m/>
    <m/>
    <m/>
    <m/>
    <m/>
    <n v="0"/>
    <m/>
    <n v="0"/>
    <n v="0"/>
    <n v="0"/>
    <n v="0"/>
    <n v="0"/>
    <m/>
    <m/>
    <m/>
    <m/>
    <m/>
    <m/>
    <m/>
    <m/>
    <m/>
    <m/>
    <n v="0"/>
    <n v="0"/>
    <m/>
    <m/>
    <m/>
    <m/>
    <m/>
    <m/>
    <m/>
    <m/>
    <m/>
    <m/>
    <m/>
    <m/>
    <n v="0"/>
    <m/>
    <m/>
    <m/>
    <m/>
    <m/>
    <m/>
    <m/>
    <m/>
    <m/>
    <n v="71500"/>
    <n v="56992"/>
    <m/>
    <m/>
    <m/>
  </r>
  <r>
    <x v="461"/>
    <n v="269369.09999999998"/>
    <n v="4.5999999999999996"/>
    <n v="3.7670933333333299"/>
    <n v="0.81893333333333296"/>
    <n v="0.99"/>
    <m/>
    <m/>
    <m/>
    <m/>
    <m/>
    <n v="0"/>
    <m/>
    <n v="0"/>
    <n v="0"/>
    <n v="0"/>
    <n v="0"/>
    <n v="0"/>
    <m/>
    <m/>
    <m/>
    <m/>
    <m/>
    <m/>
    <m/>
    <m/>
    <m/>
    <m/>
    <n v="0"/>
    <n v="0"/>
    <m/>
    <m/>
    <m/>
    <m/>
    <m/>
    <m/>
    <m/>
    <m/>
    <m/>
    <m/>
    <m/>
    <m/>
    <n v="0"/>
    <m/>
    <m/>
    <m/>
    <m/>
    <m/>
    <m/>
    <m/>
    <m/>
    <m/>
    <n v="71500"/>
    <n v="56992"/>
    <m/>
    <m/>
    <m/>
  </r>
  <r>
    <x v="462"/>
    <n v="269369.09999999998"/>
    <n v="4.5999999999999996"/>
    <n v="3.7670422222222202"/>
    <n v="0.818922222222222"/>
    <n v="0.99"/>
    <m/>
    <m/>
    <m/>
    <m/>
    <m/>
    <n v="0"/>
    <m/>
    <n v="0"/>
    <n v="0"/>
    <n v="0"/>
    <n v="0"/>
    <n v="0"/>
    <m/>
    <m/>
    <m/>
    <m/>
    <m/>
    <m/>
    <m/>
    <m/>
    <m/>
    <m/>
    <n v="0"/>
    <n v="0"/>
    <m/>
    <m/>
    <m/>
    <m/>
    <m/>
    <m/>
    <m/>
    <m/>
    <m/>
    <m/>
    <m/>
    <m/>
    <n v="0"/>
    <m/>
    <m/>
    <m/>
    <m/>
    <m/>
    <m/>
    <m/>
    <m/>
    <m/>
    <n v="71500"/>
    <n v="56992"/>
    <m/>
    <m/>
    <m/>
  </r>
  <r>
    <x v="463"/>
    <n v="269369.09999999998"/>
    <n v="4.5999999999999996"/>
    <n v="3.7669911111111101"/>
    <n v="0.81891111111111103"/>
    <n v="0.99"/>
    <m/>
    <m/>
    <m/>
    <m/>
    <m/>
    <n v="0"/>
    <m/>
    <n v="0"/>
    <n v="0"/>
    <n v="0"/>
    <n v="0"/>
    <n v="0"/>
    <m/>
    <m/>
    <m/>
    <m/>
    <m/>
    <m/>
    <m/>
    <m/>
    <m/>
    <m/>
    <n v="0"/>
    <n v="0"/>
    <m/>
    <m/>
    <m/>
    <m/>
    <m/>
    <m/>
    <m/>
    <m/>
    <m/>
    <m/>
    <m/>
    <m/>
    <n v="0"/>
    <m/>
    <m/>
    <m/>
    <m/>
    <m/>
    <m/>
    <m/>
    <m/>
    <m/>
    <n v="71500"/>
    <n v="56992"/>
    <m/>
    <m/>
    <m/>
  </r>
  <r>
    <x v="464"/>
    <n v="269369.09999999998"/>
    <n v="4.5999999999999996"/>
    <n v="3.76694"/>
    <n v="0.81889999999999996"/>
    <n v="0.99"/>
    <m/>
    <m/>
    <m/>
    <m/>
    <m/>
    <n v="0"/>
    <m/>
    <n v="0"/>
    <n v="0"/>
    <n v="0"/>
    <n v="0"/>
    <n v="0"/>
    <m/>
    <m/>
    <m/>
    <m/>
    <m/>
    <m/>
    <m/>
    <m/>
    <m/>
    <m/>
    <n v="0"/>
    <n v="0"/>
    <m/>
    <m/>
    <m/>
    <m/>
    <m/>
    <m/>
    <m/>
    <m/>
    <m/>
    <m/>
    <m/>
    <m/>
    <n v="0"/>
    <m/>
    <m/>
    <m/>
    <m/>
    <m/>
    <m/>
    <m/>
    <m/>
    <m/>
    <n v="71500"/>
    <n v="56992"/>
    <m/>
    <m/>
    <m/>
  </r>
  <r>
    <x v="465"/>
    <n v="269369.09999999998"/>
    <n v="4.5999999999999996"/>
    <n v="3.7668888888888898"/>
    <n v="0.818888888888889"/>
    <n v="0.99"/>
    <m/>
    <m/>
    <m/>
    <m/>
    <m/>
    <n v="0"/>
    <m/>
    <n v="0"/>
    <n v="0"/>
    <n v="0"/>
    <n v="0"/>
    <n v="0"/>
    <m/>
    <m/>
    <m/>
    <m/>
    <m/>
    <m/>
    <m/>
    <m/>
    <m/>
    <m/>
    <n v="0"/>
    <n v="0"/>
    <m/>
    <m/>
    <m/>
    <m/>
    <m/>
    <m/>
    <m/>
    <m/>
    <m/>
    <m/>
    <m/>
    <m/>
    <n v="0"/>
    <m/>
    <m/>
    <m/>
    <m/>
    <m/>
    <m/>
    <m/>
    <m/>
    <m/>
    <n v="71500"/>
    <n v="56992"/>
    <m/>
    <m/>
    <m/>
  </r>
  <r>
    <x v="466"/>
    <n v="269369.09999999998"/>
    <n v="4.5999999999999996"/>
    <n v="3.7668377777777802"/>
    <n v="0.81887777777777804"/>
    <n v="0.99"/>
    <m/>
    <m/>
    <m/>
    <m/>
    <m/>
    <n v="0"/>
    <m/>
    <n v="0"/>
    <n v="0"/>
    <n v="0"/>
    <n v="0"/>
    <n v="0"/>
    <m/>
    <m/>
    <m/>
    <m/>
    <m/>
    <m/>
    <m/>
    <m/>
    <m/>
    <m/>
    <n v="0"/>
    <n v="0"/>
    <m/>
    <m/>
    <m/>
    <m/>
    <m/>
    <m/>
    <m/>
    <m/>
    <m/>
    <m/>
    <m/>
    <m/>
    <n v="0"/>
    <m/>
    <m/>
    <m/>
    <m/>
    <m/>
    <m/>
    <m/>
    <m/>
    <m/>
    <n v="71500"/>
    <n v="56992"/>
    <m/>
    <m/>
    <m/>
  </r>
  <r>
    <x v="467"/>
    <n v="269369.09999999998"/>
    <n v="4.5999999999999996"/>
    <n v="3.7667866666666701"/>
    <n v="0.81886666666666696"/>
    <n v="0.99"/>
    <m/>
    <m/>
    <m/>
    <m/>
    <m/>
    <n v="0"/>
    <m/>
    <n v="0"/>
    <n v="0"/>
    <n v="0"/>
    <n v="0"/>
    <n v="0"/>
    <m/>
    <m/>
    <m/>
    <m/>
    <m/>
    <m/>
    <m/>
    <m/>
    <m/>
    <m/>
    <n v="0"/>
    <n v="0"/>
    <m/>
    <m/>
    <m/>
    <m/>
    <m/>
    <m/>
    <m/>
    <m/>
    <m/>
    <m/>
    <m/>
    <m/>
    <n v="0"/>
    <m/>
    <m/>
    <m/>
    <m/>
    <m/>
    <m/>
    <m/>
    <m/>
    <m/>
    <n v="71500"/>
    <n v="56992"/>
    <m/>
    <m/>
    <m/>
  </r>
  <r>
    <x v="468"/>
    <n v="269369.09999999998"/>
    <n v="4.5999999999999996"/>
    <n v="3.7667355555555599"/>
    <n v="0.818855555555556"/>
    <n v="0.99"/>
    <m/>
    <m/>
    <m/>
    <m/>
    <m/>
    <n v="0"/>
    <m/>
    <n v="0"/>
    <n v="0"/>
    <n v="0"/>
    <n v="0"/>
    <n v="0"/>
    <m/>
    <m/>
    <m/>
    <m/>
    <m/>
    <m/>
    <m/>
    <m/>
    <m/>
    <m/>
    <n v="0"/>
    <n v="0"/>
    <m/>
    <m/>
    <m/>
    <m/>
    <m/>
    <m/>
    <m/>
    <m/>
    <m/>
    <m/>
    <m/>
    <m/>
    <n v="0"/>
    <m/>
    <m/>
    <m/>
    <m/>
    <m/>
    <m/>
    <m/>
    <m/>
    <m/>
    <n v="71500"/>
    <n v="56992"/>
    <m/>
    <m/>
    <m/>
  </r>
  <r>
    <x v="469"/>
    <n v="269369.09999999998"/>
    <n v="4.5999999999999996"/>
    <n v="3.7666844444444401"/>
    <n v="0.81884444444444404"/>
    <n v="0.99"/>
    <m/>
    <m/>
    <m/>
    <m/>
    <m/>
    <n v="0"/>
    <m/>
    <n v="0"/>
    <n v="0"/>
    <n v="0"/>
    <n v="0"/>
    <n v="0"/>
    <m/>
    <m/>
    <m/>
    <m/>
    <m/>
    <m/>
    <m/>
    <m/>
    <m/>
    <m/>
    <n v="0"/>
    <n v="0"/>
    <m/>
    <m/>
    <m/>
    <m/>
    <m/>
    <m/>
    <m/>
    <m/>
    <m/>
    <m/>
    <m/>
    <m/>
    <n v="0"/>
    <m/>
    <m/>
    <m/>
    <m/>
    <m/>
    <m/>
    <m/>
    <m/>
    <m/>
    <n v="71500"/>
    <n v="56992"/>
    <m/>
    <m/>
    <m/>
  </r>
  <r>
    <x v="470"/>
    <n v="269369.09999999998"/>
    <n v="4.5999999999999996"/>
    <n v="3.7666333333333299"/>
    <n v="0.81883333333333297"/>
    <n v="0.99"/>
    <m/>
    <m/>
    <m/>
    <m/>
    <m/>
    <n v="0"/>
    <m/>
    <n v="0"/>
    <n v="0"/>
    <n v="0"/>
    <n v="0"/>
    <n v="0"/>
    <m/>
    <m/>
    <m/>
    <m/>
    <m/>
    <m/>
    <m/>
    <m/>
    <m/>
    <m/>
    <n v="0"/>
    <n v="0"/>
    <m/>
    <m/>
    <m/>
    <m/>
    <m/>
    <m/>
    <m/>
    <m/>
    <m/>
    <m/>
    <m/>
    <m/>
    <n v="0"/>
    <m/>
    <m/>
    <m/>
    <m/>
    <m/>
    <m/>
    <m/>
    <m/>
    <m/>
    <n v="71500"/>
    <n v="56992"/>
    <m/>
    <m/>
    <m/>
  </r>
  <r>
    <x v="471"/>
    <n v="269369.09999999998"/>
    <n v="4.5999999999999996"/>
    <n v="3.7665822222222198"/>
    <n v="0.81882222222222201"/>
    <n v="0.99"/>
    <m/>
    <m/>
    <m/>
    <m/>
    <m/>
    <n v="0"/>
    <m/>
    <n v="0"/>
    <n v="0"/>
    <n v="0"/>
    <n v="0"/>
    <n v="0"/>
    <m/>
    <m/>
    <m/>
    <m/>
    <m/>
    <m/>
    <m/>
    <m/>
    <m/>
    <m/>
    <n v="0"/>
    <n v="0"/>
    <m/>
    <m/>
    <m/>
    <m/>
    <m/>
    <m/>
    <m/>
    <m/>
    <m/>
    <m/>
    <m/>
    <m/>
    <n v="0"/>
    <m/>
    <m/>
    <m/>
    <m/>
    <m/>
    <m/>
    <m/>
    <m/>
    <m/>
    <n v="71500"/>
    <n v="56992"/>
    <m/>
    <m/>
    <m/>
  </r>
  <r>
    <x v="472"/>
    <n v="269369.09999999998"/>
    <n v="4.5999999999999996"/>
    <n v="3.7665311111111102"/>
    <n v="0.81881111111111105"/>
    <n v="0.99"/>
    <m/>
    <m/>
    <m/>
    <m/>
    <m/>
    <n v="0"/>
    <m/>
    <n v="0"/>
    <n v="0"/>
    <n v="0"/>
    <n v="0"/>
    <n v="0"/>
    <m/>
    <m/>
    <m/>
    <m/>
    <m/>
    <m/>
    <m/>
    <m/>
    <m/>
    <m/>
    <n v="0"/>
    <n v="0"/>
    <m/>
    <m/>
    <m/>
    <m/>
    <m/>
    <m/>
    <m/>
    <m/>
    <m/>
    <m/>
    <m/>
    <m/>
    <n v="0"/>
    <m/>
    <m/>
    <m/>
    <m/>
    <m/>
    <m/>
    <m/>
    <m/>
    <m/>
    <n v="71500"/>
    <n v="56992"/>
    <m/>
    <m/>
    <m/>
  </r>
  <r>
    <x v="473"/>
    <n v="269369.09999999998"/>
    <n v="4.5999999999999996"/>
    <n v="3.7664800000000001"/>
    <n v="0.81879999999999997"/>
    <n v="0.99"/>
    <m/>
    <m/>
    <m/>
    <m/>
    <m/>
    <n v="0"/>
    <m/>
    <n v="0"/>
    <n v="0"/>
    <n v="0"/>
    <n v="0"/>
    <n v="0"/>
    <m/>
    <m/>
    <m/>
    <m/>
    <m/>
    <m/>
    <m/>
    <m/>
    <m/>
    <m/>
    <n v="0"/>
    <n v="0"/>
    <m/>
    <m/>
    <m/>
    <m/>
    <m/>
    <m/>
    <m/>
    <m/>
    <m/>
    <m/>
    <m/>
    <m/>
    <n v="0"/>
    <m/>
    <m/>
    <m/>
    <m/>
    <m/>
    <m/>
    <m/>
    <m/>
    <m/>
    <n v="71500"/>
    <n v="56992"/>
    <m/>
    <m/>
    <m/>
  </r>
  <r>
    <x v="474"/>
    <n v="269369.09999999998"/>
    <n v="4.5999999999999996"/>
    <n v="3.7664288888888899"/>
    <n v="0.81878888888888901"/>
    <n v="0.99"/>
    <m/>
    <m/>
    <m/>
    <m/>
    <m/>
    <n v="0"/>
    <m/>
    <n v="0"/>
    <n v="0"/>
    <n v="0"/>
    <n v="0"/>
    <n v="0"/>
    <m/>
    <m/>
    <m/>
    <m/>
    <m/>
    <m/>
    <m/>
    <m/>
    <m/>
    <m/>
    <n v="0"/>
    <n v="0"/>
    <m/>
    <m/>
    <m/>
    <m/>
    <m/>
    <m/>
    <m/>
    <m/>
    <m/>
    <m/>
    <m/>
    <m/>
    <n v="0"/>
    <m/>
    <m/>
    <m/>
    <m/>
    <m/>
    <m/>
    <m/>
    <m/>
    <m/>
    <n v="71500"/>
    <n v="56992"/>
    <m/>
    <m/>
    <m/>
  </r>
  <r>
    <x v="475"/>
    <n v="269369.09999999998"/>
    <n v="4.5999999999999996"/>
    <n v="3.7663777777777798"/>
    <n v="0.81877777777777805"/>
    <n v="0.99"/>
    <m/>
    <m/>
    <m/>
    <m/>
    <m/>
    <n v="0"/>
    <m/>
    <n v="0"/>
    <n v="0"/>
    <n v="0"/>
    <n v="0"/>
    <n v="0"/>
    <m/>
    <m/>
    <m/>
    <m/>
    <m/>
    <m/>
    <m/>
    <m/>
    <m/>
    <m/>
    <n v="0"/>
    <n v="0"/>
    <m/>
    <m/>
    <m/>
    <m/>
    <m/>
    <m/>
    <m/>
    <m/>
    <m/>
    <m/>
    <m/>
    <m/>
    <n v="0"/>
    <m/>
    <m/>
    <m/>
    <m/>
    <m/>
    <m/>
    <m/>
    <m/>
    <m/>
    <n v="71500"/>
    <n v="56992"/>
    <m/>
    <m/>
    <m/>
  </r>
  <r>
    <x v="476"/>
    <n v="269369.09999999998"/>
    <n v="4.5999999999999996"/>
    <n v="3.7663266666666702"/>
    <n v="0.81876666666666698"/>
    <n v="0.99"/>
    <m/>
    <m/>
    <m/>
    <m/>
    <m/>
    <n v="0"/>
    <m/>
    <n v="0"/>
    <n v="0"/>
    <n v="0"/>
    <n v="0"/>
    <n v="0"/>
    <m/>
    <m/>
    <m/>
    <m/>
    <m/>
    <m/>
    <m/>
    <m/>
    <m/>
    <m/>
    <n v="0"/>
    <n v="0"/>
    <m/>
    <m/>
    <m/>
    <m/>
    <m/>
    <m/>
    <m/>
    <m/>
    <m/>
    <m/>
    <m/>
    <m/>
    <n v="0"/>
    <m/>
    <m/>
    <m/>
    <m/>
    <m/>
    <m/>
    <m/>
    <m/>
    <m/>
    <n v="71500"/>
    <n v="56992"/>
    <m/>
    <m/>
    <m/>
  </r>
  <r>
    <x v="477"/>
    <n v="269369.09999999998"/>
    <n v="4.5999999999999996"/>
    <n v="3.76627555555556"/>
    <n v="0.81875555555555601"/>
    <n v="0.99"/>
    <m/>
    <m/>
    <m/>
    <m/>
    <m/>
    <n v="0"/>
    <m/>
    <n v="0"/>
    <n v="0"/>
    <n v="0"/>
    <n v="0"/>
    <n v="0"/>
    <m/>
    <m/>
    <m/>
    <m/>
    <m/>
    <m/>
    <m/>
    <m/>
    <m/>
    <m/>
    <n v="0"/>
    <n v="0"/>
    <m/>
    <m/>
    <m/>
    <m/>
    <m/>
    <m/>
    <m/>
    <m/>
    <m/>
    <m/>
    <m/>
    <m/>
    <n v="0"/>
    <m/>
    <m/>
    <m/>
    <m/>
    <m/>
    <m/>
    <m/>
    <m/>
    <m/>
    <n v="71500"/>
    <n v="56992"/>
    <m/>
    <m/>
    <m/>
  </r>
  <r>
    <x v="478"/>
    <n v="269369.09999999998"/>
    <n v="4.5999999999999996"/>
    <n v="3.7662244444444402"/>
    <n v="0.81874444444444405"/>
    <n v="0.99"/>
    <m/>
    <m/>
    <m/>
    <m/>
    <m/>
    <n v="0"/>
    <m/>
    <n v="0"/>
    <n v="0"/>
    <n v="0"/>
    <n v="0"/>
    <n v="0"/>
    <m/>
    <m/>
    <m/>
    <m/>
    <m/>
    <m/>
    <m/>
    <m/>
    <m/>
    <m/>
    <n v="0"/>
    <n v="0"/>
    <m/>
    <m/>
    <m/>
    <m/>
    <m/>
    <m/>
    <m/>
    <m/>
    <m/>
    <m/>
    <m/>
    <m/>
    <n v="0"/>
    <m/>
    <m/>
    <m/>
    <m/>
    <m/>
    <m/>
    <m/>
    <m/>
    <m/>
    <n v="71500"/>
    <n v="56992"/>
    <m/>
    <m/>
    <m/>
  </r>
  <r>
    <x v="479"/>
    <n v="269369.09999999998"/>
    <n v="4.5999999999999996"/>
    <n v="3.76617333333333"/>
    <n v="0.81873333333333298"/>
    <n v="0.99"/>
    <m/>
    <m/>
    <m/>
    <m/>
    <m/>
    <n v="0"/>
    <m/>
    <n v="0"/>
    <n v="0"/>
    <n v="0"/>
    <n v="0"/>
    <n v="0"/>
    <m/>
    <m/>
    <m/>
    <m/>
    <m/>
    <m/>
    <m/>
    <m/>
    <m/>
    <m/>
    <n v="0"/>
    <n v="0"/>
    <m/>
    <m/>
    <m/>
    <m/>
    <m/>
    <m/>
    <m/>
    <m/>
    <m/>
    <m/>
    <m/>
    <m/>
    <n v="0"/>
    <m/>
    <m/>
    <m/>
    <m/>
    <m/>
    <m/>
    <m/>
    <m/>
    <m/>
    <n v="71500"/>
    <n v="56992"/>
    <m/>
    <m/>
    <m/>
  </r>
  <r>
    <x v="480"/>
    <n v="269369.09999999998"/>
    <n v="4.5999999999999996"/>
    <n v="3.7661222222222199"/>
    <n v="0.81872222222222202"/>
    <n v="0.99"/>
    <m/>
    <m/>
    <m/>
    <m/>
    <m/>
    <n v="0"/>
    <m/>
    <n v="0"/>
    <n v="0"/>
    <n v="0"/>
    <n v="0"/>
    <n v="0"/>
    <m/>
    <m/>
    <m/>
    <m/>
    <m/>
    <m/>
    <m/>
    <m/>
    <m/>
    <m/>
    <n v="0"/>
    <n v="0"/>
    <m/>
    <m/>
    <m/>
    <m/>
    <m/>
    <m/>
    <m/>
    <m/>
    <m/>
    <m/>
    <m/>
    <m/>
    <n v="0"/>
    <m/>
    <m/>
    <m/>
    <m/>
    <m/>
    <m/>
    <m/>
    <m/>
    <m/>
    <n v="71500"/>
    <n v="56992"/>
    <m/>
    <m/>
    <m/>
  </r>
  <r>
    <x v="481"/>
    <n v="269369.09999999998"/>
    <n v="4.5999999999999996"/>
    <n v="3.7660711111111098"/>
    <n v="0.81871111111111095"/>
    <n v="0.99"/>
    <m/>
    <m/>
    <m/>
    <m/>
    <m/>
    <n v="0"/>
    <m/>
    <n v="0"/>
    <n v="0"/>
    <n v="0"/>
    <n v="0"/>
    <n v="0"/>
    <m/>
    <m/>
    <m/>
    <m/>
    <m/>
    <m/>
    <m/>
    <m/>
    <m/>
    <m/>
    <n v="0"/>
    <n v="0"/>
    <m/>
    <m/>
    <m/>
    <m/>
    <m/>
    <m/>
    <m/>
    <m/>
    <m/>
    <m/>
    <m/>
    <m/>
    <n v="0"/>
    <m/>
    <m/>
    <m/>
    <m/>
    <m/>
    <m/>
    <m/>
    <m/>
    <m/>
    <n v="71500"/>
    <n v="56992"/>
    <m/>
    <m/>
    <m/>
  </r>
  <r>
    <x v="482"/>
    <n v="269369.09999999998"/>
    <n v="4.5999999999999996"/>
    <n v="3.7660200000000001"/>
    <n v="0.81869999999999998"/>
    <n v="0.99"/>
    <m/>
    <m/>
    <m/>
    <m/>
    <m/>
    <n v="0"/>
    <m/>
    <n v="0"/>
    <n v="0"/>
    <n v="0"/>
    <n v="0"/>
    <n v="0"/>
    <m/>
    <m/>
    <m/>
    <m/>
    <m/>
    <m/>
    <m/>
    <m/>
    <m/>
    <m/>
    <n v="0"/>
    <n v="0"/>
    <m/>
    <m/>
    <m/>
    <m/>
    <m/>
    <m/>
    <m/>
    <m/>
    <m/>
    <m/>
    <m/>
    <m/>
    <n v="0"/>
    <m/>
    <m/>
    <m/>
    <m/>
    <m/>
    <m/>
    <m/>
    <m/>
    <m/>
    <n v="71500"/>
    <n v="56992"/>
    <m/>
    <m/>
    <m/>
  </r>
  <r>
    <x v="483"/>
    <n v="269369.09999999998"/>
    <n v="4.5999999999999996"/>
    <n v="3.76596888888889"/>
    <n v="0.81868888888888902"/>
    <n v="0.99"/>
    <m/>
    <m/>
    <m/>
    <m/>
    <m/>
    <n v="0"/>
    <m/>
    <n v="0"/>
    <n v="0"/>
    <n v="0"/>
    <n v="0"/>
    <n v="0"/>
    <m/>
    <m/>
    <m/>
    <m/>
    <m/>
    <m/>
    <m/>
    <m/>
    <m/>
    <m/>
    <n v="0"/>
    <n v="0"/>
    <m/>
    <m/>
    <m/>
    <m/>
    <m/>
    <m/>
    <m/>
    <m/>
    <m/>
    <m/>
    <m/>
    <m/>
    <n v="0"/>
    <m/>
    <m/>
    <m/>
    <m/>
    <m/>
    <m/>
    <m/>
    <m/>
    <m/>
    <n v="71500"/>
    <n v="56992"/>
    <m/>
    <m/>
    <m/>
  </r>
  <r>
    <x v="484"/>
    <n v="269369.09999999998"/>
    <n v="4.5999999999999996"/>
    <n v="3.7659177777777799"/>
    <n v="0.81867777777777795"/>
    <n v="0.99"/>
    <m/>
    <m/>
    <m/>
    <m/>
    <m/>
    <n v="0"/>
    <m/>
    <n v="0"/>
    <n v="0"/>
    <n v="0"/>
    <n v="0"/>
    <n v="0"/>
    <m/>
    <m/>
    <m/>
    <m/>
    <m/>
    <m/>
    <m/>
    <m/>
    <m/>
    <m/>
    <n v="0"/>
    <n v="0"/>
    <m/>
    <m/>
    <m/>
    <m/>
    <m/>
    <m/>
    <m/>
    <m/>
    <m/>
    <m/>
    <m/>
    <m/>
    <n v="0"/>
    <m/>
    <m/>
    <m/>
    <m/>
    <m/>
    <m/>
    <m/>
    <m/>
    <m/>
    <n v="71500"/>
    <n v="56992"/>
    <m/>
    <m/>
    <m/>
  </r>
  <r>
    <x v="485"/>
    <n v="269369.09999999998"/>
    <n v="4.5999999999999996"/>
    <n v="3.7658666666666698"/>
    <n v="0.81866666666666699"/>
    <n v="0.99"/>
    <m/>
    <m/>
    <m/>
    <m/>
    <m/>
    <n v="0"/>
    <m/>
    <n v="0"/>
    <n v="0"/>
    <n v="0"/>
    <n v="0"/>
    <n v="0"/>
    <m/>
    <m/>
    <m/>
    <m/>
    <m/>
    <m/>
    <m/>
    <m/>
    <m/>
    <m/>
    <n v="0"/>
    <n v="0"/>
    <m/>
    <m/>
    <m/>
    <m/>
    <m/>
    <m/>
    <m/>
    <m/>
    <m/>
    <m/>
    <m/>
    <m/>
    <n v="0"/>
    <m/>
    <m/>
    <m/>
    <m/>
    <m/>
    <m/>
    <m/>
    <m/>
    <m/>
    <n v="71500"/>
    <n v="56992"/>
    <m/>
    <m/>
    <m/>
  </r>
  <r>
    <x v="486"/>
    <n v="260352.47333333301"/>
    <n v="4.4733333333333301"/>
    <n v="3.6621688888888899"/>
    <n v="0.81866666666666699"/>
    <n v="0.99"/>
    <m/>
    <m/>
    <m/>
    <m/>
    <m/>
    <n v="0"/>
    <m/>
    <n v="0"/>
    <n v="0"/>
    <n v="0"/>
    <n v="0"/>
    <n v="0"/>
    <m/>
    <m/>
    <m/>
    <m/>
    <m/>
    <m/>
    <m/>
    <m/>
    <m/>
    <m/>
    <n v="0"/>
    <n v="0"/>
    <m/>
    <m/>
    <m/>
    <m/>
    <m/>
    <m/>
    <m/>
    <m/>
    <m/>
    <m/>
    <m/>
    <m/>
    <n v="0"/>
    <m/>
    <m/>
    <m/>
    <m/>
    <m/>
    <m/>
    <m/>
    <m/>
    <m/>
    <n v="71500"/>
    <n v="56992"/>
    <m/>
    <m/>
    <m/>
  </r>
  <r>
    <x v="487"/>
    <n v="260352.47333333301"/>
    <n v="4.4733333333333301"/>
    <n v="3.6621191851851802"/>
    <n v="0.81865555555555602"/>
    <n v="0.99"/>
    <m/>
    <m/>
    <m/>
    <m/>
    <m/>
    <n v="0"/>
    <m/>
    <n v="0"/>
    <n v="0"/>
    <n v="0"/>
    <n v="0"/>
    <n v="0"/>
    <m/>
    <m/>
    <m/>
    <m/>
    <m/>
    <m/>
    <m/>
    <m/>
    <m/>
    <m/>
    <n v="0"/>
    <n v="0"/>
    <m/>
    <m/>
    <m/>
    <m/>
    <m/>
    <m/>
    <m/>
    <m/>
    <m/>
    <m/>
    <m/>
    <m/>
    <n v="0"/>
    <m/>
    <m/>
    <m/>
    <m/>
    <m/>
    <m/>
    <m/>
    <m/>
    <m/>
    <n v="71500"/>
    <n v="56992"/>
    <m/>
    <m/>
    <m/>
  </r>
  <r>
    <x v="488"/>
    <n v="260352.47333333301"/>
    <n v="4.4733333333333301"/>
    <n v="3.6620694814814798"/>
    <n v="0.81864444444444395"/>
    <n v="0.99"/>
    <m/>
    <m/>
    <m/>
    <m/>
    <m/>
    <n v="0"/>
    <m/>
    <n v="0"/>
    <n v="0"/>
    <n v="0"/>
    <n v="0"/>
    <n v="0"/>
    <m/>
    <m/>
    <m/>
    <m/>
    <m/>
    <m/>
    <m/>
    <m/>
    <m/>
    <m/>
    <n v="0"/>
    <n v="0"/>
    <m/>
    <m/>
    <m/>
    <m/>
    <m/>
    <m/>
    <m/>
    <m/>
    <m/>
    <m/>
    <m/>
    <m/>
    <n v="0"/>
    <m/>
    <m/>
    <m/>
    <m/>
    <m/>
    <m/>
    <m/>
    <m/>
    <m/>
    <n v="71500"/>
    <n v="56992"/>
    <m/>
    <m/>
    <m/>
  </r>
  <r>
    <x v="489"/>
    <n v="260352.47333333301"/>
    <n v="4.4733333333333301"/>
    <n v="3.6620197777777799"/>
    <n v="0.81863333333333299"/>
    <n v="0.99"/>
    <m/>
    <m/>
    <m/>
    <m/>
    <m/>
    <n v="0"/>
    <m/>
    <n v="0"/>
    <n v="0"/>
    <n v="0"/>
    <n v="0"/>
    <n v="0"/>
    <m/>
    <m/>
    <m/>
    <m/>
    <m/>
    <m/>
    <m/>
    <m/>
    <m/>
    <m/>
    <n v="0"/>
    <n v="0"/>
    <m/>
    <m/>
    <m/>
    <m/>
    <m/>
    <m/>
    <m/>
    <m/>
    <m/>
    <m/>
    <m/>
    <m/>
    <n v="0"/>
    <m/>
    <m/>
    <m/>
    <m/>
    <m/>
    <m/>
    <m/>
    <m/>
    <m/>
    <n v="71500"/>
    <n v="56992"/>
    <m/>
    <m/>
    <m/>
  </r>
  <r>
    <x v="490"/>
    <n v="260352.47333333301"/>
    <n v="4.4733333333333301"/>
    <n v="3.6619700740740702"/>
    <n v="0.81862222222222203"/>
    <n v="0.99"/>
    <m/>
    <m/>
    <m/>
    <m/>
    <m/>
    <n v="0"/>
    <m/>
    <n v="0"/>
    <n v="0"/>
    <n v="0"/>
    <n v="0"/>
    <n v="0"/>
    <m/>
    <m/>
    <m/>
    <m/>
    <m/>
    <m/>
    <m/>
    <m/>
    <m/>
    <m/>
    <n v="0"/>
    <n v="0"/>
    <m/>
    <m/>
    <m/>
    <m/>
    <m/>
    <m/>
    <m/>
    <m/>
    <m/>
    <m/>
    <m/>
    <m/>
    <n v="0"/>
    <m/>
    <m/>
    <m/>
    <m/>
    <m/>
    <m/>
    <m/>
    <m/>
    <m/>
    <n v="71500"/>
    <n v="56992"/>
    <m/>
    <m/>
    <m/>
  </r>
  <r>
    <x v="491"/>
    <n v="260352.47333333301"/>
    <n v="4.4733333333333301"/>
    <n v="3.6619203703703702"/>
    <n v="0.81861111111111096"/>
    <n v="0.99"/>
    <m/>
    <m/>
    <m/>
    <m/>
    <m/>
    <n v="0"/>
    <m/>
    <n v="0"/>
    <n v="0"/>
    <n v="0"/>
    <n v="0"/>
    <n v="0"/>
    <m/>
    <m/>
    <m/>
    <m/>
    <m/>
    <m/>
    <m/>
    <m/>
    <m/>
    <m/>
    <n v="0"/>
    <n v="0"/>
    <m/>
    <m/>
    <m/>
    <m/>
    <m/>
    <m/>
    <m/>
    <m/>
    <m/>
    <m/>
    <m/>
    <m/>
    <n v="0"/>
    <m/>
    <m/>
    <m/>
    <m/>
    <m/>
    <m/>
    <m/>
    <m/>
    <m/>
    <n v="71500"/>
    <n v="56992"/>
    <m/>
    <m/>
    <m/>
  </r>
  <r>
    <x v="492"/>
    <n v="260352.47333333301"/>
    <n v="4.4733333333333301"/>
    <n v="3.6618706666666698"/>
    <n v="0.81859999999999999"/>
    <n v="0.99"/>
    <m/>
    <m/>
    <m/>
    <m/>
    <m/>
    <n v="0"/>
    <m/>
    <n v="0"/>
    <n v="0"/>
    <n v="0"/>
    <n v="0"/>
    <n v="0"/>
    <m/>
    <m/>
    <m/>
    <m/>
    <m/>
    <m/>
    <m/>
    <m/>
    <m/>
    <m/>
    <n v="0"/>
    <n v="0"/>
    <m/>
    <m/>
    <m/>
    <m/>
    <m/>
    <m/>
    <m/>
    <m/>
    <m/>
    <m/>
    <m/>
    <m/>
    <n v="0"/>
    <m/>
    <m/>
    <m/>
    <m/>
    <m/>
    <m/>
    <m/>
    <m/>
    <m/>
    <n v="71500"/>
    <n v="56992"/>
    <m/>
    <m/>
    <m/>
  </r>
  <r>
    <x v="493"/>
    <n v="260352.47333333301"/>
    <n v="4.4733333333333301"/>
    <n v="3.6618209629629601"/>
    <n v="0.81858888888888903"/>
    <n v="0.99"/>
    <m/>
    <m/>
    <m/>
    <m/>
    <m/>
    <n v="0"/>
    <m/>
    <n v="0"/>
    <n v="0"/>
    <n v="0"/>
    <n v="0"/>
    <n v="0"/>
    <m/>
    <m/>
    <m/>
    <m/>
    <m/>
    <m/>
    <m/>
    <m/>
    <m/>
    <m/>
    <n v="0"/>
    <n v="0"/>
    <m/>
    <m/>
    <m/>
    <m/>
    <m/>
    <m/>
    <m/>
    <m/>
    <m/>
    <m/>
    <m/>
    <m/>
    <n v="0"/>
    <m/>
    <m/>
    <m/>
    <m/>
    <m/>
    <m/>
    <m/>
    <m/>
    <m/>
    <n v="71500"/>
    <n v="56992"/>
    <m/>
    <m/>
    <m/>
  </r>
  <r>
    <x v="494"/>
    <n v="260352.47333333301"/>
    <n v="4.4733333333333301"/>
    <n v="3.6617712592592602"/>
    <n v="0.81857777777777796"/>
    <n v="0.99"/>
    <m/>
    <m/>
    <m/>
    <m/>
    <m/>
    <n v="0"/>
    <m/>
    <n v="0"/>
    <n v="0"/>
    <n v="0"/>
    <n v="0"/>
    <n v="0"/>
    <m/>
    <m/>
    <m/>
    <m/>
    <m/>
    <m/>
    <m/>
    <m/>
    <m/>
    <m/>
    <n v="0"/>
    <n v="0"/>
    <m/>
    <m/>
    <m/>
    <m/>
    <m/>
    <m/>
    <m/>
    <m/>
    <m/>
    <m/>
    <m/>
    <m/>
    <n v="0"/>
    <m/>
    <m/>
    <m/>
    <m/>
    <m/>
    <m/>
    <m/>
    <m/>
    <m/>
    <n v="71500"/>
    <n v="56992"/>
    <m/>
    <m/>
    <m/>
  </r>
  <r>
    <x v="495"/>
    <n v="260352.47333333301"/>
    <n v="4.4733333333333301"/>
    <n v="3.66172155555555"/>
    <n v="0.818566666666667"/>
    <n v="0.99"/>
    <m/>
    <m/>
    <m/>
    <m/>
    <m/>
    <n v="0"/>
    <m/>
    <n v="0"/>
    <n v="0"/>
    <n v="0"/>
    <n v="0"/>
    <n v="0"/>
    <m/>
    <m/>
    <m/>
    <m/>
    <m/>
    <m/>
    <m/>
    <m/>
    <m/>
    <m/>
    <n v="0"/>
    <n v="0"/>
    <m/>
    <m/>
    <m/>
    <m/>
    <m/>
    <m/>
    <m/>
    <m/>
    <m/>
    <m/>
    <m/>
    <m/>
    <n v="0"/>
    <m/>
    <m/>
    <m/>
    <m/>
    <m/>
    <m/>
    <m/>
    <m/>
    <m/>
    <n v="71500"/>
    <n v="56992"/>
    <m/>
    <m/>
    <m/>
  </r>
  <r>
    <x v="496"/>
    <n v="260352.47333333301"/>
    <n v="4.4733333333333301"/>
    <n v="3.6616718518518501"/>
    <n v="0.81855555555555604"/>
    <n v="0.99"/>
    <m/>
    <m/>
    <m/>
    <m/>
    <m/>
    <n v="0"/>
    <m/>
    <n v="0"/>
    <n v="0"/>
    <n v="0"/>
    <n v="0"/>
    <n v="0"/>
    <m/>
    <m/>
    <m/>
    <m/>
    <m/>
    <m/>
    <m/>
    <m/>
    <m/>
    <m/>
    <n v="0"/>
    <n v="0"/>
    <m/>
    <m/>
    <m/>
    <m/>
    <m/>
    <m/>
    <m/>
    <m/>
    <m/>
    <m/>
    <m/>
    <m/>
    <n v="0"/>
    <m/>
    <m/>
    <m/>
    <m/>
    <m/>
    <m/>
    <m/>
    <m/>
    <m/>
    <n v="71500"/>
    <n v="56992"/>
    <m/>
    <m/>
    <m/>
  </r>
  <r>
    <x v="497"/>
    <n v="260352.47333333301"/>
    <n v="4.4733333333333301"/>
    <n v="3.6616221481481501"/>
    <n v="0.81854444444444396"/>
    <n v="0.99"/>
    <m/>
    <m/>
    <m/>
    <m/>
    <m/>
    <n v="0"/>
    <m/>
    <n v="0"/>
    <n v="0"/>
    <n v="0"/>
    <n v="0"/>
    <n v="0"/>
    <m/>
    <m/>
    <m/>
    <m/>
    <m/>
    <m/>
    <m/>
    <m/>
    <m/>
    <m/>
    <n v="0"/>
    <n v="0"/>
    <m/>
    <m/>
    <m/>
    <m/>
    <m/>
    <m/>
    <m/>
    <m/>
    <m/>
    <m/>
    <m/>
    <m/>
    <n v="0"/>
    <m/>
    <m/>
    <m/>
    <m/>
    <m/>
    <m/>
    <m/>
    <m/>
    <m/>
    <n v="71500"/>
    <n v="56992"/>
    <m/>
    <m/>
    <m/>
  </r>
  <r>
    <x v="498"/>
    <n v="260352.47333333301"/>
    <n v="4.4733333333333301"/>
    <n v="3.66157244444444"/>
    <n v="0.818533333333333"/>
    <n v="0.99"/>
    <m/>
    <m/>
    <m/>
    <m/>
    <m/>
    <n v="0"/>
    <m/>
    <n v="0"/>
    <n v="0"/>
    <n v="0"/>
    <n v="0"/>
    <n v="0"/>
    <m/>
    <m/>
    <m/>
    <m/>
    <m/>
    <m/>
    <m/>
    <m/>
    <m/>
    <m/>
    <n v="0"/>
    <n v="0"/>
    <m/>
    <m/>
    <m/>
    <m/>
    <m/>
    <m/>
    <m/>
    <m/>
    <m/>
    <m/>
    <m/>
    <m/>
    <n v="0"/>
    <m/>
    <m/>
    <m/>
    <m/>
    <m/>
    <m/>
    <m/>
    <m/>
    <m/>
    <n v="71500"/>
    <n v="56992"/>
    <m/>
    <m/>
    <m/>
  </r>
  <r>
    <x v="499"/>
    <n v="260352.47333333301"/>
    <n v="4.4733333333333301"/>
    <n v="3.66152274074074"/>
    <n v="0.81852222222222204"/>
    <n v="0.99"/>
    <m/>
    <m/>
    <m/>
    <m/>
    <m/>
    <n v="0"/>
    <m/>
    <n v="0"/>
    <n v="0"/>
    <n v="0"/>
    <n v="0"/>
    <n v="0"/>
    <m/>
    <m/>
    <m/>
    <m/>
    <m/>
    <m/>
    <m/>
    <m/>
    <m/>
    <m/>
    <n v="0"/>
    <n v="0"/>
    <m/>
    <m/>
    <m/>
    <m/>
    <m/>
    <m/>
    <m/>
    <m/>
    <m/>
    <m/>
    <m/>
    <m/>
    <n v="0"/>
    <m/>
    <m/>
    <m/>
    <m/>
    <m/>
    <m/>
    <m/>
    <m/>
    <m/>
    <n v="71500"/>
    <n v="56992"/>
    <m/>
    <m/>
    <m/>
  </r>
  <r>
    <x v="500"/>
    <n v="260352.47333333301"/>
    <n v="4.4733333333333301"/>
    <n v="3.6614730370370401"/>
    <n v="0.81851111111111097"/>
    <n v="0.99"/>
    <m/>
    <m/>
    <m/>
    <m/>
    <m/>
    <n v="0"/>
    <m/>
    <n v="0"/>
    <n v="0"/>
    <n v="0"/>
    <n v="0"/>
    <n v="0"/>
    <m/>
    <m/>
    <m/>
    <m/>
    <m/>
    <m/>
    <m/>
    <m/>
    <m/>
    <m/>
    <n v="0"/>
    <n v="0"/>
    <m/>
    <m/>
    <m/>
    <m/>
    <m/>
    <m/>
    <m/>
    <m/>
    <m/>
    <m/>
    <m/>
    <m/>
    <n v="0"/>
    <m/>
    <m/>
    <m/>
    <m/>
    <m/>
    <m/>
    <m/>
    <m/>
    <m/>
    <n v="71500"/>
    <n v="56992"/>
    <m/>
    <m/>
    <m/>
  </r>
  <r>
    <x v="501"/>
    <n v="260352.47333333301"/>
    <n v="4.4733333333333301"/>
    <n v="3.6614233333333299"/>
    <n v="0.81850000000000001"/>
    <n v="0.99"/>
    <m/>
    <m/>
    <m/>
    <m/>
    <m/>
    <n v="0"/>
    <m/>
    <n v="0"/>
    <n v="0"/>
    <n v="0"/>
    <n v="0"/>
    <n v="0"/>
    <m/>
    <m/>
    <m/>
    <m/>
    <m/>
    <m/>
    <m/>
    <m/>
    <m/>
    <m/>
    <n v="0"/>
    <n v="0"/>
    <m/>
    <m/>
    <m/>
    <m/>
    <m/>
    <m/>
    <m/>
    <m/>
    <m/>
    <m/>
    <m/>
    <m/>
    <n v="0"/>
    <m/>
    <m/>
    <m/>
    <m/>
    <m/>
    <m/>
    <m/>
    <m/>
    <m/>
    <n v="71500"/>
    <n v="56992"/>
    <m/>
    <m/>
    <m/>
  </r>
  <r>
    <x v="502"/>
    <n v="260352.47333333301"/>
    <n v="4.4733333333333301"/>
    <n v="3.66137362962963"/>
    <n v="0.81848888888888904"/>
    <n v="0.99"/>
    <m/>
    <m/>
    <m/>
    <m/>
    <m/>
    <n v="0"/>
    <m/>
    <n v="0"/>
    <n v="0"/>
    <n v="0"/>
    <n v="0"/>
    <n v="0"/>
    <m/>
    <m/>
    <m/>
    <m/>
    <m/>
    <m/>
    <m/>
    <m/>
    <m/>
    <m/>
    <n v="0"/>
    <n v="0"/>
    <m/>
    <m/>
    <m/>
    <m/>
    <m/>
    <m/>
    <m/>
    <m/>
    <m/>
    <m/>
    <m/>
    <m/>
    <n v="0"/>
    <m/>
    <m/>
    <m/>
    <m/>
    <m/>
    <m/>
    <m/>
    <m/>
    <m/>
    <n v="71500"/>
    <n v="56992"/>
    <m/>
    <m/>
    <m/>
  </r>
  <r>
    <x v="503"/>
    <n v="260352.47333333301"/>
    <n v="4.4733333333333301"/>
    <n v="3.66132392592593"/>
    <n v="0.81847777777777797"/>
    <n v="0.99"/>
    <m/>
    <m/>
    <m/>
    <m/>
    <m/>
    <n v="0"/>
    <m/>
    <n v="0"/>
    <n v="0"/>
    <n v="0"/>
    <n v="0"/>
    <n v="0"/>
    <m/>
    <m/>
    <m/>
    <m/>
    <m/>
    <m/>
    <m/>
    <m/>
    <m/>
    <m/>
    <n v="0"/>
    <n v="0"/>
    <m/>
    <m/>
    <m/>
    <m/>
    <m/>
    <m/>
    <m/>
    <m/>
    <m/>
    <m/>
    <m/>
    <m/>
    <n v="0"/>
    <m/>
    <m/>
    <m/>
    <m/>
    <m/>
    <m/>
    <m/>
    <m/>
    <m/>
    <n v="71500"/>
    <n v="56992"/>
    <m/>
    <m/>
    <m/>
  </r>
  <r>
    <x v="504"/>
    <n v="260352.47333333301"/>
    <n v="4.4733333333333301"/>
    <n v="3.6612742222222199"/>
    <n v="0.81846666666666701"/>
    <n v="0.99"/>
    <m/>
    <m/>
    <m/>
    <m/>
    <m/>
    <n v="0"/>
    <m/>
    <n v="0"/>
    <n v="0"/>
    <n v="0"/>
    <n v="0"/>
    <n v="0"/>
    <m/>
    <m/>
    <m/>
    <m/>
    <m/>
    <m/>
    <m/>
    <m/>
    <m/>
    <m/>
    <n v="0"/>
    <n v="0"/>
    <m/>
    <m/>
    <m/>
    <m/>
    <m/>
    <m/>
    <m/>
    <m/>
    <m/>
    <m/>
    <m/>
    <m/>
    <n v="0"/>
    <m/>
    <m/>
    <m/>
    <m/>
    <m/>
    <m/>
    <m/>
    <m/>
    <m/>
    <n v="71500"/>
    <n v="56992"/>
    <m/>
    <m/>
    <m/>
  </r>
  <r>
    <x v="505"/>
    <n v="260352.47333333301"/>
    <n v="4.4733333333333301"/>
    <n v="3.6612245185185199"/>
    <n v="0.81845555555555505"/>
    <n v="0.99"/>
    <m/>
    <m/>
    <m/>
    <m/>
    <m/>
    <n v="0"/>
    <m/>
    <n v="0"/>
    <n v="0"/>
    <n v="0"/>
    <n v="0"/>
    <n v="0"/>
    <m/>
    <m/>
    <m/>
    <m/>
    <m/>
    <m/>
    <m/>
    <m/>
    <m/>
    <m/>
    <n v="0"/>
    <n v="0"/>
    <m/>
    <m/>
    <m/>
    <m/>
    <m/>
    <m/>
    <m/>
    <m/>
    <m/>
    <m/>
    <m/>
    <m/>
    <n v="0"/>
    <m/>
    <m/>
    <m/>
    <m/>
    <m/>
    <m/>
    <m/>
    <m/>
    <m/>
    <n v="71500"/>
    <n v="56992"/>
    <m/>
    <m/>
    <m/>
  </r>
  <r>
    <x v="506"/>
    <n v="260352.47333333301"/>
    <n v="4.4733333333333301"/>
    <n v="3.6611748148148102"/>
    <n v="0.81844444444444397"/>
    <n v="0.99"/>
    <m/>
    <m/>
    <m/>
    <m/>
    <m/>
    <n v="0"/>
    <m/>
    <n v="0"/>
    <n v="0"/>
    <n v="0"/>
    <n v="0"/>
    <n v="0"/>
    <m/>
    <m/>
    <m/>
    <m/>
    <m/>
    <m/>
    <m/>
    <m/>
    <m/>
    <m/>
    <n v="0"/>
    <n v="0"/>
    <m/>
    <m/>
    <m/>
    <m/>
    <m/>
    <m/>
    <m/>
    <m/>
    <m/>
    <m/>
    <m/>
    <m/>
    <n v="0"/>
    <m/>
    <m/>
    <m/>
    <m/>
    <m/>
    <m/>
    <m/>
    <m/>
    <m/>
    <n v="71500"/>
    <n v="56992"/>
    <m/>
    <m/>
    <m/>
  </r>
  <r>
    <x v="507"/>
    <n v="260352.47333333301"/>
    <n v="4.4733333333333301"/>
    <n v="3.6611251111111098"/>
    <n v="0.81843333333333301"/>
    <n v="0.99"/>
    <m/>
    <m/>
    <m/>
    <m/>
    <m/>
    <n v="0"/>
    <m/>
    <n v="0"/>
    <n v="0"/>
    <n v="0"/>
    <n v="0"/>
    <n v="0"/>
    <m/>
    <m/>
    <m/>
    <m/>
    <m/>
    <m/>
    <m/>
    <m/>
    <m/>
    <m/>
    <n v="0"/>
    <n v="0"/>
    <m/>
    <m/>
    <m/>
    <m/>
    <m/>
    <m/>
    <m/>
    <m/>
    <m/>
    <m/>
    <m/>
    <m/>
    <n v="0"/>
    <m/>
    <m/>
    <m/>
    <m/>
    <m/>
    <m/>
    <m/>
    <m/>
    <m/>
    <n v="71500"/>
    <n v="56992"/>
    <m/>
    <m/>
    <m/>
  </r>
  <r>
    <x v="508"/>
    <n v="260352.47333333301"/>
    <n v="4.4733333333333301"/>
    <n v="3.6610754074074099"/>
    <n v="0.81842222222222205"/>
    <n v="0.99"/>
    <m/>
    <m/>
    <m/>
    <m/>
    <m/>
    <n v="0"/>
    <m/>
    <n v="0"/>
    <n v="0"/>
    <n v="0"/>
    <n v="0"/>
    <n v="0"/>
    <m/>
    <m/>
    <m/>
    <m/>
    <m/>
    <m/>
    <m/>
    <m/>
    <m/>
    <m/>
    <n v="0"/>
    <n v="0"/>
    <m/>
    <m/>
    <m/>
    <m/>
    <m/>
    <m/>
    <m/>
    <m/>
    <m/>
    <m/>
    <m/>
    <m/>
    <n v="0"/>
    <m/>
    <m/>
    <m/>
    <m/>
    <m/>
    <m/>
    <m/>
    <m/>
    <m/>
    <n v="71500"/>
    <n v="56992"/>
    <m/>
    <m/>
    <m/>
  </r>
  <r>
    <x v="509"/>
    <n v="260352.47333333301"/>
    <n v="4.4733333333333301"/>
    <n v="3.6610257037037002"/>
    <n v="0.81841111111111098"/>
    <n v="0.99"/>
    <m/>
    <m/>
    <m/>
    <m/>
    <m/>
    <n v="0"/>
    <m/>
    <n v="0"/>
    <n v="0"/>
    <n v="0"/>
    <n v="0"/>
    <n v="0"/>
    <m/>
    <m/>
    <m/>
    <m/>
    <m/>
    <m/>
    <m/>
    <m/>
    <m/>
    <m/>
    <n v="0"/>
    <n v="0"/>
    <m/>
    <m/>
    <m/>
    <m/>
    <m/>
    <m/>
    <m/>
    <m/>
    <m/>
    <m/>
    <m/>
    <m/>
    <n v="0"/>
    <m/>
    <m/>
    <m/>
    <m/>
    <m/>
    <m/>
    <m/>
    <m/>
    <m/>
    <n v="71500"/>
    <n v="56992"/>
    <m/>
    <m/>
    <m/>
  </r>
  <r>
    <x v="510"/>
    <n v="260352.47333333301"/>
    <n v="4.4733333333333301"/>
    <n v="3.6609759999999998"/>
    <n v="0.81840000000000002"/>
    <n v="0.99"/>
    <m/>
    <m/>
    <m/>
    <m/>
    <m/>
    <n v="0"/>
    <m/>
    <n v="0"/>
    <n v="0"/>
    <n v="0"/>
    <n v="0"/>
    <n v="0"/>
    <m/>
    <m/>
    <m/>
    <m/>
    <m/>
    <m/>
    <m/>
    <m/>
    <m/>
    <m/>
    <n v="0"/>
    <n v="0"/>
    <m/>
    <m/>
    <m/>
    <m/>
    <m/>
    <m/>
    <m/>
    <m/>
    <m/>
    <m/>
    <m/>
    <m/>
    <n v="0"/>
    <m/>
    <m/>
    <m/>
    <m/>
    <m/>
    <m/>
    <m/>
    <m/>
    <m/>
    <n v="71500"/>
    <n v="56992"/>
    <m/>
    <m/>
    <m/>
  </r>
  <r>
    <x v="511"/>
    <n v="260352.47333333301"/>
    <n v="4.4733333333333301"/>
    <n v="3.6609262962962998"/>
    <n v="0.81838888888888905"/>
    <n v="0.99"/>
    <m/>
    <m/>
    <m/>
    <m/>
    <m/>
    <n v="0"/>
    <m/>
    <n v="0"/>
    <n v="0"/>
    <n v="0"/>
    <n v="0"/>
    <n v="0"/>
    <m/>
    <m/>
    <m/>
    <m/>
    <m/>
    <m/>
    <m/>
    <m/>
    <m/>
    <m/>
    <n v="0"/>
    <n v="0"/>
    <m/>
    <m/>
    <m/>
    <m/>
    <m/>
    <m/>
    <m/>
    <m/>
    <m/>
    <m/>
    <m/>
    <m/>
    <n v="0"/>
    <m/>
    <m/>
    <m/>
    <m/>
    <m/>
    <m/>
    <m/>
    <m/>
    <m/>
    <n v="71500"/>
    <n v="56992"/>
    <m/>
    <m/>
    <m/>
  </r>
  <r>
    <x v="512"/>
    <n v="260352.47333333301"/>
    <n v="4.4733333333333301"/>
    <n v="3.6608765925925901"/>
    <n v="0.81837777777777798"/>
    <n v="0.99"/>
    <m/>
    <m/>
    <m/>
    <m/>
    <m/>
    <n v="0"/>
    <m/>
    <n v="0"/>
    <n v="0"/>
    <n v="0"/>
    <n v="0"/>
    <n v="0"/>
    <m/>
    <m/>
    <m/>
    <m/>
    <m/>
    <m/>
    <m/>
    <m/>
    <m/>
    <m/>
    <n v="0"/>
    <n v="0"/>
    <m/>
    <m/>
    <m/>
    <m/>
    <m/>
    <m/>
    <m/>
    <m/>
    <m/>
    <m/>
    <m/>
    <m/>
    <n v="0"/>
    <m/>
    <m/>
    <m/>
    <m/>
    <m/>
    <m/>
    <m/>
    <m/>
    <m/>
    <n v="71500"/>
    <n v="56992"/>
    <m/>
    <m/>
    <m/>
  </r>
  <r>
    <x v="513"/>
    <n v="260352.47333333301"/>
    <n v="4.4733333333333301"/>
    <n v="3.6608268888888902"/>
    <n v="0.81836666666666702"/>
    <n v="0.99"/>
    <m/>
    <m/>
    <m/>
    <m/>
    <m/>
    <n v="0"/>
    <m/>
    <n v="0"/>
    <n v="0"/>
    <n v="0"/>
    <n v="0"/>
    <n v="0"/>
    <m/>
    <m/>
    <m/>
    <m/>
    <m/>
    <m/>
    <m/>
    <m/>
    <m/>
    <m/>
    <n v="0"/>
    <n v="0"/>
    <m/>
    <m/>
    <m/>
    <m/>
    <m/>
    <m/>
    <m/>
    <m/>
    <m/>
    <m/>
    <m/>
    <m/>
    <n v="0"/>
    <m/>
    <m/>
    <m/>
    <m/>
    <m/>
    <m/>
    <m/>
    <m/>
    <m/>
    <n v="71500"/>
    <n v="56992"/>
    <m/>
    <m/>
    <m/>
  </r>
  <r>
    <x v="514"/>
    <n v="260352.47333333301"/>
    <n v="4.4733333333333301"/>
    <n v="3.66077718518518"/>
    <n v="0.81835555555555595"/>
    <n v="0.99"/>
    <m/>
    <m/>
    <m/>
    <m/>
    <m/>
    <n v="0"/>
    <m/>
    <n v="0"/>
    <n v="0"/>
    <n v="0"/>
    <n v="0"/>
    <n v="0"/>
    <m/>
    <m/>
    <m/>
    <m/>
    <m/>
    <m/>
    <m/>
    <m/>
    <m/>
    <m/>
    <n v="0"/>
    <n v="0"/>
    <m/>
    <m/>
    <m/>
    <m/>
    <m/>
    <m/>
    <m/>
    <m/>
    <m/>
    <m/>
    <m/>
    <m/>
    <n v="0"/>
    <m/>
    <m/>
    <m/>
    <m/>
    <m/>
    <m/>
    <m/>
    <m/>
    <m/>
    <n v="71500"/>
    <n v="56992"/>
    <m/>
    <m/>
    <m/>
  </r>
  <r>
    <x v="515"/>
    <n v="260352.47333333301"/>
    <n v="4.4733333333333301"/>
    <n v="3.6607274814814801"/>
    <n v="0.81834444444444399"/>
    <n v="0.99"/>
    <m/>
    <m/>
    <m/>
    <m/>
    <m/>
    <n v="0"/>
    <m/>
    <n v="0"/>
    <n v="0"/>
    <n v="0"/>
    <n v="0"/>
    <n v="0"/>
    <m/>
    <m/>
    <m/>
    <m/>
    <m/>
    <m/>
    <m/>
    <m/>
    <m/>
    <m/>
    <n v="0"/>
    <n v="0"/>
    <m/>
    <m/>
    <m/>
    <m/>
    <m/>
    <m/>
    <m/>
    <m/>
    <m/>
    <m/>
    <m/>
    <m/>
    <n v="0"/>
    <m/>
    <m/>
    <m/>
    <m/>
    <m/>
    <m/>
    <m/>
    <m/>
    <m/>
    <n v="71500"/>
    <n v="56992"/>
    <m/>
    <m/>
    <m/>
  </r>
  <r>
    <x v="516"/>
    <n v="255977.841935484"/>
    <n v="4.3290322580645197"/>
    <n v="3.5425913978494599"/>
    <n v="0.81833333333333302"/>
    <n v="0.99"/>
    <m/>
    <m/>
    <m/>
    <m/>
    <m/>
    <n v="0"/>
    <m/>
    <n v="0"/>
    <n v="0"/>
    <n v="0"/>
    <n v="0"/>
    <n v="0"/>
    <m/>
    <m/>
    <m/>
    <m/>
    <m/>
    <m/>
    <m/>
    <m/>
    <m/>
    <m/>
    <n v="0"/>
    <n v="0"/>
    <m/>
    <m/>
    <m/>
    <m/>
    <m/>
    <m/>
    <m/>
    <m/>
    <m/>
    <m/>
    <m/>
    <m/>
    <n v="0"/>
    <m/>
    <m/>
    <m/>
    <m/>
    <m/>
    <m/>
    <m/>
    <m/>
    <m/>
    <n v="71500"/>
    <n v="56992"/>
    <m/>
    <m/>
    <m/>
  </r>
  <r>
    <x v="517"/>
    <n v="255977.841935484"/>
    <n v="4.3290322580645197"/>
    <n v="3.54254329749104"/>
    <n v="0.81832222222222195"/>
    <n v="0.99"/>
    <m/>
    <m/>
    <m/>
    <m/>
    <m/>
    <n v="0"/>
    <m/>
    <n v="0"/>
    <n v="0"/>
    <n v="0"/>
    <n v="0"/>
    <n v="0"/>
    <m/>
    <m/>
    <m/>
    <m/>
    <m/>
    <m/>
    <m/>
    <m/>
    <m/>
    <m/>
    <n v="0"/>
    <n v="0"/>
    <m/>
    <m/>
    <m/>
    <m/>
    <m/>
    <m/>
    <m/>
    <m/>
    <m/>
    <m/>
    <m/>
    <m/>
    <n v="0"/>
    <m/>
    <m/>
    <m/>
    <m/>
    <m/>
    <m/>
    <m/>
    <m/>
    <m/>
    <n v="71500"/>
    <n v="56992"/>
    <m/>
    <m/>
    <m/>
  </r>
  <r>
    <x v="518"/>
    <n v="255977.841935484"/>
    <n v="4.3290322580645197"/>
    <n v="3.5424951971326202"/>
    <n v="0.81831111111111099"/>
    <n v="0.99"/>
    <m/>
    <m/>
    <m/>
    <m/>
    <m/>
    <n v="0"/>
    <m/>
    <n v="0"/>
    <n v="0"/>
    <n v="0"/>
    <n v="0"/>
    <n v="0"/>
    <m/>
    <m/>
    <m/>
    <m/>
    <m/>
    <m/>
    <m/>
    <m/>
    <m/>
    <m/>
    <n v="0"/>
    <n v="0"/>
    <m/>
    <m/>
    <m/>
    <m/>
    <m/>
    <m/>
    <m/>
    <m/>
    <m/>
    <m/>
    <m/>
    <m/>
    <n v="0"/>
    <m/>
    <m/>
    <m/>
    <m/>
    <m/>
    <m/>
    <m/>
    <m/>
    <m/>
    <n v="71500"/>
    <n v="56992"/>
    <m/>
    <m/>
    <m/>
  </r>
  <r>
    <x v="519"/>
    <n v="255977.841935484"/>
    <n v="4.3290322580645197"/>
    <n v="3.5424470967741901"/>
    <n v="0.81830000000000003"/>
    <n v="0.99"/>
    <m/>
    <m/>
    <m/>
    <m/>
    <m/>
    <n v="0"/>
    <m/>
    <n v="0"/>
    <n v="0"/>
    <n v="0"/>
    <n v="0"/>
    <n v="0"/>
    <m/>
    <m/>
    <m/>
    <m/>
    <m/>
    <m/>
    <m/>
    <m/>
    <m/>
    <m/>
    <n v="0"/>
    <n v="0"/>
    <m/>
    <m/>
    <m/>
    <m/>
    <m/>
    <m/>
    <m/>
    <m/>
    <m/>
    <m/>
    <m/>
    <m/>
    <n v="0"/>
    <m/>
    <m/>
    <m/>
    <m/>
    <m/>
    <m/>
    <m/>
    <m/>
    <m/>
    <n v="71500"/>
    <n v="56992"/>
    <m/>
    <m/>
    <m/>
  </r>
  <r>
    <x v="520"/>
    <n v="255977.841935484"/>
    <n v="4.3290322580645197"/>
    <n v="3.5423989964157698"/>
    <n v="0.81828888888888895"/>
    <n v="0.99"/>
    <m/>
    <m/>
    <m/>
    <m/>
    <m/>
    <n v="0"/>
    <m/>
    <n v="0"/>
    <n v="0"/>
    <n v="0"/>
    <n v="0"/>
    <n v="0"/>
    <m/>
    <m/>
    <m/>
    <m/>
    <m/>
    <m/>
    <m/>
    <m/>
    <m/>
    <m/>
    <n v="0"/>
    <n v="0"/>
    <m/>
    <m/>
    <m/>
    <m/>
    <m/>
    <m/>
    <m/>
    <m/>
    <m/>
    <m/>
    <m/>
    <m/>
    <n v="0"/>
    <m/>
    <m/>
    <m/>
    <m/>
    <m/>
    <m/>
    <m/>
    <m/>
    <m/>
    <n v="71500"/>
    <n v="56992"/>
    <m/>
    <m/>
    <m/>
  </r>
  <r>
    <x v="521"/>
    <n v="255977.841935484"/>
    <n v="4.3290322580645197"/>
    <n v="3.54235089605735"/>
    <n v="0.81827777777777799"/>
    <n v="0.99"/>
    <m/>
    <m/>
    <m/>
    <m/>
    <m/>
    <n v="0"/>
    <m/>
    <n v="0"/>
    <n v="0"/>
    <n v="0"/>
    <n v="0"/>
    <n v="0"/>
    <m/>
    <m/>
    <m/>
    <m/>
    <m/>
    <m/>
    <m/>
    <m/>
    <m/>
    <m/>
    <n v="0"/>
    <n v="0"/>
    <m/>
    <m/>
    <m/>
    <m/>
    <m/>
    <m/>
    <m/>
    <m/>
    <m/>
    <m/>
    <m/>
    <m/>
    <n v="0"/>
    <m/>
    <m/>
    <m/>
    <m/>
    <m/>
    <m/>
    <m/>
    <m/>
    <m/>
    <n v="71500"/>
    <n v="56992"/>
    <m/>
    <m/>
    <m/>
  </r>
  <r>
    <x v="522"/>
    <n v="255977.841935484"/>
    <n v="4.3290322580645197"/>
    <n v="3.5423027956989199"/>
    <n v="0.81826666666666703"/>
    <n v="0.99"/>
    <m/>
    <m/>
    <m/>
    <m/>
    <m/>
    <n v="0"/>
    <m/>
    <n v="0"/>
    <n v="0"/>
    <n v="0"/>
    <n v="0"/>
    <n v="0"/>
    <m/>
    <m/>
    <m/>
    <m/>
    <m/>
    <m/>
    <m/>
    <m/>
    <m/>
    <m/>
    <n v="0"/>
    <n v="0"/>
    <m/>
    <m/>
    <m/>
    <m/>
    <m/>
    <m/>
    <m/>
    <m/>
    <m/>
    <m/>
    <m/>
    <m/>
    <n v="0"/>
    <m/>
    <m/>
    <m/>
    <m/>
    <m/>
    <m/>
    <m/>
    <m/>
    <m/>
    <n v="71500"/>
    <n v="56992"/>
    <m/>
    <m/>
    <m/>
  </r>
  <r>
    <x v="523"/>
    <n v="255977.841935484"/>
    <n v="4.3290322580645197"/>
    <n v="3.5422546953405001"/>
    <n v="0.81825555555555596"/>
    <n v="0.99"/>
    <m/>
    <m/>
    <m/>
    <m/>
    <m/>
    <n v="0"/>
    <m/>
    <n v="0"/>
    <n v="0"/>
    <n v="0"/>
    <n v="0"/>
    <n v="0"/>
    <m/>
    <m/>
    <m/>
    <m/>
    <m/>
    <m/>
    <m/>
    <m/>
    <m/>
    <m/>
    <n v="0"/>
    <n v="0"/>
    <m/>
    <m/>
    <m/>
    <m/>
    <m/>
    <m/>
    <m/>
    <m/>
    <m/>
    <m/>
    <m/>
    <m/>
    <n v="0"/>
    <m/>
    <m/>
    <m/>
    <m/>
    <m/>
    <m/>
    <m/>
    <m/>
    <m/>
    <n v="71500"/>
    <n v="56992"/>
    <m/>
    <m/>
    <m/>
  </r>
  <r>
    <x v="524"/>
    <n v="255977.841935484"/>
    <n v="4.3290322580645197"/>
    <n v="3.5422065949820798"/>
    <n v="0.818244444444444"/>
    <n v="0.99"/>
    <m/>
    <m/>
    <m/>
    <m/>
    <m/>
    <n v="0"/>
    <m/>
    <n v="0"/>
    <n v="0"/>
    <n v="0"/>
    <n v="0"/>
    <n v="0"/>
    <m/>
    <m/>
    <m/>
    <m/>
    <m/>
    <m/>
    <m/>
    <m/>
    <m/>
    <m/>
    <n v="0"/>
    <n v="0"/>
    <m/>
    <m/>
    <m/>
    <m/>
    <m/>
    <m/>
    <m/>
    <m/>
    <m/>
    <m/>
    <m/>
    <m/>
    <n v="0"/>
    <m/>
    <m/>
    <m/>
    <m/>
    <m/>
    <m/>
    <m/>
    <m/>
    <m/>
    <n v="71500"/>
    <n v="56992"/>
    <m/>
    <m/>
    <m/>
  </r>
  <r>
    <x v="525"/>
    <n v="255977.841935484"/>
    <n v="4.3290322580645197"/>
    <n v="3.5421584946236599"/>
    <n v="0.81823333333333303"/>
    <n v="0.99"/>
    <m/>
    <m/>
    <m/>
    <m/>
    <m/>
    <n v="0"/>
    <m/>
    <n v="0"/>
    <n v="0"/>
    <n v="0"/>
    <n v="0"/>
    <n v="0"/>
    <m/>
    <m/>
    <m/>
    <m/>
    <m/>
    <m/>
    <m/>
    <m/>
    <m/>
    <m/>
    <n v="0"/>
    <n v="0"/>
    <m/>
    <m/>
    <m/>
    <m/>
    <m/>
    <m/>
    <m/>
    <m/>
    <m/>
    <m/>
    <m/>
    <m/>
    <n v="0"/>
    <m/>
    <m/>
    <m/>
    <m/>
    <m/>
    <m/>
    <m/>
    <m/>
    <m/>
    <n v="71500"/>
    <n v="56992"/>
    <m/>
    <m/>
    <m/>
  </r>
  <r>
    <x v="526"/>
    <n v="255977.841935484"/>
    <n v="4.3290322580645197"/>
    <n v="3.5421103942652299"/>
    <n v="0.81822222222222196"/>
    <n v="0.99"/>
    <m/>
    <m/>
    <m/>
    <m/>
    <m/>
    <n v="0"/>
    <m/>
    <n v="0"/>
    <n v="0"/>
    <n v="0"/>
    <n v="0"/>
    <n v="0"/>
    <m/>
    <m/>
    <m/>
    <m/>
    <m/>
    <m/>
    <m/>
    <m/>
    <m/>
    <m/>
    <n v="0"/>
    <n v="0"/>
    <m/>
    <m/>
    <m/>
    <m/>
    <m/>
    <m/>
    <m/>
    <m/>
    <m/>
    <m/>
    <m/>
    <m/>
    <n v="0"/>
    <m/>
    <m/>
    <m/>
    <m/>
    <m/>
    <m/>
    <m/>
    <m/>
    <m/>
    <n v="71500"/>
    <n v="56992"/>
    <m/>
    <m/>
    <m/>
  </r>
  <r>
    <x v="527"/>
    <n v="255977.841935484"/>
    <n v="4.3290322580645197"/>
    <n v="3.54206229390681"/>
    <n v="0.818211111111111"/>
    <n v="0.99"/>
    <m/>
    <m/>
    <m/>
    <m/>
    <m/>
    <n v="0"/>
    <m/>
    <n v="0"/>
    <n v="0"/>
    <n v="0"/>
    <n v="0"/>
    <n v="0"/>
    <m/>
    <m/>
    <m/>
    <m/>
    <m/>
    <m/>
    <m/>
    <m/>
    <m/>
    <m/>
    <n v="0"/>
    <n v="0"/>
    <m/>
    <m/>
    <m/>
    <m/>
    <m/>
    <m/>
    <m/>
    <m/>
    <m/>
    <m/>
    <m/>
    <m/>
    <n v="0"/>
    <m/>
    <m/>
    <m/>
    <m/>
    <m/>
    <m/>
    <m/>
    <m/>
    <m/>
    <n v="71500"/>
    <n v="56992"/>
    <m/>
    <m/>
    <m/>
  </r>
  <r>
    <x v="528"/>
    <n v="255977.841935484"/>
    <n v="4.3290322580645197"/>
    <n v="3.5420141935483902"/>
    <n v="0.81820000000000004"/>
    <n v="0.99"/>
    <m/>
    <m/>
    <m/>
    <m/>
    <m/>
    <n v="0"/>
    <m/>
    <n v="0"/>
    <n v="0"/>
    <n v="0"/>
    <n v="0"/>
    <n v="0"/>
    <m/>
    <m/>
    <m/>
    <m/>
    <m/>
    <m/>
    <m/>
    <m/>
    <m/>
    <m/>
    <n v="0"/>
    <n v="0"/>
    <m/>
    <m/>
    <m/>
    <m/>
    <m/>
    <m/>
    <m/>
    <m/>
    <m/>
    <m/>
    <m/>
    <m/>
    <n v="0"/>
    <m/>
    <m/>
    <m/>
    <m/>
    <m/>
    <m/>
    <m/>
    <m/>
    <m/>
    <n v="71500"/>
    <n v="56992"/>
    <m/>
    <m/>
    <m/>
  </r>
  <r>
    <x v="529"/>
    <n v="255977.841935484"/>
    <n v="4.3290322580645197"/>
    <n v="3.5419660931899601"/>
    <n v="0.81818888888888897"/>
    <n v="0.99"/>
    <m/>
    <m/>
    <m/>
    <m/>
    <m/>
    <n v="0"/>
    <m/>
    <n v="0"/>
    <n v="0"/>
    <n v="0"/>
    <n v="0"/>
    <n v="0"/>
    <m/>
    <m/>
    <m/>
    <m/>
    <m/>
    <m/>
    <m/>
    <m/>
    <m/>
    <m/>
    <n v="0"/>
    <n v="0"/>
    <m/>
    <m/>
    <m/>
    <m/>
    <m/>
    <m/>
    <m/>
    <m/>
    <m/>
    <m/>
    <m/>
    <m/>
    <n v="0"/>
    <m/>
    <m/>
    <m/>
    <m/>
    <m/>
    <m/>
    <m/>
    <m/>
    <m/>
    <n v="71500"/>
    <n v="56992"/>
    <m/>
    <m/>
    <m/>
  </r>
  <r>
    <x v="530"/>
    <n v="255977.841935484"/>
    <n v="4.3290322580645197"/>
    <n v="3.5419179928315399"/>
    <n v="0.818177777777778"/>
    <n v="0.99"/>
    <m/>
    <m/>
    <m/>
    <m/>
    <m/>
    <n v="0"/>
    <m/>
    <n v="0"/>
    <n v="0"/>
    <n v="0"/>
    <n v="0"/>
    <n v="0"/>
    <m/>
    <m/>
    <m/>
    <m/>
    <m/>
    <m/>
    <m/>
    <m/>
    <m/>
    <m/>
    <n v="0"/>
    <n v="0"/>
    <m/>
    <m/>
    <m/>
    <m/>
    <m/>
    <m/>
    <m/>
    <m/>
    <m/>
    <m/>
    <m/>
    <m/>
    <n v="0"/>
    <m/>
    <m/>
    <m/>
    <m/>
    <m/>
    <m/>
    <m/>
    <m/>
    <m/>
    <n v="71500"/>
    <n v="56992"/>
    <m/>
    <m/>
    <m/>
  </r>
  <r>
    <x v="531"/>
    <n v="255977.841935484"/>
    <n v="4.3290322580645197"/>
    <n v="3.54186989247312"/>
    <n v="0.81816666666666704"/>
    <n v="0.99"/>
    <m/>
    <m/>
    <m/>
    <m/>
    <m/>
    <n v="0"/>
    <m/>
    <n v="0"/>
    <n v="0"/>
    <n v="0"/>
    <n v="0"/>
    <n v="0"/>
    <m/>
    <m/>
    <m/>
    <m/>
    <m/>
    <m/>
    <m/>
    <m/>
    <m/>
    <m/>
    <n v="0"/>
    <n v="0"/>
    <m/>
    <m/>
    <m/>
    <m/>
    <m/>
    <m/>
    <m/>
    <m/>
    <m/>
    <m/>
    <m/>
    <m/>
    <n v="0"/>
    <m/>
    <m/>
    <m/>
    <m/>
    <m/>
    <m/>
    <m/>
    <m/>
    <m/>
    <n v="71500"/>
    <n v="56992"/>
    <m/>
    <m/>
    <m/>
  </r>
  <r>
    <x v="532"/>
    <n v="255977.841935484"/>
    <n v="4.3290322580645197"/>
    <n v="3.5418217921147002"/>
    <n v="0.81815555555555597"/>
    <n v="0.99"/>
    <m/>
    <m/>
    <m/>
    <m/>
    <m/>
    <n v="0"/>
    <m/>
    <n v="0"/>
    <n v="0"/>
    <n v="0"/>
    <n v="0"/>
    <n v="0"/>
    <m/>
    <m/>
    <m/>
    <m/>
    <m/>
    <m/>
    <m/>
    <m/>
    <m/>
    <m/>
    <n v="0"/>
    <n v="0"/>
    <m/>
    <m/>
    <m/>
    <m/>
    <m/>
    <m/>
    <m/>
    <m/>
    <m/>
    <m/>
    <m/>
    <m/>
    <n v="0"/>
    <m/>
    <m/>
    <m/>
    <m/>
    <m/>
    <m/>
    <m/>
    <m/>
    <m/>
    <n v="71500"/>
    <n v="56992"/>
    <m/>
    <m/>
    <m/>
  </r>
  <r>
    <x v="533"/>
    <n v="255977.841935484"/>
    <n v="4.3290322580645197"/>
    <n v="3.5417736917562701"/>
    <n v="0.81814444444444401"/>
    <n v="0.99"/>
    <m/>
    <m/>
    <m/>
    <m/>
    <m/>
    <n v="0"/>
    <m/>
    <n v="0"/>
    <n v="0"/>
    <n v="0"/>
    <n v="0"/>
    <n v="0"/>
    <m/>
    <m/>
    <m/>
    <m/>
    <m/>
    <m/>
    <m/>
    <m/>
    <m/>
    <m/>
    <n v="0"/>
    <n v="0"/>
    <m/>
    <m/>
    <m/>
    <m/>
    <m/>
    <m/>
    <m/>
    <m/>
    <m/>
    <m/>
    <m/>
    <m/>
    <n v="0"/>
    <m/>
    <m/>
    <m/>
    <m/>
    <m/>
    <m/>
    <m/>
    <m/>
    <m/>
    <n v="71500"/>
    <n v="56992"/>
    <m/>
    <m/>
    <m/>
  </r>
  <r>
    <x v="534"/>
    <n v="255977.841935484"/>
    <n v="4.3290322580645197"/>
    <n v="3.5417255913978498"/>
    <n v="0.81813333333333305"/>
    <n v="0.99"/>
    <m/>
    <m/>
    <m/>
    <m/>
    <m/>
    <n v="0"/>
    <m/>
    <n v="0"/>
    <n v="0"/>
    <n v="0"/>
    <n v="0"/>
    <n v="0"/>
    <m/>
    <m/>
    <m/>
    <m/>
    <m/>
    <m/>
    <m/>
    <m/>
    <m/>
    <m/>
    <n v="0"/>
    <n v="0"/>
    <m/>
    <m/>
    <m/>
    <m/>
    <m/>
    <m/>
    <m/>
    <m/>
    <m/>
    <m/>
    <m/>
    <m/>
    <n v="0"/>
    <m/>
    <m/>
    <m/>
    <m/>
    <m/>
    <m/>
    <m/>
    <m/>
    <m/>
    <n v="71500"/>
    <n v="56992"/>
    <m/>
    <m/>
    <m/>
  </r>
  <r>
    <x v="535"/>
    <n v="255977.841935484"/>
    <n v="4.3290322580645197"/>
    <n v="3.54167749103943"/>
    <n v="0.81812222222222197"/>
    <n v="0.99"/>
    <m/>
    <m/>
    <m/>
    <m/>
    <m/>
    <n v="0"/>
    <m/>
    <n v="0"/>
    <n v="0"/>
    <n v="0"/>
    <n v="0"/>
    <n v="0"/>
    <m/>
    <m/>
    <m/>
    <m/>
    <m/>
    <m/>
    <m/>
    <m/>
    <m/>
    <m/>
    <n v="0"/>
    <n v="0"/>
    <m/>
    <m/>
    <m/>
    <m/>
    <m/>
    <m/>
    <m/>
    <m/>
    <m/>
    <m/>
    <m/>
    <m/>
    <n v="0"/>
    <m/>
    <m/>
    <m/>
    <m/>
    <m/>
    <m/>
    <m/>
    <m/>
    <m/>
    <n v="71500"/>
    <n v="56992"/>
    <m/>
    <m/>
    <m/>
  </r>
  <r>
    <x v="536"/>
    <n v="255977.841935484"/>
    <n v="4.3290322580645197"/>
    <n v="3.5416293906809999"/>
    <n v="0.81811111111111101"/>
    <n v="0.99"/>
    <m/>
    <m/>
    <m/>
    <m/>
    <m/>
    <n v="0"/>
    <m/>
    <n v="0"/>
    <n v="0"/>
    <n v="0"/>
    <n v="0"/>
    <n v="0"/>
    <m/>
    <m/>
    <m/>
    <m/>
    <m/>
    <m/>
    <m/>
    <m/>
    <m/>
    <m/>
    <n v="0"/>
    <n v="0"/>
    <m/>
    <m/>
    <m/>
    <m/>
    <m/>
    <m/>
    <m/>
    <m/>
    <m/>
    <m/>
    <m/>
    <m/>
    <n v="0"/>
    <m/>
    <m/>
    <m/>
    <m/>
    <m/>
    <m/>
    <m/>
    <m/>
    <m/>
    <n v="71500"/>
    <n v="56992"/>
    <m/>
    <m/>
    <m/>
  </r>
  <r>
    <x v="537"/>
    <n v="255977.841935484"/>
    <n v="4.3290322580645197"/>
    <n v="3.5415812903225801"/>
    <n v="0.81810000000000005"/>
    <n v="0.99"/>
    <m/>
    <m/>
    <m/>
    <m/>
    <m/>
    <n v="0"/>
    <m/>
    <n v="0"/>
    <n v="0"/>
    <n v="0"/>
    <n v="0"/>
    <n v="0"/>
    <m/>
    <m/>
    <m/>
    <m/>
    <m/>
    <m/>
    <m/>
    <m/>
    <m/>
    <m/>
    <n v="0"/>
    <n v="0"/>
    <m/>
    <m/>
    <m/>
    <m/>
    <m/>
    <m/>
    <m/>
    <m/>
    <m/>
    <m/>
    <m/>
    <m/>
    <n v="0"/>
    <m/>
    <m/>
    <m/>
    <m/>
    <m/>
    <m/>
    <m/>
    <m/>
    <m/>
    <n v="71500"/>
    <n v="56992"/>
    <m/>
    <m/>
    <m/>
  </r>
  <r>
    <x v="538"/>
    <n v="255977.841935484"/>
    <n v="4.3290322580645197"/>
    <n v="3.5415331899641602"/>
    <n v="0.81808888888888898"/>
    <n v="0.99"/>
    <m/>
    <m/>
    <m/>
    <m/>
    <m/>
    <n v="0"/>
    <m/>
    <n v="0"/>
    <n v="0"/>
    <n v="0"/>
    <n v="0"/>
    <n v="0"/>
    <m/>
    <m/>
    <m/>
    <m/>
    <m/>
    <m/>
    <m/>
    <m/>
    <m/>
    <m/>
    <n v="0"/>
    <n v="0"/>
    <m/>
    <m/>
    <m/>
    <m/>
    <m/>
    <m/>
    <m/>
    <m/>
    <m/>
    <m/>
    <m/>
    <m/>
    <n v="0"/>
    <m/>
    <m/>
    <m/>
    <m/>
    <m/>
    <m/>
    <m/>
    <m/>
    <m/>
    <n v="71500"/>
    <n v="56992"/>
    <m/>
    <m/>
    <m/>
  </r>
  <r>
    <x v="539"/>
    <n v="255977.841935484"/>
    <n v="4.3290322580645197"/>
    <n v="3.5414850896057399"/>
    <n v="0.81807777777777801"/>
    <n v="0.99"/>
    <m/>
    <m/>
    <m/>
    <m/>
    <m/>
    <n v="0"/>
    <m/>
    <n v="0"/>
    <n v="0"/>
    <n v="0"/>
    <n v="0"/>
    <n v="0"/>
    <m/>
    <m/>
    <m/>
    <m/>
    <m/>
    <m/>
    <m/>
    <m/>
    <m/>
    <m/>
    <n v="0"/>
    <n v="0"/>
    <m/>
    <m/>
    <m/>
    <m/>
    <m/>
    <m/>
    <m/>
    <m/>
    <m/>
    <m/>
    <m/>
    <m/>
    <n v="0"/>
    <m/>
    <m/>
    <m/>
    <m/>
    <m/>
    <m/>
    <m/>
    <m/>
    <m/>
    <n v="71500"/>
    <n v="56992"/>
    <m/>
    <m/>
    <m/>
  </r>
  <r>
    <x v="540"/>
    <n v="255977.841935484"/>
    <n v="4.3290322580645197"/>
    <n v="3.5414369892473099"/>
    <n v="0.81806666666666705"/>
    <n v="0.99"/>
    <m/>
    <m/>
    <m/>
    <m/>
    <m/>
    <n v="0"/>
    <m/>
    <n v="0"/>
    <n v="0"/>
    <n v="0"/>
    <n v="0"/>
    <n v="0"/>
    <m/>
    <m/>
    <m/>
    <m/>
    <m/>
    <m/>
    <m/>
    <m/>
    <m/>
    <m/>
    <n v="0"/>
    <n v="0"/>
    <m/>
    <m/>
    <m/>
    <m/>
    <m/>
    <m/>
    <m/>
    <m/>
    <m/>
    <m/>
    <m/>
    <m/>
    <n v="0"/>
    <m/>
    <m/>
    <m/>
    <m/>
    <m/>
    <m/>
    <m/>
    <m/>
    <m/>
    <n v="71500"/>
    <n v="56992"/>
    <m/>
    <m/>
    <m/>
  </r>
  <r>
    <x v="541"/>
    <n v="255977.841935484"/>
    <n v="4.3290322580645197"/>
    <n v="3.54138888888889"/>
    <n v="0.81805555555555598"/>
    <n v="0.99"/>
    <m/>
    <m/>
    <m/>
    <m/>
    <m/>
    <n v="0"/>
    <m/>
    <n v="0"/>
    <n v="0"/>
    <n v="0"/>
    <n v="0"/>
    <n v="0"/>
    <m/>
    <m/>
    <m/>
    <m/>
    <m/>
    <m/>
    <m/>
    <m/>
    <m/>
    <m/>
    <n v="0"/>
    <n v="0"/>
    <m/>
    <m/>
    <m/>
    <m/>
    <m/>
    <m/>
    <m/>
    <m/>
    <m/>
    <m/>
    <m/>
    <m/>
    <n v="0"/>
    <m/>
    <m/>
    <m/>
    <m/>
    <m/>
    <m/>
    <m/>
    <m/>
    <m/>
    <n v="71500"/>
    <n v="56992"/>
    <m/>
    <m/>
    <m/>
  </r>
  <r>
    <x v="542"/>
    <n v="255977.841935484"/>
    <n v="4.3290322580645197"/>
    <n v="3.5413407885304702"/>
    <n v="0.81804444444444402"/>
    <n v="0.99"/>
    <m/>
    <m/>
    <m/>
    <m/>
    <m/>
    <n v="0"/>
    <m/>
    <n v="0"/>
    <n v="0"/>
    <n v="0"/>
    <n v="0"/>
    <n v="0"/>
    <m/>
    <m/>
    <m/>
    <m/>
    <m/>
    <m/>
    <m/>
    <m/>
    <m/>
    <m/>
    <n v="0"/>
    <n v="0"/>
    <m/>
    <m/>
    <m/>
    <m/>
    <m/>
    <m/>
    <m/>
    <m/>
    <m/>
    <m/>
    <m/>
    <m/>
    <n v="0"/>
    <m/>
    <m/>
    <m/>
    <m/>
    <m/>
    <m/>
    <m/>
    <m/>
    <m/>
    <n v="71500"/>
    <n v="56992"/>
    <m/>
    <m/>
    <m/>
  </r>
  <r>
    <x v="543"/>
    <n v="255977.841935484"/>
    <n v="4.3290322580645197"/>
    <n v="3.5412926881720401"/>
    <n v="0.81803333333333295"/>
    <n v="0.99"/>
    <m/>
    <m/>
    <m/>
    <m/>
    <m/>
    <n v="0"/>
    <m/>
    <n v="0"/>
    <n v="0"/>
    <n v="0"/>
    <n v="0"/>
    <n v="0"/>
    <m/>
    <m/>
    <m/>
    <m/>
    <m/>
    <m/>
    <m/>
    <m/>
    <m/>
    <m/>
    <n v="0"/>
    <n v="0"/>
    <m/>
    <m/>
    <m/>
    <m/>
    <m/>
    <m/>
    <m/>
    <m/>
    <m/>
    <m/>
    <m/>
    <m/>
    <n v="0"/>
    <m/>
    <m/>
    <m/>
    <m/>
    <m/>
    <m/>
    <m/>
    <m/>
    <m/>
    <n v="71500"/>
    <n v="56992"/>
    <m/>
    <m/>
    <m/>
  </r>
  <r>
    <x v="544"/>
    <n v="255977.841935484"/>
    <n v="4.3290322580645197"/>
    <n v="3.5412445878136198"/>
    <n v="0.81802222222222198"/>
    <n v="0.99"/>
    <m/>
    <m/>
    <m/>
    <m/>
    <m/>
    <n v="0"/>
    <m/>
    <n v="0"/>
    <n v="0"/>
    <n v="0"/>
    <n v="0"/>
    <n v="0"/>
    <m/>
    <m/>
    <m/>
    <m/>
    <m/>
    <m/>
    <m/>
    <m/>
    <m/>
    <m/>
    <n v="0"/>
    <n v="0"/>
    <m/>
    <m/>
    <m/>
    <m/>
    <m/>
    <m/>
    <m/>
    <m/>
    <m/>
    <m/>
    <m/>
    <m/>
    <n v="0"/>
    <m/>
    <m/>
    <m/>
    <m/>
    <m/>
    <m/>
    <m/>
    <m/>
    <m/>
    <n v="71500"/>
    <n v="56992"/>
    <m/>
    <m/>
    <m/>
  </r>
  <r>
    <x v="545"/>
    <n v="255977.841935484"/>
    <n v="4.3290322580645197"/>
    <n v="3.5411964874552"/>
    <n v="0.81801111111111102"/>
    <n v="0.99"/>
    <m/>
    <m/>
    <m/>
    <m/>
    <m/>
    <n v="0"/>
    <m/>
    <n v="0"/>
    <n v="0"/>
    <n v="0"/>
    <n v="0"/>
    <n v="0"/>
    <m/>
    <m/>
    <m/>
    <m/>
    <m/>
    <m/>
    <m/>
    <m/>
    <m/>
    <m/>
    <n v="0"/>
    <n v="0"/>
    <m/>
    <m/>
    <m/>
    <m/>
    <m/>
    <m/>
    <m/>
    <m/>
    <m/>
    <m/>
    <m/>
    <m/>
    <n v="0"/>
    <m/>
    <m/>
    <m/>
    <m/>
    <m/>
    <m/>
    <m/>
    <m/>
    <m/>
    <n v="71500"/>
    <n v="56992"/>
    <m/>
    <m/>
    <m/>
  </r>
  <r>
    <x v="546"/>
    <n v="255977.841935484"/>
    <n v="4.3290322580645197"/>
    <n v="3.5411483870967699"/>
    <n v="0.81799999999999995"/>
    <n v="0.99"/>
    <m/>
    <m/>
    <m/>
    <m/>
    <m/>
    <n v="0"/>
    <m/>
    <n v="0"/>
    <n v="0"/>
    <n v="0"/>
    <n v="0"/>
    <n v="0"/>
    <m/>
    <m/>
    <m/>
    <m/>
    <m/>
    <m/>
    <m/>
    <m/>
    <m/>
    <m/>
    <n v="0"/>
    <n v="0"/>
    <m/>
    <m/>
    <m/>
    <m/>
    <m/>
    <m/>
    <m/>
    <m/>
    <m/>
    <m/>
    <m/>
    <m/>
    <n v="0"/>
    <m/>
    <m/>
    <m/>
    <m/>
    <m/>
    <m/>
    <m/>
    <m/>
    <m/>
    <n v="71500"/>
    <n v="56992"/>
    <m/>
    <m/>
    <m/>
  </r>
  <r>
    <x v="547"/>
    <n v="236808"/>
    <n v="4.1399999999999997"/>
    <n v="3.38652"/>
    <n v="0.81799999999999995"/>
    <n v="0.99"/>
    <m/>
    <m/>
    <m/>
    <m/>
    <m/>
    <n v="0"/>
    <m/>
    <n v="0"/>
    <n v="0"/>
    <n v="0"/>
    <n v="0"/>
    <n v="0"/>
    <m/>
    <m/>
    <m/>
    <m/>
    <m/>
    <m/>
    <m/>
    <m/>
    <m/>
    <m/>
    <n v="0"/>
    <n v="0"/>
    <m/>
    <m/>
    <m/>
    <m/>
    <m/>
    <m/>
    <m/>
    <m/>
    <m/>
    <m/>
    <m/>
    <m/>
    <n v="0"/>
    <m/>
    <m/>
    <m/>
    <m/>
    <m/>
    <m/>
    <m/>
    <m/>
    <m/>
    <n v="71500"/>
    <n v="56992"/>
    <m/>
    <m/>
    <m/>
  </r>
  <r>
    <x v="548"/>
    <n v="236808"/>
    <n v="4.1399999999999997"/>
    <n v="3.3864740000000002"/>
    <n v="0.81798888888888899"/>
    <n v="0.99"/>
    <m/>
    <m/>
    <m/>
    <m/>
    <m/>
    <n v="0"/>
    <m/>
    <n v="0"/>
    <n v="0"/>
    <n v="0"/>
    <n v="0"/>
    <n v="0"/>
    <m/>
    <m/>
    <m/>
    <m/>
    <m/>
    <m/>
    <m/>
    <m/>
    <m/>
    <m/>
    <n v="0"/>
    <n v="0"/>
    <m/>
    <m/>
    <m/>
    <m/>
    <m/>
    <m/>
    <m/>
    <m/>
    <m/>
    <m/>
    <m/>
    <m/>
    <n v="0"/>
    <m/>
    <m/>
    <m/>
    <m/>
    <m/>
    <m/>
    <m/>
    <m/>
    <m/>
    <n v="71500"/>
    <n v="56992"/>
    <m/>
    <m/>
    <m/>
  </r>
  <r>
    <x v="549"/>
    <n v="236808"/>
    <n v="4.1399999999999997"/>
    <n v="3.386428"/>
    <n v="0.81797777777777803"/>
    <n v="0.99"/>
    <m/>
    <m/>
    <m/>
    <m/>
    <m/>
    <n v="0"/>
    <m/>
    <n v="0"/>
    <n v="0"/>
    <n v="0"/>
    <n v="0"/>
    <n v="0"/>
    <m/>
    <m/>
    <m/>
    <m/>
    <m/>
    <m/>
    <m/>
    <m/>
    <m/>
    <m/>
    <n v="0"/>
    <n v="0"/>
    <m/>
    <m/>
    <m/>
    <m/>
    <m/>
    <m/>
    <m/>
    <m/>
    <m/>
    <m/>
    <m/>
    <m/>
    <n v="0"/>
    <m/>
    <m/>
    <m/>
    <m/>
    <m/>
    <m/>
    <m/>
    <m/>
    <m/>
    <n v="71500"/>
    <n v="56992"/>
    <m/>
    <m/>
    <m/>
  </r>
  <r>
    <x v="550"/>
    <n v="236808"/>
    <n v="4.1399999999999997"/>
    <n v="3.3863819999999998"/>
    <n v="0.81796666666666695"/>
    <n v="0.99"/>
    <m/>
    <m/>
    <m/>
    <m/>
    <m/>
    <n v="0"/>
    <m/>
    <n v="0"/>
    <n v="0"/>
    <n v="0"/>
    <n v="0"/>
    <n v="0"/>
    <m/>
    <m/>
    <m/>
    <m/>
    <m/>
    <m/>
    <m/>
    <m/>
    <m/>
    <m/>
    <n v="0"/>
    <n v="0"/>
    <m/>
    <m/>
    <m/>
    <m/>
    <m/>
    <m/>
    <m/>
    <m/>
    <m/>
    <m/>
    <m/>
    <m/>
    <n v="0"/>
    <m/>
    <m/>
    <m/>
    <m/>
    <m/>
    <m/>
    <m/>
    <m/>
    <m/>
    <n v="71500"/>
    <n v="56992"/>
    <m/>
    <m/>
    <m/>
  </r>
  <r>
    <x v="551"/>
    <n v="236808"/>
    <n v="4.1399999999999997"/>
    <n v="3.386336"/>
    <n v="0.81795555555555599"/>
    <n v="0.99"/>
    <m/>
    <m/>
    <m/>
    <m/>
    <m/>
    <n v="0"/>
    <m/>
    <n v="0"/>
    <n v="0"/>
    <n v="0"/>
    <n v="0"/>
    <n v="0"/>
    <m/>
    <m/>
    <m/>
    <m/>
    <m/>
    <m/>
    <m/>
    <m/>
    <m/>
    <m/>
    <n v="0"/>
    <n v="0"/>
    <m/>
    <m/>
    <m/>
    <m/>
    <m/>
    <m/>
    <m/>
    <m/>
    <m/>
    <m/>
    <m/>
    <m/>
    <n v="0"/>
    <m/>
    <m/>
    <m/>
    <m/>
    <m/>
    <m/>
    <m/>
    <m/>
    <m/>
    <n v="71500"/>
    <n v="56992"/>
    <m/>
    <m/>
    <m/>
  </r>
  <r>
    <x v="552"/>
    <n v="236808"/>
    <n v="4.1399999999999997"/>
    <n v="3.3862899999999998"/>
    <n v="0.81794444444444403"/>
    <n v="0.99"/>
    <m/>
    <m/>
    <m/>
    <m/>
    <m/>
    <n v="0"/>
    <m/>
    <n v="0"/>
    <n v="0"/>
    <n v="0"/>
    <n v="0"/>
    <n v="0"/>
    <m/>
    <m/>
    <m/>
    <m/>
    <m/>
    <m/>
    <m/>
    <m/>
    <m/>
    <m/>
    <n v="0"/>
    <n v="0"/>
    <m/>
    <m/>
    <m/>
    <m/>
    <m/>
    <m/>
    <m/>
    <m/>
    <m/>
    <m/>
    <m/>
    <m/>
    <n v="0"/>
    <m/>
    <m/>
    <m/>
    <m/>
    <m/>
    <m/>
    <m/>
    <m/>
    <m/>
    <n v="71500"/>
    <n v="56992"/>
    <m/>
    <m/>
    <m/>
  </r>
  <r>
    <x v="553"/>
    <n v="236808"/>
    <n v="4.1399999999999997"/>
    <n v="3.386244"/>
    <n v="0.81793333333333296"/>
    <n v="0.99"/>
    <m/>
    <m/>
    <m/>
    <m/>
    <m/>
    <n v="0"/>
    <m/>
    <n v="0"/>
    <n v="0"/>
    <n v="0"/>
    <n v="0"/>
    <n v="0"/>
    <m/>
    <m/>
    <m/>
    <m/>
    <m/>
    <m/>
    <m/>
    <m/>
    <m/>
    <m/>
    <n v="0"/>
    <n v="0"/>
    <m/>
    <m/>
    <m/>
    <m/>
    <m/>
    <m/>
    <m/>
    <m/>
    <m/>
    <m/>
    <m/>
    <m/>
    <n v="0"/>
    <m/>
    <m/>
    <m/>
    <m/>
    <m/>
    <m/>
    <m/>
    <m/>
    <m/>
    <n v="71500"/>
    <n v="56992"/>
    <m/>
    <m/>
    <m/>
  </r>
  <r>
    <x v="554"/>
    <n v="236808"/>
    <n v="4.1399999999999997"/>
    <n v="3.3861979999999998"/>
    <n v="0.817922222222222"/>
    <n v="0.99"/>
    <m/>
    <m/>
    <m/>
    <m/>
    <m/>
    <n v="0"/>
    <m/>
    <n v="0"/>
    <n v="0"/>
    <n v="0"/>
    <n v="0"/>
    <n v="0"/>
    <m/>
    <m/>
    <m/>
    <m/>
    <m/>
    <m/>
    <m/>
    <m/>
    <m/>
    <m/>
    <n v="0"/>
    <n v="0"/>
    <m/>
    <m/>
    <m/>
    <m/>
    <m/>
    <m/>
    <m/>
    <m/>
    <m/>
    <m/>
    <m/>
    <m/>
    <n v="0"/>
    <m/>
    <m/>
    <m/>
    <m/>
    <m/>
    <m/>
    <m/>
    <m/>
    <m/>
    <n v="71500"/>
    <n v="56992"/>
    <m/>
    <m/>
    <m/>
  </r>
  <r>
    <x v="555"/>
    <n v="236808"/>
    <n v="4.1399999999999997"/>
    <n v="3.3861520000000001"/>
    <n v="0.81791111111111103"/>
    <n v="0.99"/>
    <m/>
    <m/>
    <m/>
    <m/>
    <m/>
    <n v="0"/>
    <m/>
    <n v="0"/>
    <n v="0"/>
    <n v="0"/>
    <n v="0"/>
    <n v="0"/>
    <m/>
    <m/>
    <m/>
    <m/>
    <m/>
    <m/>
    <m/>
    <m/>
    <m/>
    <m/>
    <n v="0"/>
    <n v="0"/>
    <m/>
    <m/>
    <m/>
    <m/>
    <m/>
    <m/>
    <m/>
    <m/>
    <m/>
    <m/>
    <m/>
    <m/>
    <n v="0"/>
    <m/>
    <m/>
    <m/>
    <m/>
    <m/>
    <m/>
    <m/>
    <m/>
    <m/>
    <n v="71500"/>
    <n v="56992"/>
    <m/>
    <m/>
    <m/>
  </r>
  <r>
    <x v="556"/>
    <n v="236808"/>
    <n v="4.1399999999999997"/>
    <n v="3.3861059999999998"/>
    <n v="0.81789999999999996"/>
    <n v="0.99"/>
    <m/>
    <m/>
    <m/>
    <m/>
    <m/>
    <n v="0"/>
    <m/>
    <n v="0"/>
    <n v="0"/>
    <n v="0"/>
    <n v="0"/>
    <n v="0"/>
    <m/>
    <m/>
    <m/>
    <m/>
    <m/>
    <m/>
    <m/>
    <m/>
    <m/>
    <m/>
    <n v="0"/>
    <n v="0"/>
    <m/>
    <m/>
    <m/>
    <m/>
    <m/>
    <m/>
    <m/>
    <m/>
    <m/>
    <m/>
    <m/>
    <m/>
    <n v="0"/>
    <m/>
    <m/>
    <m/>
    <m/>
    <m/>
    <m/>
    <m/>
    <m/>
    <m/>
    <n v="71500"/>
    <n v="56992"/>
    <m/>
    <m/>
    <m/>
  </r>
  <r>
    <x v="557"/>
    <n v="236808"/>
    <n v="4.1399999999999997"/>
    <n v="3.3860600000000001"/>
    <n v="0.817888888888889"/>
    <n v="0.99"/>
    <m/>
    <m/>
    <m/>
    <m/>
    <m/>
    <n v="0"/>
    <m/>
    <n v="0"/>
    <n v="0"/>
    <n v="0"/>
    <n v="0"/>
    <n v="0"/>
    <m/>
    <m/>
    <m/>
    <m/>
    <m/>
    <m/>
    <m/>
    <m/>
    <m/>
    <m/>
    <n v="0"/>
    <n v="0"/>
    <m/>
    <m/>
    <m/>
    <m/>
    <m/>
    <m/>
    <m/>
    <m/>
    <m/>
    <m/>
    <m/>
    <m/>
    <n v="0"/>
    <m/>
    <m/>
    <m/>
    <m/>
    <m/>
    <m/>
    <m/>
    <m/>
    <m/>
    <n v="71500"/>
    <n v="56992"/>
    <m/>
    <m/>
    <m/>
  </r>
  <r>
    <x v="558"/>
    <n v="236808"/>
    <n v="4.1399999999999997"/>
    <n v="3.3860139999999999"/>
    <n v="0.81787777777777804"/>
    <n v="0.99"/>
    <m/>
    <m/>
    <m/>
    <m/>
    <m/>
    <n v="0"/>
    <m/>
    <n v="0"/>
    <n v="0"/>
    <n v="0"/>
    <n v="0"/>
    <n v="0"/>
    <m/>
    <m/>
    <m/>
    <m/>
    <m/>
    <m/>
    <m/>
    <m/>
    <m/>
    <m/>
    <n v="0"/>
    <n v="0"/>
    <m/>
    <m/>
    <m/>
    <m/>
    <m/>
    <m/>
    <m/>
    <m/>
    <m/>
    <m/>
    <m/>
    <m/>
    <n v="0"/>
    <m/>
    <m/>
    <m/>
    <m/>
    <m/>
    <m/>
    <m/>
    <m/>
    <m/>
    <n v="71500"/>
    <n v="56992"/>
    <m/>
    <m/>
    <m/>
  </r>
  <r>
    <x v="559"/>
    <n v="236808"/>
    <n v="4.1399999999999997"/>
    <n v="3.3859680000000001"/>
    <n v="0.81786666666666696"/>
    <n v="0.99"/>
    <m/>
    <m/>
    <m/>
    <m/>
    <m/>
    <n v="0"/>
    <m/>
    <n v="0"/>
    <n v="0"/>
    <n v="0"/>
    <n v="0"/>
    <n v="0"/>
    <m/>
    <m/>
    <m/>
    <m/>
    <m/>
    <m/>
    <m/>
    <m/>
    <m/>
    <m/>
    <n v="0"/>
    <n v="0"/>
    <m/>
    <m/>
    <m/>
    <m/>
    <m/>
    <m/>
    <m/>
    <m/>
    <m/>
    <m/>
    <m/>
    <m/>
    <n v="0"/>
    <m/>
    <m/>
    <m/>
    <m/>
    <m/>
    <m/>
    <m/>
    <m/>
    <m/>
    <n v="71500"/>
    <n v="56992"/>
    <m/>
    <m/>
    <m/>
  </r>
  <r>
    <x v="560"/>
    <n v="236808"/>
    <n v="4.1399999999999997"/>
    <n v="3.3859219999999999"/>
    <n v="0.817855555555556"/>
    <n v="0.99"/>
    <m/>
    <m/>
    <m/>
    <m/>
    <m/>
    <n v="0"/>
    <m/>
    <n v="0"/>
    <n v="0"/>
    <n v="0"/>
    <n v="0"/>
    <n v="0"/>
    <m/>
    <m/>
    <m/>
    <m/>
    <m/>
    <m/>
    <m/>
    <m/>
    <m/>
    <m/>
    <n v="0"/>
    <n v="0"/>
    <m/>
    <m/>
    <m/>
    <m/>
    <m/>
    <m/>
    <m/>
    <m/>
    <m/>
    <m/>
    <m/>
    <m/>
    <n v="0"/>
    <m/>
    <m/>
    <m/>
    <m/>
    <m/>
    <m/>
    <m/>
    <m/>
    <m/>
    <n v="71500"/>
    <n v="56992"/>
    <m/>
    <m/>
    <m/>
  </r>
  <r>
    <x v="561"/>
    <n v="236808"/>
    <n v="4.1399999999999997"/>
    <n v="3.3858760000000001"/>
    <n v="0.81784444444444404"/>
    <n v="0.99"/>
    <m/>
    <m/>
    <m/>
    <m/>
    <m/>
    <n v="0"/>
    <m/>
    <n v="0"/>
    <n v="0"/>
    <n v="0"/>
    <n v="0"/>
    <n v="0"/>
    <m/>
    <m/>
    <m/>
    <m/>
    <m/>
    <m/>
    <m/>
    <m/>
    <m/>
    <m/>
    <n v="0"/>
    <n v="0"/>
    <m/>
    <m/>
    <m/>
    <m/>
    <m/>
    <m/>
    <m/>
    <m/>
    <m/>
    <m/>
    <m/>
    <m/>
    <n v="0"/>
    <m/>
    <m/>
    <m/>
    <m/>
    <m/>
    <m/>
    <m/>
    <m/>
    <m/>
    <n v="71500"/>
    <n v="56992"/>
    <m/>
    <m/>
    <m/>
  </r>
  <r>
    <x v="562"/>
    <n v="236808"/>
    <n v="4.1399999999999997"/>
    <n v="3.3858299999999999"/>
    <n v="0.81783333333333297"/>
    <n v="0.99"/>
    <m/>
    <m/>
    <m/>
    <m/>
    <m/>
    <n v="0"/>
    <m/>
    <n v="0"/>
    <n v="0"/>
    <n v="0"/>
    <n v="0"/>
    <n v="0"/>
    <m/>
    <m/>
    <m/>
    <m/>
    <m/>
    <m/>
    <m/>
    <m/>
    <m/>
    <m/>
    <n v="0"/>
    <n v="0"/>
    <m/>
    <m/>
    <m/>
    <m/>
    <m/>
    <m/>
    <m/>
    <m/>
    <m/>
    <m/>
    <m/>
    <m/>
    <n v="0"/>
    <m/>
    <m/>
    <m/>
    <m/>
    <m/>
    <m/>
    <m/>
    <m/>
    <m/>
    <n v="71500"/>
    <n v="56992"/>
    <m/>
    <m/>
    <m/>
  </r>
  <r>
    <x v="563"/>
    <n v="236808"/>
    <n v="4.1399999999999997"/>
    <n v="3.3857840000000001"/>
    <n v="0.81782222222222201"/>
    <n v="0.99"/>
    <m/>
    <m/>
    <m/>
    <m/>
    <m/>
    <n v="0"/>
    <m/>
    <n v="0"/>
    <n v="0"/>
    <n v="0"/>
    <n v="0"/>
    <n v="0"/>
    <m/>
    <m/>
    <m/>
    <m/>
    <m/>
    <m/>
    <m/>
    <m/>
    <m/>
    <m/>
    <n v="0"/>
    <n v="0"/>
    <m/>
    <m/>
    <m/>
    <m/>
    <m/>
    <m/>
    <m/>
    <m/>
    <m/>
    <m/>
    <m/>
    <m/>
    <n v="0"/>
    <m/>
    <m/>
    <m/>
    <m/>
    <m/>
    <m/>
    <m/>
    <m/>
    <m/>
    <n v="71500"/>
    <n v="56992"/>
    <m/>
    <m/>
    <m/>
  </r>
  <r>
    <x v="564"/>
    <n v="236808"/>
    <n v="4.1399999999999997"/>
    <n v="3.3857379999999999"/>
    <n v="0.81781111111111104"/>
    <n v="0.99"/>
    <m/>
    <m/>
    <m/>
    <m/>
    <m/>
    <n v="0"/>
    <m/>
    <n v="0"/>
    <n v="0"/>
    <n v="0"/>
    <n v="0"/>
    <n v="0"/>
    <m/>
    <m/>
    <m/>
    <m/>
    <m/>
    <m/>
    <m/>
    <m/>
    <m/>
    <m/>
    <n v="0"/>
    <n v="0"/>
    <m/>
    <m/>
    <m/>
    <m/>
    <m/>
    <m/>
    <m/>
    <m/>
    <m/>
    <m/>
    <m/>
    <m/>
    <n v="0"/>
    <m/>
    <m/>
    <m/>
    <m/>
    <m/>
    <m/>
    <m/>
    <m/>
    <m/>
    <n v="71500"/>
    <n v="56992"/>
    <m/>
    <m/>
    <m/>
  </r>
  <r>
    <x v="565"/>
    <n v="236808"/>
    <n v="4.1399999999999997"/>
    <n v="3.3856920000000001"/>
    <n v="0.81779999999999997"/>
    <n v="0.99"/>
    <m/>
    <m/>
    <m/>
    <m/>
    <m/>
    <n v="0"/>
    <m/>
    <n v="0"/>
    <n v="0"/>
    <n v="0"/>
    <n v="0"/>
    <n v="0"/>
    <m/>
    <m/>
    <m/>
    <m/>
    <m/>
    <m/>
    <m/>
    <m/>
    <m/>
    <m/>
    <n v="0"/>
    <n v="0"/>
    <m/>
    <m/>
    <m/>
    <m/>
    <m/>
    <m/>
    <m/>
    <m/>
    <m/>
    <m/>
    <m/>
    <m/>
    <n v="0"/>
    <m/>
    <m/>
    <m/>
    <m/>
    <m/>
    <m/>
    <m/>
    <m/>
    <m/>
    <n v="71500"/>
    <n v="56992"/>
    <m/>
    <m/>
    <m/>
  </r>
  <r>
    <x v="566"/>
    <n v="236808"/>
    <n v="4.1399999999999997"/>
    <n v="3.3856459999999999"/>
    <n v="0.81778888888888901"/>
    <n v="0.99"/>
    <m/>
    <m/>
    <m/>
    <m/>
    <m/>
    <n v="0"/>
    <m/>
    <n v="0"/>
    <n v="0"/>
    <n v="0"/>
    <n v="0"/>
    <n v="0"/>
    <m/>
    <m/>
    <m/>
    <m/>
    <m/>
    <m/>
    <m/>
    <m/>
    <m/>
    <m/>
    <n v="0"/>
    <n v="0"/>
    <m/>
    <m/>
    <m/>
    <m/>
    <m/>
    <m/>
    <m/>
    <m/>
    <m/>
    <m/>
    <m/>
    <m/>
    <n v="0"/>
    <m/>
    <m/>
    <m/>
    <m/>
    <m/>
    <m/>
    <m/>
    <m/>
    <m/>
    <n v="71500"/>
    <n v="56992"/>
    <m/>
    <m/>
    <m/>
  </r>
  <r>
    <x v="567"/>
    <n v="236808"/>
    <n v="4.1399999999999997"/>
    <n v="3.3856000000000002"/>
    <n v="0.81777777777777805"/>
    <n v="0.99"/>
    <m/>
    <m/>
    <m/>
    <m/>
    <m/>
    <n v="0"/>
    <m/>
    <n v="0"/>
    <n v="0"/>
    <n v="0"/>
    <n v="0"/>
    <n v="0"/>
    <m/>
    <m/>
    <m/>
    <m/>
    <m/>
    <m/>
    <m/>
    <m/>
    <m/>
    <m/>
    <n v="0"/>
    <n v="0"/>
    <m/>
    <m/>
    <m/>
    <m/>
    <m/>
    <m/>
    <m/>
    <m/>
    <m/>
    <m/>
    <m/>
    <m/>
    <n v="0"/>
    <m/>
    <m/>
    <m/>
    <m/>
    <m/>
    <m/>
    <m/>
    <m/>
    <m/>
    <n v="71500"/>
    <n v="56992"/>
    <m/>
    <m/>
    <m/>
  </r>
  <r>
    <x v="568"/>
    <n v="236808"/>
    <n v="4.1399999999999997"/>
    <n v="3.385554"/>
    <n v="0.81776666666666697"/>
    <n v="0.99"/>
    <m/>
    <m/>
    <m/>
    <m/>
    <m/>
    <n v="0"/>
    <m/>
    <n v="0"/>
    <n v="0"/>
    <n v="0"/>
    <n v="0"/>
    <n v="0"/>
    <m/>
    <m/>
    <m/>
    <m/>
    <m/>
    <m/>
    <m/>
    <m/>
    <m/>
    <m/>
    <n v="0"/>
    <n v="0"/>
    <m/>
    <m/>
    <m/>
    <m/>
    <m/>
    <m/>
    <m/>
    <m/>
    <m/>
    <m/>
    <m/>
    <m/>
    <n v="0"/>
    <m/>
    <m/>
    <m/>
    <m/>
    <m/>
    <m/>
    <m/>
    <m/>
    <m/>
    <n v="71500"/>
    <n v="56992"/>
    <m/>
    <m/>
    <m/>
  </r>
  <r>
    <x v="569"/>
    <n v="236808"/>
    <n v="4.1399999999999997"/>
    <n v="3.3855080000000002"/>
    <n v="0.81775555555555601"/>
    <n v="0.99"/>
    <m/>
    <m/>
    <m/>
    <m/>
    <m/>
    <n v="0"/>
    <m/>
    <n v="0"/>
    <n v="0"/>
    <n v="0"/>
    <n v="0"/>
    <n v="0"/>
    <m/>
    <m/>
    <m/>
    <m/>
    <m/>
    <m/>
    <m/>
    <m/>
    <m/>
    <m/>
    <n v="0"/>
    <n v="0"/>
    <m/>
    <m/>
    <m/>
    <m/>
    <m/>
    <m/>
    <m/>
    <m/>
    <m/>
    <m/>
    <m/>
    <m/>
    <n v="0"/>
    <m/>
    <m/>
    <m/>
    <m/>
    <m/>
    <m/>
    <m/>
    <m/>
    <m/>
    <n v="71500"/>
    <n v="56992"/>
    <m/>
    <m/>
    <m/>
  </r>
  <r>
    <x v="570"/>
    <n v="236808"/>
    <n v="4.1399999999999997"/>
    <n v="3.385462"/>
    <n v="0.81774444444444405"/>
    <n v="0.99"/>
    <m/>
    <m/>
    <m/>
    <m/>
    <m/>
    <n v="0"/>
    <m/>
    <n v="0"/>
    <n v="0"/>
    <n v="0"/>
    <n v="0"/>
    <n v="0"/>
    <m/>
    <m/>
    <m/>
    <m/>
    <m/>
    <m/>
    <m/>
    <m/>
    <m/>
    <m/>
    <n v="0"/>
    <n v="0"/>
    <m/>
    <m/>
    <m/>
    <m/>
    <m/>
    <m/>
    <m/>
    <m/>
    <m/>
    <m/>
    <m/>
    <m/>
    <n v="0"/>
    <m/>
    <m/>
    <m/>
    <m/>
    <m/>
    <m/>
    <m/>
    <m/>
    <m/>
    <n v="71500"/>
    <n v="56992"/>
    <m/>
    <m/>
    <m/>
  </r>
  <r>
    <x v="571"/>
    <n v="236808"/>
    <n v="4.1399999999999997"/>
    <n v="3.3854160000000002"/>
    <n v="0.81773333333333298"/>
    <n v="0.99"/>
    <m/>
    <m/>
    <m/>
    <m/>
    <m/>
    <n v="0"/>
    <m/>
    <n v="0"/>
    <n v="0"/>
    <n v="0"/>
    <n v="0"/>
    <n v="0"/>
    <m/>
    <m/>
    <m/>
    <m/>
    <m/>
    <m/>
    <m/>
    <m/>
    <m/>
    <m/>
    <n v="0"/>
    <n v="0"/>
    <m/>
    <m/>
    <m/>
    <m/>
    <m/>
    <m/>
    <m/>
    <m/>
    <m/>
    <m/>
    <m/>
    <m/>
    <n v="0"/>
    <m/>
    <m/>
    <m/>
    <m/>
    <m/>
    <m/>
    <m/>
    <m/>
    <m/>
    <n v="71500"/>
    <n v="56992"/>
    <m/>
    <m/>
    <m/>
  </r>
  <r>
    <x v="572"/>
    <n v="236808"/>
    <n v="4.1399999999999997"/>
    <n v="3.38537"/>
    <n v="0.81772222222222202"/>
    <n v="0.99"/>
    <m/>
    <m/>
    <m/>
    <m/>
    <m/>
    <n v="0"/>
    <m/>
    <n v="0"/>
    <n v="0"/>
    <n v="0"/>
    <n v="0"/>
    <n v="0"/>
    <m/>
    <m/>
    <m/>
    <m/>
    <m/>
    <m/>
    <m/>
    <m/>
    <m/>
    <m/>
    <n v="0"/>
    <n v="0"/>
    <m/>
    <m/>
    <m/>
    <m/>
    <m/>
    <m/>
    <m/>
    <m/>
    <m/>
    <m/>
    <m/>
    <m/>
    <n v="0"/>
    <m/>
    <m/>
    <m/>
    <m/>
    <m/>
    <m/>
    <m/>
    <m/>
    <m/>
    <n v="71500"/>
    <n v="56992"/>
    <m/>
    <m/>
    <m/>
  </r>
  <r>
    <x v="573"/>
    <n v="236808"/>
    <n v="4.1399999999999997"/>
    <n v="3.3853240000000002"/>
    <n v="0.81771111111111106"/>
    <n v="0.99"/>
    <m/>
    <m/>
    <m/>
    <m/>
    <m/>
    <n v="0"/>
    <m/>
    <n v="0"/>
    <n v="0"/>
    <n v="0"/>
    <n v="0"/>
    <n v="0"/>
    <m/>
    <m/>
    <m/>
    <m/>
    <m/>
    <m/>
    <m/>
    <m/>
    <m/>
    <m/>
    <n v="0"/>
    <n v="0"/>
    <m/>
    <m/>
    <m/>
    <m/>
    <m/>
    <m/>
    <m/>
    <m/>
    <m/>
    <m/>
    <m/>
    <m/>
    <n v="0"/>
    <m/>
    <m/>
    <m/>
    <m/>
    <m/>
    <m/>
    <m/>
    <m/>
    <m/>
    <n v="71500"/>
    <n v="56992"/>
    <m/>
    <m/>
    <m/>
  </r>
  <r>
    <x v="574"/>
    <n v="236808"/>
    <n v="4.1399999999999997"/>
    <n v="3.385278"/>
    <n v="0.81769999999999998"/>
    <n v="0.99"/>
    <m/>
    <m/>
    <m/>
    <m/>
    <m/>
    <n v="0"/>
    <m/>
    <n v="0"/>
    <n v="0"/>
    <n v="0"/>
    <n v="0"/>
    <n v="0"/>
    <m/>
    <m/>
    <m/>
    <m/>
    <m/>
    <m/>
    <m/>
    <m/>
    <m/>
    <m/>
    <n v="0"/>
    <n v="0"/>
    <m/>
    <m/>
    <m/>
    <m/>
    <m/>
    <m/>
    <m/>
    <m/>
    <m/>
    <m/>
    <m/>
    <m/>
    <n v="0"/>
    <m/>
    <m/>
    <m/>
    <m/>
    <m/>
    <m/>
    <m/>
    <m/>
    <m/>
    <n v="71500"/>
    <n v="56992"/>
    <m/>
    <m/>
    <m/>
  </r>
  <r>
    <x v="575"/>
    <n v="236808"/>
    <n v="4.1399999999999997"/>
    <n v="3.3852319999999998"/>
    <n v="0.81768888888888902"/>
    <n v="0.99"/>
    <m/>
    <m/>
    <m/>
    <m/>
    <m/>
    <n v="0"/>
    <m/>
    <n v="0"/>
    <n v="0"/>
    <n v="0"/>
    <n v="0"/>
    <n v="0"/>
    <m/>
    <m/>
    <m/>
    <m/>
    <m/>
    <m/>
    <m/>
    <m/>
    <m/>
    <m/>
    <n v="0"/>
    <n v="0"/>
    <m/>
    <m/>
    <m/>
    <m/>
    <m/>
    <m/>
    <m/>
    <m/>
    <m/>
    <m/>
    <m/>
    <m/>
    <n v="0"/>
    <m/>
    <m/>
    <m/>
    <m/>
    <m/>
    <m/>
    <m/>
    <m/>
    <m/>
    <n v="71500"/>
    <n v="56992"/>
    <m/>
    <m/>
    <m/>
  </r>
  <r>
    <x v="576"/>
    <n v="236808"/>
    <n v="4.1399999999999997"/>
    <n v="3.385186"/>
    <n v="0.81767777777777795"/>
    <n v="0.99"/>
    <m/>
    <m/>
    <m/>
    <m/>
    <m/>
    <n v="0"/>
    <m/>
    <n v="0"/>
    <n v="0"/>
    <n v="0"/>
    <n v="0"/>
    <n v="0"/>
    <m/>
    <m/>
    <m/>
    <m/>
    <m/>
    <m/>
    <m/>
    <m/>
    <m/>
    <m/>
    <n v="0"/>
    <n v="0"/>
    <m/>
    <m/>
    <m/>
    <m/>
    <m/>
    <m/>
    <m/>
    <m/>
    <m/>
    <m/>
    <m/>
    <m/>
    <n v="0"/>
    <m/>
    <m/>
    <m/>
    <m/>
    <m/>
    <m/>
    <m/>
    <m/>
    <m/>
    <n v="71500"/>
    <n v="56992"/>
    <m/>
    <m/>
    <m/>
  </r>
  <r>
    <x v="577"/>
    <n v="249932.632258064"/>
    <n v="4.2064516129032299"/>
    <n v="3.4394752688171999"/>
    <n v="0.81766666666666699"/>
    <n v="0.99"/>
    <m/>
    <m/>
    <m/>
    <m/>
    <m/>
    <n v="0"/>
    <m/>
    <n v="0"/>
    <n v="0"/>
    <n v="0"/>
    <n v="0"/>
    <n v="0"/>
    <m/>
    <m/>
    <m/>
    <m/>
    <m/>
    <m/>
    <m/>
    <m/>
    <m/>
    <m/>
    <n v="0"/>
    <n v="0"/>
    <m/>
    <m/>
    <m/>
    <m/>
    <m/>
    <m/>
    <m/>
    <m/>
    <m/>
    <m/>
    <m/>
    <m/>
    <n v="0"/>
    <m/>
    <m/>
    <m/>
    <m/>
    <m/>
    <m/>
    <m/>
    <m/>
    <m/>
    <n v="71500"/>
    <n v="56992"/>
    <m/>
    <m/>
    <m/>
  </r>
  <r>
    <x v="578"/>
    <n v="249932.632258064"/>
    <n v="4.2064516129032299"/>
    <n v="3.4394285304659502"/>
    <n v="0.81765555555555602"/>
    <n v="0.99"/>
    <m/>
    <m/>
    <m/>
    <m/>
    <m/>
    <n v="0"/>
    <m/>
    <n v="0"/>
    <n v="0"/>
    <n v="0"/>
    <n v="0"/>
    <n v="0"/>
    <m/>
    <m/>
    <m/>
    <m/>
    <m/>
    <m/>
    <m/>
    <m/>
    <m/>
    <m/>
    <n v="0"/>
    <n v="0"/>
    <m/>
    <m/>
    <m/>
    <m/>
    <m/>
    <m/>
    <m/>
    <m/>
    <m/>
    <m/>
    <m/>
    <m/>
    <n v="0"/>
    <m/>
    <m/>
    <m/>
    <m/>
    <m/>
    <m/>
    <m/>
    <m/>
    <m/>
    <n v="71500"/>
    <n v="56992"/>
    <m/>
    <m/>
    <m/>
  </r>
  <r>
    <x v="579"/>
    <n v="249932.632258064"/>
    <n v="4.2064516129032299"/>
    <n v="3.4393817921147001"/>
    <n v="0.81764444444444395"/>
    <n v="0.99"/>
    <m/>
    <m/>
    <m/>
    <m/>
    <m/>
    <n v="0"/>
    <m/>
    <n v="0"/>
    <n v="0"/>
    <n v="0"/>
    <n v="0"/>
    <n v="0"/>
    <m/>
    <m/>
    <m/>
    <m/>
    <m/>
    <m/>
    <m/>
    <m/>
    <m/>
    <m/>
    <n v="0"/>
    <n v="0"/>
    <m/>
    <m/>
    <m/>
    <m/>
    <m/>
    <m/>
    <m/>
    <m/>
    <m/>
    <m/>
    <m/>
    <m/>
    <n v="0"/>
    <m/>
    <m/>
    <m/>
    <m/>
    <m/>
    <m/>
    <m/>
    <m/>
    <m/>
    <n v="71500"/>
    <n v="56992"/>
    <m/>
    <m/>
    <m/>
  </r>
  <r>
    <x v="580"/>
    <n v="249932.632258064"/>
    <n v="4.2064516129032299"/>
    <n v="3.4393350537634402"/>
    <n v="0.81763333333333299"/>
    <n v="0.99"/>
    <m/>
    <m/>
    <m/>
    <m/>
    <m/>
    <n v="0"/>
    <m/>
    <n v="0"/>
    <n v="0"/>
    <n v="0"/>
    <n v="0"/>
    <n v="0"/>
    <m/>
    <m/>
    <m/>
    <m/>
    <m/>
    <m/>
    <m/>
    <m/>
    <m/>
    <m/>
    <n v="0"/>
    <n v="0"/>
    <m/>
    <m/>
    <m/>
    <m/>
    <m/>
    <m/>
    <m/>
    <m/>
    <m/>
    <m/>
    <m/>
    <m/>
    <n v="0"/>
    <m/>
    <m/>
    <m/>
    <m/>
    <m/>
    <m/>
    <m/>
    <m/>
    <m/>
    <n v="71500"/>
    <n v="56992"/>
    <m/>
    <m/>
    <m/>
  </r>
  <r>
    <x v="581"/>
    <n v="249932.632258064"/>
    <n v="4.2064516129032299"/>
    <n v="3.43928831541219"/>
    <n v="0.81762222222222203"/>
    <n v="0.99"/>
    <m/>
    <m/>
    <m/>
    <m/>
    <m/>
    <n v="0"/>
    <m/>
    <n v="0"/>
    <n v="0"/>
    <n v="0"/>
    <n v="0"/>
    <n v="0"/>
    <m/>
    <m/>
    <m/>
    <m/>
    <m/>
    <m/>
    <m/>
    <m/>
    <m/>
    <m/>
    <n v="0"/>
    <n v="0"/>
    <m/>
    <m/>
    <m/>
    <m/>
    <m/>
    <m/>
    <m/>
    <m/>
    <m/>
    <m/>
    <m/>
    <m/>
    <n v="0"/>
    <m/>
    <m/>
    <m/>
    <m/>
    <m/>
    <m/>
    <m/>
    <m/>
    <m/>
    <n v="71500"/>
    <n v="56992"/>
    <m/>
    <m/>
    <m/>
  </r>
  <r>
    <x v="582"/>
    <n v="249932.632258064"/>
    <n v="4.2064516129032299"/>
    <n v="3.4392415770609301"/>
    <n v="0.81761111111111096"/>
    <n v="0.99"/>
    <m/>
    <m/>
    <m/>
    <m/>
    <m/>
    <n v="0"/>
    <m/>
    <n v="0"/>
    <n v="0"/>
    <n v="0"/>
    <n v="0"/>
    <n v="0"/>
    <m/>
    <m/>
    <m/>
    <m/>
    <m/>
    <m/>
    <m/>
    <m/>
    <m/>
    <m/>
    <n v="0"/>
    <n v="0"/>
    <m/>
    <m/>
    <m/>
    <m/>
    <m/>
    <m/>
    <m/>
    <m/>
    <m/>
    <m/>
    <m/>
    <m/>
    <n v="0"/>
    <m/>
    <m/>
    <m/>
    <m/>
    <m/>
    <m/>
    <m/>
    <m/>
    <m/>
    <n v="71500"/>
    <n v="56992"/>
    <m/>
    <m/>
    <m/>
  </r>
  <r>
    <x v="583"/>
    <n v="249932.632258064"/>
    <n v="4.2064516129032299"/>
    <n v="3.43919483870968"/>
    <n v="0.81759999999999999"/>
    <n v="0.99"/>
    <m/>
    <m/>
    <m/>
    <m/>
    <m/>
    <n v="0"/>
    <m/>
    <n v="0"/>
    <n v="0"/>
    <n v="0"/>
    <n v="0"/>
    <n v="0"/>
    <m/>
    <m/>
    <m/>
    <m/>
    <m/>
    <m/>
    <m/>
    <m/>
    <m/>
    <m/>
    <n v="0"/>
    <n v="0"/>
    <m/>
    <m/>
    <m/>
    <m/>
    <m/>
    <m/>
    <m/>
    <m/>
    <m/>
    <m/>
    <m/>
    <m/>
    <n v="0"/>
    <m/>
    <m/>
    <m/>
    <m/>
    <m/>
    <m/>
    <m/>
    <m/>
    <m/>
    <n v="71500"/>
    <n v="56992"/>
    <m/>
    <m/>
    <m/>
  </r>
  <r>
    <x v="584"/>
    <n v="249932.632258064"/>
    <n v="4.2064516129032299"/>
    <n v="3.4391481003584201"/>
    <n v="0.81758888888888903"/>
    <n v="0.99"/>
    <m/>
    <m/>
    <m/>
    <m/>
    <m/>
    <n v="0"/>
    <m/>
    <n v="0"/>
    <n v="0"/>
    <n v="0"/>
    <n v="0"/>
    <n v="0"/>
    <m/>
    <m/>
    <m/>
    <m/>
    <m/>
    <m/>
    <m/>
    <m/>
    <m/>
    <m/>
    <n v="0"/>
    <n v="0"/>
    <m/>
    <m/>
    <m/>
    <m/>
    <m/>
    <m/>
    <m/>
    <m/>
    <m/>
    <m/>
    <m/>
    <m/>
    <n v="0"/>
    <m/>
    <m/>
    <m/>
    <m/>
    <m/>
    <m/>
    <m/>
    <m/>
    <m/>
    <n v="71500"/>
    <n v="56992"/>
    <m/>
    <m/>
    <m/>
  </r>
  <r>
    <x v="585"/>
    <n v="249932.632258064"/>
    <n v="4.2064516129032299"/>
    <n v="3.43910136200717"/>
    <n v="0.81757777777777796"/>
    <n v="0.99"/>
    <m/>
    <m/>
    <m/>
    <m/>
    <m/>
    <n v="0"/>
    <m/>
    <n v="0"/>
    <n v="0"/>
    <n v="0"/>
    <n v="0"/>
    <n v="0"/>
    <m/>
    <m/>
    <m/>
    <m/>
    <m/>
    <m/>
    <m/>
    <m/>
    <m/>
    <m/>
    <n v="0"/>
    <n v="0"/>
    <m/>
    <m/>
    <m/>
    <m/>
    <m/>
    <m/>
    <m/>
    <m/>
    <m/>
    <m/>
    <m/>
    <m/>
    <n v="0"/>
    <m/>
    <m/>
    <m/>
    <m/>
    <m/>
    <m/>
    <m/>
    <m/>
    <m/>
    <n v="71500"/>
    <n v="56992"/>
    <m/>
    <m/>
    <m/>
  </r>
  <r>
    <x v="586"/>
    <n v="249932.632258064"/>
    <n v="4.2064516129032299"/>
    <n v="3.4390546236559101"/>
    <n v="0.817566666666667"/>
    <n v="0.99"/>
    <m/>
    <m/>
    <m/>
    <m/>
    <m/>
    <n v="0"/>
    <m/>
    <n v="0"/>
    <n v="0"/>
    <n v="0"/>
    <n v="0"/>
    <n v="0"/>
    <m/>
    <m/>
    <m/>
    <m/>
    <m/>
    <m/>
    <m/>
    <m/>
    <m/>
    <m/>
    <n v="0"/>
    <n v="0"/>
    <m/>
    <m/>
    <m/>
    <m/>
    <m/>
    <m/>
    <m/>
    <m/>
    <m/>
    <m/>
    <m/>
    <m/>
    <n v="0"/>
    <m/>
    <m/>
    <m/>
    <m/>
    <m/>
    <m/>
    <m/>
    <m/>
    <m/>
    <n v="71500"/>
    <n v="56992"/>
    <m/>
    <m/>
    <m/>
  </r>
  <r>
    <x v="587"/>
    <n v="249932.632258064"/>
    <n v="4.2064516129032299"/>
    <n v="3.43900788530466"/>
    <n v="0.81755555555555603"/>
    <n v="0.99"/>
    <m/>
    <m/>
    <m/>
    <m/>
    <m/>
    <n v="0"/>
    <m/>
    <n v="0"/>
    <n v="0"/>
    <n v="0"/>
    <n v="0"/>
    <n v="0"/>
    <m/>
    <m/>
    <m/>
    <m/>
    <m/>
    <m/>
    <m/>
    <m/>
    <m/>
    <m/>
    <n v="0"/>
    <n v="0"/>
    <m/>
    <m/>
    <m/>
    <m/>
    <m/>
    <m/>
    <m/>
    <m/>
    <m/>
    <m/>
    <m/>
    <m/>
    <n v="0"/>
    <m/>
    <m/>
    <m/>
    <m/>
    <m/>
    <m/>
    <m/>
    <m/>
    <m/>
    <n v="71500"/>
    <n v="56992"/>
    <m/>
    <m/>
    <m/>
  </r>
  <r>
    <x v="588"/>
    <n v="249932.632258064"/>
    <n v="4.2064516129032299"/>
    <n v="3.4389611469534098"/>
    <n v="0.81754444444444396"/>
    <n v="0.99"/>
    <m/>
    <m/>
    <m/>
    <m/>
    <m/>
    <n v="0"/>
    <m/>
    <n v="0"/>
    <n v="0"/>
    <n v="0"/>
    <n v="0"/>
    <n v="0"/>
    <m/>
    <m/>
    <m/>
    <m/>
    <m/>
    <m/>
    <m/>
    <m/>
    <m/>
    <m/>
    <n v="0"/>
    <n v="0"/>
    <m/>
    <m/>
    <m/>
    <m/>
    <m/>
    <m/>
    <m/>
    <m/>
    <m/>
    <m/>
    <m/>
    <m/>
    <n v="0"/>
    <m/>
    <m/>
    <m/>
    <m/>
    <m/>
    <m/>
    <m/>
    <m/>
    <m/>
    <n v="71500"/>
    <n v="56992"/>
    <m/>
    <m/>
    <m/>
  </r>
  <r>
    <x v="589"/>
    <n v="249932.632258064"/>
    <n v="4.2064516129032299"/>
    <n v="3.4389144086021499"/>
    <n v="0.817533333333333"/>
    <n v="0.99"/>
    <m/>
    <m/>
    <m/>
    <m/>
    <m/>
    <n v="0"/>
    <m/>
    <n v="0"/>
    <n v="0"/>
    <n v="0"/>
    <n v="0"/>
    <n v="0"/>
    <m/>
    <m/>
    <m/>
    <m/>
    <m/>
    <m/>
    <m/>
    <m/>
    <m/>
    <m/>
    <n v="0"/>
    <n v="0"/>
    <m/>
    <m/>
    <m/>
    <m/>
    <m/>
    <m/>
    <m/>
    <m/>
    <m/>
    <m/>
    <m/>
    <m/>
    <n v="0"/>
    <m/>
    <m/>
    <m/>
    <m/>
    <m/>
    <m/>
    <m/>
    <m/>
    <m/>
    <n v="71500"/>
    <n v="56992"/>
    <m/>
    <m/>
    <m/>
  </r>
  <r>
    <x v="590"/>
    <n v="249932.632258064"/>
    <n v="4.2064516129032299"/>
    <n v="3.4388676702508998"/>
    <n v="0.81752222222222204"/>
    <n v="0.99"/>
    <m/>
    <m/>
    <m/>
    <m/>
    <m/>
    <n v="0"/>
    <m/>
    <n v="0"/>
    <n v="0"/>
    <n v="0"/>
    <n v="0"/>
    <n v="0"/>
    <m/>
    <m/>
    <m/>
    <m/>
    <m/>
    <m/>
    <m/>
    <m/>
    <m/>
    <m/>
    <n v="0"/>
    <n v="0"/>
    <m/>
    <m/>
    <m/>
    <m/>
    <m/>
    <m/>
    <m/>
    <m/>
    <m/>
    <m/>
    <m/>
    <m/>
    <n v="0"/>
    <m/>
    <m/>
    <m/>
    <m/>
    <m/>
    <m/>
    <m/>
    <m/>
    <m/>
    <n v="71500"/>
    <n v="56992"/>
    <m/>
    <m/>
    <m/>
  </r>
  <r>
    <x v="591"/>
    <n v="249932.632258064"/>
    <n v="4.2064516129032299"/>
    <n v="3.4388209318996399"/>
    <n v="0.81751111111111097"/>
    <n v="0.99"/>
    <m/>
    <m/>
    <m/>
    <m/>
    <m/>
    <n v="0"/>
    <m/>
    <n v="0"/>
    <n v="0"/>
    <n v="0"/>
    <n v="0"/>
    <n v="0"/>
    <m/>
    <m/>
    <m/>
    <m/>
    <m/>
    <m/>
    <m/>
    <m/>
    <m/>
    <m/>
    <n v="0"/>
    <n v="0"/>
    <m/>
    <m/>
    <m/>
    <m/>
    <m/>
    <m/>
    <m/>
    <m/>
    <m/>
    <m/>
    <m/>
    <m/>
    <n v="0"/>
    <m/>
    <m/>
    <m/>
    <m/>
    <m/>
    <m/>
    <m/>
    <m/>
    <m/>
    <n v="71500"/>
    <n v="56992"/>
    <m/>
    <m/>
    <m/>
  </r>
  <r>
    <x v="592"/>
    <n v="249932.632258064"/>
    <n v="4.2064516129032299"/>
    <n v="3.4387741935483902"/>
    <n v="0.8175"/>
    <n v="0.99"/>
    <m/>
    <m/>
    <m/>
    <m/>
    <m/>
    <n v="0"/>
    <m/>
    <n v="0"/>
    <n v="0"/>
    <n v="0"/>
    <n v="0"/>
    <n v="0"/>
    <m/>
    <m/>
    <m/>
    <m/>
    <m/>
    <m/>
    <m/>
    <m/>
    <m/>
    <m/>
    <n v="0"/>
    <n v="0"/>
    <m/>
    <m/>
    <m/>
    <m/>
    <m/>
    <m/>
    <m/>
    <m/>
    <m/>
    <m/>
    <m/>
    <m/>
    <n v="0"/>
    <m/>
    <m/>
    <m/>
    <m/>
    <m/>
    <m/>
    <m/>
    <m/>
    <m/>
    <n v="71500"/>
    <n v="56992"/>
    <m/>
    <m/>
    <m/>
  </r>
  <r>
    <x v="593"/>
    <n v="249932.632258064"/>
    <n v="4.2064516129032299"/>
    <n v="3.4387274551971299"/>
    <n v="0.81748888888888904"/>
    <n v="0.99"/>
    <m/>
    <m/>
    <m/>
    <m/>
    <m/>
    <n v="0"/>
    <m/>
    <n v="0"/>
    <n v="0"/>
    <n v="0"/>
    <n v="0"/>
    <n v="0"/>
    <m/>
    <m/>
    <m/>
    <m/>
    <m/>
    <m/>
    <m/>
    <m/>
    <m/>
    <m/>
    <n v="0"/>
    <n v="0"/>
    <m/>
    <m/>
    <m/>
    <m/>
    <m/>
    <m/>
    <m/>
    <m/>
    <m/>
    <m/>
    <m/>
    <m/>
    <n v="0"/>
    <m/>
    <m/>
    <m/>
    <m/>
    <m/>
    <m/>
    <m/>
    <m/>
    <m/>
    <n v="71500"/>
    <n v="56992"/>
    <m/>
    <m/>
    <m/>
  </r>
  <r>
    <x v="594"/>
    <n v="249932.632258064"/>
    <n v="4.2064516129032299"/>
    <n v="3.4386807168458802"/>
    <n v="0.81747777777777797"/>
    <n v="0.99"/>
    <m/>
    <m/>
    <m/>
    <m/>
    <m/>
    <n v="0"/>
    <m/>
    <n v="0"/>
    <n v="0"/>
    <n v="0"/>
    <n v="0"/>
    <n v="0"/>
    <m/>
    <m/>
    <m/>
    <m/>
    <m/>
    <m/>
    <m/>
    <m/>
    <m/>
    <m/>
    <n v="0"/>
    <n v="0"/>
    <m/>
    <m/>
    <m/>
    <m/>
    <m/>
    <m/>
    <m/>
    <m/>
    <m/>
    <m/>
    <m/>
    <m/>
    <n v="0"/>
    <m/>
    <m/>
    <m/>
    <m/>
    <m/>
    <m/>
    <m/>
    <m/>
    <m/>
    <n v="71500"/>
    <n v="56992"/>
    <m/>
    <m/>
    <m/>
  </r>
  <r>
    <x v="595"/>
    <n v="249932.632258064"/>
    <n v="4.2064516129032299"/>
    <n v="3.4386339784946198"/>
    <n v="0.81746666666666701"/>
    <n v="0.99"/>
    <m/>
    <m/>
    <m/>
    <m/>
    <m/>
    <n v="0"/>
    <m/>
    <n v="0"/>
    <n v="0"/>
    <n v="0"/>
    <n v="0"/>
    <n v="0"/>
    <m/>
    <m/>
    <m/>
    <m/>
    <m/>
    <m/>
    <m/>
    <m/>
    <m/>
    <m/>
    <n v="0"/>
    <n v="0"/>
    <m/>
    <m/>
    <m/>
    <m/>
    <m/>
    <m/>
    <m/>
    <m/>
    <m/>
    <m/>
    <m/>
    <m/>
    <n v="0"/>
    <m/>
    <m/>
    <m/>
    <m/>
    <m/>
    <m/>
    <m/>
    <m/>
    <m/>
    <n v="71500"/>
    <n v="56992"/>
    <m/>
    <m/>
    <m/>
  </r>
  <r>
    <x v="596"/>
    <n v="249932.632258064"/>
    <n v="4.2064516129032299"/>
    <n v="3.4385872401433701"/>
    <n v="0.81745555555555505"/>
    <n v="0.99"/>
    <m/>
    <m/>
    <m/>
    <m/>
    <m/>
    <n v="0"/>
    <m/>
    <n v="0"/>
    <n v="0"/>
    <n v="0"/>
    <n v="0"/>
    <n v="0"/>
    <m/>
    <m/>
    <m/>
    <m/>
    <m/>
    <m/>
    <m/>
    <m/>
    <m/>
    <m/>
    <n v="0"/>
    <n v="0"/>
    <m/>
    <m/>
    <m/>
    <m/>
    <m/>
    <m/>
    <m/>
    <m/>
    <m/>
    <m/>
    <m/>
    <m/>
    <n v="0"/>
    <m/>
    <m/>
    <m/>
    <m/>
    <m/>
    <m/>
    <m/>
    <m/>
    <m/>
    <n v="71500"/>
    <n v="56992"/>
    <m/>
    <m/>
    <m/>
  </r>
  <r>
    <x v="597"/>
    <n v="249932.632258064"/>
    <n v="4.2064516129032299"/>
    <n v="3.43854050179212"/>
    <n v="0.81744444444444397"/>
    <n v="0.99"/>
    <m/>
    <m/>
    <m/>
    <m/>
    <m/>
    <n v="0"/>
    <m/>
    <n v="0"/>
    <n v="0"/>
    <n v="0"/>
    <n v="0"/>
    <n v="0"/>
    <m/>
    <m/>
    <m/>
    <m/>
    <m/>
    <m/>
    <m/>
    <m/>
    <m/>
    <m/>
    <n v="0"/>
    <n v="0"/>
    <m/>
    <m/>
    <m/>
    <m/>
    <m/>
    <m/>
    <m/>
    <m/>
    <m/>
    <m/>
    <m/>
    <m/>
    <n v="0"/>
    <m/>
    <m/>
    <m/>
    <m/>
    <m/>
    <m/>
    <m/>
    <m/>
    <m/>
    <n v="71500"/>
    <n v="56992"/>
    <m/>
    <m/>
    <m/>
  </r>
  <r>
    <x v="598"/>
    <n v="249932.632258064"/>
    <n v="4.2064516129032299"/>
    <n v="3.4384937634408601"/>
    <n v="0.81743333333333301"/>
    <n v="0.99"/>
    <m/>
    <m/>
    <m/>
    <m/>
    <m/>
    <n v="0"/>
    <m/>
    <n v="0"/>
    <n v="0"/>
    <n v="0"/>
    <n v="0"/>
    <n v="0"/>
    <m/>
    <m/>
    <m/>
    <m/>
    <m/>
    <m/>
    <m/>
    <m/>
    <m/>
    <m/>
    <n v="0"/>
    <n v="0"/>
    <m/>
    <m/>
    <m/>
    <m/>
    <m/>
    <m/>
    <m/>
    <m/>
    <m/>
    <m/>
    <m/>
    <m/>
    <n v="0"/>
    <m/>
    <m/>
    <m/>
    <m/>
    <m/>
    <m/>
    <m/>
    <m/>
    <m/>
    <n v="71500"/>
    <n v="56992"/>
    <m/>
    <m/>
    <m/>
  </r>
  <r>
    <x v="599"/>
    <n v="249932.632258064"/>
    <n v="4.2064516129032299"/>
    <n v="3.43844702508961"/>
    <n v="0.81742222222222205"/>
    <n v="0.99"/>
    <m/>
    <m/>
    <m/>
    <m/>
    <m/>
    <n v="0"/>
    <m/>
    <n v="0"/>
    <n v="0"/>
    <n v="0"/>
    <n v="0"/>
    <n v="0"/>
    <m/>
    <m/>
    <m/>
    <m/>
    <m/>
    <m/>
    <m/>
    <m/>
    <m/>
    <m/>
    <n v="0"/>
    <n v="0"/>
    <m/>
    <m/>
    <m/>
    <m/>
    <m/>
    <m/>
    <m/>
    <m/>
    <m/>
    <m/>
    <m/>
    <m/>
    <n v="0"/>
    <m/>
    <m/>
    <m/>
    <m/>
    <m/>
    <m/>
    <m/>
    <m/>
    <m/>
    <n v="71500"/>
    <n v="56992"/>
    <m/>
    <m/>
    <m/>
  </r>
  <r>
    <x v="600"/>
    <n v="249932.632258064"/>
    <n v="4.2064516129032299"/>
    <n v="3.4384002867383501"/>
    <n v="0.81741111111111098"/>
    <n v="0.99"/>
    <m/>
    <m/>
    <m/>
    <m/>
    <m/>
    <n v="0"/>
    <m/>
    <n v="0"/>
    <n v="0"/>
    <n v="0"/>
    <n v="0"/>
    <n v="0"/>
    <m/>
    <m/>
    <m/>
    <m/>
    <m/>
    <m/>
    <m/>
    <m/>
    <m/>
    <m/>
    <n v="0"/>
    <n v="0"/>
    <m/>
    <m/>
    <m/>
    <m/>
    <m/>
    <m/>
    <m/>
    <m/>
    <m/>
    <m/>
    <m/>
    <m/>
    <n v="0"/>
    <m/>
    <m/>
    <m/>
    <m/>
    <m/>
    <m/>
    <m/>
    <m/>
    <m/>
    <n v="71500"/>
    <n v="56992"/>
    <m/>
    <m/>
    <m/>
  </r>
  <r>
    <x v="601"/>
    <n v="249932.632258064"/>
    <n v="4.2064516129032299"/>
    <n v="3.4383535483870999"/>
    <n v="0.81740000000000002"/>
    <n v="0.99"/>
    <m/>
    <m/>
    <m/>
    <m/>
    <m/>
    <n v="0"/>
    <m/>
    <n v="0"/>
    <n v="0"/>
    <n v="0"/>
    <n v="0"/>
    <n v="0"/>
    <m/>
    <m/>
    <m/>
    <m/>
    <m/>
    <m/>
    <m/>
    <m/>
    <m/>
    <m/>
    <n v="0"/>
    <n v="0"/>
    <m/>
    <m/>
    <m/>
    <m/>
    <m/>
    <m/>
    <m/>
    <m/>
    <m/>
    <m/>
    <m/>
    <m/>
    <n v="0"/>
    <m/>
    <m/>
    <m/>
    <m/>
    <m/>
    <m/>
    <m/>
    <m/>
    <m/>
    <n v="71500"/>
    <n v="56992"/>
    <m/>
    <m/>
    <m/>
  </r>
  <r>
    <x v="602"/>
    <n v="249932.632258064"/>
    <n v="4.2064516129032299"/>
    <n v="3.43830681003584"/>
    <n v="0.81738888888888905"/>
    <n v="0.99"/>
    <m/>
    <m/>
    <m/>
    <m/>
    <m/>
    <n v="0"/>
    <m/>
    <n v="0"/>
    <n v="0"/>
    <n v="0"/>
    <n v="0"/>
    <n v="0"/>
    <m/>
    <m/>
    <m/>
    <m/>
    <m/>
    <m/>
    <m/>
    <m/>
    <m/>
    <m/>
    <n v="0"/>
    <n v="0"/>
    <m/>
    <m/>
    <m/>
    <m/>
    <m/>
    <m/>
    <m/>
    <m/>
    <m/>
    <m/>
    <m/>
    <m/>
    <n v="0"/>
    <m/>
    <m/>
    <m/>
    <m/>
    <m/>
    <m/>
    <m/>
    <m/>
    <m/>
    <n v="71500"/>
    <n v="56992"/>
    <m/>
    <m/>
    <m/>
  </r>
  <r>
    <x v="603"/>
    <n v="249932.632258064"/>
    <n v="4.2064516129032299"/>
    <n v="3.4382600716845899"/>
    <n v="0.81737777777777798"/>
    <n v="0.99"/>
    <m/>
    <m/>
    <m/>
    <m/>
    <m/>
    <n v="0"/>
    <m/>
    <n v="0"/>
    <n v="0"/>
    <n v="0"/>
    <n v="0"/>
    <n v="0"/>
    <m/>
    <m/>
    <m/>
    <m/>
    <m/>
    <m/>
    <m/>
    <m/>
    <m/>
    <m/>
    <n v="0"/>
    <n v="0"/>
    <m/>
    <m/>
    <m/>
    <m/>
    <m/>
    <m/>
    <m/>
    <m/>
    <m/>
    <m/>
    <m/>
    <m/>
    <n v="0"/>
    <m/>
    <m/>
    <m/>
    <m/>
    <m/>
    <m/>
    <m/>
    <m/>
    <m/>
    <n v="71500"/>
    <n v="56992"/>
    <m/>
    <m/>
    <m/>
  </r>
  <r>
    <x v="604"/>
    <n v="249932.632258064"/>
    <n v="4.2064516129032299"/>
    <n v="3.43821333333333"/>
    <n v="0.81736666666666702"/>
    <n v="0.99"/>
    <m/>
    <m/>
    <m/>
    <m/>
    <m/>
    <n v="0"/>
    <m/>
    <n v="0"/>
    <n v="0"/>
    <n v="0"/>
    <n v="0"/>
    <n v="0"/>
    <m/>
    <m/>
    <m/>
    <m/>
    <m/>
    <m/>
    <m/>
    <m/>
    <m/>
    <m/>
    <n v="0"/>
    <n v="0"/>
    <m/>
    <m/>
    <m/>
    <m/>
    <m/>
    <m/>
    <m/>
    <m/>
    <m/>
    <m/>
    <m/>
    <m/>
    <n v="0"/>
    <m/>
    <m/>
    <m/>
    <m/>
    <m/>
    <m/>
    <m/>
    <m/>
    <m/>
    <n v="71500"/>
    <n v="56992"/>
    <m/>
    <m/>
    <m/>
  </r>
  <r>
    <x v="605"/>
    <n v="249932.632258064"/>
    <n v="4.2064516129032299"/>
    <n v="3.4381665949820799"/>
    <n v="0.81735555555555595"/>
    <n v="0.99"/>
    <m/>
    <m/>
    <m/>
    <m/>
    <m/>
    <n v="0"/>
    <m/>
    <n v="0"/>
    <n v="0"/>
    <n v="0"/>
    <n v="0"/>
    <n v="0"/>
    <m/>
    <m/>
    <m/>
    <m/>
    <m/>
    <m/>
    <m/>
    <m/>
    <m/>
    <m/>
    <n v="0"/>
    <n v="0"/>
    <m/>
    <m/>
    <m/>
    <m/>
    <m/>
    <m/>
    <m/>
    <m/>
    <m/>
    <m/>
    <m/>
    <m/>
    <n v="0"/>
    <m/>
    <m/>
    <m/>
    <m/>
    <m/>
    <m/>
    <m/>
    <m/>
    <m/>
    <n v="71500"/>
    <n v="56992"/>
    <m/>
    <m/>
    <m/>
  </r>
  <r>
    <x v="606"/>
    <n v="249932.632258064"/>
    <n v="4.2064516129032299"/>
    <n v="3.43811985663082"/>
    <n v="0.81734444444444398"/>
    <n v="0.99"/>
    <m/>
    <m/>
    <m/>
    <m/>
    <m/>
    <n v="0"/>
    <m/>
    <n v="0"/>
    <n v="0"/>
    <n v="0"/>
    <n v="0"/>
    <n v="0"/>
    <m/>
    <m/>
    <m/>
    <m/>
    <m/>
    <m/>
    <m/>
    <m/>
    <m/>
    <m/>
    <n v="0"/>
    <n v="0"/>
    <m/>
    <m/>
    <m/>
    <m/>
    <m/>
    <m/>
    <m/>
    <m/>
    <m/>
    <m/>
    <m/>
    <m/>
    <n v="0"/>
    <m/>
    <m/>
    <m/>
    <m/>
    <m/>
    <m/>
    <m/>
    <m/>
    <m/>
    <n v="71500"/>
    <n v="56992"/>
    <m/>
    <m/>
    <m/>
  </r>
  <r>
    <x v="607"/>
    <n v="249932.632258064"/>
    <n v="4.2064516129032299"/>
    <n v="3.4380731182795699"/>
    <n v="0.81733333333333302"/>
    <n v="0.99"/>
    <m/>
    <m/>
    <m/>
    <m/>
    <m/>
    <n v="0"/>
    <m/>
    <n v="0"/>
    <n v="0"/>
    <n v="0"/>
    <n v="0"/>
    <n v="0"/>
    <m/>
    <m/>
    <m/>
    <m/>
    <m/>
    <m/>
    <m/>
    <m/>
    <m/>
    <m/>
    <n v="0"/>
    <n v="0"/>
    <m/>
    <m/>
    <m/>
    <m/>
    <m/>
    <m/>
    <m/>
    <m/>
    <m/>
    <m/>
    <m/>
    <m/>
    <n v="0"/>
    <m/>
    <m/>
    <m/>
    <m/>
    <m/>
    <m/>
    <m/>
    <m/>
    <m/>
    <n v="71500"/>
    <n v="56992"/>
    <m/>
    <m/>
    <m/>
  </r>
  <r>
    <x v="608"/>
    <n v="261950.629032258"/>
    <n v="4.4193548387096797"/>
    <n v="3.6120860215053798"/>
    <n v="0.81733333333333302"/>
    <n v="0.99"/>
    <m/>
    <m/>
    <m/>
    <m/>
    <m/>
    <n v="0"/>
    <m/>
    <n v="0"/>
    <n v="0"/>
    <n v="0"/>
    <n v="0"/>
    <n v="0"/>
    <m/>
    <m/>
    <m/>
    <m/>
    <m/>
    <m/>
    <m/>
    <m/>
    <m/>
    <m/>
    <n v="0"/>
    <n v="0"/>
    <m/>
    <m/>
    <m/>
    <m/>
    <m/>
    <m/>
    <m/>
    <m/>
    <m/>
    <m/>
    <m/>
    <m/>
    <n v="0"/>
    <m/>
    <m/>
    <m/>
    <m/>
    <m/>
    <m/>
    <m/>
    <m/>
    <m/>
    <n v="71500"/>
    <n v="56992"/>
    <m/>
    <m/>
    <m/>
  </r>
  <r>
    <x v="609"/>
    <n v="261950.629032258"/>
    <n v="4.4193548387096797"/>
    <n v="3.6120369175627198"/>
    <n v="0.81732222222222195"/>
    <n v="0.99"/>
    <m/>
    <m/>
    <m/>
    <m/>
    <m/>
    <n v="0"/>
    <m/>
    <n v="0"/>
    <n v="0"/>
    <n v="0"/>
    <n v="0"/>
    <n v="0"/>
    <m/>
    <m/>
    <m/>
    <m/>
    <m/>
    <m/>
    <m/>
    <m/>
    <m/>
    <m/>
    <n v="0"/>
    <n v="0"/>
    <m/>
    <m/>
    <m/>
    <m/>
    <m/>
    <m/>
    <m/>
    <m/>
    <m/>
    <m/>
    <m/>
    <m/>
    <n v="0"/>
    <m/>
    <m/>
    <m/>
    <m/>
    <m/>
    <m/>
    <m/>
    <m/>
    <m/>
    <n v="71500"/>
    <n v="56992"/>
    <m/>
    <m/>
    <m/>
  </r>
  <r>
    <x v="610"/>
    <n v="261950.629032258"/>
    <n v="4.4193548387096797"/>
    <n v="3.61198781362007"/>
    <n v="0.81731111111111099"/>
    <n v="0.99"/>
    <m/>
    <m/>
    <m/>
    <m/>
    <m/>
    <n v="0"/>
    <m/>
    <n v="0"/>
    <n v="0"/>
    <n v="0"/>
    <n v="0"/>
    <n v="0"/>
    <m/>
    <m/>
    <m/>
    <m/>
    <m/>
    <m/>
    <m/>
    <m/>
    <m/>
    <m/>
    <n v="0"/>
    <n v="0"/>
    <m/>
    <m/>
    <m/>
    <m/>
    <m/>
    <m/>
    <m/>
    <m/>
    <m/>
    <m/>
    <m/>
    <m/>
    <n v="0"/>
    <m/>
    <m/>
    <m/>
    <m/>
    <m/>
    <m/>
    <m/>
    <m/>
    <m/>
    <n v="71500"/>
    <n v="56992"/>
    <m/>
    <m/>
    <m/>
  </r>
  <r>
    <x v="611"/>
    <n v="261950.629032258"/>
    <n v="4.4193548387096797"/>
    <n v="3.6119387096774198"/>
    <n v="0.81730000000000003"/>
    <n v="0.99"/>
    <m/>
    <m/>
    <m/>
    <m/>
    <m/>
    <n v="0"/>
    <m/>
    <n v="0"/>
    <n v="0"/>
    <n v="0"/>
    <n v="0"/>
    <n v="0"/>
    <m/>
    <m/>
    <m/>
    <m/>
    <m/>
    <m/>
    <m/>
    <m/>
    <m/>
    <m/>
    <n v="0"/>
    <n v="0"/>
    <m/>
    <m/>
    <m/>
    <m/>
    <m/>
    <m/>
    <m/>
    <m/>
    <m/>
    <m/>
    <m/>
    <m/>
    <n v="0"/>
    <m/>
    <m/>
    <m/>
    <m/>
    <m/>
    <m/>
    <m/>
    <m/>
    <m/>
    <n v="71500"/>
    <n v="56992"/>
    <m/>
    <m/>
    <m/>
  </r>
  <r>
    <x v="612"/>
    <n v="261950.629032258"/>
    <n v="4.4193548387096797"/>
    <n v="3.61188960573477"/>
    <n v="0.81728888888888895"/>
    <n v="0.99"/>
    <m/>
    <m/>
    <m/>
    <m/>
    <m/>
    <n v="0"/>
    <m/>
    <n v="0"/>
    <n v="0"/>
    <n v="0"/>
    <n v="0"/>
    <n v="0"/>
    <m/>
    <m/>
    <m/>
    <m/>
    <m/>
    <m/>
    <m/>
    <m/>
    <m/>
    <m/>
    <n v="0"/>
    <n v="0"/>
    <m/>
    <m/>
    <m/>
    <m/>
    <m/>
    <m/>
    <m/>
    <m/>
    <m/>
    <m/>
    <m/>
    <m/>
    <n v="0"/>
    <m/>
    <m/>
    <m/>
    <m/>
    <m/>
    <m/>
    <m/>
    <m/>
    <m/>
    <n v="71500"/>
    <n v="56992"/>
    <m/>
    <m/>
    <m/>
  </r>
  <r>
    <x v="613"/>
    <n v="261950.629032258"/>
    <n v="4.4193548387096797"/>
    <n v="3.61184050179211"/>
    <n v="0.81727777777777799"/>
    <n v="0.99"/>
    <m/>
    <m/>
    <m/>
    <m/>
    <m/>
    <n v="0"/>
    <m/>
    <n v="0"/>
    <n v="0"/>
    <n v="0"/>
    <n v="0"/>
    <n v="0"/>
    <m/>
    <m/>
    <m/>
    <m/>
    <m/>
    <m/>
    <m/>
    <m/>
    <m/>
    <m/>
    <n v="0"/>
    <n v="0"/>
    <m/>
    <m/>
    <m/>
    <m/>
    <m/>
    <m/>
    <m/>
    <m/>
    <m/>
    <m/>
    <m/>
    <m/>
    <n v="0"/>
    <m/>
    <m/>
    <m/>
    <m/>
    <m/>
    <m/>
    <m/>
    <m/>
    <m/>
    <n v="71500"/>
    <n v="56992"/>
    <m/>
    <m/>
    <m/>
  </r>
  <r>
    <x v="614"/>
    <n v="261950.629032258"/>
    <n v="4.4193548387096797"/>
    <n v="3.6117913978494598"/>
    <n v="0.81726666666666703"/>
    <n v="0.99"/>
    <m/>
    <m/>
    <m/>
    <m/>
    <m/>
    <n v="0"/>
    <m/>
    <n v="0"/>
    <n v="0"/>
    <n v="0"/>
    <n v="0"/>
    <n v="0"/>
    <m/>
    <m/>
    <m/>
    <m/>
    <m/>
    <m/>
    <m/>
    <m/>
    <m/>
    <m/>
    <n v="0"/>
    <n v="0"/>
    <m/>
    <m/>
    <m/>
    <m/>
    <m/>
    <m/>
    <m/>
    <m/>
    <m/>
    <m/>
    <m/>
    <m/>
    <n v="0"/>
    <m/>
    <m/>
    <m/>
    <m/>
    <m/>
    <m/>
    <m/>
    <m/>
    <m/>
    <n v="71500"/>
    <n v="56992"/>
    <m/>
    <m/>
    <m/>
  </r>
  <r>
    <x v="615"/>
    <n v="261950.629032258"/>
    <n v="4.4193548387096797"/>
    <n v="3.61174229390681"/>
    <n v="0.81725555555555596"/>
    <n v="0.99"/>
    <m/>
    <m/>
    <m/>
    <m/>
    <m/>
    <n v="0"/>
    <m/>
    <n v="0"/>
    <n v="0"/>
    <n v="0"/>
    <n v="0"/>
    <n v="0"/>
    <m/>
    <m/>
    <m/>
    <m/>
    <m/>
    <m/>
    <m/>
    <m/>
    <m/>
    <m/>
    <n v="0"/>
    <n v="0"/>
    <m/>
    <m/>
    <m/>
    <m/>
    <m/>
    <m/>
    <m/>
    <m/>
    <m/>
    <m/>
    <m/>
    <m/>
    <n v="0"/>
    <m/>
    <m/>
    <m/>
    <m/>
    <m/>
    <m/>
    <m/>
    <m/>
    <m/>
    <n v="71500"/>
    <n v="56992"/>
    <m/>
    <m/>
    <m/>
  </r>
  <r>
    <x v="616"/>
    <n v="261950.629032258"/>
    <n v="4.4193548387096797"/>
    <n v="3.6116931899641598"/>
    <n v="0.817244444444444"/>
    <n v="0.99"/>
    <m/>
    <m/>
    <m/>
    <m/>
    <m/>
    <n v="0"/>
    <m/>
    <n v="0"/>
    <n v="0"/>
    <n v="0"/>
    <n v="0"/>
    <n v="0"/>
    <m/>
    <m/>
    <m/>
    <m/>
    <m/>
    <m/>
    <m/>
    <m/>
    <m/>
    <m/>
    <n v="0"/>
    <n v="0"/>
    <m/>
    <m/>
    <m/>
    <m/>
    <m/>
    <m/>
    <m/>
    <m/>
    <m/>
    <m/>
    <m/>
    <m/>
    <n v="0"/>
    <m/>
    <m/>
    <m/>
    <m/>
    <m/>
    <m/>
    <m/>
    <m/>
    <m/>
    <n v="71500"/>
    <n v="56992"/>
    <m/>
    <m/>
    <m/>
  </r>
  <r>
    <x v="617"/>
    <n v="261950.629032258"/>
    <n v="4.4193548387096797"/>
    <n v="3.61164408602151"/>
    <n v="0.81723333333333303"/>
    <n v="0.99"/>
    <m/>
    <m/>
    <m/>
    <m/>
    <m/>
    <n v="0"/>
    <m/>
    <n v="0"/>
    <n v="0"/>
    <n v="0"/>
    <n v="0"/>
    <n v="0"/>
    <m/>
    <m/>
    <m/>
    <m/>
    <m/>
    <m/>
    <m/>
    <m/>
    <m/>
    <m/>
    <n v="0"/>
    <n v="0"/>
    <m/>
    <m/>
    <m/>
    <m/>
    <m/>
    <m/>
    <m/>
    <m/>
    <m/>
    <m/>
    <m/>
    <m/>
    <n v="0"/>
    <m/>
    <m/>
    <m/>
    <m/>
    <m/>
    <m/>
    <m/>
    <m/>
    <m/>
    <n v="71500"/>
    <n v="56992"/>
    <m/>
    <m/>
    <m/>
  </r>
  <r>
    <x v="618"/>
    <n v="261950.629032258"/>
    <n v="4.4193548387096797"/>
    <n v="3.61159498207885"/>
    <n v="0.81722222222222196"/>
    <n v="0.99"/>
    <m/>
    <m/>
    <m/>
    <m/>
    <m/>
    <n v="0"/>
    <m/>
    <n v="0"/>
    <n v="0"/>
    <n v="0"/>
    <n v="0"/>
    <n v="0"/>
    <m/>
    <m/>
    <m/>
    <m/>
    <m/>
    <m/>
    <m/>
    <m/>
    <m/>
    <m/>
    <n v="0"/>
    <n v="0"/>
    <m/>
    <m/>
    <m/>
    <m/>
    <m/>
    <m/>
    <m/>
    <m/>
    <m/>
    <m/>
    <m/>
    <m/>
    <n v="0"/>
    <m/>
    <m/>
    <m/>
    <m/>
    <m/>
    <m/>
    <m/>
    <m/>
    <m/>
    <n v="71500"/>
    <n v="56992"/>
    <m/>
    <m/>
    <m/>
  </r>
  <r>
    <x v="619"/>
    <n v="261950.629032258"/>
    <n v="4.4193548387096797"/>
    <n v="3.6115458781362002"/>
    <n v="0.817211111111111"/>
    <n v="0.99"/>
    <m/>
    <m/>
    <m/>
    <m/>
    <m/>
    <n v="0"/>
    <m/>
    <n v="0"/>
    <n v="0"/>
    <n v="0"/>
    <n v="0"/>
    <n v="0"/>
    <m/>
    <m/>
    <m/>
    <m/>
    <m/>
    <m/>
    <m/>
    <m/>
    <m/>
    <m/>
    <n v="0"/>
    <n v="0"/>
    <m/>
    <m/>
    <m/>
    <m/>
    <m/>
    <m/>
    <m/>
    <m/>
    <m/>
    <m/>
    <m/>
    <m/>
    <n v="0"/>
    <m/>
    <m/>
    <m/>
    <m/>
    <m/>
    <m/>
    <m/>
    <m/>
    <m/>
    <n v="71500"/>
    <n v="56992"/>
    <m/>
    <m/>
    <m/>
  </r>
  <r>
    <x v="620"/>
    <n v="261950.629032258"/>
    <n v="4.4193548387096797"/>
    <n v="3.61149677419355"/>
    <n v="0.81720000000000004"/>
    <n v="0.99"/>
    <m/>
    <m/>
    <m/>
    <m/>
    <m/>
    <n v="0"/>
    <m/>
    <n v="0"/>
    <n v="0"/>
    <n v="0"/>
    <n v="0"/>
    <n v="0"/>
    <m/>
    <m/>
    <m/>
    <m/>
    <m/>
    <m/>
    <m/>
    <m/>
    <m/>
    <m/>
    <n v="0"/>
    <n v="0"/>
    <m/>
    <m/>
    <m/>
    <m/>
    <m/>
    <m/>
    <m/>
    <m/>
    <m/>
    <m/>
    <m/>
    <m/>
    <n v="0"/>
    <m/>
    <m/>
    <m/>
    <m/>
    <m/>
    <m/>
    <m/>
    <m/>
    <m/>
    <n v="71500"/>
    <n v="56992"/>
    <m/>
    <m/>
    <m/>
  </r>
  <r>
    <x v="621"/>
    <n v="261950.629032258"/>
    <n v="4.4193548387096797"/>
    <n v="3.6114476702509002"/>
    <n v="0.81718888888888896"/>
    <n v="0.99"/>
    <m/>
    <m/>
    <m/>
    <m/>
    <m/>
    <n v="0"/>
    <m/>
    <n v="0"/>
    <n v="0"/>
    <n v="0"/>
    <n v="0"/>
    <n v="0"/>
    <m/>
    <m/>
    <m/>
    <m/>
    <m/>
    <m/>
    <m/>
    <m/>
    <m/>
    <m/>
    <n v="0"/>
    <n v="0"/>
    <m/>
    <m/>
    <m/>
    <m/>
    <m/>
    <m/>
    <m/>
    <m/>
    <m/>
    <m/>
    <m/>
    <m/>
    <n v="0"/>
    <m/>
    <m/>
    <m/>
    <m/>
    <m/>
    <m/>
    <m/>
    <m/>
    <m/>
    <n v="71500"/>
    <n v="56992"/>
    <m/>
    <m/>
    <m/>
  </r>
  <r>
    <x v="622"/>
    <n v="261950.629032258"/>
    <n v="4.4193548387096797"/>
    <n v="3.6113985663082402"/>
    <n v="0.817177777777778"/>
    <n v="0.99"/>
    <m/>
    <m/>
    <m/>
    <m/>
    <m/>
    <n v="0"/>
    <m/>
    <n v="0"/>
    <n v="0"/>
    <n v="0"/>
    <n v="0"/>
    <n v="0"/>
    <m/>
    <m/>
    <m/>
    <m/>
    <m/>
    <m/>
    <m/>
    <m/>
    <m/>
    <m/>
    <n v="0"/>
    <n v="0"/>
    <m/>
    <m/>
    <m/>
    <m/>
    <m/>
    <m/>
    <m/>
    <m/>
    <m/>
    <m/>
    <m/>
    <m/>
    <n v="0"/>
    <m/>
    <m/>
    <m/>
    <m/>
    <m/>
    <m/>
    <m/>
    <m/>
    <m/>
    <n v="71500"/>
    <n v="56992"/>
    <m/>
    <m/>
    <m/>
  </r>
  <r>
    <x v="623"/>
    <n v="261950.629032258"/>
    <n v="4.4193548387096797"/>
    <n v="3.61134946236559"/>
    <n v="0.81716666666666704"/>
    <n v="0.99"/>
    <m/>
    <m/>
    <m/>
    <m/>
    <m/>
    <n v="0"/>
    <m/>
    <n v="0"/>
    <n v="0"/>
    <n v="0"/>
    <n v="0"/>
    <n v="0"/>
    <m/>
    <m/>
    <m/>
    <m/>
    <m/>
    <m/>
    <m/>
    <m/>
    <m/>
    <m/>
    <n v="0"/>
    <n v="0"/>
    <m/>
    <m/>
    <m/>
    <m/>
    <m/>
    <m/>
    <m/>
    <m/>
    <m/>
    <m/>
    <m/>
    <m/>
    <n v="0"/>
    <m/>
    <m/>
    <m/>
    <m/>
    <m/>
    <m/>
    <m/>
    <m/>
    <m/>
    <n v="71500"/>
    <n v="56992"/>
    <m/>
    <m/>
    <m/>
  </r>
  <r>
    <x v="624"/>
    <n v="261950.629032258"/>
    <n v="4.4193548387096797"/>
    <n v="3.6113003584229402"/>
    <n v="0.81715555555555597"/>
    <n v="0.99"/>
    <m/>
    <m/>
    <m/>
    <m/>
    <m/>
    <n v="0"/>
    <m/>
    <n v="0"/>
    <n v="0"/>
    <n v="0"/>
    <n v="0"/>
    <n v="0"/>
    <m/>
    <m/>
    <m/>
    <m/>
    <m/>
    <m/>
    <m/>
    <m/>
    <m/>
    <m/>
    <n v="0"/>
    <n v="0"/>
    <m/>
    <m/>
    <m/>
    <m/>
    <m/>
    <m/>
    <m/>
    <m/>
    <m/>
    <m/>
    <m/>
    <m/>
    <n v="0"/>
    <m/>
    <m/>
    <m/>
    <m/>
    <m/>
    <m/>
    <m/>
    <m/>
    <m/>
    <n v="71500"/>
    <n v="56992"/>
    <m/>
    <m/>
    <m/>
  </r>
  <r>
    <x v="625"/>
    <n v="261950.629032258"/>
    <n v="4.4193548387096797"/>
    <n v="3.6112512544802899"/>
    <n v="0.81714444444444401"/>
    <n v="0.99"/>
    <m/>
    <m/>
    <m/>
    <m/>
    <m/>
    <n v="0"/>
    <m/>
    <n v="0"/>
    <n v="0"/>
    <n v="0"/>
    <n v="0"/>
    <n v="0"/>
    <m/>
    <m/>
    <m/>
    <m/>
    <m/>
    <m/>
    <m/>
    <m/>
    <m/>
    <m/>
    <n v="0"/>
    <n v="0"/>
    <m/>
    <m/>
    <m/>
    <m/>
    <m/>
    <m/>
    <m/>
    <m/>
    <m/>
    <m/>
    <m/>
    <m/>
    <n v="0"/>
    <m/>
    <m/>
    <m/>
    <m/>
    <m/>
    <m/>
    <m/>
    <m/>
    <m/>
    <n v="71500"/>
    <n v="56992"/>
    <m/>
    <m/>
    <m/>
  </r>
  <r>
    <x v="626"/>
    <n v="261950.629032258"/>
    <n v="4.4193548387096797"/>
    <n v="3.6112021505376299"/>
    <n v="0.81713333333333305"/>
    <n v="0.99"/>
    <m/>
    <m/>
    <m/>
    <m/>
    <m/>
    <n v="0"/>
    <m/>
    <n v="0"/>
    <n v="0"/>
    <n v="0"/>
    <n v="0"/>
    <n v="0"/>
    <m/>
    <m/>
    <m/>
    <m/>
    <m/>
    <m/>
    <m/>
    <m/>
    <m/>
    <m/>
    <n v="0"/>
    <n v="0"/>
    <m/>
    <m/>
    <m/>
    <m/>
    <m/>
    <m/>
    <m/>
    <m/>
    <m/>
    <m/>
    <m/>
    <m/>
    <n v="0"/>
    <m/>
    <m/>
    <m/>
    <m/>
    <m/>
    <m/>
    <m/>
    <m/>
    <m/>
    <n v="71500"/>
    <n v="56992"/>
    <m/>
    <m/>
    <m/>
  </r>
  <r>
    <x v="627"/>
    <n v="261950.629032258"/>
    <n v="4.4193548387096797"/>
    <n v="3.6111530465949802"/>
    <n v="0.81712222222222197"/>
    <n v="0.99"/>
    <m/>
    <m/>
    <m/>
    <m/>
    <m/>
    <n v="0"/>
    <m/>
    <n v="0"/>
    <n v="0"/>
    <n v="0"/>
    <n v="0"/>
    <n v="0"/>
    <m/>
    <m/>
    <m/>
    <m/>
    <m/>
    <m/>
    <m/>
    <m/>
    <m/>
    <m/>
    <n v="0"/>
    <n v="0"/>
    <m/>
    <m/>
    <m/>
    <m/>
    <m/>
    <m/>
    <m/>
    <m/>
    <m/>
    <m/>
    <m/>
    <m/>
    <n v="0"/>
    <m/>
    <m/>
    <m/>
    <m/>
    <m/>
    <m/>
    <m/>
    <m/>
    <m/>
    <n v="71500"/>
    <n v="56992"/>
    <m/>
    <m/>
    <m/>
  </r>
  <r>
    <x v="628"/>
    <n v="261950.629032258"/>
    <n v="4.4193548387096797"/>
    <n v="3.6111039426523299"/>
    <n v="0.81711111111111101"/>
    <n v="0.99"/>
    <m/>
    <m/>
    <m/>
    <m/>
    <m/>
    <n v="0"/>
    <m/>
    <n v="0"/>
    <n v="0"/>
    <n v="0"/>
    <n v="0"/>
    <n v="0"/>
    <m/>
    <m/>
    <m/>
    <m/>
    <m/>
    <m/>
    <m/>
    <m/>
    <m/>
    <m/>
    <n v="0"/>
    <n v="0"/>
    <m/>
    <m/>
    <m/>
    <m/>
    <m/>
    <m/>
    <m/>
    <m/>
    <m/>
    <m/>
    <m/>
    <m/>
    <n v="0"/>
    <m/>
    <m/>
    <m/>
    <m/>
    <m/>
    <m/>
    <m/>
    <m/>
    <m/>
    <n v="71500"/>
    <n v="56992"/>
    <m/>
    <m/>
    <m/>
  </r>
  <r>
    <x v="629"/>
    <n v="261950.629032258"/>
    <n v="4.4193548387096797"/>
    <n v="3.6110548387096801"/>
    <n v="0.81710000000000005"/>
    <n v="0.99"/>
    <m/>
    <m/>
    <m/>
    <m/>
    <m/>
    <n v="0"/>
    <m/>
    <n v="0"/>
    <n v="0"/>
    <n v="0"/>
    <n v="0"/>
    <n v="0"/>
    <m/>
    <m/>
    <m/>
    <m/>
    <m/>
    <m/>
    <m/>
    <m/>
    <m/>
    <m/>
    <n v="0"/>
    <n v="0"/>
    <m/>
    <m/>
    <m/>
    <m/>
    <m/>
    <m/>
    <m/>
    <m/>
    <m/>
    <m/>
    <m/>
    <m/>
    <n v="0"/>
    <m/>
    <m/>
    <m/>
    <m/>
    <m/>
    <m/>
    <m/>
    <m/>
    <m/>
    <n v="71500"/>
    <n v="56992"/>
    <m/>
    <m/>
    <m/>
  </r>
  <r>
    <x v="630"/>
    <n v="261950.629032258"/>
    <n v="4.4193548387096797"/>
    <n v="3.6110057347670201"/>
    <n v="0.81708888888888898"/>
    <n v="0.99"/>
    <m/>
    <m/>
    <m/>
    <m/>
    <m/>
    <n v="0"/>
    <m/>
    <n v="0"/>
    <n v="0"/>
    <n v="0"/>
    <n v="0"/>
    <n v="0"/>
    <m/>
    <m/>
    <m/>
    <m/>
    <m/>
    <m/>
    <m/>
    <m/>
    <m/>
    <m/>
    <n v="0"/>
    <n v="0"/>
    <m/>
    <m/>
    <m/>
    <m/>
    <m/>
    <m/>
    <m/>
    <m/>
    <m/>
    <m/>
    <m/>
    <m/>
    <n v="0"/>
    <m/>
    <m/>
    <m/>
    <m/>
    <m/>
    <m/>
    <m/>
    <m/>
    <m/>
    <n v="71500"/>
    <n v="56992"/>
    <m/>
    <m/>
    <m/>
  </r>
  <r>
    <x v="631"/>
    <n v="261950.629032258"/>
    <n v="4.4193548387096797"/>
    <n v="3.6109566308243699"/>
    <n v="0.81707777777777801"/>
    <n v="0.99"/>
    <m/>
    <m/>
    <m/>
    <m/>
    <m/>
    <n v="0"/>
    <m/>
    <n v="0"/>
    <n v="0"/>
    <n v="0"/>
    <n v="0"/>
    <n v="0"/>
    <m/>
    <m/>
    <m/>
    <m/>
    <m/>
    <m/>
    <m/>
    <m/>
    <m/>
    <m/>
    <n v="0"/>
    <n v="0"/>
    <m/>
    <m/>
    <m/>
    <m/>
    <m/>
    <m/>
    <m/>
    <m/>
    <m/>
    <m/>
    <m/>
    <m/>
    <n v="0"/>
    <m/>
    <m/>
    <m/>
    <m/>
    <m/>
    <m/>
    <m/>
    <m/>
    <m/>
    <n v="71500"/>
    <n v="56992"/>
    <m/>
    <m/>
    <m/>
  </r>
  <r>
    <x v="632"/>
    <n v="261950.629032258"/>
    <n v="4.4193548387096797"/>
    <n v="3.6109075268817201"/>
    <n v="0.81706666666666705"/>
    <n v="0.99"/>
    <m/>
    <m/>
    <m/>
    <m/>
    <m/>
    <n v="0"/>
    <m/>
    <n v="0"/>
    <n v="0"/>
    <n v="0"/>
    <n v="0"/>
    <n v="0"/>
    <m/>
    <m/>
    <m/>
    <m/>
    <m/>
    <m/>
    <m/>
    <m/>
    <m/>
    <m/>
    <n v="0"/>
    <n v="0"/>
    <m/>
    <m/>
    <m/>
    <m/>
    <m/>
    <m/>
    <m/>
    <m/>
    <m/>
    <m/>
    <m/>
    <m/>
    <n v="0"/>
    <m/>
    <m/>
    <m/>
    <m/>
    <m/>
    <m/>
    <m/>
    <m/>
    <m/>
    <n v="71500"/>
    <n v="56992"/>
    <m/>
    <m/>
    <m/>
  </r>
  <r>
    <x v="633"/>
    <n v="261950.629032258"/>
    <n v="4.4193548387096797"/>
    <n v="3.6108584229390699"/>
    <n v="0.81705555555555598"/>
    <n v="0.99"/>
    <m/>
    <m/>
    <m/>
    <m/>
    <m/>
    <n v="0"/>
    <m/>
    <n v="0"/>
    <n v="0"/>
    <n v="0"/>
    <n v="0"/>
    <n v="0"/>
    <m/>
    <m/>
    <m/>
    <m/>
    <m/>
    <m/>
    <m/>
    <m/>
    <m/>
    <m/>
    <n v="0"/>
    <n v="0"/>
    <m/>
    <m/>
    <m/>
    <m/>
    <m/>
    <m/>
    <m/>
    <m/>
    <m/>
    <m/>
    <m/>
    <m/>
    <n v="0"/>
    <m/>
    <m/>
    <m/>
    <m/>
    <m/>
    <m/>
    <m/>
    <m/>
    <m/>
    <n v="71500"/>
    <n v="56992"/>
    <m/>
    <m/>
    <m/>
  </r>
  <r>
    <x v="634"/>
    <n v="261950.629032258"/>
    <n v="4.4193548387096797"/>
    <n v="3.6108093189964201"/>
    <n v="0.81704444444444402"/>
    <n v="0.99"/>
    <m/>
    <m/>
    <m/>
    <m/>
    <m/>
    <n v="0"/>
    <m/>
    <n v="0"/>
    <n v="0"/>
    <n v="0"/>
    <n v="0"/>
    <n v="0"/>
    <m/>
    <m/>
    <m/>
    <m/>
    <m/>
    <m/>
    <m/>
    <m/>
    <m/>
    <m/>
    <n v="0"/>
    <n v="0"/>
    <m/>
    <m/>
    <m/>
    <m/>
    <m/>
    <m/>
    <m/>
    <m/>
    <m/>
    <m/>
    <m/>
    <m/>
    <n v="0"/>
    <m/>
    <m/>
    <m/>
    <m/>
    <m/>
    <m/>
    <m/>
    <m/>
    <m/>
    <n v="71500"/>
    <n v="56992"/>
    <m/>
    <m/>
    <m/>
  </r>
  <r>
    <x v="635"/>
    <n v="261950.629032258"/>
    <n v="4.4193548387096797"/>
    <n v="3.6107602150537601"/>
    <n v="0.81703333333333295"/>
    <n v="0.99"/>
    <m/>
    <m/>
    <m/>
    <m/>
    <m/>
    <n v="0"/>
    <m/>
    <n v="0"/>
    <n v="0"/>
    <n v="0"/>
    <n v="0"/>
    <n v="0"/>
    <m/>
    <m/>
    <m/>
    <m/>
    <m/>
    <m/>
    <m/>
    <m/>
    <m/>
    <m/>
    <n v="0"/>
    <n v="0"/>
    <m/>
    <m/>
    <m/>
    <m/>
    <m/>
    <m/>
    <m/>
    <m/>
    <m/>
    <m/>
    <m/>
    <m/>
    <n v="0"/>
    <m/>
    <m/>
    <m/>
    <m/>
    <m/>
    <m/>
    <m/>
    <m/>
    <m/>
    <n v="71500"/>
    <n v="56992"/>
    <m/>
    <m/>
    <m/>
  </r>
  <r>
    <x v="636"/>
    <n v="261950.629032258"/>
    <n v="4.4193548387096797"/>
    <n v="3.6107111111111099"/>
    <n v="0.81702222222222198"/>
    <n v="0.99"/>
    <m/>
    <m/>
    <m/>
    <m/>
    <m/>
    <n v="0"/>
    <m/>
    <n v="0"/>
    <n v="0"/>
    <n v="0"/>
    <n v="0"/>
    <n v="0"/>
    <m/>
    <m/>
    <m/>
    <m/>
    <m/>
    <m/>
    <m/>
    <m/>
    <m/>
    <m/>
    <n v="0"/>
    <n v="0"/>
    <m/>
    <m/>
    <m/>
    <m/>
    <m/>
    <m/>
    <m/>
    <m/>
    <m/>
    <m/>
    <m/>
    <m/>
    <n v="0"/>
    <m/>
    <m/>
    <m/>
    <m/>
    <m/>
    <m/>
    <m/>
    <m/>
    <m/>
    <n v="71500"/>
    <n v="56992"/>
    <m/>
    <m/>
    <m/>
  </r>
  <r>
    <x v="637"/>
    <n v="261950.629032258"/>
    <n v="4.4193548387096797"/>
    <n v="3.6106620071684601"/>
    <n v="0.81701111111111102"/>
    <n v="0.99"/>
    <m/>
    <m/>
    <m/>
    <m/>
    <m/>
    <n v="0"/>
    <m/>
    <n v="0"/>
    <n v="0"/>
    <n v="0"/>
    <n v="0"/>
    <n v="0"/>
    <m/>
    <m/>
    <m/>
    <m/>
    <m/>
    <m/>
    <m/>
    <m/>
    <m/>
    <m/>
    <n v="0"/>
    <n v="0"/>
    <m/>
    <m/>
    <m/>
    <m/>
    <m/>
    <m/>
    <m/>
    <m/>
    <m/>
    <m/>
    <m/>
    <m/>
    <n v="0"/>
    <m/>
    <m/>
    <m/>
    <m/>
    <m/>
    <m/>
    <m/>
    <m/>
    <m/>
    <n v="71500"/>
    <n v="56992"/>
    <m/>
    <m/>
    <m/>
  </r>
  <r>
    <x v="638"/>
    <n v="261950.629032258"/>
    <n v="4.4193548387096797"/>
    <n v="3.6106129032258099"/>
    <n v="0.81699999999999995"/>
    <n v="0.99"/>
    <m/>
    <m/>
    <m/>
    <m/>
    <m/>
    <n v="0"/>
    <m/>
    <n v="0"/>
    <n v="0"/>
    <n v="0"/>
    <n v="0"/>
    <n v="0"/>
    <m/>
    <m/>
    <m/>
    <m/>
    <m/>
    <m/>
    <m/>
    <m/>
    <m/>
    <m/>
    <n v="0"/>
    <n v="0"/>
    <m/>
    <m/>
    <m/>
    <m/>
    <m/>
    <m/>
    <m/>
    <m/>
    <m/>
    <m/>
    <m/>
    <m/>
    <n v="0"/>
    <m/>
    <m/>
    <m/>
    <m/>
    <m/>
    <m/>
    <m/>
    <m/>
    <m/>
    <n v="71500"/>
    <n v="56992"/>
    <m/>
    <m/>
    <m/>
  </r>
  <r>
    <x v="639"/>
    <n v="280814.82"/>
    <n v="4.7433333333333296"/>
    <n v="3.87530333333333"/>
    <n v="0.81699999999999995"/>
    <n v="0.99"/>
    <m/>
    <m/>
    <m/>
    <m/>
    <m/>
    <n v="0"/>
    <m/>
    <n v="0"/>
    <n v="0"/>
    <n v="0"/>
    <n v="0"/>
    <n v="0"/>
    <m/>
    <m/>
    <m/>
    <m/>
    <m/>
    <m/>
    <m/>
    <m/>
    <m/>
    <m/>
    <n v="0"/>
    <n v="0"/>
    <m/>
    <m/>
    <m/>
    <m/>
    <m/>
    <m/>
    <m/>
    <m/>
    <m/>
    <m/>
    <m/>
    <m/>
    <n v="0"/>
    <m/>
    <m/>
    <m/>
    <m/>
    <m/>
    <m/>
    <m/>
    <m/>
    <m/>
    <n v="71500"/>
    <n v="56992"/>
    <m/>
    <m/>
    <m/>
  </r>
  <r>
    <x v="640"/>
    <n v="280814.82"/>
    <n v="4.7433333333333296"/>
    <n v="3.8752506296296301"/>
    <n v="0.81698888888888899"/>
    <n v="0.99"/>
    <m/>
    <m/>
    <m/>
    <m/>
    <m/>
    <n v="0"/>
    <m/>
    <n v="0"/>
    <n v="0"/>
    <n v="0"/>
    <n v="0"/>
    <n v="0"/>
    <m/>
    <m/>
    <m/>
    <m/>
    <m/>
    <m/>
    <m/>
    <m/>
    <m/>
    <m/>
    <n v="0"/>
    <n v="0"/>
    <m/>
    <m/>
    <m/>
    <m/>
    <m/>
    <m/>
    <m/>
    <m/>
    <m/>
    <m/>
    <m/>
    <m/>
    <n v="0"/>
    <m/>
    <m/>
    <m/>
    <m/>
    <m/>
    <m/>
    <m/>
    <m/>
    <m/>
    <n v="71500"/>
    <n v="56992"/>
    <m/>
    <m/>
    <m/>
  </r>
  <r>
    <x v="641"/>
    <n v="280814.82"/>
    <n v="4.7433333333333296"/>
    <n v="3.8751979259259302"/>
    <n v="0.81697777777777802"/>
    <n v="0.99"/>
    <m/>
    <m/>
    <m/>
    <m/>
    <m/>
    <n v="0"/>
    <m/>
    <n v="0"/>
    <n v="0"/>
    <n v="0"/>
    <n v="0"/>
    <n v="0"/>
    <m/>
    <m/>
    <m/>
    <m/>
    <m/>
    <m/>
    <m/>
    <m/>
    <m/>
    <m/>
    <n v="0"/>
    <n v="0"/>
    <m/>
    <m/>
    <m/>
    <m/>
    <m/>
    <m/>
    <m/>
    <m/>
    <m/>
    <m/>
    <m/>
    <m/>
    <n v="0"/>
    <m/>
    <m/>
    <m/>
    <m/>
    <m/>
    <m/>
    <m/>
    <m/>
    <m/>
    <n v="71500"/>
    <n v="56992"/>
    <m/>
    <m/>
    <m/>
  </r>
  <r>
    <x v="642"/>
    <n v="280814.82"/>
    <n v="4.7433333333333296"/>
    <n v="3.87514522222222"/>
    <n v="0.81696666666666695"/>
    <n v="0.99"/>
    <m/>
    <m/>
    <m/>
    <m/>
    <m/>
    <n v="0"/>
    <m/>
    <n v="0"/>
    <n v="0"/>
    <n v="0"/>
    <n v="0"/>
    <n v="0"/>
    <m/>
    <m/>
    <m/>
    <m/>
    <m/>
    <m/>
    <m/>
    <m/>
    <m/>
    <m/>
    <n v="0"/>
    <n v="0"/>
    <m/>
    <m/>
    <m/>
    <m/>
    <m/>
    <m/>
    <m/>
    <m/>
    <m/>
    <m/>
    <m/>
    <m/>
    <n v="0"/>
    <m/>
    <m/>
    <m/>
    <m/>
    <m/>
    <m/>
    <m/>
    <m/>
    <m/>
    <n v="71500"/>
    <n v="56992"/>
    <m/>
    <m/>
    <m/>
  </r>
  <r>
    <x v="643"/>
    <n v="280814.82"/>
    <n v="4.7433333333333296"/>
    <n v="3.8750925185185201"/>
    <n v="0.81695555555555599"/>
    <n v="0.99"/>
    <m/>
    <m/>
    <m/>
    <m/>
    <m/>
    <n v="0"/>
    <m/>
    <n v="0"/>
    <n v="0"/>
    <n v="0"/>
    <n v="0"/>
    <n v="0"/>
    <m/>
    <m/>
    <m/>
    <m/>
    <m/>
    <m/>
    <m/>
    <m/>
    <m/>
    <m/>
    <n v="0"/>
    <n v="0"/>
    <m/>
    <m/>
    <m/>
    <m/>
    <m/>
    <m/>
    <m/>
    <m/>
    <m/>
    <m/>
    <m/>
    <m/>
    <n v="0"/>
    <m/>
    <m/>
    <m/>
    <m/>
    <m/>
    <m/>
    <m/>
    <m/>
    <m/>
    <n v="71500"/>
    <n v="56992"/>
    <m/>
    <m/>
    <m/>
  </r>
  <r>
    <x v="644"/>
    <n v="280814.82"/>
    <n v="4.7433333333333296"/>
    <n v="3.8750398148148202"/>
    <n v="0.81694444444444403"/>
    <n v="0.99"/>
    <m/>
    <m/>
    <m/>
    <m/>
    <m/>
    <n v="0"/>
    <m/>
    <n v="0"/>
    <n v="0"/>
    <n v="0"/>
    <n v="0"/>
    <n v="0"/>
    <m/>
    <m/>
    <m/>
    <m/>
    <m/>
    <m/>
    <m/>
    <m/>
    <m/>
    <m/>
    <n v="0"/>
    <n v="0"/>
    <m/>
    <m/>
    <m/>
    <m/>
    <m/>
    <m/>
    <m/>
    <m/>
    <m/>
    <m/>
    <m/>
    <m/>
    <n v="0"/>
    <m/>
    <m/>
    <m/>
    <m/>
    <m/>
    <m/>
    <m/>
    <m/>
    <m/>
    <n v="71500"/>
    <n v="56992"/>
    <m/>
    <m/>
    <m/>
  </r>
  <r>
    <x v="645"/>
    <n v="280814.82"/>
    <n v="4.7433333333333296"/>
    <n v="3.87498711111111"/>
    <n v="0.81693333333333296"/>
    <n v="0.99"/>
    <m/>
    <m/>
    <m/>
    <m/>
    <m/>
    <n v="0"/>
    <m/>
    <n v="0"/>
    <n v="0"/>
    <n v="0"/>
    <n v="0"/>
    <n v="0"/>
    <m/>
    <m/>
    <m/>
    <m/>
    <m/>
    <m/>
    <m/>
    <m/>
    <m/>
    <m/>
    <n v="0"/>
    <n v="0"/>
    <m/>
    <m/>
    <m/>
    <m/>
    <m/>
    <m/>
    <m/>
    <m/>
    <m/>
    <m/>
    <m/>
    <m/>
    <n v="0"/>
    <m/>
    <m/>
    <m/>
    <m/>
    <m/>
    <m/>
    <m/>
    <m/>
    <m/>
    <n v="71500"/>
    <n v="56992"/>
    <m/>
    <m/>
    <m/>
  </r>
  <r>
    <x v="646"/>
    <n v="280814.82"/>
    <n v="4.7433333333333296"/>
    <n v="3.8749344074074101"/>
    <n v="0.81692222222222199"/>
    <n v="0.99"/>
    <m/>
    <m/>
    <m/>
    <m/>
    <m/>
    <n v="0"/>
    <m/>
    <n v="0"/>
    <n v="0"/>
    <n v="0"/>
    <n v="0"/>
    <n v="0"/>
    <m/>
    <m/>
    <m/>
    <m/>
    <m/>
    <m/>
    <m/>
    <m/>
    <m/>
    <m/>
    <n v="0"/>
    <n v="0"/>
    <m/>
    <m/>
    <m/>
    <m/>
    <m/>
    <m/>
    <m/>
    <m/>
    <m/>
    <m/>
    <m/>
    <m/>
    <n v="0"/>
    <m/>
    <m/>
    <m/>
    <m/>
    <m/>
    <m/>
    <m/>
    <m/>
    <m/>
    <n v="71500"/>
    <n v="56992"/>
    <m/>
    <m/>
    <m/>
  </r>
  <r>
    <x v="647"/>
    <n v="280814.82"/>
    <n v="4.7433333333333296"/>
    <n v="3.8748817037037"/>
    <n v="0.81691111111111103"/>
    <n v="0.99"/>
    <m/>
    <m/>
    <m/>
    <m/>
    <m/>
    <n v="0"/>
    <m/>
    <n v="0"/>
    <n v="0"/>
    <n v="0"/>
    <n v="0"/>
    <n v="0"/>
    <m/>
    <m/>
    <m/>
    <m/>
    <m/>
    <m/>
    <m/>
    <m/>
    <m/>
    <m/>
    <n v="0"/>
    <n v="0"/>
    <m/>
    <m/>
    <m/>
    <m/>
    <m/>
    <m/>
    <m/>
    <m/>
    <m/>
    <m/>
    <m/>
    <m/>
    <n v="0"/>
    <m/>
    <m/>
    <m/>
    <m/>
    <m/>
    <m/>
    <m/>
    <m/>
    <m/>
    <n v="71500"/>
    <n v="56992"/>
    <m/>
    <m/>
    <m/>
  </r>
  <r>
    <x v="648"/>
    <n v="280814.82"/>
    <n v="4.7433333333333296"/>
    <n v="3.8748290000000001"/>
    <n v="0.81689999999999996"/>
    <n v="0.99"/>
    <m/>
    <m/>
    <m/>
    <m/>
    <m/>
    <n v="0"/>
    <m/>
    <n v="0"/>
    <n v="0"/>
    <n v="0"/>
    <n v="0"/>
    <n v="0"/>
    <m/>
    <m/>
    <m/>
    <m/>
    <m/>
    <m/>
    <m/>
    <m/>
    <m/>
    <m/>
    <n v="0"/>
    <n v="0"/>
    <m/>
    <m/>
    <m/>
    <m/>
    <m/>
    <m/>
    <m/>
    <m/>
    <m/>
    <m/>
    <m/>
    <m/>
    <n v="0"/>
    <m/>
    <m/>
    <m/>
    <m/>
    <m/>
    <m/>
    <m/>
    <m/>
    <m/>
    <n v="71500"/>
    <n v="56992"/>
    <m/>
    <m/>
    <m/>
  </r>
  <r>
    <x v="649"/>
    <n v="280814.82"/>
    <n v="4.7433333333333296"/>
    <n v="3.8747762962963002"/>
    <n v="0.816888888888889"/>
    <n v="0.99"/>
    <m/>
    <m/>
    <m/>
    <m/>
    <m/>
    <n v="0"/>
    <m/>
    <n v="0"/>
    <n v="0"/>
    <n v="0"/>
    <n v="0"/>
    <n v="0"/>
    <m/>
    <m/>
    <m/>
    <m/>
    <m/>
    <m/>
    <m/>
    <m/>
    <m/>
    <m/>
    <n v="0"/>
    <n v="0"/>
    <m/>
    <m/>
    <m/>
    <m/>
    <m/>
    <m/>
    <m/>
    <m/>
    <m/>
    <m/>
    <m/>
    <m/>
    <n v="0"/>
    <m/>
    <m/>
    <m/>
    <m/>
    <m/>
    <m/>
    <m/>
    <m/>
    <m/>
    <n v="71500"/>
    <n v="56992"/>
    <m/>
    <m/>
    <m/>
  </r>
  <r>
    <x v="650"/>
    <n v="280814.82"/>
    <n v="4.7433333333333296"/>
    <n v="3.87472359259259"/>
    <n v="0.81687777777777804"/>
    <n v="0.99"/>
    <m/>
    <m/>
    <m/>
    <m/>
    <m/>
    <n v="0"/>
    <m/>
    <n v="0"/>
    <n v="0"/>
    <n v="0"/>
    <n v="0"/>
    <n v="0"/>
    <m/>
    <m/>
    <m/>
    <m/>
    <m/>
    <m/>
    <m/>
    <m/>
    <m/>
    <m/>
    <n v="0"/>
    <n v="0"/>
    <m/>
    <m/>
    <m/>
    <m/>
    <m/>
    <m/>
    <m/>
    <m/>
    <m/>
    <m/>
    <m/>
    <m/>
    <n v="0"/>
    <m/>
    <m/>
    <m/>
    <m/>
    <m/>
    <m/>
    <m/>
    <m/>
    <m/>
    <n v="71500"/>
    <n v="56992"/>
    <m/>
    <m/>
    <m/>
  </r>
  <r>
    <x v="651"/>
    <n v="280814.82"/>
    <n v="4.7433333333333296"/>
    <n v="3.8746708888888901"/>
    <n v="0.81686666666666696"/>
    <n v="0.99"/>
    <m/>
    <m/>
    <m/>
    <m/>
    <m/>
    <n v="0"/>
    <m/>
    <n v="0"/>
    <n v="0"/>
    <n v="0"/>
    <n v="0"/>
    <n v="0"/>
    <m/>
    <m/>
    <m/>
    <m/>
    <m/>
    <m/>
    <m/>
    <m/>
    <m/>
    <m/>
    <n v="0"/>
    <n v="0"/>
    <m/>
    <m/>
    <m/>
    <m/>
    <m/>
    <m/>
    <m/>
    <m/>
    <m/>
    <m/>
    <m/>
    <m/>
    <n v="0"/>
    <m/>
    <m/>
    <m/>
    <m/>
    <m/>
    <m/>
    <m/>
    <m/>
    <m/>
    <n v="71500"/>
    <n v="56992"/>
    <m/>
    <m/>
    <m/>
  </r>
  <r>
    <x v="652"/>
    <n v="280814.82"/>
    <n v="4.7433333333333296"/>
    <n v="3.8746181851851902"/>
    <n v="0.816855555555556"/>
    <n v="0.99"/>
    <m/>
    <m/>
    <m/>
    <m/>
    <m/>
    <n v="0"/>
    <m/>
    <n v="0"/>
    <n v="0"/>
    <n v="0"/>
    <n v="0"/>
    <n v="0"/>
    <m/>
    <m/>
    <m/>
    <m/>
    <m/>
    <m/>
    <m/>
    <m/>
    <m/>
    <m/>
    <n v="0"/>
    <n v="0"/>
    <m/>
    <m/>
    <m/>
    <m/>
    <m/>
    <m/>
    <m/>
    <m/>
    <m/>
    <m/>
    <m/>
    <m/>
    <n v="0"/>
    <m/>
    <m/>
    <m/>
    <m/>
    <m/>
    <m/>
    <m/>
    <m/>
    <m/>
    <n v="71500"/>
    <n v="56992"/>
    <m/>
    <m/>
    <m/>
  </r>
  <r>
    <x v="653"/>
    <n v="280814.82"/>
    <n v="4.7433333333333296"/>
    <n v="3.8745654814814801"/>
    <n v="0.81684444444444404"/>
    <n v="0.99"/>
    <m/>
    <m/>
    <m/>
    <m/>
    <m/>
    <n v="0"/>
    <m/>
    <n v="0"/>
    <n v="0"/>
    <n v="0"/>
    <n v="0"/>
    <n v="0"/>
    <m/>
    <m/>
    <m/>
    <m/>
    <m/>
    <m/>
    <m/>
    <m/>
    <m/>
    <m/>
    <n v="0"/>
    <n v="0"/>
    <m/>
    <m/>
    <m/>
    <m/>
    <m/>
    <m/>
    <m/>
    <m/>
    <m/>
    <m/>
    <m/>
    <m/>
    <n v="0"/>
    <m/>
    <m/>
    <m/>
    <m/>
    <m/>
    <m/>
    <m/>
    <m/>
    <m/>
    <n v="71500"/>
    <n v="56992"/>
    <m/>
    <m/>
    <m/>
  </r>
  <r>
    <x v="654"/>
    <n v="280814.82"/>
    <n v="4.7433333333333296"/>
    <n v="3.8745127777777801"/>
    <n v="0.81683333333333297"/>
    <n v="0.99"/>
    <m/>
    <m/>
    <m/>
    <m/>
    <m/>
    <n v="0"/>
    <m/>
    <n v="0"/>
    <n v="0"/>
    <n v="0"/>
    <n v="0"/>
    <n v="0"/>
    <m/>
    <m/>
    <m/>
    <m/>
    <m/>
    <m/>
    <m/>
    <m/>
    <m/>
    <m/>
    <n v="0"/>
    <n v="0"/>
    <m/>
    <m/>
    <m/>
    <m/>
    <m/>
    <m/>
    <m/>
    <m/>
    <m/>
    <m/>
    <m/>
    <m/>
    <n v="0"/>
    <m/>
    <m/>
    <m/>
    <m/>
    <m/>
    <m/>
    <m/>
    <m/>
    <m/>
    <n v="71500"/>
    <n v="56992"/>
    <m/>
    <m/>
    <m/>
  </r>
  <r>
    <x v="655"/>
    <n v="280814.82"/>
    <n v="4.7433333333333296"/>
    <n v="3.87446007407407"/>
    <n v="0.81682222222222201"/>
    <n v="0.99"/>
    <m/>
    <m/>
    <m/>
    <m/>
    <m/>
    <n v="0"/>
    <m/>
    <n v="0"/>
    <n v="0"/>
    <n v="0"/>
    <n v="0"/>
    <n v="0"/>
    <m/>
    <m/>
    <m/>
    <m/>
    <m/>
    <m/>
    <m/>
    <m/>
    <m/>
    <m/>
    <n v="0"/>
    <n v="0"/>
    <m/>
    <m/>
    <m/>
    <m/>
    <m/>
    <m/>
    <m/>
    <m/>
    <m/>
    <m/>
    <m/>
    <m/>
    <n v="0"/>
    <m/>
    <m/>
    <m/>
    <m/>
    <m/>
    <m/>
    <m/>
    <m/>
    <m/>
    <n v="71500"/>
    <n v="56992"/>
    <m/>
    <m/>
    <m/>
  </r>
  <r>
    <x v="656"/>
    <n v="280814.82"/>
    <n v="4.7433333333333296"/>
    <n v="3.8744073703703701"/>
    <n v="0.81681111111111104"/>
    <n v="0.99"/>
    <m/>
    <m/>
    <m/>
    <m/>
    <m/>
    <n v="0"/>
    <m/>
    <n v="0"/>
    <n v="0"/>
    <n v="0"/>
    <n v="0"/>
    <n v="0"/>
    <m/>
    <m/>
    <m/>
    <m/>
    <m/>
    <m/>
    <m/>
    <m/>
    <m/>
    <m/>
    <n v="0"/>
    <n v="0"/>
    <m/>
    <m/>
    <m/>
    <m/>
    <m/>
    <m/>
    <m/>
    <m/>
    <m/>
    <m/>
    <m/>
    <m/>
    <n v="0"/>
    <m/>
    <m/>
    <m/>
    <m/>
    <m/>
    <m/>
    <m/>
    <m/>
    <m/>
    <n v="71500"/>
    <n v="56992"/>
    <m/>
    <m/>
    <m/>
  </r>
  <r>
    <x v="657"/>
    <n v="280814.82"/>
    <n v="4.7433333333333296"/>
    <n v="3.8743546666666702"/>
    <n v="0.81679999999999997"/>
    <n v="0.99"/>
    <m/>
    <m/>
    <m/>
    <m/>
    <m/>
    <n v="0"/>
    <m/>
    <n v="0"/>
    <n v="0"/>
    <n v="0"/>
    <n v="0"/>
    <n v="0"/>
    <m/>
    <m/>
    <m/>
    <m/>
    <m/>
    <m/>
    <m/>
    <m/>
    <m/>
    <m/>
    <n v="0"/>
    <n v="0"/>
    <m/>
    <m/>
    <m/>
    <m/>
    <m/>
    <m/>
    <m/>
    <m/>
    <m/>
    <m/>
    <m/>
    <m/>
    <n v="0"/>
    <m/>
    <m/>
    <m/>
    <m/>
    <m/>
    <m/>
    <m/>
    <m/>
    <m/>
    <n v="71500"/>
    <n v="56992"/>
    <m/>
    <m/>
    <m/>
  </r>
  <r>
    <x v="658"/>
    <n v="280814.82"/>
    <n v="4.7433333333333296"/>
    <n v="3.87430196296296"/>
    <n v="0.81678888888888901"/>
    <n v="0.99"/>
    <m/>
    <m/>
    <m/>
    <m/>
    <m/>
    <n v="0"/>
    <m/>
    <n v="0"/>
    <n v="0"/>
    <n v="0"/>
    <n v="0"/>
    <n v="0"/>
    <m/>
    <m/>
    <m/>
    <m/>
    <m/>
    <m/>
    <m/>
    <m/>
    <m/>
    <m/>
    <n v="0"/>
    <n v="0"/>
    <m/>
    <m/>
    <m/>
    <m/>
    <m/>
    <m/>
    <m/>
    <m/>
    <m/>
    <m/>
    <m/>
    <m/>
    <n v="0"/>
    <m/>
    <m/>
    <m/>
    <m/>
    <m/>
    <m/>
    <m/>
    <m/>
    <m/>
    <n v="71500"/>
    <n v="56992"/>
    <m/>
    <m/>
    <m/>
  </r>
  <r>
    <x v="659"/>
    <n v="280814.82"/>
    <n v="4.7433333333333296"/>
    <n v="3.8742492592592601"/>
    <n v="0.81677777777777805"/>
    <n v="0.99"/>
    <m/>
    <m/>
    <m/>
    <m/>
    <m/>
    <n v="0"/>
    <m/>
    <n v="0"/>
    <n v="0"/>
    <n v="0"/>
    <n v="0"/>
    <n v="0"/>
    <m/>
    <m/>
    <m/>
    <m/>
    <m/>
    <m/>
    <m/>
    <m/>
    <m/>
    <m/>
    <n v="0"/>
    <n v="0"/>
    <m/>
    <m/>
    <m/>
    <m/>
    <m/>
    <m/>
    <m/>
    <m/>
    <m/>
    <m/>
    <m/>
    <m/>
    <n v="0"/>
    <m/>
    <m/>
    <m/>
    <m/>
    <m/>
    <m/>
    <m/>
    <m/>
    <m/>
    <n v="71500"/>
    <n v="56992"/>
    <m/>
    <m/>
    <m/>
  </r>
  <r>
    <x v="660"/>
    <n v="280814.82"/>
    <n v="4.7433333333333296"/>
    <n v="3.8741965555555602"/>
    <n v="0.81676666666666697"/>
    <n v="0.99"/>
    <m/>
    <m/>
    <m/>
    <m/>
    <m/>
    <n v="0"/>
    <m/>
    <n v="0"/>
    <n v="0"/>
    <n v="0"/>
    <n v="0"/>
    <n v="0"/>
    <m/>
    <m/>
    <m/>
    <m/>
    <m/>
    <m/>
    <m/>
    <m/>
    <m/>
    <m/>
    <n v="0"/>
    <n v="0"/>
    <m/>
    <m/>
    <m/>
    <m/>
    <m/>
    <m/>
    <m/>
    <m/>
    <m/>
    <m/>
    <m/>
    <m/>
    <n v="0"/>
    <m/>
    <m/>
    <m/>
    <m/>
    <m/>
    <m/>
    <m/>
    <m/>
    <m/>
    <n v="71500"/>
    <n v="56992"/>
    <m/>
    <m/>
    <m/>
  </r>
  <r>
    <x v="661"/>
    <n v="280814.82"/>
    <n v="4.7433333333333296"/>
    <n v="3.8741438518518501"/>
    <n v="0.81675555555555601"/>
    <n v="0.99"/>
    <m/>
    <m/>
    <m/>
    <m/>
    <m/>
    <n v="0"/>
    <m/>
    <n v="0"/>
    <n v="0"/>
    <n v="0"/>
    <n v="0"/>
    <n v="0"/>
    <m/>
    <m/>
    <m/>
    <m/>
    <m/>
    <m/>
    <m/>
    <m/>
    <m/>
    <m/>
    <n v="0"/>
    <n v="0"/>
    <m/>
    <m/>
    <m/>
    <m/>
    <m/>
    <m/>
    <m/>
    <m/>
    <m/>
    <m/>
    <m/>
    <m/>
    <n v="0"/>
    <m/>
    <m/>
    <m/>
    <m/>
    <m/>
    <m/>
    <m/>
    <m/>
    <m/>
    <n v="71500"/>
    <n v="56992"/>
    <m/>
    <m/>
    <m/>
  </r>
  <r>
    <x v="662"/>
    <n v="280814.82"/>
    <n v="4.7433333333333296"/>
    <n v="3.8740911481481501"/>
    <n v="0.81674444444444405"/>
    <n v="0.99"/>
    <m/>
    <m/>
    <m/>
    <m/>
    <m/>
    <n v="0"/>
    <m/>
    <n v="0"/>
    <n v="0"/>
    <n v="0"/>
    <n v="0"/>
    <n v="0"/>
    <m/>
    <m/>
    <m/>
    <m/>
    <m/>
    <m/>
    <m/>
    <m/>
    <m/>
    <m/>
    <n v="0"/>
    <n v="0"/>
    <m/>
    <m/>
    <m/>
    <m/>
    <m/>
    <m/>
    <m/>
    <m/>
    <m/>
    <m/>
    <m/>
    <m/>
    <n v="0"/>
    <m/>
    <m/>
    <m/>
    <m/>
    <m/>
    <m/>
    <m/>
    <m/>
    <m/>
    <n v="71500"/>
    <n v="56992"/>
    <m/>
    <m/>
    <m/>
  </r>
  <r>
    <x v="663"/>
    <n v="280814.82"/>
    <n v="4.7433333333333296"/>
    <n v="3.87403844444444"/>
    <n v="0.81673333333333298"/>
    <n v="0.99"/>
    <m/>
    <m/>
    <m/>
    <m/>
    <m/>
    <n v="0"/>
    <m/>
    <n v="0"/>
    <n v="0"/>
    <n v="0"/>
    <n v="0"/>
    <n v="0"/>
    <m/>
    <m/>
    <m/>
    <m/>
    <m/>
    <m/>
    <m/>
    <m/>
    <m/>
    <m/>
    <n v="0"/>
    <n v="0"/>
    <m/>
    <m/>
    <m/>
    <m/>
    <m/>
    <m/>
    <m/>
    <m/>
    <m/>
    <m/>
    <m/>
    <m/>
    <n v="0"/>
    <m/>
    <m/>
    <m/>
    <m/>
    <m/>
    <m/>
    <m/>
    <m/>
    <m/>
    <n v="71500"/>
    <n v="56992"/>
    <m/>
    <m/>
    <m/>
  </r>
  <r>
    <x v="664"/>
    <n v="280814.82"/>
    <n v="4.7433333333333296"/>
    <n v="3.8739857407407401"/>
    <n v="0.81672222222222202"/>
    <n v="0.99"/>
    <m/>
    <m/>
    <m/>
    <m/>
    <m/>
    <n v="0"/>
    <m/>
    <n v="0"/>
    <n v="0"/>
    <n v="0"/>
    <n v="0"/>
    <n v="0"/>
    <m/>
    <m/>
    <m/>
    <m/>
    <m/>
    <m/>
    <m/>
    <m/>
    <m/>
    <m/>
    <n v="0"/>
    <n v="0"/>
    <m/>
    <m/>
    <m/>
    <m/>
    <m/>
    <m/>
    <m/>
    <m/>
    <m/>
    <m/>
    <m/>
    <m/>
    <n v="0"/>
    <m/>
    <m/>
    <m/>
    <m/>
    <m/>
    <m/>
    <m/>
    <m/>
    <m/>
    <n v="71500"/>
    <n v="56992"/>
    <m/>
    <m/>
    <m/>
  </r>
  <r>
    <x v="665"/>
    <n v="280814.82"/>
    <n v="4.7433333333333296"/>
    <n v="3.8739330370370402"/>
    <n v="0.81671111111111105"/>
    <n v="0.99"/>
    <m/>
    <m/>
    <m/>
    <m/>
    <m/>
    <n v="0"/>
    <m/>
    <n v="0"/>
    <n v="0"/>
    <n v="0"/>
    <n v="0"/>
    <n v="0"/>
    <m/>
    <m/>
    <m/>
    <m/>
    <m/>
    <m/>
    <m/>
    <m/>
    <m/>
    <m/>
    <n v="0"/>
    <n v="0"/>
    <m/>
    <m/>
    <m/>
    <m/>
    <m/>
    <m/>
    <m/>
    <m/>
    <m/>
    <m/>
    <m/>
    <m/>
    <n v="0"/>
    <m/>
    <m/>
    <m/>
    <m/>
    <m/>
    <m/>
    <m/>
    <m/>
    <m/>
    <n v="71500"/>
    <n v="56992"/>
    <m/>
    <m/>
    <m/>
  </r>
  <r>
    <x v="666"/>
    <n v="280814.82"/>
    <n v="4.7433333333333296"/>
    <n v="3.87388033333333"/>
    <n v="0.81669999999999998"/>
    <n v="0.99"/>
    <m/>
    <m/>
    <m/>
    <m/>
    <m/>
    <n v="0"/>
    <m/>
    <n v="0"/>
    <n v="0"/>
    <n v="0"/>
    <n v="0"/>
    <n v="0"/>
    <m/>
    <m/>
    <m/>
    <m/>
    <m/>
    <m/>
    <m/>
    <m/>
    <m/>
    <m/>
    <n v="0"/>
    <n v="0"/>
    <m/>
    <m/>
    <m/>
    <m/>
    <m/>
    <m/>
    <m/>
    <m/>
    <m/>
    <m/>
    <m/>
    <m/>
    <n v="0"/>
    <m/>
    <m/>
    <m/>
    <m/>
    <m/>
    <m/>
    <m/>
    <m/>
    <m/>
    <n v="71500"/>
    <n v="56992"/>
    <m/>
    <m/>
    <m/>
  </r>
  <r>
    <x v="667"/>
    <n v="280814.82"/>
    <n v="4.7433333333333296"/>
    <n v="3.8738276296296301"/>
    <n v="0.81668888888888902"/>
    <n v="0.99"/>
    <m/>
    <m/>
    <m/>
    <m/>
    <m/>
    <n v="0"/>
    <m/>
    <n v="0"/>
    <n v="0"/>
    <n v="0"/>
    <n v="0"/>
    <n v="0"/>
    <m/>
    <m/>
    <m/>
    <m/>
    <m/>
    <m/>
    <m/>
    <m/>
    <m/>
    <m/>
    <n v="0"/>
    <n v="0"/>
    <m/>
    <m/>
    <m/>
    <m/>
    <m/>
    <m/>
    <m/>
    <m/>
    <m/>
    <m/>
    <m/>
    <m/>
    <n v="0"/>
    <m/>
    <m/>
    <m/>
    <m/>
    <m/>
    <m/>
    <m/>
    <m/>
    <m/>
    <n v="71500"/>
    <n v="56992"/>
    <m/>
    <m/>
    <m/>
  </r>
  <r>
    <x v="668"/>
    <n v="280814.82"/>
    <n v="4.7433333333333296"/>
    <n v="3.8737749259259302"/>
    <n v="0.81667777777777795"/>
    <n v="0.99"/>
    <m/>
    <m/>
    <m/>
    <m/>
    <m/>
    <n v="0"/>
    <m/>
    <n v="0"/>
    <n v="0"/>
    <n v="0"/>
    <n v="0"/>
    <n v="0"/>
    <m/>
    <m/>
    <m/>
    <m/>
    <m/>
    <m/>
    <m/>
    <m/>
    <m/>
    <m/>
    <n v="0"/>
    <n v="0"/>
    <m/>
    <m/>
    <m/>
    <m/>
    <m/>
    <m/>
    <m/>
    <m/>
    <m/>
    <m/>
    <m/>
    <m/>
    <n v="0"/>
    <m/>
    <m/>
    <m/>
    <m/>
    <m/>
    <m/>
    <m/>
    <m/>
    <m/>
    <n v="71500"/>
    <n v="56992"/>
    <m/>
    <m/>
    <m/>
  </r>
  <r>
    <x v="669"/>
    <n v="267120.30967741902"/>
    <n v="4.4903225806451603"/>
    <n v="3.6670967741935501"/>
    <n v="0.81666666666666698"/>
    <n v="0.99"/>
    <m/>
    <m/>
    <m/>
    <m/>
    <m/>
    <n v="0"/>
    <m/>
    <n v="0"/>
    <n v="0"/>
    <n v="0"/>
    <n v="0"/>
    <n v="0"/>
    <m/>
    <m/>
    <m/>
    <m/>
    <m/>
    <m/>
    <m/>
    <m/>
    <m/>
    <m/>
    <n v="0"/>
    <n v="0"/>
    <m/>
    <m/>
    <m/>
    <m/>
    <m/>
    <m/>
    <m/>
    <m/>
    <m/>
    <m/>
    <m/>
    <m/>
    <n v="0"/>
    <m/>
    <m/>
    <m/>
    <m/>
    <m/>
    <m/>
    <m/>
    <m/>
    <m/>
    <n v="71500"/>
    <n v="56992"/>
    <m/>
    <m/>
    <m/>
  </r>
  <r>
    <x v="670"/>
    <n v="267120.30967741902"/>
    <n v="4.4903225806451603"/>
    <n v="3.66704688172043"/>
    <n v="0.81665555555555602"/>
    <n v="0.99"/>
    <m/>
    <m/>
    <m/>
    <m/>
    <m/>
    <n v="0"/>
    <m/>
    <n v="0"/>
    <n v="0"/>
    <n v="0"/>
    <n v="0"/>
    <n v="0"/>
    <m/>
    <m/>
    <m/>
    <m/>
    <m/>
    <m/>
    <m/>
    <m/>
    <m/>
    <m/>
    <n v="0"/>
    <n v="0"/>
    <m/>
    <m/>
    <m/>
    <m/>
    <m/>
    <m/>
    <m/>
    <m/>
    <m/>
    <m/>
    <m/>
    <m/>
    <n v="0"/>
    <m/>
    <m/>
    <m/>
    <m/>
    <m/>
    <m/>
    <m/>
    <m/>
    <m/>
    <n v="71500"/>
    <n v="56992"/>
    <m/>
    <m/>
    <m/>
  </r>
  <r>
    <x v="671"/>
    <n v="267120.30967741902"/>
    <n v="4.4903225806451603"/>
    <n v="3.66699698924731"/>
    <n v="0.81664444444444395"/>
    <n v="0.99"/>
    <m/>
    <m/>
    <m/>
    <m/>
    <m/>
    <n v="0"/>
    <m/>
    <n v="0"/>
    <n v="0"/>
    <n v="0"/>
    <n v="0"/>
    <n v="0"/>
    <m/>
    <m/>
    <m/>
    <m/>
    <m/>
    <m/>
    <m/>
    <m/>
    <m/>
    <m/>
    <n v="0"/>
    <n v="0"/>
    <m/>
    <m/>
    <m/>
    <m/>
    <m/>
    <m/>
    <m/>
    <m/>
    <m/>
    <m/>
    <m/>
    <m/>
    <n v="0"/>
    <m/>
    <m/>
    <m/>
    <m/>
    <m/>
    <m/>
    <m/>
    <m/>
    <m/>
    <n v="71500"/>
    <n v="56992"/>
    <m/>
    <m/>
    <m/>
  </r>
  <r>
    <x v="672"/>
    <n v="267120.30967741902"/>
    <n v="4.4903225806451603"/>
    <n v="3.66694709677419"/>
    <n v="0.81663333333333299"/>
    <n v="0.99"/>
    <m/>
    <m/>
    <m/>
    <m/>
    <m/>
    <n v="0"/>
    <m/>
    <n v="0"/>
    <n v="0"/>
    <n v="0"/>
    <n v="0"/>
    <n v="0"/>
    <m/>
    <m/>
    <m/>
    <m/>
    <m/>
    <m/>
    <m/>
    <m/>
    <m/>
    <m/>
    <n v="0"/>
    <n v="0"/>
    <m/>
    <m/>
    <m/>
    <m/>
    <m/>
    <m/>
    <m/>
    <m/>
    <m/>
    <m/>
    <m/>
    <m/>
    <n v="0"/>
    <m/>
    <m/>
    <m/>
    <m/>
    <m/>
    <m/>
    <m/>
    <m/>
    <m/>
    <n v="71500"/>
    <n v="56992"/>
    <m/>
    <m/>
    <m/>
  </r>
  <r>
    <x v="673"/>
    <n v="267120.30967741902"/>
    <n v="4.4903225806451603"/>
    <n v="3.6668972043010801"/>
    <n v="0.81662222222222203"/>
    <n v="0.99"/>
    <m/>
    <m/>
    <m/>
    <m/>
    <m/>
    <n v="0"/>
    <m/>
    <n v="0"/>
    <n v="0"/>
    <n v="0"/>
    <n v="0"/>
    <n v="0"/>
    <m/>
    <m/>
    <m/>
    <m/>
    <m/>
    <m/>
    <m/>
    <m/>
    <m/>
    <m/>
    <n v="0"/>
    <n v="0"/>
    <m/>
    <m/>
    <m/>
    <m/>
    <m/>
    <m/>
    <m/>
    <m/>
    <m/>
    <m/>
    <m/>
    <m/>
    <n v="0"/>
    <m/>
    <m/>
    <m/>
    <m/>
    <m/>
    <m/>
    <m/>
    <m/>
    <m/>
    <n v="71500"/>
    <n v="56992"/>
    <m/>
    <m/>
    <m/>
  </r>
  <r>
    <x v="674"/>
    <n v="267120.30967741902"/>
    <n v="4.4903225806451603"/>
    <n v="3.6668473118279601"/>
    <n v="0.81661111111111095"/>
    <n v="0.99"/>
    <m/>
    <m/>
    <m/>
    <m/>
    <m/>
    <n v="0"/>
    <m/>
    <n v="0"/>
    <n v="0"/>
    <n v="0"/>
    <n v="0"/>
    <n v="0"/>
    <m/>
    <m/>
    <m/>
    <m/>
    <m/>
    <m/>
    <m/>
    <m/>
    <m/>
    <m/>
    <n v="0"/>
    <n v="0"/>
    <m/>
    <m/>
    <m/>
    <m/>
    <m/>
    <m/>
    <m/>
    <m/>
    <m/>
    <m/>
    <m/>
    <m/>
    <n v="0"/>
    <m/>
    <m/>
    <m/>
    <m/>
    <m/>
    <m/>
    <m/>
    <m/>
    <m/>
    <n v="71500"/>
    <n v="56992"/>
    <m/>
    <m/>
    <m/>
  </r>
  <r>
    <x v="675"/>
    <n v="267120.30967741902"/>
    <n v="4.4903225806451603"/>
    <n v="3.66679741935484"/>
    <n v="0.81659999999999999"/>
    <n v="0.99"/>
    <m/>
    <m/>
    <m/>
    <m/>
    <m/>
    <n v="0"/>
    <m/>
    <n v="0"/>
    <n v="0"/>
    <n v="0"/>
    <n v="0"/>
    <n v="0"/>
    <m/>
    <m/>
    <m/>
    <m/>
    <m/>
    <m/>
    <m/>
    <m/>
    <m/>
    <m/>
    <n v="0"/>
    <n v="0"/>
    <m/>
    <m/>
    <m/>
    <m/>
    <m/>
    <m/>
    <m/>
    <m/>
    <m/>
    <m/>
    <m/>
    <m/>
    <n v="0"/>
    <m/>
    <m/>
    <m/>
    <m/>
    <m/>
    <m/>
    <m/>
    <m/>
    <m/>
    <n v="71500"/>
    <n v="56992"/>
    <m/>
    <m/>
    <m/>
  </r>
  <r>
    <x v="676"/>
    <n v="267120.30967741902"/>
    <n v="4.4903225806451603"/>
    <n v="3.66674752688172"/>
    <n v="0.81658888888888903"/>
    <n v="0.99"/>
    <m/>
    <m/>
    <m/>
    <m/>
    <m/>
    <n v="0"/>
    <m/>
    <n v="0"/>
    <n v="0"/>
    <n v="0"/>
    <n v="0"/>
    <n v="0"/>
    <m/>
    <m/>
    <m/>
    <m/>
    <m/>
    <m/>
    <m/>
    <m/>
    <m/>
    <m/>
    <n v="0"/>
    <n v="0"/>
    <m/>
    <m/>
    <m/>
    <m/>
    <m/>
    <m/>
    <m/>
    <m/>
    <m/>
    <m/>
    <m/>
    <m/>
    <n v="0"/>
    <m/>
    <m/>
    <m/>
    <m/>
    <m/>
    <m/>
    <m/>
    <m/>
    <m/>
    <n v="71500"/>
    <n v="56992"/>
    <m/>
    <m/>
    <m/>
  </r>
  <r>
    <x v="677"/>
    <n v="267120.30967741902"/>
    <n v="4.4903225806451603"/>
    <n v="3.6666976344086"/>
    <n v="0.81657777777777796"/>
    <n v="0.99"/>
    <m/>
    <m/>
    <m/>
    <m/>
    <m/>
    <n v="0"/>
    <m/>
    <n v="0"/>
    <n v="0"/>
    <n v="0"/>
    <n v="0"/>
    <n v="0"/>
    <m/>
    <m/>
    <m/>
    <m/>
    <m/>
    <m/>
    <m/>
    <m/>
    <m/>
    <m/>
    <n v="0"/>
    <n v="0"/>
    <m/>
    <m/>
    <m/>
    <m/>
    <m/>
    <m/>
    <m/>
    <m/>
    <m/>
    <m/>
    <m/>
    <m/>
    <n v="0"/>
    <m/>
    <m/>
    <m/>
    <m/>
    <m/>
    <m/>
    <m/>
    <m/>
    <m/>
    <n v="71500"/>
    <n v="56992"/>
    <m/>
    <m/>
    <m/>
  </r>
  <r>
    <x v="678"/>
    <n v="267120.30967741902"/>
    <n v="4.4903225806451603"/>
    <n v="3.6666477419354799"/>
    <n v="0.816566666666667"/>
    <n v="0.99"/>
    <m/>
    <m/>
    <m/>
    <m/>
    <m/>
    <n v="0"/>
    <m/>
    <n v="0"/>
    <n v="0"/>
    <n v="0"/>
    <n v="0"/>
    <n v="0"/>
    <m/>
    <m/>
    <m/>
    <m/>
    <m/>
    <m/>
    <m/>
    <m/>
    <m/>
    <m/>
    <n v="0"/>
    <n v="0"/>
    <m/>
    <m/>
    <m/>
    <m/>
    <m/>
    <m/>
    <m/>
    <m/>
    <m/>
    <m/>
    <m/>
    <m/>
    <n v="0"/>
    <m/>
    <m/>
    <m/>
    <m/>
    <m/>
    <m/>
    <m/>
    <m/>
    <m/>
    <n v="71500"/>
    <n v="56992"/>
    <m/>
    <m/>
    <m/>
  </r>
  <r>
    <x v="679"/>
    <n v="267120.30967741902"/>
    <n v="4.4903225806451603"/>
    <n v="3.6665978494623701"/>
    <n v="0.81655555555555603"/>
    <n v="0.99"/>
    <m/>
    <m/>
    <m/>
    <m/>
    <m/>
    <n v="0"/>
    <m/>
    <n v="0"/>
    <n v="0"/>
    <n v="0"/>
    <n v="0"/>
    <n v="0"/>
    <m/>
    <m/>
    <m/>
    <m/>
    <m/>
    <m/>
    <m/>
    <m/>
    <m/>
    <m/>
    <n v="0"/>
    <n v="0"/>
    <m/>
    <m/>
    <m/>
    <m/>
    <m/>
    <m/>
    <m/>
    <m/>
    <m/>
    <m/>
    <m/>
    <m/>
    <n v="0"/>
    <m/>
    <m/>
    <m/>
    <m/>
    <m/>
    <m/>
    <m/>
    <m/>
    <m/>
    <n v="71500"/>
    <n v="56992"/>
    <m/>
    <m/>
    <m/>
  </r>
  <r>
    <x v="680"/>
    <n v="267120.30967741902"/>
    <n v="4.4903225806451603"/>
    <n v="3.6665479569892501"/>
    <n v="0.81654444444444396"/>
    <n v="0.99"/>
    <m/>
    <m/>
    <m/>
    <m/>
    <m/>
    <n v="0"/>
    <m/>
    <n v="0"/>
    <n v="0"/>
    <n v="0"/>
    <n v="0"/>
    <n v="0"/>
    <m/>
    <m/>
    <m/>
    <m/>
    <m/>
    <m/>
    <m/>
    <m/>
    <m/>
    <m/>
    <n v="0"/>
    <n v="0"/>
    <m/>
    <m/>
    <m/>
    <m/>
    <m/>
    <m/>
    <m/>
    <m/>
    <m/>
    <m/>
    <m/>
    <m/>
    <n v="0"/>
    <m/>
    <m/>
    <m/>
    <m/>
    <m/>
    <m/>
    <m/>
    <m/>
    <m/>
    <n v="71500"/>
    <n v="56992"/>
    <m/>
    <m/>
    <m/>
  </r>
  <r>
    <x v="681"/>
    <n v="267120.30967741902"/>
    <n v="4.4903225806451603"/>
    <n v="3.66649806451613"/>
    <n v="0.816533333333333"/>
    <n v="0.99"/>
    <m/>
    <m/>
    <m/>
    <m/>
    <m/>
    <n v="0"/>
    <m/>
    <n v="0"/>
    <n v="0"/>
    <n v="0"/>
    <n v="0"/>
    <n v="0"/>
    <m/>
    <m/>
    <m/>
    <m/>
    <m/>
    <m/>
    <m/>
    <m/>
    <m/>
    <m/>
    <n v="0"/>
    <n v="0"/>
    <m/>
    <m/>
    <m/>
    <m/>
    <m/>
    <m/>
    <m/>
    <m/>
    <m/>
    <m/>
    <m/>
    <m/>
    <n v="0"/>
    <m/>
    <m/>
    <m/>
    <m/>
    <m/>
    <m/>
    <m/>
    <m/>
    <m/>
    <n v="71500"/>
    <n v="56992"/>
    <m/>
    <m/>
    <m/>
  </r>
  <r>
    <x v="682"/>
    <n v="267120.30967741902"/>
    <n v="4.4903225806451603"/>
    <n v="3.66644817204301"/>
    <n v="0.81652222222222204"/>
    <n v="0.99"/>
    <m/>
    <m/>
    <m/>
    <m/>
    <m/>
    <n v="0"/>
    <m/>
    <n v="0"/>
    <n v="0"/>
    <n v="0"/>
    <n v="0"/>
    <n v="0"/>
    <m/>
    <m/>
    <m/>
    <m/>
    <m/>
    <m/>
    <m/>
    <m/>
    <m/>
    <m/>
    <n v="0"/>
    <n v="0"/>
    <m/>
    <m/>
    <m/>
    <m/>
    <m/>
    <m/>
    <m/>
    <m/>
    <m/>
    <m/>
    <m/>
    <m/>
    <n v="0"/>
    <m/>
    <m/>
    <m/>
    <m/>
    <m/>
    <m/>
    <m/>
    <m/>
    <m/>
    <n v="71500"/>
    <n v="56992"/>
    <m/>
    <m/>
    <m/>
  </r>
  <r>
    <x v="683"/>
    <n v="267120.30967741902"/>
    <n v="4.4903225806451603"/>
    <n v="3.66639827956989"/>
    <n v="0.81651111111111097"/>
    <n v="0.99"/>
    <m/>
    <m/>
    <m/>
    <m/>
    <m/>
    <n v="0"/>
    <m/>
    <n v="0"/>
    <n v="0"/>
    <n v="0"/>
    <n v="0"/>
    <n v="0"/>
    <m/>
    <m/>
    <m/>
    <m/>
    <m/>
    <m/>
    <m/>
    <m/>
    <m/>
    <m/>
    <n v="0"/>
    <n v="0"/>
    <m/>
    <m/>
    <m/>
    <m/>
    <m/>
    <m/>
    <m/>
    <m/>
    <m/>
    <m/>
    <m/>
    <m/>
    <n v="0"/>
    <m/>
    <m/>
    <m/>
    <m/>
    <m/>
    <m/>
    <m/>
    <m/>
    <m/>
    <n v="71500"/>
    <n v="56992"/>
    <m/>
    <m/>
    <m/>
  </r>
  <r>
    <x v="684"/>
    <n v="267120.30967741902"/>
    <n v="4.4903225806451603"/>
    <n v="3.6663483870967699"/>
    <n v="0.8165"/>
    <n v="0.99"/>
    <m/>
    <m/>
    <m/>
    <m/>
    <m/>
    <n v="0"/>
    <m/>
    <n v="0"/>
    <n v="0"/>
    <n v="0"/>
    <n v="0"/>
    <n v="0"/>
    <m/>
    <m/>
    <m/>
    <m/>
    <m/>
    <m/>
    <m/>
    <m/>
    <m/>
    <m/>
    <n v="0"/>
    <n v="0"/>
    <m/>
    <m/>
    <m/>
    <m/>
    <m/>
    <m/>
    <m/>
    <m/>
    <m/>
    <m/>
    <m/>
    <m/>
    <n v="0"/>
    <m/>
    <m/>
    <m/>
    <m/>
    <m/>
    <m/>
    <m/>
    <m/>
    <m/>
    <n v="71500"/>
    <n v="56992"/>
    <m/>
    <m/>
    <m/>
  </r>
  <r>
    <x v="685"/>
    <n v="267120.30967741902"/>
    <n v="4.4903225806451603"/>
    <n v="3.6662984946236601"/>
    <n v="0.81648888888888904"/>
    <n v="0.99"/>
    <m/>
    <m/>
    <m/>
    <m/>
    <m/>
    <n v="0"/>
    <m/>
    <n v="0"/>
    <n v="0"/>
    <n v="0"/>
    <n v="0"/>
    <n v="0"/>
    <m/>
    <m/>
    <m/>
    <m/>
    <m/>
    <m/>
    <m/>
    <m/>
    <m/>
    <m/>
    <n v="0"/>
    <n v="0"/>
    <m/>
    <m/>
    <m/>
    <m/>
    <m/>
    <m/>
    <m/>
    <m/>
    <m/>
    <m/>
    <m/>
    <m/>
    <n v="0"/>
    <m/>
    <m/>
    <m/>
    <m/>
    <m/>
    <m/>
    <m/>
    <m/>
    <m/>
    <n v="71500"/>
    <n v="56992"/>
    <m/>
    <m/>
    <m/>
  </r>
  <r>
    <x v="686"/>
    <n v="267120.30967741902"/>
    <n v="4.4903225806451603"/>
    <n v="3.66624860215054"/>
    <n v="0.81647777777777797"/>
    <n v="0.99"/>
    <m/>
    <m/>
    <m/>
    <m/>
    <m/>
    <n v="0"/>
    <m/>
    <n v="0"/>
    <n v="0"/>
    <n v="0"/>
    <n v="0"/>
    <n v="0"/>
    <m/>
    <m/>
    <m/>
    <m/>
    <m/>
    <m/>
    <m/>
    <m/>
    <m/>
    <m/>
    <n v="0"/>
    <n v="0"/>
    <m/>
    <m/>
    <m/>
    <m/>
    <m/>
    <m/>
    <m/>
    <m/>
    <m/>
    <m/>
    <m/>
    <m/>
    <n v="0"/>
    <m/>
    <m/>
    <m/>
    <m/>
    <m/>
    <m/>
    <m/>
    <m/>
    <m/>
    <n v="71500"/>
    <n v="56992"/>
    <m/>
    <m/>
    <m/>
  </r>
  <r>
    <x v="687"/>
    <n v="267120.30967741902"/>
    <n v="4.4903225806451603"/>
    <n v="3.66619870967742"/>
    <n v="0.81646666666666701"/>
    <n v="0.99"/>
    <m/>
    <m/>
    <m/>
    <m/>
    <m/>
    <n v="0"/>
    <m/>
    <n v="0"/>
    <n v="0"/>
    <n v="0"/>
    <n v="0"/>
    <n v="0"/>
    <m/>
    <m/>
    <m/>
    <m/>
    <m/>
    <m/>
    <m/>
    <m/>
    <m/>
    <m/>
    <n v="0"/>
    <n v="0"/>
    <m/>
    <m/>
    <m/>
    <m/>
    <m/>
    <m/>
    <m/>
    <m/>
    <m/>
    <m/>
    <m/>
    <m/>
    <n v="0"/>
    <m/>
    <m/>
    <m/>
    <m/>
    <m/>
    <m/>
    <m/>
    <m/>
    <m/>
    <n v="71500"/>
    <n v="56992"/>
    <m/>
    <m/>
    <m/>
  </r>
  <r>
    <x v="688"/>
    <n v="267120.30967741902"/>
    <n v="4.4903225806451603"/>
    <n v="3.6661488172043"/>
    <n v="0.81645555555555505"/>
    <n v="0.99"/>
    <m/>
    <m/>
    <m/>
    <m/>
    <m/>
    <n v="0"/>
    <m/>
    <n v="0"/>
    <n v="0"/>
    <n v="0"/>
    <n v="0"/>
    <n v="0"/>
    <m/>
    <m/>
    <m/>
    <m/>
    <m/>
    <m/>
    <m/>
    <m/>
    <m/>
    <m/>
    <n v="0"/>
    <n v="0"/>
    <m/>
    <m/>
    <m/>
    <m/>
    <m/>
    <m/>
    <m/>
    <m/>
    <m/>
    <m/>
    <m/>
    <m/>
    <n v="0"/>
    <m/>
    <m/>
    <m/>
    <m/>
    <m/>
    <m/>
    <m/>
    <m/>
    <m/>
    <n v="71500"/>
    <n v="56992"/>
    <m/>
    <m/>
    <m/>
  </r>
  <r>
    <x v="689"/>
    <n v="267120.30967741902"/>
    <n v="4.4903225806451603"/>
    <n v="3.6660989247311799"/>
    <n v="0.81644444444444397"/>
    <n v="0.99"/>
    <m/>
    <m/>
    <m/>
    <m/>
    <m/>
    <n v="0"/>
    <m/>
    <n v="0"/>
    <n v="0"/>
    <n v="0"/>
    <n v="0"/>
    <n v="0"/>
    <m/>
    <m/>
    <m/>
    <m/>
    <m/>
    <m/>
    <m/>
    <m/>
    <m/>
    <m/>
    <n v="0"/>
    <n v="0"/>
    <m/>
    <m/>
    <m/>
    <m/>
    <m/>
    <m/>
    <m/>
    <m/>
    <m/>
    <m/>
    <m/>
    <m/>
    <n v="0"/>
    <m/>
    <m/>
    <m/>
    <m/>
    <m/>
    <m/>
    <m/>
    <m/>
    <m/>
    <n v="71500"/>
    <n v="56992"/>
    <m/>
    <m/>
    <m/>
  </r>
  <r>
    <x v="690"/>
    <n v="267120.30967741902"/>
    <n v="4.4903225806451603"/>
    <n v="3.6660490322580599"/>
    <n v="0.81643333333333301"/>
    <n v="0.99"/>
    <m/>
    <m/>
    <m/>
    <m/>
    <m/>
    <n v="0"/>
    <m/>
    <n v="0"/>
    <n v="0"/>
    <n v="0"/>
    <n v="0"/>
    <n v="0"/>
    <m/>
    <m/>
    <m/>
    <m/>
    <m/>
    <m/>
    <m/>
    <m/>
    <m/>
    <m/>
    <n v="0"/>
    <n v="0"/>
    <m/>
    <m/>
    <m/>
    <m/>
    <m/>
    <m/>
    <m/>
    <m/>
    <m/>
    <m/>
    <m/>
    <m/>
    <n v="0"/>
    <m/>
    <m/>
    <m/>
    <m/>
    <m/>
    <m/>
    <m/>
    <m/>
    <m/>
    <n v="71500"/>
    <n v="56992"/>
    <m/>
    <m/>
    <m/>
  </r>
  <r>
    <x v="691"/>
    <n v="267120.30967741902"/>
    <n v="4.4903225806451603"/>
    <n v="3.6659991397849501"/>
    <n v="0.81642222222222205"/>
    <n v="0.99"/>
    <m/>
    <m/>
    <m/>
    <m/>
    <m/>
    <n v="0"/>
    <m/>
    <n v="0"/>
    <n v="0"/>
    <n v="0"/>
    <n v="0"/>
    <n v="0"/>
    <m/>
    <m/>
    <m/>
    <m/>
    <m/>
    <m/>
    <m/>
    <m/>
    <m/>
    <m/>
    <n v="0"/>
    <n v="0"/>
    <m/>
    <m/>
    <m/>
    <m/>
    <m/>
    <m/>
    <m/>
    <m/>
    <m/>
    <m/>
    <m/>
    <m/>
    <n v="0"/>
    <m/>
    <m/>
    <m/>
    <m/>
    <m/>
    <m/>
    <m/>
    <m/>
    <m/>
    <n v="71500"/>
    <n v="56992"/>
    <m/>
    <m/>
    <m/>
  </r>
  <r>
    <x v="692"/>
    <n v="267120.30967741902"/>
    <n v="4.4903225806451603"/>
    <n v="3.66594924731183"/>
    <n v="0.81641111111111098"/>
    <n v="0.99"/>
    <m/>
    <m/>
    <m/>
    <m/>
    <m/>
    <n v="0"/>
    <m/>
    <n v="0"/>
    <n v="0"/>
    <n v="0"/>
    <n v="0"/>
    <n v="0"/>
    <m/>
    <m/>
    <m/>
    <m/>
    <m/>
    <m/>
    <m/>
    <m/>
    <m/>
    <m/>
    <n v="0"/>
    <n v="0"/>
    <m/>
    <m/>
    <m/>
    <m/>
    <m/>
    <m/>
    <m/>
    <m/>
    <m/>
    <m/>
    <m/>
    <m/>
    <n v="0"/>
    <m/>
    <m/>
    <m/>
    <m/>
    <m/>
    <m/>
    <m/>
    <m/>
    <m/>
    <n v="71500"/>
    <n v="56992"/>
    <m/>
    <m/>
    <m/>
  </r>
  <r>
    <x v="693"/>
    <n v="267120.30967741902"/>
    <n v="4.4903225806451603"/>
    <n v="3.66589935483871"/>
    <n v="0.81640000000000001"/>
    <n v="0.99"/>
    <m/>
    <m/>
    <m/>
    <m/>
    <m/>
    <n v="0"/>
    <m/>
    <n v="0"/>
    <n v="0"/>
    <n v="0"/>
    <n v="0"/>
    <n v="0"/>
    <m/>
    <m/>
    <m/>
    <m/>
    <m/>
    <m/>
    <m/>
    <m/>
    <m/>
    <m/>
    <n v="0"/>
    <n v="0"/>
    <m/>
    <m/>
    <m/>
    <m/>
    <m/>
    <m/>
    <m/>
    <m/>
    <m/>
    <m/>
    <m/>
    <m/>
    <n v="0"/>
    <m/>
    <m/>
    <m/>
    <m/>
    <m/>
    <m/>
    <m/>
    <m/>
    <m/>
    <n v="71500"/>
    <n v="56992"/>
    <m/>
    <m/>
    <m/>
  </r>
  <r>
    <x v="694"/>
    <n v="267120.30967741902"/>
    <n v="4.4903225806451603"/>
    <n v="3.66584946236559"/>
    <n v="0.81638888888888905"/>
    <n v="0.99"/>
    <m/>
    <m/>
    <m/>
    <m/>
    <m/>
    <n v="0"/>
    <m/>
    <n v="0"/>
    <n v="0"/>
    <n v="0"/>
    <n v="0"/>
    <n v="0"/>
    <m/>
    <m/>
    <m/>
    <m/>
    <m/>
    <m/>
    <m/>
    <m/>
    <m/>
    <m/>
    <n v="0"/>
    <n v="0"/>
    <m/>
    <m/>
    <m/>
    <m/>
    <m/>
    <m/>
    <m/>
    <m/>
    <m/>
    <m/>
    <m/>
    <m/>
    <n v="0"/>
    <m/>
    <m/>
    <m/>
    <m/>
    <m/>
    <m/>
    <m/>
    <m/>
    <m/>
    <n v="71500"/>
    <n v="56992"/>
    <m/>
    <m/>
    <m/>
  </r>
  <r>
    <x v="695"/>
    <n v="267120.30967741902"/>
    <n v="4.4903225806451603"/>
    <n v="3.6657995698924699"/>
    <n v="0.81637777777777798"/>
    <n v="0.99"/>
    <m/>
    <m/>
    <m/>
    <m/>
    <m/>
    <n v="0"/>
    <m/>
    <n v="0"/>
    <n v="0"/>
    <n v="0"/>
    <n v="0"/>
    <n v="0"/>
    <m/>
    <m/>
    <m/>
    <m/>
    <m/>
    <m/>
    <m/>
    <m/>
    <m/>
    <m/>
    <n v="0"/>
    <n v="0"/>
    <m/>
    <m/>
    <m/>
    <m/>
    <m/>
    <m/>
    <m/>
    <m/>
    <m/>
    <m/>
    <m/>
    <m/>
    <n v="0"/>
    <m/>
    <m/>
    <m/>
    <m/>
    <m/>
    <m/>
    <m/>
    <m/>
    <m/>
    <n v="71500"/>
    <n v="56992"/>
    <m/>
    <m/>
    <m/>
  </r>
  <r>
    <x v="696"/>
    <n v="267120.30967741902"/>
    <n v="4.4903225806451603"/>
    <n v="3.6657496774193499"/>
    <n v="0.81636666666666702"/>
    <n v="0.99"/>
    <m/>
    <m/>
    <m/>
    <m/>
    <m/>
    <n v="0"/>
    <m/>
    <n v="0"/>
    <n v="0"/>
    <n v="0"/>
    <n v="0"/>
    <n v="0"/>
    <m/>
    <m/>
    <m/>
    <m/>
    <m/>
    <m/>
    <m/>
    <m/>
    <m/>
    <m/>
    <n v="0"/>
    <n v="0"/>
    <m/>
    <m/>
    <m/>
    <m/>
    <m/>
    <m/>
    <m/>
    <m/>
    <m/>
    <m/>
    <m/>
    <m/>
    <n v="0"/>
    <m/>
    <m/>
    <m/>
    <m/>
    <m/>
    <m/>
    <m/>
    <m/>
    <m/>
    <n v="71500"/>
    <n v="56992"/>
    <m/>
    <m/>
    <m/>
  </r>
  <r>
    <x v="697"/>
    <n v="267120.30967741902"/>
    <n v="4.4903225806451603"/>
    <n v="3.66569978494624"/>
    <n v="0.81635555555555595"/>
    <n v="0.99"/>
    <m/>
    <m/>
    <m/>
    <m/>
    <m/>
    <n v="0"/>
    <m/>
    <n v="0"/>
    <n v="0"/>
    <n v="0"/>
    <n v="0"/>
    <n v="0"/>
    <m/>
    <m/>
    <m/>
    <m/>
    <m/>
    <m/>
    <m/>
    <m/>
    <m/>
    <m/>
    <n v="0"/>
    <n v="0"/>
    <m/>
    <m/>
    <m/>
    <m/>
    <m/>
    <m/>
    <m/>
    <m/>
    <m/>
    <m/>
    <m/>
    <m/>
    <n v="0"/>
    <m/>
    <m/>
    <m/>
    <m/>
    <m/>
    <m/>
    <m/>
    <m/>
    <m/>
    <n v="71500"/>
    <n v="56992"/>
    <m/>
    <m/>
    <m/>
  </r>
  <r>
    <x v="698"/>
    <n v="267120.30967741902"/>
    <n v="4.4903225806451603"/>
    <n v="3.66564989247312"/>
    <n v="0.81634444444444398"/>
    <n v="0.99"/>
    <m/>
    <m/>
    <m/>
    <m/>
    <m/>
    <n v="0"/>
    <m/>
    <n v="0"/>
    <n v="0"/>
    <n v="0"/>
    <n v="0"/>
    <n v="0"/>
    <m/>
    <m/>
    <m/>
    <m/>
    <m/>
    <m/>
    <m/>
    <m/>
    <m/>
    <m/>
    <n v="0"/>
    <n v="0"/>
    <m/>
    <m/>
    <m/>
    <m/>
    <m/>
    <m/>
    <m/>
    <m/>
    <m/>
    <m/>
    <m/>
    <m/>
    <n v="0"/>
    <m/>
    <m/>
    <m/>
    <m/>
    <m/>
    <m/>
    <m/>
    <m/>
    <m/>
    <n v="71500"/>
    <n v="56992"/>
    <m/>
    <m/>
    <m/>
  </r>
  <r>
    <x v="699"/>
    <n v="267120.30967741902"/>
    <n v="4.4903225806451603"/>
    <n v="3.6656"/>
    <n v="0.81633333333333302"/>
    <n v="0.99"/>
    <m/>
    <m/>
    <m/>
    <m/>
    <m/>
    <n v="0"/>
    <m/>
    <n v="0"/>
    <n v="0"/>
    <n v="0"/>
    <n v="0"/>
    <n v="0"/>
    <m/>
    <m/>
    <m/>
    <m/>
    <m/>
    <m/>
    <m/>
    <m/>
    <m/>
    <m/>
    <n v="0"/>
    <n v="0"/>
    <m/>
    <m/>
    <m/>
    <m/>
    <m/>
    <m/>
    <m/>
    <m/>
    <m/>
    <m/>
    <m/>
    <m/>
    <n v="0"/>
    <m/>
    <m/>
    <m/>
    <m/>
    <m/>
    <m/>
    <m/>
    <m/>
    <m/>
    <n v="71500"/>
    <n v="56992"/>
    <m/>
    <m/>
    <m/>
  </r>
  <r>
    <x v="700"/>
    <n v="247960.808333333"/>
    <n v="4.18333333333333"/>
    <n v="3.41499444444444"/>
    <n v="0.81633333333333302"/>
    <n v="0.99"/>
    <m/>
    <m/>
    <m/>
    <m/>
    <m/>
    <n v="0"/>
    <m/>
    <n v="0"/>
    <n v="0"/>
    <n v="0"/>
    <n v="0"/>
    <n v="0"/>
    <m/>
    <m/>
    <m/>
    <m/>
    <m/>
    <m/>
    <m/>
    <m/>
    <m/>
    <m/>
    <n v="0"/>
    <n v="0"/>
    <m/>
    <m/>
    <m/>
    <m/>
    <m/>
    <m/>
    <m/>
    <m/>
    <m/>
    <m/>
    <m/>
    <m/>
    <n v="0"/>
    <m/>
    <m/>
    <m/>
    <m/>
    <m/>
    <m/>
    <m/>
    <m/>
    <m/>
    <n v="71500"/>
    <n v="56992"/>
    <m/>
    <m/>
    <m/>
  </r>
  <r>
    <x v="701"/>
    <n v="247960.808333333"/>
    <n v="4.18333333333333"/>
    <n v="3.4149479629629602"/>
    <n v="0.81632222222222195"/>
    <n v="0.99"/>
    <m/>
    <m/>
    <m/>
    <m/>
    <m/>
    <n v="0"/>
    <m/>
    <n v="0"/>
    <n v="0"/>
    <n v="0"/>
    <n v="0"/>
    <n v="0"/>
    <m/>
    <m/>
    <m/>
    <m/>
    <m/>
    <m/>
    <m/>
    <m/>
    <m/>
    <m/>
    <n v="0"/>
    <n v="0"/>
    <m/>
    <m/>
    <m/>
    <m/>
    <m/>
    <m/>
    <m/>
    <m/>
    <m/>
    <m/>
    <m/>
    <m/>
    <n v="0"/>
    <m/>
    <m/>
    <m/>
    <m/>
    <m/>
    <m/>
    <m/>
    <m/>
    <m/>
    <n v="71500"/>
    <n v="56992"/>
    <m/>
    <m/>
    <m/>
  </r>
  <r>
    <x v="702"/>
    <n v="247960.808333333"/>
    <n v="4.18333333333333"/>
    <n v="3.41490148148148"/>
    <n v="0.81631111111111099"/>
    <n v="0.99"/>
    <m/>
    <m/>
    <m/>
    <m/>
    <m/>
    <n v="0"/>
    <m/>
    <n v="0"/>
    <n v="0"/>
    <n v="0"/>
    <n v="0"/>
    <n v="0"/>
    <m/>
    <m/>
    <m/>
    <m/>
    <m/>
    <m/>
    <m/>
    <m/>
    <m/>
    <m/>
    <n v="0"/>
    <n v="0"/>
    <m/>
    <m/>
    <m/>
    <m/>
    <m/>
    <m/>
    <m/>
    <m/>
    <m/>
    <m/>
    <m/>
    <m/>
    <n v="0"/>
    <m/>
    <m/>
    <m/>
    <m/>
    <m/>
    <m/>
    <m/>
    <m/>
    <m/>
    <n v="71500"/>
    <n v="56992"/>
    <m/>
    <m/>
    <m/>
  </r>
  <r>
    <x v="703"/>
    <n v="247960.808333333"/>
    <n v="4.18333333333333"/>
    <n v="3.4148550000000002"/>
    <n v="0.81630000000000003"/>
    <n v="0.99"/>
    <m/>
    <m/>
    <m/>
    <m/>
    <m/>
    <n v="0"/>
    <m/>
    <n v="0"/>
    <n v="0"/>
    <n v="0"/>
    <n v="0"/>
    <n v="0"/>
    <m/>
    <m/>
    <m/>
    <m/>
    <m/>
    <m/>
    <m/>
    <m/>
    <m/>
    <m/>
    <n v="0"/>
    <n v="0"/>
    <m/>
    <m/>
    <m/>
    <m/>
    <m/>
    <m/>
    <m/>
    <m/>
    <m/>
    <m/>
    <m/>
    <m/>
    <n v="0"/>
    <m/>
    <m/>
    <m/>
    <m/>
    <m/>
    <m/>
    <m/>
    <m/>
    <m/>
    <n v="71500"/>
    <n v="56992"/>
    <m/>
    <m/>
    <m/>
  </r>
  <r>
    <x v="704"/>
    <n v="247960.808333333"/>
    <n v="4.18333333333333"/>
    <n v="3.41480851851852"/>
    <n v="0.81628888888888895"/>
    <n v="0.99"/>
    <m/>
    <m/>
    <m/>
    <m/>
    <m/>
    <n v="0"/>
    <m/>
    <n v="0"/>
    <n v="0"/>
    <n v="0"/>
    <n v="0"/>
    <n v="0"/>
    <m/>
    <m/>
    <m/>
    <m/>
    <m/>
    <m/>
    <m/>
    <m/>
    <m/>
    <m/>
    <n v="0"/>
    <n v="0"/>
    <m/>
    <m/>
    <m/>
    <m/>
    <m/>
    <m/>
    <m/>
    <m/>
    <m/>
    <m/>
    <m/>
    <m/>
    <n v="0"/>
    <m/>
    <m/>
    <m/>
    <m/>
    <m/>
    <m/>
    <m/>
    <m/>
    <m/>
    <n v="71500"/>
    <n v="56992"/>
    <m/>
    <m/>
    <m/>
  </r>
  <r>
    <x v="705"/>
    <n v="247960.808333333"/>
    <n v="4.18333333333333"/>
    <n v="3.4147620370370402"/>
    <n v="0.81627777777777799"/>
    <n v="0.99"/>
    <m/>
    <m/>
    <m/>
    <m/>
    <m/>
    <n v="0"/>
    <m/>
    <n v="0"/>
    <n v="0"/>
    <n v="0"/>
    <n v="0"/>
    <n v="0"/>
    <m/>
    <m/>
    <m/>
    <m/>
    <m/>
    <m/>
    <m/>
    <m/>
    <m/>
    <m/>
    <n v="0"/>
    <n v="0"/>
    <m/>
    <m/>
    <m/>
    <m/>
    <m/>
    <m/>
    <m/>
    <m/>
    <m/>
    <m/>
    <m/>
    <m/>
    <n v="0"/>
    <m/>
    <m/>
    <m/>
    <m/>
    <m/>
    <m/>
    <m/>
    <m/>
    <m/>
    <n v="71500"/>
    <n v="56992"/>
    <m/>
    <m/>
    <m/>
  </r>
  <r>
    <x v="706"/>
    <n v="247960.808333333"/>
    <n v="4.18333333333333"/>
    <n v="3.4147155555555599"/>
    <n v="0.81626666666666703"/>
    <n v="0.99"/>
    <m/>
    <m/>
    <m/>
    <m/>
    <m/>
    <n v="0"/>
    <m/>
    <n v="0"/>
    <n v="0"/>
    <n v="0"/>
    <n v="0"/>
    <n v="0"/>
    <m/>
    <m/>
    <m/>
    <m/>
    <m/>
    <m/>
    <m/>
    <m/>
    <m/>
    <m/>
    <n v="0"/>
    <n v="0"/>
    <m/>
    <m/>
    <m/>
    <m/>
    <m/>
    <m/>
    <m/>
    <m/>
    <m/>
    <m/>
    <m/>
    <m/>
    <n v="0"/>
    <m/>
    <m/>
    <m/>
    <m/>
    <m/>
    <m/>
    <m/>
    <m/>
    <m/>
    <n v="71500"/>
    <n v="56992"/>
    <m/>
    <m/>
    <m/>
  </r>
  <r>
    <x v="707"/>
    <n v="247960.808333333"/>
    <n v="4.18333333333333"/>
    <n v="3.4146690740740699"/>
    <n v="0.81625555555555596"/>
    <n v="0.99"/>
    <m/>
    <m/>
    <m/>
    <m/>
    <m/>
    <n v="0"/>
    <m/>
    <n v="0"/>
    <n v="0"/>
    <n v="0"/>
    <n v="0"/>
    <n v="0"/>
    <m/>
    <m/>
    <m/>
    <m/>
    <m/>
    <m/>
    <m/>
    <m/>
    <m/>
    <m/>
    <n v="0"/>
    <n v="0"/>
    <m/>
    <m/>
    <m/>
    <m/>
    <m/>
    <m/>
    <m/>
    <m/>
    <m/>
    <m/>
    <m/>
    <m/>
    <n v="0"/>
    <m/>
    <m/>
    <m/>
    <m/>
    <m/>
    <m/>
    <m/>
    <m/>
    <m/>
    <n v="71500"/>
    <n v="56992"/>
    <m/>
    <m/>
    <m/>
  </r>
  <r>
    <x v="708"/>
    <n v="247960.808333333"/>
    <n v="4.18333333333333"/>
    <n v="3.4146225925925902"/>
    <n v="0.816244444444444"/>
    <n v="0.99"/>
    <m/>
    <m/>
    <m/>
    <m/>
    <m/>
    <n v="0"/>
    <m/>
    <n v="0"/>
    <n v="0"/>
    <n v="0"/>
    <n v="0"/>
    <n v="0"/>
    <m/>
    <m/>
    <m/>
    <m/>
    <m/>
    <m/>
    <m/>
    <m/>
    <m/>
    <m/>
    <n v="0"/>
    <n v="0"/>
    <m/>
    <m/>
    <m/>
    <m/>
    <m/>
    <m/>
    <m/>
    <m/>
    <m/>
    <m/>
    <m/>
    <m/>
    <n v="0"/>
    <m/>
    <m/>
    <m/>
    <m/>
    <m/>
    <m/>
    <m/>
    <m/>
    <m/>
    <n v="71500"/>
    <n v="56992"/>
    <m/>
    <m/>
    <m/>
  </r>
  <r>
    <x v="709"/>
    <n v="247960.808333333"/>
    <n v="4.18333333333333"/>
    <n v="3.4145761111111099"/>
    <n v="0.81623333333333303"/>
    <n v="0.99"/>
    <m/>
    <m/>
    <m/>
    <m/>
    <m/>
    <n v="0"/>
    <m/>
    <n v="0"/>
    <n v="0"/>
    <n v="0"/>
    <n v="0"/>
    <n v="0"/>
    <m/>
    <m/>
    <m/>
    <m/>
    <m/>
    <m/>
    <m/>
    <m/>
    <m/>
    <m/>
    <n v="0"/>
    <n v="0"/>
    <m/>
    <m/>
    <m/>
    <m/>
    <m/>
    <m/>
    <m/>
    <m/>
    <m/>
    <m/>
    <m/>
    <m/>
    <n v="0"/>
    <m/>
    <m/>
    <m/>
    <m/>
    <m/>
    <m/>
    <m/>
    <m/>
    <m/>
    <n v="71500"/>
    <n v="56992"/>
    <m/>
    <m/>
    <m/>
  </r>
  <r>
    <x v="710"/>
    <n v="247960.808333333"/>
    <n v="4.18333333333333"/>
    <n v="3.4145296296296301"/>
    <n v="0.81622222222222196"/>
    <n v="0.99"/>
    <m/>
    <m/>
    <m/>
    <m/>
    <m/>
    <n v="0"/>
    <m/>
    <n v="0"/>
    <n v="0"/>
    <n v="0"/>
    <n v="0"/>
    <n v="0"/>
    <m/>
    <m/>
    <m/>
    <m/>
    <m/>
    <m/>
    <m/>
    <m/>
    <m/>
    <m/>
    <n v="0"/>
    <n v="0"/>
    <m/>
    <m/>
    <m/>
    <m/>
    <m/>
    <m/>
    <m/>
    <m/>
    <m/>
    <m/>
    <m/>
    <m/>
    <n v="0"/>
    <m/>
    <m/>
    <m/>
    <m/>
    <m/>
    <m/>
    <m/>
    <m/>
    <m/>
    <n v="71500"/>
    <n v="56992"/>
    <m/>
    <m/>
    <m/>
  </r>
  <r>
    <x v="711"/>
    <n v="247960.808333333"/>
    <n v="4.18333333333333"/>
    <n v="3.4144831481481499"/>
    <n v="0.816211111111111"/>
    <n v="0.99"/>
    <m/>
    <m/>
    <m/>
    <m/>
    <m/>
    <n v="0"/>
    <m/>
    <n v="0"/>
    <n v="0"/>
    <n v="0"/>
    <n v="0"/>
    <n v="0"/>
    <m/>
    <m/>
    <m/>
    <m/>
    <m/>
    <m/>
    <m/>
    <m/>
    <m/>
    <m/>
    <n v="0"/>
    <n v="0"/>
    <m/>
    <m/>
    <m/>
    <m/>
    <m/>
    <m/>
    <m/>
    <m/>
    <m/>
    <m/>
    <m/>
    <m/>
    <n v="0"/>
    <m/>
    <m/>
    <m/>
    <m/>
    <m/>
    <m/>
    <m/>
    <m/>
    <m/>
    <n v="71500"/>
    <n v="56992"/>
    <m/>
    <m/>
    <m/>
  </r>
  <r>
    <x v="712"/>
    <n v="247960.808333333"/>
    <n v="4.18333333333333"/>
    <n v="3.4144366666666701"/>
    <n v="0.81620000000000004"/>
    <n v="0.99"/>
    <m/>
    <m/>
    <m/>
    <m/>
    <m/>
    <n v="0"/>
    <m/>
    <n v="0"/>
    <n v="0"/>
    <n v="0"/>
    <n v="0"/>
    <n v="0"/>
    <m/>
    <m/>
    <m/>
    <m/>
    <m/>
    <m/>
    <m/>
    <m/>
    <m/>
    <m/>
    <n v="0"/>
    <n v="0"/>
    <m/>
    <m/>
    <m/>
    <m/>
    <m/>
    <m/>
    <m/>
    <m/>
    <m/>
    <m/>
    <m/>
    <m/>
    <n v="0"/>
    <m/>
    <m/>
    <m/>
    <m/>
    <m/>
    <m/>
    <m/>
    <m/>
    <m/>
    <n v="71500"/>
    <n v="56992"/>
    <m/>
    <m/>
    <m/>
  </r>
  <r>
    <x v="713"/>
    <n v="247960.808333333"/>
    <n v="4.18333333333333"/>
    <n v="3.4143901851851899"/>
    <n v="0.81618888888888896"/>
    <n v="0.99"/>
    <m/>
    <m/>
    <m/>
    <m/>
    <m/>
    <n v="0"/>
    <m/>
    <n v="0"/>
    <n v="0"/>
    <n v="0"/>
    <n v="0"/>
    <n v="0"/>
    <m/>
    <m/>
    <m/>
    <m/>
    <m/>
    <m/>
    <m/>
    <m/>
    <m/>
    <m/>
    <n v="0"/>
    <n v="0"/>
    <m/>
    <m/>
    <m/>
    <m/>
    <m/>
    <m/>
    <m/>
    <m/>
    <m/>
    <m/>
    <m/>
    <m/>
    <n v="0"/>
    <m/>
    <m/>
    <m/>
    <m/>
    <m/>
    <m/>
    <m/>
    <m/>
    <m/>
    <n v="71500"/>
    <n v="56992"/>
    <m/>
    <m/>
    <m/>
  </r>
  <r>
    <x v="714"/>
    <n v="247960.808333333"/>
    <n v="4.18333333333333"/>
    <n v="3.4143437037036999"/>
    <n v="0.816177777777778"/>
    <n v="0.99"/>
    <m/>
    <m/>
    <m/>
    <m/>
    <m/>
    <n v="0"/>
    <m/>
    <n v="0"/>
    <n v="0"/>
    <n v="0"/>
    <n v="0"/>
    <n v="0"/>
    <m/>
    <m/>
    <m/>
    <m/>
    <m/>
    <m/>
    <m/>
    <m/>
    <m/>
    <m/>
    <n v="0"/>
    <n v="0"/>
    <m/>
    <m/>
    <m/>
    <m/>
    <m/>
    <m/>
    <m/>
    <m/>
    <m/>
    <m/>
    <m/>
    <m/>
    <n v="0"/>
    <m/>
    <m/>
    <m/>
    <m/>
    <m/>
    <m/>
    <m/>
    <m/>
    <m/>
    <n v="71500"/>
    <n v="56992"/>
    <m/>
    <m/>
    <m/>
  </r>
  <r>
    <x v="715"/>
    <n v="247960.808333333"/>
    <n v="4.18333333333333"/>
    <n v="3.4142972222222201"/>
    <n v="0.81616666666666704"/>
    <n v="0.99"/>
    <m/>
    <m/>
    <m/>
    <m/>
    <m/>
    <n v="0"/>
    <m/>
    <n v="0"/>
    <n v="0"/>
    <n v="0"/>
    <n v="0"/>
    <n v="0"/>
    <m/>
    <m/>
    <m/>
    <m/>
    <m/>
    <m/>
    <m/>
    <m/>
    <m/>
    <m/>
    <n v="0"/>
    <n v="0"/>
    <m/>
    <m/>
    <m/>
    <m/>
    <m/>
    <m/>
    <m/>
    <m/>
    <m/>
    <m/>
    <m/>
    <m/>
    <n v="0"/>
    <m/>
    <m/>
    <m/>
    <m/>
    <m/>
    <m/>
    <m/>
    <m/>
    <m/>
    <n v="71500"/>
    <n v="56992"/>
    <m/>
    <m/>
    <m/>
  </r>
  <r>
    <x v="716"/>
    <n v="247960.808333333"/>
    <n v="4.18333333333333"/>
    <n v="3.4142507407407399"/>
    <n v="0.81615555555555597"/>
    <n v="0.99"/>
    <m/>
    <m/>
    <m/>
    <m/>
    <m/>
    <n v="0"/>
    <m/>
    <n v="0"/>
    <n v="0"/>
    <n v="0"/>
    <n v="0"/>
    <n v="0"/>
    <m/>
    <m/>
    <m/>
    <m/>
    <m/>
    <m/>
    <m/>
    <m/>
    <m/>
    <m/>
    <n v="0"/>
    <n v="0"/>
    <m/>
    <m/>
    <m/>
    <m/>
    <m/>
    <m/>
    <m/>
    <m/>
    <m/>
    <m/>
    <m/>
    <m/>
    <n v="0"/>
    <m/>
    <m/>
    <m/>
    <m/>
    <m/>
    <m/>
    <m/>
    <m/>
    <m/>
    <n v="71500"/>
    <n v="56992"/>
    <m/>
    <m/>
    <m/>
  </r>
  <r>
    <x v="717"/>
    <n v="247960.808333333"/>
    <n v="4.18333333333333"/>
    <n v="3.4142042592592601"/>
    <n v="0.81614444444444401"/>
    <n v="0.99"/>
    <m/>
    <m/>
    <m/>
    <m/>
    <m/>
    <n v="0"/>
    <m/>
    <n v="0"/>
    <n v="0"/>
    <n v="0"/>
    <n v="0"/>
    <n v="0"/>
    <m/>
    <m/>
    <m/>
    <m/>
    <m/>
    <m/>
    <m/>
    <m/>
    <m/>
    <m/>
    <n v="0"/>
    <n v="0"/>
    <m/>
    <m/>
    <m/>
    <m/>
    <m/>
    <m/>
    <m/>
    <m/>
    <m/>
    <m/>
    <m/>
    <m/>
    <n v="0"/>
    <m/>
    <m/>
    <m/>
    <m/>
    <m/>
    <m/>
    <m/>
    <m/>
    <m/>
    <n v="71500"/>
    <n v="56992"/>
    <m/>
    <m/>
    <m/>
  </r>
  <r>
    <x v="718"/>
    <n v="247960.808333333"/>
    <n v="4.18333333333333"/>
    <n v="3.4141577777777798"/>
    <n v="0.81613333333333304"/>
    <n v="0.99"/>
    <m/>
    <m/>
    <m/>
    <m/>
    <m/>
    <n v="0"/>
    <m/>
    <n v="0"/>
    <n v="0"/>
    <n v="0"/>
    <n v="0"/>
    <n v="0"/>
    <m/>
    <m/>
    <m/>
    <m/>
    <m/>
    <m/>
    <m/>
    <m/>
    <m/>
    <m/>
    <n v="0"/>
    <n v="0"/>
    <m/>
    <m/>
    <m/>
    <m/>
    <m/>
    <m/>
    <m/>
    <m/>
    <m/>
    <m/>
    <m/>
    <m/>
    <n v="0"/>
    <m/>
    <m/>
    <m/>
    <m/>
    <m/>
    <m/>
    <m/>
    <m/>
    <m/>
    <n v="71500"/>
    <n v="56992"/>
    <m/>
    <m/>
    <m/>
  </r>
  <r>
    <x v="719"/>
    <n v="247960.808333333"/>
    <n v="4.18333333333333"/>
    <n v="3.4141112962963001"/>
    <n v="0.81612222222222197"/>
    <n v="0.99"/>
    <m/>
    <m/>
    <m/>
    <m/>
    <m/>
    <n v="0"/>
    <m/>
    <n v="0"/>
    <n v="0"/>
    <n v="0"/>
    <n v="0"/>
    <n v="0"/>
    <m/>
    <m/>
    <m/>
    <m/>
    <m/>
    <m/>
    <m/>
    <m/>
    <m/>
    <m/>
    <n v="0"/>
    <n v="0"/>
    <m/>
    <m/>
    <m/>
    <m/>
    <m/>
    <m/>
    <m/>
    <m/>
    <m/>
    <m/>
    <m/>
    <m/>
    <n v="0"/>
    <m/>
    <m/>
    <m/>
    <m/>
    <m/>
    <m/>
    <m/>
    <m/>
    <m/>
    <n v="71500"/>
    <n v="56992"/>
    <m/>
    <m/>
    <m/>
  </r>
  <r>
    <x v="720"/>
    <n v="247960.808333333"/>
    <n v="4.18333333333333"/>
    <n v="3.4140648148148101"/>
    <n v="0.81611111111111101"/>
    <n v="0.99"/>
    <m/>
    <m/>
    <m/>
    <m/>
    <m/>
    <n v="0"/>
    <m/>
    <n v="0"/>
    <n v="0"/>
    <n v="0"/>
    <n v="0"/>
    <n v="0"/>
    <m/>
    <m/>
    <m/>
    <m/>
    <m/>
    <m/>
    <m/>
    <m/>
    <m/>
    <m/>
    <n v="0"/>
    <n v="0"/>
    <m/>
    <m/>
    <m/>
    <m/>
    <m/>
    <m/>
    <m/>
    <m/>
    <m/>
    <m/>
    <m/>
    <m/>
    <n v="0"/>
    <m/>
    <m/>
    <m/>
    <m/>
    <m/>
    <m/>
    <m/>
    <m/>
    <m/>
    <n v="71500"/>
    <n v="56992"/>
    <m/>
    <m/>
    <m/>
  </r>
  <r>
    <x v="721"/>
    <n v="247960.808333333"/>
    <n v="4.18333333333333"/>
    <n v="3.4140183333333298"/>
    <n v="0.81610000000000005"/>
    <n v="0.99"/>
    <m/>
    <m/>
    <m/>
    <m/>
    <m/>
    <n v="0"/>
    <m/>
    <n v="0"/>
    <n v="0"/>
    <n v="0"/>
    <n v="0"/>
    <n v="0"/>
    <m/>
    <m/>
    <m/>
    <m/>
    <m/>
    <m/>
    <m/>
    <m/>
    <m/>
    <m/>
    <n v="0"/>
    <n v="0"/>
    <m/>
    <m/>
    <m/>
    <m/>
    <m/>
    <m/>
    <m/>
    <m/>
    <m/>
    <m/>
    <m/>
    <m/>
    <n v="0"/>
    <m/>
    <m/>
    <m/>
    <m/>
    <m/>
    <m/>
    <m/>
    <m/>
    <m/>
    <n v="71500"/>
    <n v="56992"/>
    <m/>
    <m/>
    <m/>
  </r>
  <r>
    <x v="722"/>
    <n v="247960.808333333"/>
    <n v="4.18333333333333"/>
    <n v="3.41397185185185"/>
    <n v="0.81608888888888897"/>
    <n v="0.99"/>
    <m/>
    <m/>
    <m/>
    <m/>
    <m/>
    <n v="0"/>
    <m/>
    <n v="0"/>
    <n v="0"/>
    <n v="0"/>
    <n v="0"/>
    <n v="0"/>
    <m/>
    <m/>
    <m/>
    <m/>
    <m/>
    <m/>
    <m/>
    <m/>
    <m/>
    <m/>
    <n v="0"/>
    <n v="0"/>
    <m/>
    <m/>
    <m/>
    <m/>
    <m/>
    <m/>
    <m/>
    <m/>
    <m/>
    <m/>
    <m/>
    <m/>
    <n v="0"/>
    <m/>
    <m/>
    <m/>
    <m/>
    <m/>
    <m/>
    <m/>
    <m/>
    <m/>
    <n v="71500"/>
    <n v="56992"/>
    <m/>
    <m/>
    <m/>
  </r>
  <r>
    <x v="723"/>
    <n v="247960.808333333"/>
    <n v="4.18333333333333"/>
    <n v="3.4139253703703698"/>
    <n v="0.81607777777777801"/>
    <n v="0.99"/>
    <m/>
    <m/>
    <m/>
    <m/>
    <m/>
    <n v="0"/>
    <m/>
    <n v="0"/>
    <n v="0"/>
    <n v="0"/>
    <n v="0"/>
    <n v="0"/>
    <m/>
    <m/>
    <m/>
    <m/>
    <m/>
    <m/>
    <m/>
    <m/>
    <m/>
    <m/>
    <n v="0"/>
    <n v="0"/>
    <m/>
    <m/>
    <m/>
    <m/>
    <m/>
    <m/>
    <m/>
    <m/>
    <m/>
    <m/>
    <m/>
    <m/>
    <n v="0"/>
    <m/>
    <m/>
    <m/>
    <m/>
    <m/>
    <m/>
    <m/>
    <m/>
    <m/>
    <n v="71500"/>
    <n v="56992"/>
    <m/>
    <m/>
    <m/>
  </r>
  <r>
    <x v="724"/>
    <n v="247960.808333333"/>
    <n v="4.18333333333333"/>
    <n v="3.41387888888889"/>
    <n v="0.81606666666666705"/>
    <n v="0.99"/>
    <m/>
    <m/>
    <m/>
    <m/>
    <m/>
    <n v="0"/>
    <m/>
    <n v="0"/>
    <n v="0"/>
    <n v="0"/>
    <n v="0"/>
    <n v="0"/>
    <m/>
    <m/>
    <m/>
    <m/>
    <m/>
    <m/>
    <m/>
    <m/>
    <m/>
    <m/>
    <n v="0"/>
    <n v="0"/>
    <m/>
    <m/>
    <m/>
    <m/>
    <m/>
    <m/>
    <m/>
    <m/>
    <m/>
    <m/>
    <m/>
    <m/>
    <n v="0"/>
    <m/>
    <m/>
    <m/>
    <m/>
    <m/>
    <m/>
    <m/>
    <m/>
    <m/>
    <n v="71500"/>
    <n v="56992"/>
    <m/>
    <m/>
    <m/>
  </r>
  <r>
    <x v="725"/>
    <n v="247960.808333333"/>
    <n v="4.18333333333333"/>
    <n v="3.4138324074074098"/>
    <n v="0.81605555555555598"/>
    <n v="0.99"/>
    <m/>
    <m/>
    <m/>
    <m/>
    <m/>
    <n v="0"/>
    <m/>
    <n v="0"/>
    <n v="0"/>
    <n v="0"/>
    <n v="0"/>
    <n v="0"/>
    <m/>
    <m/>
    <m/>
    <m/>
    <m/>
    <m/>
    <m/>
    <m/>
    <m/>
    <m/>
    <n v="0"/>
    <n v="0"/>
    <m/>
    <m/>
    <m/>
    <m/>
    <m/>
    <m/>
    <m/>
    <m/>
    <m/>
    <m/>
    <m/>
    <m/>
    <n v="0"/>
    <m/>
    <m/>
    <m/>
    <m/>
    <m/>
    <m/>
    <m/>
    <m/>
    <m/>
    <n v="71500"/>
    <n v="56992"/>
    <m/>
    <m/>
    <m/>
  </r>
  <r>
    <x v="726"/>
    <n v="247960.808333333"/>
    <n v="4.18333333333333"/>
    <n v="3.41378592592593"/>
    <n v="0.81604444444444402"/>
    <n v="0.99"/>
    <m/>
    <m/>
    <m/>
    <m/>
    <m/>
    <n v="0"/>
    <m/>
    <n v="0"/>
    <n v="0"/>
    <n v="0"/>
    <n v="0"/>
    <n v="0"/>
    <m/>
    <m/>
    <m/>
    <m/>
    <m/>
    <m/>
    <m/>
    <m/>
    <m/>
    <m/>
    <n v="0"/>
    <n v="0"/>
    <m/>
    <m/>
    <m/>
    <m/>
    <m/>
    <m/>
    <m/>
    <m/>
    <m/>
    <m/>
    <m/>
    <m/>
    <n v="0"/>
    <m/>
    <m/>
    <m/>
    <m/>
    <m/>
    <m/>
    <m/>
    <m/>
    <m/>
    <n v="71500"/>
    <n v="56992"/>
    <m/>
    <m/>
    <m/>
  </r>
  <r>
    <x v="727"/>
    <n v="247960.808333333"/>
    <n v="4.18333333333333"/>
    <n v="3.41373944444444"/>
    <n v="0.81603333333333306"/>
    <n v="0.99"/>
    <m/>
    <m/>
    <m/>
    <m/>
    <m/>
    <n v="0"/>
    <m/>
    <n v="0"/>
    <n v="0"/>
    <n v="0"/>
    <n v="0"/>
    <n v="0"/>
    <m/>
    <m/>
    <m/>
    <m/>
    <m/>
    <m/>
    <m/>
    <m/>
    <m/>
    <m/>
    <n v="0"/>
    <n v="0"/>
    <m/>
    <m/>
    <m/>
    <m/>
    <m/>
    <m/>
    <m/>
    <m/>
    <m/>
    <m/>
    <m/>
    <m/>
    <n v="0"/>
    <m/>
    <m/>
    <m/>
    <m/>
    <m/>
    <m/>
    <m/>
    <m/>
    <m/>
    <n v="71500"/>
    <n v="56992"/>
    <m/>
    <m/>
    <m/>
  </r>
  <r>
    <x v="728"/>
    <n v="247960.808333333"/>
    <n v="4.18333333333333"/>
    <n v="3.4136929629629602"/>
    <n v="0.81602222222222198"/>
    <n v="0.99"/>
    <m/>
    <m/>
    <m/>
    <m/>
    <m/>
    <n v="0"/>
    <m/>
    <n v="0"/>
    <n v="0"/>
    <n v="0"/>
    <n v="0"/>
    <n v="0"/>
    <m/>
    <m/>
    <m/>
    <m/>
    <m/>
    <m/>
    <m/>
    <m/>
    <m/>
    <m/>
    <n v="0"/>
    <n v="0"/>
    <m/>
    <m/>
    <m/>
    <m/>
    <m/>
    <m/>
    <m/>
    <m/>
    <m/>
    <m/>
    <m/>
    <m/>
    <n v="0"/>
    <m/>
    <m/>
    <m/>
    <m/>
    <m/>
    <m/>
    <m/>
    <m/>
    <m/>
    <n v="71500"/>
    <n v="56992"/>
    <m/>
    <m/>
    <m/>
  </r>
  <r>
    <x v="729"/>
    <n v="247960.808333333"/>
    <n v="4.18333333333333"/>
    <n v="3.41364648148148"/>
    <n v="0.81601111111111102"/>
    <n v="0.99"/>
    <m/>
    <m/>
    <m/>
    <m/>
    <m/>
    <n v="0"/>
    <m/>
    <n v="0"/>
    <n v="0"/>
    <n v="0"/>
    <n v="0"/>
    <n v="0"/>
    <m/>
    <m/>
    <m/>
    <m/>
    <m/>
    <m/>
    <m/>
    <m/>
    <m/>
    <m/>
    <n v="0"/>
    <n v="0"/>
    <m/>
    <m/>
    <m/>
    <m/>
    <m/>
    <m/>
    <m/>
    <m/>
    <m/>
    <m/>
    <m/>
    <m/>
    <n v="0"/>
    <m/>
    <m/>
    <m/>
    <m/>
    <m/>
    <m/>
    <m/>
    <m/>
    <m/>
    <n v="71500"/>
    <n v="56992"/>
    <m/>
    <m/>
    <m/>
  </r>
  <r>
    <x v="730"/>
    <n v="235895.33709677399"/>
    <n v="4.1709677419354803"/>
    <n v="3.4035096774193501"/>
    <n v="0.81599999999999995"/>
    <n v="0.99"/>
    <m/>
    <m/>
    <m/>
    <m/>
    <m/>
    <n v="0"/>
    <m/>
    <n v="0"/>
    <n v="0"/>
    <n v="0"/>
    <n v="0"/>
    <n v="0"/>
    <m/>
    <m/>
    <m/>
    <m/>
    <m/>
    <m/>
    <m/>
    <m/>
    <m/>
    <m/>
    <n v="0"/>
    <n v="0"/>
    <m/>
    <m/>
    <m/>
    <m/>
    <m/>
    <m/>
    <m/>
    <m/>
    <m/>
    <m/>
    <m/>
    <m/>
    <n v="0"/>
    <m/>
    <m/>
    <m/>
    <m/>
    <m/>
    <m/>
    <m/>
    <m/>
    <m/>
    <n v="71500"/>
    <n v="56992"/>
    <m/>
    <m/>
    <m/>
  </r>
  <r>
    <x v="731"/>
    <n v="235895.33709677399"/>
    <n v="4.1709677419354803"/>
    <n v="3.4034633333333302"/>
    <n v="0.81598888888888899"/>
    <n v="0.99"/>
    <m/>
    <m/>
    <m/>
    <m/>
    <m/>
    <n v="0"/>
    <m/>
    <n v="0"/>
    <n v="0"/>
    <n v="0"/>
    <n v="0"/>
    <n v="0"/>
    <m/>
    <m/>
    <m/>
    <m/>
    <m/>
    <m/>
    <m/>
    <m/>
    <m/>
    <m/>
    <n v="0"/>
    <n v="0"/>
    <m/>
    <m/>
    <m/>
    <m/>
    <m/>
    <m/>
    <m/>
    <m/>
    <m/>
    <m/>
    <m/>
    <m/>
    <n v="0"/>
    <m/>
    <m/>
    <m/>
    <m/>
    <m/>
    <m/>
    <m/>
    <m/>
    <m/>
    <n v="71500"/>
    <n v="56992"/>
    <m/>
    <m/>
    <m/>
  </r>
  <r>
    <x v="732"/>
    <n v="235895.33709677399"/>
    <n v="4.1709677419354803"/>
    <n v="3.4034169892473098"/>
    <n v="0.81597777777777802"/>
    <n v="0.99"/>
    <m/>
    <m/>
    <m/>
    <m/>
    <m/>
    <n v="0"/>
    <m/>
    <n v="0"/>
    <n v="0"/>
    <n v="0"/>
    <n v="0"/>
    <n v="0"/>
    <m/>
    <m/>
    <m/>
    <m/>
    <m/>
    <m/>
    <m/>
    <m/>
    <m/>
    <m/>
    <n v="0"/>
    <n v="0"/>
    <m/>
    <m/>
    <m/>
    <m/>
    <m/>
    <m/>
    <m/>
    <m/>
    <m/>
    <m/>
    <m/>
    <m/>
    <n v="0"/>
    <m/>
    <m/>
    <m/>
    <m/>
    <m/>
    <m/>
    <m/>
    <m/>
    <m/>
    <n v="71500"/>
    <n v="56992"/>
    <m/>
    <m/>
    <m/>
  </r>
  <r>
    <x v="733"/>
    <n v="235895.33709677399"/>
    <n v="4.1709677419354803"/>
    <n v="3.40337064516129"/>
    <n v="0.81596666666666695"/>
    <n v="0.99"/>
    <m/>
    <m/>
    <m/>
    <m/>
    <m/>
    <n v="0"/>
    <m/>
    <n v="0"/>
    <n v="0"/>
    <n v="0"/>
    <n v="0"/>
    <n v="0"/>
    <m/>
    <m/>
    <m/>
    <m/>
    <m/>
    <m/>
    <m/>
    <m/>
    <m/>
    <m/>
    <n v="0"/>
    <n v="0"/>
    <m/>
    <m/>
    <m/>
    <m/>
    <m/>
    <m/>
    <m/>
    <m/>
    <m/>
    <m/>
    <m/>
    <m/>
    <n v="0"/>
    <m/>
    <m/>
    <m/>
    <m/>
    <m/>
    <m/>
    <m/>
    <m/>
    <m/>
    <n v="71500"/>
    <n v="56992"/>
    <m/>
    <m/>
    <m/>
  </r>
  <r>
    <x v="734"/>
    <n v="235895.33709677399"/>
    <n v="4.1709677419354803"/>
    <n v="3.4033243010752701"/>
    <n v="0.81595555555555599"/>
    <n v="0.99"/>
    <m/>
    <m/>
    <m/>
    <m/>
    <m/>
    <n v="0"/>
    <m/>
    <n v="0"/>
    <n v="0"/>
    <n v="0"/>
    <n v="0"/>
    <n v="0"/>
    <m/>
    <m/>
    <m/>
    <m/>
    <m/>
    <m/>
    <m/>
    <m/>
    <m/>
    <m/>
    <n v="0"/>
    <n v="0"/>
    <m/>
    <m/>
    <m/>
    <m/>
    <m/>
    <m/>
    <m/>
    <m/>
    <m/>
    <m/>
    <m/>
    <m/>
    <n v="0"/>
    <m/>
    <m/>
    <m/>
    <m/>
    <m/>
    <m/>
    <m/>
    <m/>
    <m/>
    <n v="71500"/>
    <n v="56992"/>
    <m/>
    <m/>
    <m/>
  </r>
  <r>
    <x v="735"/>
    <n v="235895.33709677399"/>
    <n v="4.1709677419354803"/>
    <n v="3.4032779569892502"/>
    <n v="0.81594444444444403"/>
    <n v="0.99"/>
    <m/>
    <m/>
    <m/>
    <m/>
    <m/>
    <n v="0"/>
    <m/>
    <n v="0"/>
    <n v="0"/>
    <n v="0"/>
    <n v="0"/>
    <n v="0"/>
    <m/>
    <m/>
    <m/>
    <m/>
    <m/>
    <m/>
    <m/>
    <m/>
    <m/>
    <m/>
    <n v="0"/>
    <n v="0"/>
    <m/>
    <m/>
    <m/>
    <m/>
    <m/>
    <m/>
    <m/>
    <m/>
    <m/>
    <m/>
    <m/>
    <m/>
    <n v="0"/>
    <m/>
    <m/>
    <m/>
    <m/>
    <m/>
    <m/>
    <m/>
    <m/>
    <m/>
    <n v="71500"/>
    <n v="56992"/>
    <m/>
    <m/>
    <m/>
  </r>
  <r>
    <x v="736"/>
    <n v="235895.33709677399"/>
    <n v="4.1709677419354803"/>
    <n v="3.4032316129032298"/>
    <n v="0.81593333333333296"/>
    <n v="0.99"/>
    <m/>
    <m/>
    <m/>
    <m/>
    <m/>
    <n v="0"/>
    <m/>
    <n v="0"/>
    <n v="0"/>
    <n v="0"/>
    <n v="0"/>
    <n v="0"/>
    <m/>
    <m/>
    <m/>
    <m/>
    <m/>
    <m/>
    <m/>
    <m/>
    <m/>
    <m/>
    <n v="0"/>
    <n v="0"/>
    <m/>
    <m/>
    <m/>
    <m/>
    <m/>
    <m/>
    <m/>
    <m/>
    <m/>
    <m/>
    <m/>
    <m/>
    <n v="0"/>
    <m/>
    <m/>
    <m/>
    <m/>
    <m/>
    <m/>
    <m/>
    <m/>
    <m/>
    <n v="71500"/>
    <n v="56992"/>
    <m/>
    <m/>
    <m/>
  </r>
  <r>
    <x v="737"/>
    <n v="235895.33709677399"/>
    <n v="4.1709677419354803"/>
    <n v="3.4031852688172002"/>
    <n v="0.81592222222222199"/>
    <n v="0.99"/>
    <m/>
    <m/>
    <m/>
    <m/>
    <m/>
    <n v="0"/>
    <m/>
    <n v="0"/>
    <n v="0"/>
    <n v="0"/>
    <n v="0"/>
    <n v="0"/>
    <m/>
    <m/>
    <m/>
    <m/>
    <m/>
    <m/>
    <m/>
    <m/>
    <m/>
    <m/>
    <n v="0"/>
    <n v="0"/>
    <m/>
    <m/>
    <m/>
    <m/>
    <m/>
    <m/>
    <m/>
    <m/>
    <m/>
    <m/>
    <m/>
    <m/>
    <n v="0"/>
    <m/>
    <m/>
    <m/>
    <m/>
    <m/>
    <m/>
    <m/>
    <m/>
    <m/>
    <n v="71500"/>
    <n v="56992"/>
    <m/>
    <m/>
    <m/>
  </r>
  <r>
    <x v="738"/>
    <n v="235895.33709677399"/>
    <n v="4.1709677419354803"/>
    <n v="3.4031389247311798"/>
    <n v="0.81591111111111103"/>
    <n v="0.99"/>
    <m/>
    <m/>
    <m/>
    <m/>
    <m/>
    <n v="0"/>
    <m/>
    <n v="0"/>
    <n v="0"/>
    <n v="0"/>
    <n v="0"/>
    <n v="0"/>
    <m/>
    <m/>
    <m/>
    <m/>
    <m/>
    <m/>
    <m/>
    <m/>
    <m/>
    <m/>
    <n v="0"/>
    <n v="0"/>
    <m/>
    <m/>
    <m/>
    <m/>
    <m/>
    <m/>
    <m/>
    <m/>
    <m/>
    <m/>
    <m/>
    <m/>
    <n v="0"/>
    <m/>
    <m/>
    <m/>
    <m/>
    <m/>
    <m/>
    <m/>
    <m/>
    <m/>
    <n v="71500"/>
    <n v="56992"/>
    <m/>
    <m/>
    <m/>
  </r>
  <r>
    <x v="739"/>
    <n v="235895.33709677399"/>
    <n v="4.1709677419354803"/>
    <n v="3.40309258064516"/>
    <n v="0.81589999999999996"/>
    <n v="0.99"/>
    <m/>
    <m/>
    <m/>
    <m/>
    <m/>
    <n v="0"/>
    <m/>
    <n v="0"/>
    <n v="0"/>
    <n v="0"/>
    <n v="0"/>
    <n v="0"/>
    <m/>
    <m/>
    <m/>
    <m/>
    <m/>
    <m/>
    <m/>
    <m/>
    <m/>
    <m/>
    <n v="0"/>
    <n v="0"/>
    <m/>
    <m/>
    <m/>
    <m/>
    <m/>
    <m/>
    <m/>
    <m/>
    <m/>
    <m/>
    <m/>
    <m/>
    <n v="0"/>
    <m/>
    <m/>
    <m/>
    <m/>
    <m/>
    <m/>
    <m/>
    <m/>
    <m/>
    <n v="71500"/>
    <n v="56992"/>
    <m/>
    <m/>
    <m/>
  </r>
  <r>
    <x v="740"/>
    <n v="235895.33709677399"/>
    <n v="4.1709677419354803"/>
    <n v="3.4030462365591401"/>
    <n v="0.815888888888889"/>
    <n v="0.99"/>
    <m/>
    <m/>
    <m/>
    <m/>
    <m/>
    <n v="0"/>
    <m/>
    <n v="0"/>
    <n v="0"/>
    <n v="0"/>
    <n v="0"/>
    <n v="0"/>
    <m/>
    <m/>
    <m/>
    <m/>
    <m/>
    <m/>
    <m/>
    <m/>
    <m/>
    <m/>
    <n v="0"/>
    <n v="0"/>
    <m/>
    <m/>
    <m/>
    <m/>
    <m/>
    <m/>
    <m/>
    <m/>
    <m/>
    <m/>
    <m/>
    <m/>
    <n v="0"/>
    <m/>
    <m/>
    <m/>
    <m/>
    <m/>
    <m/>
    <m/>
    <m/>
    <m/>
    <n v="71500"/>
    <n v="56992"/>
    <m/>
    <m/>
    <m/>
  </r>
  <r>
    <x v="741"/>
    <n v="235895.33709677399"/>
    <n v="4.1709677419354803"/>
    <n v="3.4029998924731202"/>
    <n v="0.81587777777777803"/>
    <n v="0.99"/>
    <m/>
    <m/>
    <m/>
    <m/>
    <m/>
    <n v="0"/>
    <m/>
    <n v="0"/>
    <n v="0"/>
    <n v="0"/>
    <n v="0"/>
    <n v="0"/>
    <m/>
    <m/>
    <m/>
    <m/>
    <m/>
    <m/>
    <m/>
    <m/>
    <m/>
    <m/>
    <n v="0"/>
    <n v="0"/>
    <m/>
    <m/>
    <m/>
    <m/>
    <m/>
    <m/>
    <m/>
    <m/>
    <m/>
    <m/>
    <m/>
    <m/>
    <n v="0"/>
    <m/>
    <m/>
    <m/>
    <m/>
    <m/>
    <m/>
    <m/>
    <m/>
    <m/>
    <n v="71500"/>
    <n v="56992"/>
    <m/>
    <m/>
    <m/>
  </r>
  <r>
    <x v="742"/>
    <n v="235895.33709677399"/>
    <n v="4.1709677419354803"/>
    <n v="3.4029535483870998"/>
    <n v="0.81586666666666696"/>
    <n v="0.99"/>
    <m/>
    <m/>
    <m/>
    <m/>
    <m/>
    <n v="0"/>
    <m/>
    <n v="0"/>
    <n v="0"/>
    <n v="0"/>
    <n v="0"/>
    <n v="0"/>
    <m/>
    <m/>
    <m/>
    <m/>
    <m/>
    <m/>
    <m/>
    <m/>
    <m/>
    <m/>
    <n v="0"/>
    <n v="0"/>
    <m/>
    <m/>
    <m/>
    <m/>
    <m/>
    <m/>
    <m/>
    <m/>
    <m/>
    <m/>
    <m/>
    <m/>
    <n v="0"/>
    <m/>
    <m/>
    <m/>
    <m/>
    <m/>
    <m/>
    <m/>
    <m/>
    <m/>
    <n v="71500"/>
    <n v="56992"/>
    <m/>
    <m/>
    <m/>
  </r>
  <r>
    <x v="743"/>
    <n v="235895.33709677399"/>
    <n v="4.1709677419354803"/>
    <n v="3.40290720430108"/>
    <n v="0.815855555555556"/>
    <n v="0.99"/>
    <m/>
    <m/>
    <m/>
    <m/>
    <m/>
    <n v="0"/>
    <m/>
    <n v="0"/>
    <n v="0"/>
    <n v="0"/>
    <n v="0"/>
    <n v="0"/>
    <m/>
    <m/>
    <m/>
    <m/>
    <m/>
    <m/>
    <m/>
    <m/>
    <m/>
    <m/>
    <n v="0"/>
    <n v="0"/>
    <m/>
    <m/>
    <m/>
    <m/>
    <m/>
    <m/>
    <m/>
    <m/>
    <m/>
    <m/>
    <m/>
    <m/>
    <n v="0"/>
    <m/>
    <m/>
    <m/>
    <m/>
    <m/>
    <m/>
    <m/>
    <m/>
    <m/>
    <n v="71500"/>
    <n v="56992"/>
    <m/>
    <m/>
    <m/>
  </r>
  <r>
    <x v="744"/>
    <n v="235895.33709677399"/>
    <n v="4.1709677419354803"/>
    <n v="3.4028608602150499"/>
    <n v="0.81584444444444404"/>
    <n v="0.99"/>
    <m/>
    <m/>
    <m/>
    <m/>
    <m/>
    <n v="0"/>
    <m/>
    <n v="0"/>
    <n v="0"/>
    <n v="0"/>
    <n v="0"/>
    <n v="0"/>
    <m/>
    <m/>
    <m/>
    <m/>
    <m/>
    <m/>
    <m/>
    <m/>
    <m/>
    <m/>
    <n v="0"/>
    <n v="0"/>
    <m/>
    <m/>
    <m/>
    <m/>
    <m/>
    <m/>
    <m/>
    <m/>
    <m/>
    <m/>
    <m/>
    <m/>
    <n v="0"/>
    <m/>
    <m/>
    <m/>
    <m/>
    <m/>
    <m/>
    <m/>
    <m/>
    <m/>
    <n v="71500"/>
    <n v="56992"/>
    <m/>
    <m/>
    <m/>
  </r>
  <r>
    <x v="745"/>
    <n v="235895.33709677399"/>
    <n v="4.1709677419354803"/>
    <n v="3.40281451612903"/>
    <n v="0.81583333333333297"/>
    <n v="0.99"/>
    <m/>
    <m/>
    <m/>
    <m/>
    <m/>
    <n v="0"/>
    <m/>
    <n v="0"/>
    <n v="0"/>
    <n v="0"/>
    <n v="0"/>
    <n v="0"/>
    <m/>
    <m/>
    <m/>
    <m/>
    <m/>
    <m/>
    <m/>
    <m/>
    <m/>
    <m/>
    <n v="0"/>
    <n v="0"/>
    <m/>
    <m/>
    <m/>
    <m/>
    <m/>
    <m/>
    <m/>
    <m/>
    <m/>
    <m/>
    <m/>
    <m/>
    <n v="0"/>
    <m/>
    <m/>
    <m/>
    <m/>
    <m/>
    <m/>
    <m/>
    <m/>
    <m/>
    <n v="71500"/>
    <n v="56992"/>
    <m/>
    <m/>
    <m/>
  </r>
  <r>
    <x v="746"/>
    <n v="235895.33709677399"/>
    <n v="4.1709677419354803"/>
    <n v="3.4027681720430101"/>
    <n v="0.815822222222222"/>
    <n v="0.99"/>
    <m/>
    <m/>
    <m/>
    <m/>
    <m/>
    <n v="0"/>
    <m/>
    <n v="0"/>
    <n v="0"/>
    <n v="0"/>
    <n v="0"/>
    <n v="0"/>
    <m/>
    <m/>
    <m/>
    <m/>
    <m/>
    <m/>
    <m/>
    <m/>
    <m/>
    <m/>
    <n v="0"/>
    <n v="0"/>
    <m/>
    <m/>
    <m/>
    <m/>
    <m/>
    <m/>
    <m/>
    <m/>
    <m/>
    <m/>
    <m/>
    <m/>
    <n v="0"/>
    <m/>
    <m/>
    <m/>
    <m/>
    <m/>
    <m/>
    <m/>
    <m/>
    <m/>
    <n v="71500"/>
    <n v="56992"/>
    <m/>
    <m/>
    <m/>
  </r>
  <r>
    <x v="747"/>
    <n v="235895.33709677399"/>
    <n v="4.1709677419354803"/>
    <n v="3.4027218279569902"/>
    <n v="0.81581111111111104"/>
    <n v="0.99"/>
    <m/>
    <m/>
    <m/>
    <m/>
    <m/>
    <n v="0"/>
    <m/>
    <n v="0"/>
    <n v="0"/>
    <n v="0"/>
    <n v="0"/>
    <n v="0"/>
    <m/>
    <m/>
    <m/>
    <m/>
    <m/>
    <m/>
    <m/>
    <m/>
    <m/>
    <m/>
    <n v="0"/>
    <n v="0"/>
    <m/>
    <m/>
    <m/>
    <m/>
    <m/>
    <m/>
    <m/>
    <m/>
    <m/>
    <m/>
    <m/>
    <m/>
    <n v="0"/>
    <m/>
    <m/>
    <m/>
    <m/>
    <m/>
    <m/>
    <m/>
    <m/>
    <m/>
    <n v="71500"/>
    <n v="56992"/>
    <m/>
    <m/>
    <m/>
  </r>
  <r>
    <x v="748"/>
    <n v="235895.33709677399"/>
    <n v="4.1709677419354803"/>
    <n v="3.4026754838709699"/>
    <n v="0.81579999999999997"/>
    <n v="0.99"/>
    <m/>
    <m/>
    <m/>
    <m/>
    <m/>
    <n v="0"/>
    <m/>
    <n v="0"/>
    <n v="0"/>
    <n v="0"/>
    <n v="0"/>
    <n v="0"/>
    <m/>
    <m/>
    <m/>
    <m/>
    <m/>
    <m/>
    <m/>
    <m/>
    <m/>
    <m/>
    <n v="0"/>
    <n v="0"/>
    <m/>
    <m/>
    <m/>
    <m/>
    <m/>
    <m/>
    <m/>
    <m/>
    <m/>
    <m/>
    <m/>
    <m/>
    <n v="0"/>
    <m/>
    <m/>
    <m/>
    <m/>
    <m/>
    <m/>
    <m/>
    <m/>
    <m/>
    <n v="71500"/>
    <n v="56992"/>
    <m/>
    <m/>
    <m/>
  </r>
  <r>
    <x v="749"/>
    <n v="235895.33709677399"/>
    <n v="4.1709677419354803"/>
    <n v="3.40262913978495"/>
    <n v="0.81578888888888901"/>
    <n v="0.99"/>
    <m/>
    <m/>
    <m/>
    <m/>
    <m/>
    <n v="0"/>
    <m/>
    <n v="0"/>
    <n v="0"/>
    <n v="0"/>
    <n v="0"/>
    <n v="0"/>
    <m/>
    <m/>
    <m/>
    <m/>
    <m/>
    <m/>
    <m/>
    <m/>
    <m/>
    <m/>
    <n v="0"/>
    <n v="0"/>
    <m/>
    <m/>
    <m/>
    <m/>
    <m/>
    <m/>
    <m/>
    <m/>
    <m/>
    <m/>
    <m/>
    <m/>
    <n v="0"/>
    <m/>
    <m/>
    <m/>
    <m/>
    <m/>
    <m/>
    <m/>
    <m/>
    <m/>
    <n v="71500"/>
    <n v="56992"/>
    <m/>
    <m/>
    <m/>
  </r>
  <r>
    <x v="750"/>
    <n v="235895.33709677399"/>
    <n v="4.1709677419354803"/>
    <n v="3.4025827956989199"/>
    <n v="0.81577777777777805"/>
    <n v="0.99"/>
    <m/>
    <m/>
    <m/>
    <m/>
    <m/>
    <n v="0"/>
    <m/>
    <n v="0"/>
    <n v="0"/>
    <n v="0"/>
    <n v="0"/>
    <n v="0"/>
    <m/>
    <m/>
    <m/>
    <m/>
    <m/>
    <m/>
    <m/>
    <m/>
    <m/>
    <m/>
    <n v="0"/>
    <n v="0"/>
    <m/>
    <m/>
    <m/>
    <m/>
    <m/>
    <m/>
    <m/>
    <m/>
    <m/>
    <m/>
    <m/>
    <m/>
    <n v="0"/>
    <m/>
    <m/>
    <m/>
    <m/>
    <m/>
    <m/>
    <m/>
    <m/>
    <m/>
    <n v="71500"/>
    <n v="56992"/>
    <m/>
    <m/>
    <m/>
  </r>
  <r>
    <x v="751"/>
    <n v="235895.33709677399"/>
    <n v="4.1709677419354803"/>
    <n v="3.4025364516129"/>
    <n v="0.81576666666666697"/>
    <n v="0.99"/>
    <m/>
    <m/>
    <m/>
    <m/>
    <m/>
    <n v="0"/>
    <m/>
    <n v="0"/>
    <n v="0"/>
    <n v="0"/>
    <n v="0"/>
    <n v="0"/>
    <m/>
    <m/>
    <m/>
    <m/>
    <m/>
    <m/>
    <m/>
    <m/>
    <m/>
    <m/>
    <n v="0"/>
    <n v="0"/>
    <m/>
    <m/>
    <m/>
    <m/>
    <m/>
    <m/>
    <m/>
    <m/>
    <m/>
    <m/>
    <m/>
    <m/>
    <n v="0"/>
    <m/>
    <m/>
    <m/>
    <m/>
    <m/>
    <m/>
    <m/>
    <m/>
    <m/>
    <n v="71500"/>
    <n v="56992"/>
    <m/>
    <m/>
    <m/>
  </r>
  <r>
    <x v="752"/>
    <n v="235895.33709677399"/>
    <n v="4.1709677419354803"/>
    <n v="3.4024901075268801"/>
    <n v="0.81575555555555601"/>
    <n v="0.99"/>
    <m/>
    <m/>
    <m/>
    <m/>
    <m/>
    <n v="0"/>
    <m/>
    <n v="0"/>
    <n v="0"/>
    <n v="0"/>
    <n v="0"/>
    <n v="0"/>
    <m/>
    <m/>
    <m/>
    <m/>
    <m/>
    <m/>
    <m/>
    <m/>
    <m/>
    <m/>
    <n v="0"/>
    <n v="0"/>
    <m/>
    <m/>
    <m/>
    <m/>
    <m/>
    <m/>
    <m/>
    <m/>
    <m/>
    <m/>
    <m/>
    <m/>
    <n v="0"/>
    <m/>
    <m/>
    <m/>
    <m/>
    <m/>
    <m/>
    <m/>
    <m/>
    <m/>
    <n v="71500"/>
    <n v="56992"/>
    <m/>
    <m/>
    <m/>
  </r>
  <r>
    <x v="753"/>
    <n v="235895.33709677399"/>
    <n v="4.1709677419354803"/>
    <n v="3.4024437634408602"/>
    <n v="0.81574444444444405"/>
    <n v="0.99"/>
    <m/>
    <m/>
    <m/>
    <m/>
    <m/>
    <n v="0"/>
    <m/>
    <n v="0"/>
    <n v="0"/>
    <n v="0"/>
    <n v="0"/>
    <n v="0"/>
    <m/>
    <m/>
    <m/>
    <m/>
    <m/>
    <m/>
    <m/>
    <m/>
    <m/>
    <m/>
    <n v="0"/>
    <n v="0"/>
    <m/>
    <m/>
    <m/>
    <m/>
    <m/>
    <m/>
    <m/>
    <m/>
    <m/>
    <m/>
    <m/>
    <m/>
    <n v="0"/>
    <m/>
    <m/>
    <m/>
    <m/>
    <m/>
    <m/>
    <m/>
    <m/>
    <m/>
    <n v="71500"/>
    <n v="56992"/>
    <m/>
    <m/>
    <m/>
  </r>
  <r>
    <x v="754"/>
    <n v="235895.33709677399"/>
    <n v="4.1709677419354803"/>
    <n v="3.4023974193548399"/>
    <n v="0.81573333333333298"/>
    <n v="0.99"/>
    <m/>
    <m/>
    <m/>
    <m/>
    <m/>
    <n v="0"/>
    <m/>
    <n v="0"/>
    <n v="0"/>
    <n v="0"/>
    <n v="0"/>
    <n v="0"/>
    <m/>
    <m/>
    <m/>
    <m/>
    <m/>
    <m/>
    <m/>
    <m/>
    <m/>
    <m/>
    <n v="0"/>
    <n v="0"/>
    <m/>
    <m/>
    <m/>
    <m/>
    <m/>
    <m/>
    <m/>
    <m/>
    <m/>
    <m/>
    <m/>
    <m/>
    <n v="0"/>
    <m/>
    <m/>
    <m/>
    <m/>
    <m/>
    <m/>
    <m/>
    <m/>
    <m/>
    <n v="71500"/>
    <n v="56992"/>
    <m/>
    <m/>
    <m/>
  </r>
  <r>
    <x v="755"/>
    <n v="235895.33709677399"/>
    <n v="4.1709677419354803"/>
    <n v="3.40235107526882"/>
    <n v="0.81572222222222202"/>
    <n v="0.99"/>
    <m/>
    <m/>
    <m/>
    <m/>
    <m/>
    <n v="0"/>
    <m/>
    <n v="0"/>
    <n v="0"/>
    <n v="0"/>
    <n v="0"/>
    <n v="0"/>
    <m/>
    <m/>
    <m/>
    <m/>
    <m/>
    <m/>
    <m/>
    <m/>
    <m/>
    <m/>
    <n v="0"/>
    <n v="0"/>
    <m/>
    <m/>
    <m/>
    <m/>
    <m/>
    <m/>
    <m/>
    <m/>
    <m/>
    <m/>
    <m/>
    <m/>
    <n v="0"/>
    <m/>
    <m/>
    <m/>
    <m/>
    <m/>
    <m/>
    <m/>
    <m/>
    <m/>
    <n v="71500"/>
    <n v="56992"/>
    <m/>
    <m/>
    <m/>
  </r>
  <r>
    <x v="756"/>
    <n v="235895.33709677399"/>
    <n v="4.1709677419354803"/>
    <n v="3.4023047311828001"/>
    <n v="0.81571111111111105"/>
    <n v="0.99"/>
    <m/>
    <m/>
    <m/>
    <m/>
    <m/>
    <n v="0"/>
    <m/>
    <n v="0"/>
    <n v="0"/>
    <n v="0"/>
    <n v="0"/>
    <n v="0"/>
    <m/>
    <m/>
    <m/>
    <m/>
    <m/>
    <m/>
    <m/>
    <m/>
    <m/>
    <m/>
    <n v="0"/>
    <n v="0"/>
    <m/>
    <m/>
    <m/>
    <m/>
    <m/>
    <m/>
    <m/>
    <m/>
    <m/>
    <m/>
    <m/>
    <m/>
    <n v="0"/>
    <m/>
    <m/>
    <m/>
    <m/>
    <m/>
    <m/>
    <m/>
    <m/>
    <m/>
    <n v="71500"/>
    <n v="56992"/>
    <m/>
    <m/>
    <m/>
  </r>
  <r>
    <x v="757"/>
    <n v="235895.33709677399"/>
    <n v="4.1709677419354803"/>
    <n v="3.40225838709677"/>
    <n v="0.81569999999999998"/>
    <n v="0.99"/>
    <m/>
    <m/>
    <m/>
    <m/>
    <m/>
    <n v="0"/>
    <m/>
    <n v="0"/>
    <n v="0"/>
    <n v="0"/>
    <n v="0"/>
    <n v="0"/>
    <m/>
    <m/>
    <m/>
    <m/>
    <m/>
    <m/>
    <m/>
    <m/>
    <m/>
    <m/>
    <n v="0"/>
    <n v="0"/>
    <m/>
    <m/>
    <m/>
    <m/>
    <m/>
    <m/>
    <m/>
    <m/>
    <m/>
    <m/>
    <m/>
    <m/>
    <n v="0"/>
    <m/>
    <m/>
    <m/>
    <m/>
    <m/>
    <m/>
    <m/>
    <m/>
    <m/>
    <n v="71500"/>
    <n v="56992"/>
    <m/>
    <m/>
    <m/>
  </r>
  <r>
    <x v="758"/>
    <n v="235895.33709677399"/>
    <n v="4.1709677419354803"/>
    <n v="3.4022120430107501"/>
    <n v="0.81568888888888902"/>
    <n v="0.99"/>
    <m/>
    <m/>
    <m/>
    <m/>
    <m/>
    <n v="0"/>
    <m/>
    <n v="0"/>
    <n v="0"/>
    <n v="0"/>
    <n v="0"/>
    <n v="0"/>
    <m/>
    <m/>
    <m/>
    <m/>
    <m/>
    <m/>
    <m/>
    <m/>
    <m/>
    <m/>
    <n v="0"/>
    <n v="0"/>
    <m/>
    <m/>
    <m/>
    <m/>
    <m/>
    <m/>
    <m/>
    <m/>
    <m/>
    <m/>
    <m/>
    <m/>
    <n v="0"/>
    <m/>
    <m/>
    <m/>
    <m/>
    <m/>
    <m/>
    <m/>
    <m/>
    <m/>
    <n v="71500"/>
    <n v="56992"/>
    <m/>
    <m/>
    <m/>
  </r>
  <r>
    <x v="759"/>
    <n v="235895.33709677399"/>
    <n v="4.1709677419354803"/>
    <n v="3.4021656989247302"/>
    <n v="0.81567777777777795"/>
    <n v="0.99"/>
    <m/>
    <m/>
    <m/>
    <m/>
    <m/>
    <n v="0"/>
    <m/>
    <n v="0"/>
    <n v="0"/>
    <n v="0"/>
    <n v="0"/>
    <n v="0"/>
    <m/>
    <m/>
    <m/>
    <m/>
    <m/>
    <m/>
    <m/>
    <m/>
    <m/>
    <m/>
    <n v="0"/>
    <n v="0"/>
    <m/>
    <m/>
    <m/>
    <m/>
    <m/>
    <m/>
    <m/>
    <m/>
    <m/>
    <m/>
    <m/>
    <m/>
    <n v="0"/>
    <m/>
    <m/>
    <m/>
    <m/>
    <m/>
    <m/>
    <m/>
    <m/>
    <m/>
    <n v="71500"/>
    <n v="56992"/>
    <m/>
    <m/>
    <m/>
  </r>
  <r>
    <x v="760"/>
    <n v="235895.33709677399"/>
    <n v="4.1709677419354803"/>
    <n v="3.4021193548387099"/>
    <n v="0.81566666666666698"/>
    <n v="0.99"/>
    <m/>
    <m/>
    <m/>
    <m/>
    <m/>
    <n v="0"/>
    <m/>
    <n v="0"/>
    <n v="0"/>
    <n v="0"/>
    <n v="0"/>
    <n v="0"/>
    <m/>
    <m/>
    <m/>
    <m/>
    <m/>
    <m/>
    <m/>
    <m/>
    <m/>
    <m/>
    <n v="0"/>
    <n v="0"/>
    <m/>
    <m/>
    <m/>
    <m/>
    <m/>
    <m/>
    <m/>
    <m/>
    <m/>
    <m/>
    <m/>
    <m/>
    <n v="0"/>
    <m/>
    <m/>
    <m/>
    <m/>
    <m/>
    <m/>
    <m/>
    <m/>
    <m/>
    <n v="71500"/>
    <n v="56992"/>
    <m/>
    <m/>
    <m/>
  </r>
  <r>
    <x v="761"/>
    <n v="249932.632258064"/>
    <n v="4.2064516129032299"/>
    <n v="3.4310623655914001"/>
    <n v="0.81566666666666698"/>
    <n v="0.99"/>
    <m/>
    <m/>
    <m/>
    <m/>
    <m/>
    <n v="0"/>
    <m/>
    <n v="0"/>
    <n v="0"/>
    <n v="0"/>
    <n v="0"/>
    <n v="0"/>
    <m/>
    <m/>
    <m/>
    <m/>
    <m/>
    <m/>
    <m/>
    <m/>
    <m/>
    <m/>
    <n v="0"/>
    <n v="0"/>
    <m/>
    <m/>
    <m/>
    <m/>
    <m/>
    <m/>
    <m/>
    <m/>
    <m/>
    <m/>
    <m/>
    <m/>
    <n v="0"/>
    <m/>
    <m/>
    <m/>
    <m/>
    <m/>
    <m/>
    <m/>
    <m/>
    <m/>
    <n v="71500"/>
    <n v="56992"/>
    <m/>
    <m/>
    <m/>
  </r>
  <r>
    <x v="762"/>
    <n v="249932.632258064"/>
    <n v="4.2064516129032299"/>
    <n v="3.4310156272401402"/>
    <n v="0.81565555555555602"/>
    <n v="0.99"/>
    <m/>
    <m/>
    <m/>
    <m/>
    <m/>
    <n v="0"/>
    <m/>
    <n v="0"/>
    <n v="0"/>
    <n v="0"/>
    <n v="0"/>
    <n v="0"/>
    <m/>
    <m/>
    <m/>
    <m/>
    <m/>
    <m/>
    <m/>
    <m/>
    <m/>
    <m/>
    <n v="0"/>
    <n v="0"/>
    <m/>
    <m/>
    <m/>
    <m/>
    <m/>
    <m/>
    <m/>
    <m/>
    <m/>
    <m/>
    <m/>
    <m/>
    <n v="0"/>
    <m/>
    <m/>
    <m/>
    <m/>
    <m/>
    <m/>
    <m/>
    <m/>
    <m/>
    <n v="71500"/>
    <n v="56992"/>
    <m/>
    <m/>
    <m/>
  </r>
  <r>
    <x v="763"/>
    <n v="249932.632258064"/>
    <n v="4.2064516129032299"/>
    <n v="3.4309688888888901"/>
    <n v="0.81564444444444395"/>
    <n v="0.99"/>
    <m/>
    <m/>
    <m/>
    <m/>
    <m/>
    <n v="0"/>
    <m/>
    <n v="0"/>
    <n v="0"/>
    <n v="0"/>
    <n v="0"/>
    <n v="0"/>
    <m/>
    <m/>
    <m/>
    <m/>
    <m/>
    <m/>
    <m/>
    <m/>
    <m/>
    <m/>
    <n v="0"/>
    <n v="0"/>
    <m/>
    <m/>
    <m/>
    <m/>
    <m/>
    <m/>
    <m/>
    <m/>
    <m/>
    <m/>
    <m/>
    <m/>
    <n v="0"/>
    <m/>
    <m/>
    <m/>
    <m/>
    <m/>
    <m/>
    <m/>
    <m/>
    <m/>
    <n v="71500"/>
    <n v="56992"/>
    <m/>
    <m/>
    <m/>
  </r>
  <r>
    <x v="764"/>
    <n v="249932.632258064"/>
    <n v="4.2064516129032299"/>
    <n v="3.4309221505376302"/>
    <n v="0.81563333333333299"/>
    <n v="0.99"/>
    <m/>
    <m/>
    <m/>
    <m/>
    <m/>
    <n v="0"/>
    <m/>
    <n v="0"/>
    <n v="0"/>
    <n v="0"/>
    <n v="0"/>
    <n v="0"/>
    <m/>
    <m/>
    <m/>
    <m/>
    <m/>
    <m/>
    <m/>
    <m/>
    <m/>
    <m/>
    <n v="0"/>
    <n v="0"/>
    <m/>
    <m/>
    <m/>
    <m/>
    <m/>
    <m/>
    <m/>
    <m/>
    <m/>
    <m/>
    <m/>
    <m/>
    <n v="0"/>
    <m/>
    <m/>
    <m/>
    <m/>
    <m/>
    <m/>
    <m/>
    <m/>
    <m/>
    <n v="71500"/>
    <n v="56992"/>
    <m/>
    <m/>
    <m/>
  </r>
  <r>
    <x v="765"/>
    <n v="249932.632258064"/>
    <n v="4.2064516129032299"/>
    <n v="3.43087541218638"/>
    <n v="0.81562222222222203"/>
    <n v="0.99"/>
    <m/>
    <m/>
    <m/>
    <m/>
    <m/>
    <n v="0"/>
    <m/>
    <n v="0"/>
    <n v="0"/>
    <n v="0"/>
    <n v="0"/>
    <n v="0"/>
    <m/>
    <m/>
    <m/>
    <m/>
    <m/>
    <m/>
    <m/>
    <m/>
    <m/>
    <m/>
    <n v="0"/>
    <n v="0"/>
    <m/>
    <m/>
    <m/>
    <m/>
    <m/>
    <m/>
    <m/>
    <m/>
    <m/>
    <m/>
    <m/>
    <m/>
    <n v="0"/>
    <m/>
    <m/>
    <m/>
    <m/>
    <m/>
    <m/>
    <m/>
    <m/>
    <m/>
    <n v="71500"/>
    <n v="56992"/>
    <m/>
    <m/>
    <m/>
  </r>
  <r>
    <x v="766"/>
    <n v="249932.632258064"/>
    <n v="4.2064516129032299"/>
    <n v="3.4308286738351299"/>
    <n v="0.81561111111111095"/>
    <n v="0.99"/>
    <m/>
    <m/>
    <m/>
    <m/>
    <m/>
    <n v="0"/>
    <m/>
    <n v="0"/>
    <n v="0"/>
    <n v="0"/>
    <n v="0"/>
    <n v="0"/>
    <m/>
    <m/>
    <m/>
    <m/>
    <m/>
    <m/>
    <m/>
    <m/>
    <m/>
    <m/>
    <n v="0"/>
    <n v="0"/>
    <m/>
    <m/>
    <m/>
    <m/>
    <m/>
    <m/>
    <m/>
    <m/>
    <m/>
    <m/>
    <m/>
    <m/>
    <n v="0"/>
    <m/>
    <m/>
    <m/>
    <m/>
    <m/>
    <m/>
    <m/>
    <m/>
    <m/>
    <n v="71500"/>
    <n v="56992"/>
    <m/>
    <m/>
    <m/>
  </r>
  <r>
    <x v="767"/>
    <n v="249932.632258064"/>
    <n v="4.2064516129032299"/>
    <n v="3.43078193548387"/>
    <n v="0.81559999999999999"/>
    <n v="0.99"/>
    <m/>
    <m/>
    <m/>
    <m/>
    <m/>
    <n v="0"/>
    <m/>
    <n v="0"/>
    <n v="0"/>
    <n v="0"/>
    <n v="0"/>
    <n v="0"/>
    <m/>
    <m/>
    <m/>
    <m/>
    <m/>
    <m/>
    <m/>
    <m/>
    <m/>
    <m/>
    <n v="0"/>
    <n v="0"/>
    <m/>
    <m/>
    <m/>
    <m/>
    <m/>
    <m/>
    <m/>
    <m/>
    <m/>
    <m/>
    <m/>
    <m/>
    <n v="0"/>
    <m/>
    <m/>
    <m/>
    <m/>
    <m/>
    <m/>
    <m/>
    <m/>
    <m/>
    <n v="71500"/>
    <n v="56992"/>
    <m/>
    <m/>
    <m/>
  </r>
  <r>
    <x v="768"/>
    <n v="249932.632258064"/>
    <n v="4.2064516129032299"/>
    <n v="3.4307351971326199"/>
    <n v="0.81558888888888903"/>
    <n v="0.99"/>
    <m/>
    <m/>
    <m/>
    <m/>
    <m/>
    <n v="0"/>
    <m/>
    <n v="0"/>
    <n v="0"/>
    <n v="0"/>
    <n v="0"/>
    <n v="0"/>
    <m/>
    <m/>
    <m/>
    <m/>
    <m/>
    <m/>
    <m/>
    <m/>
    <m/>
    <m/>
    <n v="0"/>
    <n v="0"/>
    <m/>
    <m/>
    <m/>
    <m/>
    <m/>
    <m/>
    <m/>
    <m/>
    <m/>
    <m/>
    <m/>
    <m/>
    <n v="0"/>
    <m/>
    <m/>
    <m/>
    <m/>
    <m/>
    <m/>
    <m/>
    <m/>
    <m/>
    <n v="71500"/>
    <n v="56992"/>
    <m/>
    <m/>
    <m/>
  </r>
  <r>
    <x v="769"/>
    <n v="249932.632258064"/>
    <n v="4.2064516129032299"/>
    <n v="3.43068845878136"/>
    <n v="0.81557777777777796"/>
    <n v="0.99"/>
    <m/>
    <m/>
    <m/>
    <m/>
    <m/>
    <n v="0"/>
    <m/>
    <n v="0"/>
    <n v="0"/>
    <n v="0"/>
    <n v="0"/>
    <n v="0"/>
    <m/>
    <m/>
    <m/>
    <m/>
    <m/>
    <m/>
    <m/>
    <m/>
    <m/>
    <m/>
    <n v="0"/>
    <n v="0"/>
    <m/>
    <m/>
    <m/>
    <m/>
    <m/>
    <m/>
    <m/>
    <m/>
    <m/>
    <m/>
    <m/>
    <m/>
    <n v="0"/>
    <m/>
    <m/>
    <m/>
    <m/>
    <m/>
    <m/>
    <m/>
    <m/>
    <m/>
    <n v="71500"/>
    <n v="56992"/>
    <m/>
    <m/>
    <m/>
  </r>
  <r>
    <x v="770"/>
    <n v="249932.632258064"/>
    <n v="4.2064516129032299"/>
    <n v="3.4306417204301098"/>
    <n v="0.815566666666667"/>
    <n v="0.99"/>
    <m/>
    <m/>
    <m/>
    <m/>
    <m/>
    <n v="0"/>
    <m/>
    <n v="0"/>
    <n v="0"/>
    <n v="0"/>
    <n v="0"/>
    <n v="0"/>
    <m/>
    <m/>
    <m/>
    <m/>
    <m/>
    <m/>
    <m/>
    <m/>
    <m/>
    <m/>
    <n v="0"/>
    <n v="0"/>
    <m/>
    <m/>
    <m/>
    <m/>
    <m/>
    <m/>
    <m/>
    <m/>
    <m/>
    <m/>
    <m/>
    <m/>
    <n v="0"/>
    <m/>
    <m/>
    <m/>
    <m/>
    <m/>
    <m/>
    <m/>
    <m/>
    <m/>
    <n v="71500"/>
    <n v="56992"/>
    <m/>
    <m/>
    <m/>
  </r>
  <r>
    <x v="771"/>
    <n v="249932.632258064"/>
    <n v="4.2064516129032299"/>
    <n v="3.4305949820788499"/>
    <n v="0.81555555555555603"/>
    <n v="0.99"/>
    <m/>
    <m/>
    <m/>
    <m/>
    <m/>
    <n v="0"/>
    <m/>
    <n v="0"/>
    <n v="0"/>
    <n v="0"/>
    <n v="0"/>
    <n v="0"/>
    <m/>
    <m/>
    <m/>
    <m/>
    <m/>
    <m/>
    <m/>
    <m/>
    <m/>
    <m/>
    <n v="0"/>
    <n v="0"/>
    <m/>
    <m/>
    <m/>
    <m/>
    <m/>
    <m/>
    <m/>
    <m/>
    <m/>
    <m/>
    <m/>
    <m/>
    <n v="0"/>
    <m/>
    <m/>
    <m/>
    <m/>
    <m/>
    <m/>
    <m/>
    <m/>
    <m/>
    <n v="71500"/>
    <n v="56992"/>
    <m/>
    <m/>
    <m/>
  </r>
  <r>
    <x v="772"/>
    <n v="249932.632258064"/>
    <n v="4.2064516129032299"/>
    <n v="3.4305482437275998"/>
    <n v="0.81554444444444396"/>
    <n v="0.99"/>
    <m/>
    <m/>
    <m/>
    <m/>
    <m/>
    <n v="0"/>
    <m/>
    <n v="0"/>
    <n v="0"/>
    <n v="0"/>
    <n v="0"/>
    <n v="0"/>
    <m/>
    <m/>
    <m/>
    <m/>
    <m/>
    <m/>
    <m/>
    <m/>
    <m/>
    <m/>
    <n v="0"/>
    <n v="0"/>
    <m/>
    <m/>
    <m/>
    <m/>
    <m/>
    <m/>
    <m/>
    <m/>
    <m/>
    <m/>
    <m/>
    <m/>
    <n v="0"/>
    <m/>
    <m/>
    <m/>
    <m/>
    <m/>
    <m/>
    <m/>
    <m/>
    <m/>
    <n v="71500"/>
    <n v="56992"/>
    <m/>
    <m/>
    <m/>
  </r>
  <r>
    <x v="773"/>
    <n v="249932.632258064"/>
    <n v="4.2064516129032299"/>
    <n v="3.4305015053763399"/>
    <n v="0.815533333333333"/>
    <n v="0.99"/>
    <m/>
    <m/>
    <m/>
    <m/>
    <m/>
    <n v="0"/>
    <m/>
    <n v="0"/>
    <n v="0"/>
    <n v="0"/>
    <n v="0"/>
    <n v="0"/>
    <m/>
    <m/>
    <m/>
    <m/>
    <m/>
    <m/>
    <m/>
    <m/>
    <m/>
    <m/>
    <n v="0"/>
    <n v="0"/>
    <m/>
    <m/>
    <m/>
    <m/>
    <m/>
    <m/>
    <m/>
    <m/>
    <m/>
    <m/>
    <m/>
    <m/>
    <n v="0"/>
    <m/>
    <m/>
    <m/>
    <m/>
    <m/>
    <m/>
    <m/>
    <m/>
    <m/>
    <n v="71500"/>
    <n v="56992"/>
    <m/>
    <m/>
    <m/>
  </r>
  <r>
    <x v="774"/>
    <n v="249932.632258064"/>
    <n v="4.2064516129032299"/>
    <n v="3.4304547670250898"/>
    <n v="0.81552222222222204"/>
    <n v="0.99"/>
    <m/>
    <m/>
    <m/>
    <m/>
    <m/>
    <n v="0"/>
    <m/>
    <n v="0"/>
    <n v="0"/>
    <n v="0"/>
    <n v="0"/>
    <n v="0"/>
    <m/>
    <m/>
    <m/>
    <m/>
    <m/>
    <m/>
    <m/>
    <m/>
    <m/>
    <m/>
    <n v="0"/>
    <n v="0"/>
    <m/>
    <m/>
    <m/>
    <m/>
    <m/>
    <m/>
    <m/>
    <m/>
    <m/>
    <m/>
    <m/>
    <m/>
    <n v="0"/>
    <m/>
    <m/>
    <m/>
    <m/>
    <m/>
    <m/>
    <m/>
    <m/>
    <m/>
    <n v="71500"/>
    <n v="56992"/>
    <m/>
    <m/>
    <m/>
  </r>
  <r>
    <x v="775"/>
    <n v="249932.632258064"/>
    <n v="4.2064516129032299"/>
    <n v="3.4304080286738401"/>
    <n v="0.81551111111111096"/>
    <n v="0.99"/>
    <m/>
    <m/>
    <m/>
    <m/>
    <m/>
    <n v="0"/>
    <m/>
    <n v="0"/>
    <n v="0"/>
    <n v="0"/>
    <n v="0"/>
    <n v="0"/>
    <m/>
    <m/>
    <m/>
    <m/>
    <m/>
    <m/>
    <m/>
    <m/>
    <m/>
    <m/>
    <n v="0"/>
    <n v="0"/>
    <m/>
    <m/>
    <m/>
    <m/>
    <m/>
    <m/>
    <m/>
    <m/>
    <m/>
    <m/>
    <m/>
    <m/>
    <n v="0"/>
    <m/>
    <m/>
    <m/>
    <m/>
    <m/>
    <m/>
    <m/>
    <m/>
    <m/>
    <n v="71500"/>
    <n v="56992"/>
    <m/>
    <m/>
    <m/>
  </r>
  <r>
    <x v="776"/>
    <n v="249932.632258064"/>
    <n v="4.2064516129032299"/>
    <n v="3.4303612903225802"/>
    <n v="0.8155"/>
    <n v="0.99"/>
    <m/>
    <m/>
    <m/>
    <m/>
    <m/>
    <n v="0"/>
    <m/>
    <n v="0"/>
    <n v="0"/>
    <n v="0"/>
    <n v="0"/>
    <n v="0"/>
    <m/>
    <m/>
    <m/>
    <m/>
    <m/>
    <m/>
    <m/>
    <m/>
    <m/>
    <m/>
    <n v="0"/>
    <n v="0"/>
    <m/>
    <m/>
    <m/>
    <m/>
    <m/>
    <m/>
    <m/>
    <m/>
    <m/>
    <m/>
    <m/>
    <m/>
    <n v="0"/>
    <m/>
    <m/>
    <m/>
    <m/>
    <m/>
    <m/>
    <m/>
    <m/>
    <m/>
    <n v="71500"/>
    <n v="56992"/>
    <m/>
    <m/>
    <m/>
  </r>
  <r>
    <x v="777"/>
    <n v="249932.632258064"/>
    <n v="4.2064516129032299"/>
    <n v="3.4303145519713301"/>
    <n v="0.81548888888888904"/>
    <n v="0.99"/>
    <m/>
    <m/>
    <m/>
    <m/>
    <m/>
    <n v="0"/>
    <m/>
    <n v="0"/>
    <n v="0"/>
    <n v="0"/>
    <n v="0"/>
    <n v="0"/>
    <m/>
    <m/>
    <m/>
    <m/>
    <m/>
    <m/>
    <m/>
    <m/>
    <m/>
    <m/>
    <n v="0"/>
    <n v="0"/>
    <m/>
    <m/>
    <m/>
    <m/>
    <m/>
    <m/>
    <m/>
    <m/>
    <m/>
    <m/>
    <m/>
    <m/>
    <n v="0"/>
    <m/>
    <m/>
    <m/>
    <m/>
    <m/>
    <m/>
    <m/>
    <m/>
    <m/>
    <n v="71500"/>
    <n v="56992"/>
    <m/>
    <m/>
    <m/>
  </r>
  <r>
    <x v="778"/>
    <n v="249932.632258064"/>
    <n v="4.2064516129032299"/>
    <n v="3.4302678136200702"/>
    <n v="0.81547777777777797"/>
    <n v="0.99"/>
    <m/>
    <m/>
    <m/>
    <m/>
    <m/>
    <n v="0"/>
    <m/>
    <n v="0"/>
    <n v="0"/>
    <n v="0"/>
    <n v="0"/>
    <n v="0"/>
    <m/>
    <m/>
    <m/>
    <m/>
    <m/>
    <m/>
    <m/>
    <m/>
    <m/>
    <m/>
    <n v="0"/>
    <n v="0"/>
    <m/>
    <m/>
    <m/>
    <m/>
    <m/>
    <m/>
    <m/>
    <m/>
    <m/>
    <m/>
    <m/>
    <m/>
    <n v="0"/>
    <m/>
    <m/>
    <m/>
    <m/>
    <m/>
    <m/>
    <m/>
    <m/>
    <m/>
    <n v="71500"/>
    <n v="56992"/>
    <m/>
    <m/>
    <m/>
  </r>
  <r>
    <x v="779"/>
    <n v="249932.632258064"/>
    <n v="4.2064516129032299"/>
    <n v="3.43022107526882"/>
    <n v="0.81546666666666701"/>
    <n v="0.99"/>
    <m/>
    <m/>
    <m/>
    <m/>
    <m/>
    <n v="0"/>
    <m/>
    <n v="0"/>
    <n v="0"/>
    <n v="0"/>
    <n v="0"/>
    <n v="0"/>
    <m/>
    <m/>
    <m/>
    <m/>
    <m/>
    <m/>
    <m/>
    <m/>
    <m/>
    <m/>
    <n v="0"/>
    <n v="0"/>
    <m/>
    <m/>
    <m/>
    <m/>
    <m/>
    <m/>
    <m/>
    <m/>
    <m/>
    <m/>
    <m/>
    <m/>
    <n v="0"/>
    <m/>
    <m/>
    <m/>
    <m/>
    <m/>
    <m/>
    <m/>
    <m/>
    <m/>
    <n v="71500"/>
    <n v="56992"/>
    <m/>
    <m/>
    <m/>
  </r>
  <r>
    <x v="780"/>
    <n v="249932.632258064"/>
    <n v="4.2064516129032299"/>
    <n v="3.4301743369175601"/>
    <n v="0.81545555555555505"/>
    <n v="0.99"/>
    <m/>
    <m/>
    <m/>
    <m/>
    <m/>
    <n v="0"/>
    <m/>
    <n v="0"/>
    <n v="0"/>
    <n v="0"/>
    <n v="0"/>
    <n v="0"/>
    <m/>
    <m/>
    <m/>
    <m/>
    <m/>
    <m/>
    <m/>
    <m/>
    <m/>
    <m/>
    <n v="0"/>
    <n v="0"/>
    <m/>
    <m/>
    <m/>
    <m/>
    <m/>
    <m/>
    <m/>
    <m/>
    <m/>
    <m/>
    <m/>
    <m/>
    <n v="0"/>
    <m/>
    <m/>
    <m/>
    <m/>
    <m/>
    <m/>
    <m/>
    <m/>
    <m/>
    <n v="71500"/>
    <n v="56992"/>
    <m/>
    <m/>
    <m/>
  </r>
  <r>
    <x v="781"/>
    <n v="249932.632258064"/>
    <n v="4.2064516129032299"/>
    <n v="3.43012759856631"/>
    <n v="0.81544444444444397"/>
    <n v="0.99"/>
    <m/>
    <m/>
    <m/>
    <m/>
    <m/>
    <n v="0"/>
    <m/>
    <n v="0"/>
    <n v="0"/>
    <n v="0"/>
    <n v="0"/>
    <n v="0"/>
    <m/>
    <m/>
    <m/>
    <m/>
    <m/>
    <m/>
    <m/>
    <m/>
    <m/>
    <m/>
    <n v="0"/>
    <n v="0"/>
    <m/>
    <m/>
    <m/>
    <m/>
    <m/>
    <m/>
    <m/>
    <m/>
    <m/>
    <m/>
    <m/>
    <m/>
    <n v="0"/>
    <m/>
    <m/>
    <m/>
    <m/>
    <m/>
    <m/>
    <m/>
    <m/>
    <m/>
    <n v="71500"/>
    <n v="56992"/>
    <m/>
    <m/>
    <m/>
  </r>
  <r>
    <x v="782"/>
    <n v="249932.632258064"/>
    <n v="4.2064516129032299"/>
    <n v="3.4300808602150501"/>
    <n v="0.81543333333333301"/>
    <n v="0.99"/>
    <m/>
    <m/>
    <m/>
    <m/>
    <m/>
    <n v="0"/>
    <m/>
    <n v="0"/>
    <n v="0"/>
    <n v="0"/>
    <n v="0"/>
    <n v="0"/>
    <m/>
    <m/>
    <m/>
    <m/>
    <m/>
    <m/>
    <m/>
    <m/>
    <m/>
    <m/>
    <n v="0"/>
    <n v="0"/>
    <m/>
    <m/>
    <m/>
    <m/>
    <m/>
    <m/>
    <m/>
    <m/>
    <m/>
    <m/>
    <m/>
    <m/>
    <n v="0"/>
    <m/>
    <m/>
    <m/>
    <m/>
    <m/>
    <m/>
    <m/>
    <m/>
    <m/>
    <n v="71500"/>
    <n v="56992"/>
    <m/>
    <m/>
    <m/>
  </r>
  <r>
    <x v="783"/>
    <n v="249932.632258064"/>
    <n v="4.2064516129032299"/>
    <n v="3.4300341218638"/>
    <n v="0.81542222222222205"/>
    <n v="0.99"/>
    <m/>
    <m/>
    <m/>
    <m/>
    <m/>
    <n v="0"/>
    <m/>
    <n v="0"/>
    <n v="0"/>
    <n v="0"/>
    <n v="0"/>
    <n v="0"/>
    <m/>
    <m/>
    <m/>
    <m/>
    <m/>
    <m/>
    <m/>
    <m/>
    <m/>
    <m/>
    <n v="0"/>
    <n v="0"/>
    <m/>
    <m/>
    <m/>
    <m/>
    <m/>
    <m/>
    <m/>
    <m/>
    <m/>
    <m/>
    <m/>
    <m/>
    <n v="0"/>
    <m/>
    <m/>
    <m/>
    <m/>
    <m/>
    <m/>
    <m/>
    <m/>
    <m/>
    <n v="71500"/>
    <n v="56992"/>
    <m/>
    <m/>
    <m/>
  </r>
  <r>
    <x v="784"/>
    <n v="249932.632258064"/>
    <n v="4.2064516129032299"/>
    <n v="3.4299873835125401"/>
    <n v="0.81541111111111098"/>
    <n v="0.99"/>
    <m/>
    <m/>
    <m/>
    <m/>
    <m/>
    <n v="0"/>
    <m/>
    <n v="0"/>
    <n v="0"/>
    <n v="0"/>
    <n v="0"/>
    <n v="0"/>
    <m/>
    <m/>
    <m/>
    <m/>
    <m/>
    <m/>
    <m/>
    <m/>
    <m/>
    <m/>
    <n v="0"/>
    <n v="0"/>
    <m/>
    <m/>
    <m/>
    <m/>
    <m/>
    <m/>
    <m/>
    <m/>
    <m/>
    <m/>
    <m/>
    <m/>
    <n v="0"/>
    <m/>
    <m/>
    <m/>
    <m/>
    <m/>
    <m/>
    <m/>
    <m/>
    <m/>
    <n v="71500"/>
    <n v="56992"/>
    <m/>
    <m/>
    <m/>
  </r>
  <r>
    <x v="785"/>
    <n v="249932.632258064"/>
    <n v="4.2064516129032299"/>
    <n v="3.4299406451612899"/>
    <n v="0.81540000000000001"/>
    <n v="0.99"/>
    <m/>
    <m/>
    <m/>
    <m/>
    <m/>
    <n v="0"/>
    <m/>
    <n v="0"/>
    <n v="0"/>
    <n v="0"/>
    <n v="0"/>
    <n v="0"/>
    <m/>
    <m/>
    <m/>
    <m/>
    <m/>
    <m/>
    <m/>
    <m/>
    <m/>
    <m/>
    <n v="0"/>
    <n v="0"/>
    <m/>
    <m/>
    <m/>
    <m/>
    <m/>
    <m/>
    <m/>
    <m/>
    <m/>
    <m/>
    <m/>
    <m/>
    <n v="0"/>
    <m/>
    <m/>
    <m/>
    <m/>
    <m/>
    <m/>
    <m/>
    <m/>
    <m/>
    <n v="71500"/>
    <n v="56992"/>
    <m/>
    <m/>
    <m/>
  </r>
  <r>
    <x v="786"/>
    <n v="249932.632258064"/>
    <n v="4.2064516129032299"/>
    <n v="3.4298939068100398"/>
    <n v="0.81538888888888905"/>
    <n v="0.99"/>
    <m/>
    <m/>
    <m/>
    <m/>
    <m/>
    <n v="0"/>
    <m/>
    <n v="0"/>
    <n v="0"/>
    <n v="0"/>
    <n v="0"/>
    <n v="0"/>
    <m/>
    <m/>
    <m/>
    <m/>
    <m/>
    <m/>
    <m/>
    <m/>
    <m/>
    <m/>
    <n v="0"/>
    <n v="0"/>
    <m/>
    <m/>
    <m/>
    <m/>
    <m/>
    <m/>
    <m/>
    <m/>
    <m/>
    <m/>
    <m/>
    <m/>
    <n v="0"/>
    <m/>
    <m/>
    <m/>
    <m/>
    <m/>
    <m/>
    <m/>
    <m/>
    <m/>
    <n v="71500"/>
    <n v="56992"/>
    <m/>
    <m/>
    <m/>
  </r>
  <r>
    <x v="787"/>
    <n v="249932.632258064"/>
    <n v="4.2064516129032299"/>
    <n v="3.4298471684587799"/>
    <n v="0.81537777777777798"/>
    <n v="0.99"/>
    <m/>
    <m/>
    <m/>
    <m/>
    <m/>
    <n v="0"/>
    <m/>
    <n v="0"/>
    <n v="0"/>
    <n v="0"/>
    <n v="0"/>
    <n v="0"/>
    <m/>
    <m/>
    <m/>
    <m/>
    <m/>
    <m/>
    <m/>
    <m/>
    <m/>
    <m/>
    <n v="0"/>
    <n v="0"/>
    <m/>
    <m/>
    <m/>
    <m/>
    <m/>
    <m/>
    <m/>
    <m/>
    <m/>
    <m/>
    <m/>
    <m/>
    <n v="0"/>
    <m/>
    <m/>
    <m/>
    <m/>
    <m/>
    <m/>
    <m/>
    <m/>
    <m/>
    <n v="71500"/>
    <n v="56992"/>
    <m/>
    <m/>
    <m/>
  </r>
  <r>
    <x v="788"/>
    <n v="249932.632258064"/>
    <n v="4.2064516129032299"/>
    <n v="3.4298004301075302"/>
    <n v="0.81536666666666702"/>
    <n v="0.99"/>
    <m/>
    <m/>
    <m/>
    <m/>
    <m/>
    <n v="0"/>
    <m/>
    <n v="0"/>
    <n v="0"/>
    <n v="0"/>
    <n v="0"/>
    <n v="0"/>
    <m/>
    <m/>
    <m/>
    <m/>
    <m/>
    <m/>
    <m/>
    <m/>
    <m/>
    <m/>
    <n v="0"/>
    <n v="0"/>
    <m/>
    <m/>
    <m/>
    <m/>
    <m/>
    <m/>
    <m/>
    <m/>
    <m/>
    <m/>
    <m/>
    <m/>
    <n v="0"/>
    <m/>
    <m/>
    <m/>
    <m/>
    <m/>
    <m/>
    <m/>
    <m/>
    <m/>
    <n v="71500"/>
    <n v="56992"/>
    <m/>
    <m/>
    <m/>
  </r>
  <r>
    <x v="789"/>
    <n v="249932.632258064"/>
    <n v="4.2064516129032299"/>
    <n v="3.4297536917562699"/>
    <n v="0.81535555555555606"/>
    <n v="0.99"/>
    <m/>
    <m/>
    <m/>
    <m/>
    <m/>
    <n v="0"/>
    <m/>
    <n v="0"/>
    <n v="0"/>
    <n v="0"/>
    <n v="0"/>
    <n v="0"/>
    <m/>
    <m/>
    <m/>
    <m/>
    <m/>
    <m/>
    <m/>
    <m/>
    <m/>
    <m/>
    <n v="0"/>
    <n v="0"/>
    <m/>
    <m/>
    <m/>
    <m/>
    <m/>
    <m/>
    <m/>
    <m/>
    <m/>
    <m/>
    <m/>
    <m/>
    <n v="0"/>
    <m/>
    <m/>
    <m/>
    <m/>
    <m/>
    <m/>
    <m/>
    <m/>
    <m/>
    <n v="71500"/>
    <n v="56992"/>
    <m/>
    <m/>
    <m/>
  </r>
  <r>
    <x v="790"/>
    <n v="249932.632258064"/>
    <n v="4.2064516129032299"/>
    <n v="3.4297069534050202"/>
    <n v="0.81534444444444398"/>
    <n v="0.99"/>
    <m/>
    <m/>
    <m/>
    <m/>
    <m/>
    <n v="0"/>
    <m/>
    <n v="0"/>
    <n v="0"/>
    <n v="0"/>
    <n v="0"/>
    <n v="0"/>
    <m/>
    <m/>
    <m/>
    <m/>
    <m/>
    <m/>
    <m/>
    <m/>
    <m/>
    <m/>
    <n v="0"/>
    <n v="0"/>
    <m/>
    <m/>
    <m/>
    <m/>
    <m/>
    <m/>
    <m/>
    <m/>
    <m/>
    <m/>
    <m/>
    <m/>
    <n v="0"/>
    <m/>
    <m/>
    <m/>
    <m/>
    <m/>
    <m/>
    <m/>
    <m/>
    <m/>
    <n v="71500"/>
    <n v="56992"/>
    <m/>
    <m/>
    <m/>
  </r>
  <r>
    <x v="791"/>
    <n v="249932.632258064"/>
    <n v="4.2064516129032299"/>
    <n v="3.4296602150537598"/>
    <n v="0.81533333333333302"/>
    <n v="0.99"/>
    <m/>
    <m/>
    <m/>
    <m/>
    <m/>
    <n v="0"/>
    <m/>
    <n v="0"/>
    <n v="0"/>
    <n v="0"/>
    <n v="0"/>
    <n v="0"/>
    <m/>
    <m/>
    <m/>
    <m/>
    <m/>
    <m/>
    <m/>
    <m/>
    <m/>
    <m/>
    <n v="0"/>
    <n v="0"/>
    <m/>
    <m/>
    <m/>
    <m/>
    <m/>
    <m/>
    <m/>
    <m/>
    <m/>
    <m/>
    <m/>
    <m/>
    <n v="0"/>
    <m/>
    <m/>
    <m/>
    <m/>
    <m/>
    <m/>
    <m/>
    <m/>
    <m/>
    <n v="71500"/>
    <n v="56992"/>
    <m/>
    <m/>
    <m/>
  </r>
  <r>
    <x v="792"/>
    <n v="266565.27857142902"/>
    <n v="4.5857142857142899"/>
    <n v="3.7388857142857099"/>
    <n v="0.81533333333333302"/>
    <n v="0.99"/>
    <m/>
    <m/>
    <m/>
    <m/>
    <m/>
    <n v="0"/>
    <m/>
    <n v="0"/>
    <n v="0"/>
    <n v="0"/>
    <n v="0"/>
    <n v="0"/>
    <m/>
    <m/>
    <m/>
    <m/>
    <m/>
    <m/>
    <m/>
    <m/>
    <m/>
    <m/>
    <n v="0"/>
    <n v="0"/>
    <m/>
    <m/>
    <m/>
    <m/>
    <m/>
    <m/>
    <m/>
    <m/>
    <m/>
    <m/>
    <m/>
    <m/>
    <n v="0"/>
    <m/>
    <m/>
    <m/>
    <m/>
    <m/>
    <m/>
    <m/>
    <m/>
    <m/>
    <n v="71500"/>
    <n v="56992"/>
    <m/>
    <m/>
    <m/>
  </r>
  <r>
    <x v="793"/>
    <n v="266565.27857142902"/>
    <n v="4.5857142857142899"/>
    <n v="3.7388347619047599"/>
    <n v="0.81532222222222195"/>
    <n v="0.99"/>
    <m/>
    <m/>
    <m/>
    <m/>
    <m/>
    <n v="0"/>
    <m/>
    <n v="0"/>
    <n v="0"/>
    <n v="0"/>
    <n v="0"/>
    <n v="0"/>
    <m/>
    <m/>
    <m/>
    <m/>
    <m/>
    <m/>
    <m/>
    <m/>
    <m/>
    <m/>
    <n v="0"/>
    <n v="0"/>
    <m/>
    <m/>
    <m/>
    <m/>
    <m/>
    <m/>
    <m/>
    <m/>
    <m/>
    <m/>
    <m/>
    <m/>
    <n v="0"/>
    <m/>
    <m/>
    <m/>
    <m/>
    <m/>
    <m/>
    <m/>
    <m/>
    <m/>
    <n v="71500"/>
    <n v="56992"/>
    <m/>
    <m/>
    <m/>
  </r>
  <r>
    <x v="794"/>
    <n v="266565.27857142902"/>
    <n v="4.5857142857142899"/>
    <n v="3.73878380952381"/>
    <n v="0.81531111111111099"/>
    <n v="0.99"/>
    <m/>
    <m/>
    <m/>
    <m/>
    <m/>
    <n v="0"/>
    <m/>
    <n v="0"/>
    <n v="0"/>
    <n v="0"/>
    <n v="0"/>
    <n v="0"/>
    <m/>
    <m/>
    <m/>
    <m/>
    <m/>
    <m/>
    <m/>
    <m/>
    <m/>
    <m/>
    <n v="0"/>
    <n v="0"/>
    <m/>
    <m/>
    <m/>
    <m/>
    <m/>
    <m/>
    <m/>
    <m/>
    <m/>
    <m/>
    <m/>
    <m/>
    <n v="0"/>
    <m/>
    <m/>
    <m/>
    <m/>
    <m/>
    <m/>
    <m/>
    <m/>
    <m/>
    <n v="71500"/>
    <n v="56992"/>
    <m/>
    <m/>
    <m/>
  </r>
  <r>
    <x v="795"/>
    <n v="266565.27857142902"/>
    <n v="4.5857142857142899"/>
    <n v="3.73873285714286"/>
    <n v="0.81530000000000002"/>
    <n v="0.99"/>
    <m/>
    <m/>
    <m/>
    <m/>
    <m/>
    <n v="0"/>
    <m/>
    <n v="0"/>
    <n v="0"/>
    <n v="0"/>
    <n v="0"/>
    <n v="0"/>
    <m/>
    <m/>
    <m/>
    <m/>
    <m/>
    <m/>
    <m/>
    <m/>
    <m/>
    <m/>
    <n v="0"/>
    <n v="0"/>
    <m/>
    <m/>
    <m/>
    <m/>
    <m/>
    <m/>
    <m/>
    <m/>
    <m/>
    <m/>
    <m/>
    <m/>
    <n v="0"/>
    <m/>
    <m/>
    <m/>
    <m/>
    <m/>
    <m/>
    <m/>
    <m/>
    <m/>
    <n v="71500"/>
    <n v="56992"/>
    <m/>
    <m/>
    <m/>
  </r>
  <r>
    <x v="796"/>
    <n v="266565.27857142902"/>
    <n v="4.5857142857142899"/>
    <n v="3.73868190476191"/>
    <n v="0.81528888888888895"/>
    <n v="0.99"/>
    <m/>
    <m/>
    <m/>
    <m/>
    <m/>
    <n v="0"/>
    <m/>
    <n v="0"/>
    <n v="0"/>
    <n v="0"/>
    <n v="0"/>
    <n v="0"/>
    <m/>
    <m/>
    <m/>
    <m/>
    <m/>
    <m/>
    <m/>
    <m/>
    <m/>
    <m/>
    <n v="0"/>
    <n v="0"/>
    <m/>
    <m/>
    <m/>
    <m/>
    <m/>
    <m/>
    <m/>
    <m/>
    <m/>
    <m/>
    <m/>
    <m/>
    <n v="0"/>
    <m/>
    <m/>
    <m/>
    <m/>
    <m/>
    <m/>
    <m/>
    <m/>
    <m/>
    <n v="71500"/>
    <n v="56992"/>
    <m/>
    <m/>
    <m/>
  </r>
  <r>
    <x v="797"/>
    <n v="266565.27857142902"/>
    <n v="4.5857142857142899"/>
    <n v="3.7386309523809498"/>
    <n v="0.81527777777777799"/>
    <n v="0.99"/>
    <m/>
    <m/>
    <m/>
    <m/>
    <m/>
    <n v="0"/>
    <m/>
    <n v="0"/>
    <n v="0"/>
    <n v="0"/>
    <n v="0"/>
    <n v="0"/>
    <m/>
    <m/>
    <m/>
    <m/>
    <m/>
    <m/>
    <m/>
    <m/>
    <m/>
    <m/>
    <n v="0"/>
    <n v="0"/>
    <m/>
    <m/>
    <m/>
    <m/>
    <m/>
    <m/>
    <m/>
    <m/>
    <m/>
    <m/>
    <m/>
    <m/>
    <n v="0"/>
    <m/>
    <m/>
    <m/>
    <m/>
    <m/>
    <m/>
    <m/>
    <m/>
    <m/>
    <n v="71500"/>
    <n v="56992"/>
    <m/>
    <m/>
    <m/>
  </r>
  <r>
    <x v="798"/>
    <n v="266565.27857142902"/>
    <n v="4.5857142857142899"/>
    <n v="3.7385799999999998"/>
    <n v="0.81526666666666703"/>
    <n v="0.99"/>
    <m/>
    <m/>
    <m/>
    <m/>
    <m/>
    <n v="0"/>
    <m/>
    <n v="0"/>
    <n v="0"/>
    <n v="0"/>
    <n v="0"/>
    <n v="0"/>
    <m/>
    <m/>
    <m/>
    <m/>
    <m/>
    <m/>
    <m/>
    <m/>
    <m/>
    <m/>
    <n v="0"/>
    <n v="0"/>
    <m/>
    <m/>
    <m/>
    <m/>
    <m/>
    <m/>
    <m/>
    <m/>
    <m/>
    <m/>
    <m/>
    <m/>
    <n v="0"/>
    <m/>
    <m/>
    <m/>
    <m/>
    <m/>
    <m/>
    <m/>
    <m/>
    <m/>
    <n v="71500"/>
    <n v="56992"/>
    <m/>
    <m/>
    <m/>
  </r>
  <r>
    <x v="799"/>
    <n v="266565.27857142902"/>
    <n v="4.5857142857142899"/>
    <n v="3.7385290476190498"/>
    <n v="0.81525555555555596"/>
    <n v="0.99"/>
    <m/>
    <m/>
    <m/>
    <m/>
    <m/>
    <n v="0"/>
    <m/>
    <n v="0"/>
    <n v="0"/>
    <n v="0"/>
    <n v="0"/>
    <n v="0"/>
    <m/>
    <m/>
    <m/>
    <m/>
    <m/>
    <m/>
    <m/>
    <m/>
    <m/>
    <m/>
    <n v="0"/>
    <n v="0"/>
    <m/>
    <m/>
    <m/>
    <m/>
    <m/>
    <m/>
    <m/>
    <m/>
    <m/>
    <m/>
    <m/>
    <m/>
    <n v="0"/>
    <m/>
    <m/>
    <m/>
    <m/>
    <m/>
    <m/>
    <m/>
    <m/>
    <m/>
    <n v="71500"/>
    <n v="56992"/>
    <m/>
    <m/>
    <m/>
  </r>
  <r>
    <x v="800"/>
    <n v="266565.27857142902"/>
    <n v="4.5857142857142899"/>
    <n v="3.7384780952380998"/>
    <n v="0.81524444444444399"/>
    <n v="0.99"/>
    <m/>
    <m/>
    <m/>
    <m/>
    <m/>
    <n v="0"/>
    <m/>
    <n v="0"/>
    <n v="0"/>
    <n v="0"/>
    <n v="0"/>
    <n v="0"/>
    <m/>
    <m/>
    <m/>
    <m/>
    <m/>
    <m/>
    <m/>
    <m/>
    <m/>
    <m/>
    <n v="0"/>
    <n v="0"/>
    <m/>
    <m/>
    <m/>
    <m/>
    <m/>
    <m/>
    <m/>
    <m/>
    <m/>
    <m/>
    <m/>
    <m/>
    <n v="0"/>
    <m/>
    <m/>
    <m/>
    <m/>
    <m/>
    <m/>
    <m/>
    <m/>
    <m/>
    <n v="71500"/>
    <n v="56992"/>
    <m/>
    <m/>
    <m/>
  </r>
  <r>
    <x v="801"/>
    <n v="266565.27857142902"/>
    <n v="4.5857142857142899"/>
    <n v="3.7384271428571401"/>
    <n v="0.81523333333333303"/>
    <n v="0.99"/>
    <m/>
    <m/>
    <m/>
    <m/>
    <m/>
    <n v="0"/>
    <m/>
    <n v="0"/>
    <n v="0"/>
    <n v="0"/>
    <n v="0"/>
    <n v="0"/>
    <m/>
    <m/>
    <m/>
    <m/>
    <m/>
    <m/>
    <m/>
    <m/>
    <m/>
    <m/>
    <n v="0"/>
    <n v="0"/>
    <m/>
    <m/>
    <m/>
    <m/>
    <m/>
    <m/>
    <m/>
    <m/>
    <m/>
    <m/>
    <m/>
    <m/>
    <n v="0"/>
    <m/>
    <m/>
    <m/>
    <m/>
    <m/>
    <m/>
    <m/>
    <m/>
    <m/>
    <n v="71500"/>
    <n v="56992"/>
    <m/>
    <m/>
    <m/>
  </r>
  <r>
    <x v="802"/>
    <n v="266565.27857142902"/>
    <n v="4.5857142857142899"/>
    <n v="3.7383761904761901"/>
    <n v="0.81522222222222196"/>
    <n v="0.99"/>
    <m/>
    <m/>
    <m/>
    <m/>
    <m/>
    <n v="0"/>
    <m/>
    <n v="0"/>
    <n v="0"/>
    <n v="0"/>
    <n v="0"/>
    <n v="0"/>
    <m/>
    <m/>
    <m/>
    <m/>
    <m/>
    <m/>
    <m/>
    <m/>
    <m/>
    <m/>
    <n v="0"/>
    <n v="0"/>
    <m/>
    <m/>
    <m/>
    <m/>
    <m/>
    <m/>
    <m/>
    <m/>
    <m/>
    <m/>
    <m/>
    <m/>
    <n v="0"/>
    <m/>
    <m/>
    <m/>
    <m/>
    <m/>
    <m/>
    <m/>
    <m/>
    <m/>
    <n v="71500"/>
    <n v="56992"/>
    <m/>
    <m/>
    <m/>
  </r>
  <r>
    <x v="803"/>
    <n v="266565.27857142902"/>
    <n v="4.5857142857142899"/>
    <n v="3.7383252380952401"/>
    <n v="0.815211111111111"/>
    <n v="0.99"/>
    <m/>
    <m/>
    <m/>
    <m/>
    <m/>
    <n v="0"/>
    <m/>
    <n v="0"/>
    <n v="0"/>
    <n v="0"/>
    <n v="0"/>
    <n v="0"/>
    <m/>
    <m/>
    <m/>
    <m/>
    <m/>
    <m/>
    <m/>
    <m/>
    <m/>
    <m/>
    <n v="0"/>
    <n v="0"/>
    <m/>
    <m/>
    <m/>
    <m/>
    <m/>
    <m/>
    <m/>
    <m/>
    <m/>
    <m/>
    <m/>
    <m/>
    <n v="0"/>
    <m/>
    <m/>
    <m/>
    <m/>
    <m/>
    <m/>
    <m/>
    <m/>
    <m/>
    <n v="71500"/>
    <n v="56992"/>
    <m/>
    <m/>
    <m/>
  </r>
  <r>
    <x v="804"/>
    <n v="266565.27857142902"/>
    <n v="4.5857142857142899"/>
    <n v="3.7382742857142901"/>
    <n v="0.81520000000000004"/>
    <n v="0.99"/>
    <m/>
    <m/>
    <m/>
    <m/>
    <m/>
    <n v="0"/>
    <m/>
    <n v="0"/>
    <n v="0"/>
    <n v="0"/>
    <n v="0"/>
    <n v="0"/>
    <m/>
    <m/>
    <m/>
    <m/>
    <m/>
    <m/>
    <m/>
    <m/>
    <m/>
    <m/>
    <n v="0"/>
    <n v="0"/>
    <m/>
    <m/>
    <m/>
    <m/>
    <m/>
    <m/>
    <m/>
    <m/>
    <m/>
    <m/>
    <m/>
    <m/>
    <n v="0"/>
    <m/>
    <m/>
    <m/>
    <m/>
    <m/>
    <m/>
    <m/>
    <m/>
    <m/>
    <n v="71500"/>
    <n v="56992"/>
    <m/>
    <m/>
    <m/>
  </r>
  <r>
    <x v="805"/>
    <n v="266565.27857142902"/>
    <n v="4.5857142857142899"/>
    <n v="3.7382233333333299"/>
    <n v="0.81518888888888896"/>
    <n v="0.99"/>
    <m/>
    <m/>
    <m/>
    <m/>
    <m/>
    <n v="0"/>
    <m/>
    <n v="0"/>
    <n v="0"/>
    <n v="0"/>
    <n v="0"/>
    <n v="0"/>
    <m/>
    <m/>
    <m/>
    <m/>
    <m/>
    <m/>
    <m/>
    <m/>
    <m/>
    <m/>
    <n v="0"/>
    <n v="0"/>
    <m/>
    <m/>
    <m/>
    <m/>
    <m/>
    <m/>
    <m/>
    <m/>
    <m/>
    <m/>
    <m/>
    <m/>
    <n v="0"/>
    <m/>
    <m/>
    <m/>
    <m/>
    <m/>
    <m/>
    <m/>
    <m/>
    <m/>
    <n v="71500"/>
    <n v="56992"/>
    <m/>
    <m/>
    <m/>
  </r>
  <r>
    <x v="806"/>
    <n v="266565.27857142902"/>
    <n v="4.5857142857142899"/>
    <n v="3.7381723809523799"/>
    <n v="0.815177777777778"/>
    <n v="0.99"/>
    <m/>
    <m/>
    <m/>
    <m/>
    <m/>
    <n v="0"/>
    <m/>
    <n v="0"/>
    <n v="0"/>
    <n v="0"/>
    <n v="0"/>
    <n v="0"/>
    <m/>
    <m/>
    <m/>
    <m/>
    <m/>
    <m/>
    <m/>
    <m/>
    <m/>
    <m/>
    <n v="0"/>
    <n v="0"/>
    <m/>
    <m/>
    <m/>
    <m/>
    <m/>
    <m/>
    <m/>
    <m/>
    <m/>
    <m/>
    <m/>
    <m/>
    <n v="0"/>
    <m/>
    <m/>
    <m/>
    <m/>
    <m/>
    <m/>
    <m/>
    <m/>
    <m/>
    <n v="71500"/>
    <n v="56992"/>
    <m/>
    <m/>
    <m/>
  </r>
  <r>
    <x v="807"/>
    <n v="266565.27857142902"/>
    <n v="4.5857142857142899"/>
    <n v="3.7381214285714299"/>
    <n v="0.81516666666666704"/>
    <n v="0.99"/>
    <m/>
    <m/>
    <m/>
    <m/>
    <m/>
    <n v="0"/>
    <m/>
    <n v="0"/>
    <n v="0"/>
    <n v="0"/>
    <n v="0"/>
    <n v="0"/>
    <m/>
    <m/>
    <m/>
    <m/>
    <m/>
    <m/>
    <m/>
    <m/>
    <m/>
    <m/>
    <n v="0"/>
    <n v="0"/>
    <m/>
    <m/>
    <m/>
    <m/>
    <m/>
    <m/>
    <m/>
    <m/>
    <m/>
    <m/>
    <m/>
    <m/>
    <n v="0"/>
    <m/>
    <m/>
    <m/>
    <m/>
    <m/>
    <m/>
    <m/>
    <m/>
    <m/>
    <n v="71500"/>
    <n v="56992"/>
    <m/>
    <m/>
    <m/>
  </r>
  <r>
    <x v="808"/>
    <n v="266565.27857142902"/>
    <n v="4.5857142857142899"/>
    <n v="3.7380704761904799"/>
    <n v="0.81515555555555597"/>
    <n v="0.99"/>
    <m/>
    <m/>
    <m/>
    <m/>
    <m/>
    <n v="0"/>
    <m/>
    <n v="0"/>
    <n v="0"/>
    <n v="0"/>
    <n v="0"/>
    <n v="0"/>
    <m/>
    <m/>
    <m/>
    <m/>
    <m/>
    <m/>
    <m/>
    <m/>
    <m/>
    <m/>
    <n v="0"/>
    <n v="0"/>
    <m/>
    <m/>
    <m/>
    <m/>
    <m/>
    <m/>
    <m/>
    <m/>
    <m/>
    <m/>
    <m/>
    <m/>
    <n v="0"/>
    <m/>
    <m/>
    <m/>
    <m/>
    <m/>
    <m/>
    <m/>
    <m/>
    <m/>
    <n v="71500"/>
    <n v="56992"/>
    <m/>
    <m/>
    <m/>
  </r>
  <r>
    <x v="809"/>
    <n v="266565.27857142902"/>
    <n v="4.5857142857142899"/>
    <n v="3.7380195238095202"/>
    <n v="0.81514444444444401"/>
    <n v="0.99"/>
    <m/>
    <m/>
    <m/>
    <m/>
    <m/>
    <n v="0"/>
    <m/>
    <n v="0"/>
    <n v="0"/>
    <n v="0"/>
    <n v="0"/>
    <n v="0"/>
    <m/>
    <m/>
    <m/>
    <m/>
    <m/>
    <m/>
    <m/>
    <m/>
    <m/>
    <m/>
    <n v="0"/>
    <n v="0"/>
    <m/>
    <m/>
    <m/>
    <m/>
    <m/>
    <m/>
    <m/>
    <m/>
    <m/>
    <m/>
    <m/>
    <m/>
    <n v="0"/>
    <m/>
    <m/>
    <m/>
    <m/>
    <m/>
    <m/>
    <m/>
    <m/>
    <m/>
    <n v="71500"/>
    <n v="56992"/>
    <m/>
    <m/>
    <m/>
  </r>
  <r>
    <x v="810"/>
    <n v="266565.27857142902"/>
    <n v="4.5857142857142899"/>
    <n v="3.7379685714285702"/>
    <n v="0.81513333333333304"/>
    <n v="0.99"/>
    <m/>
    <m/>
    <m/>
    <m/>
    <m/>
    <n v="0"/>
    <m/>
    <n v="0"/>
    <n v="0"/>
    <n v="0"/>
    <n v="0"/>
    <n v="0"/>
    <m/>
    <m/>
    <m/>
    <m/>
    <m/>
    <m/>
    <m/>
    <m/>
    <m/>
    <m/>
    <n v="0"/>
    <n v="0"/>
    <m/>
    <m/>
    <m/>
    <m/>
    <m/>
    <m/>
    <m/>
    <m/>
    <m/>
    <m/>
    <m/>
    <m/>
    <n v="0"/>
    <m/>
    <m/>
    <m/>
    <m/>
    <m/>
    <m/>
    <m/>
    <m/>
    <m/>
    <n v="71500"/>
    <n v="56992"/>
    <m/>
    <m/>
    <m/>
  </r>
  <r>
    <x v="811"/>
    <n v="266565.27857142902"/>
    <n v="4.5857142857142899"/>
    <n v="3.7379176190476202"/>
    <n v="0.81512222222222197"/>
    <n v="0.99"/>
    <m/>
    <m/>
    <m/>
    <m/>
    <m/>
    <n v="0"/>
    <m/>
    <n v="0"/>
    <n v="0"/>
    <n v="0"/>
    <n v="0"/>
    <n v="0"/>
    <m/>
    <m/>
    <m/>
    <m/>
    <m/>
    <m/>
    <m/>
    <m/>
    <m/>
    <m/>
    <n v="0"/>
    <n v="0"/>
    <m/>
    <m/>
    <m/>
    <m/>
    <m/>
    <m/>
    <m/>
    <m/>
    <m/>
    <m/>
    <m/>
    <m/>
    <n v="0"/>
    <m/>
    <m/>
    <m/>
    <m/>
    <m/>
    <m/>
    <m/>
    <m/>
    <m/>
    <n v="71500"/>
    <n v="56992"/>
    <m/>
    <m/>
    <m/>
  </r>
  <r>
    <x v="812"/>
    <n v="266565.27857142902"/>
    <n v="4.5857142857142899"/>
    <n v="3.7378666666666698"/>
    <n v="0.81511111111111101"/>
    <n v="0.99"/>
    <m/>
    <m/>
    <m/>
    <m/>
    <m/>
    <n v="0"/>
    <m/>
    <n v="0"/>
    <n v="0"/>
    <n v="0"/>
    <n v="0"/>
    <n v="0"/>
    <m/>
    <m/>
    <m/>
    <m/>
    <m/>
    <m/>
    <m/>
    <m/>
    <m/>
    <m/>
    <n v="0"/>
    <n v="0"/>
    <m/>
    <m/>
    <m/>
    <m/>
    <m/>
    <m/>
    <m/>
    <m/>
    <m/>
    <m/>
    <m/>
    <m/>
    <n v="0"/>
    <m/>
    <m/>
    <m/>
    <m/>
    <m/>
    <m/>
    <m/>
    <m/>
    <m/>
    <n v="71500"/>
    <n v="56992"/>
    <m/>
    <m/>
    <m/>
  </r>
  <r>
    <x v="813"/>
    <n v="266565.27857142902"/>
    <n v="4.5857142857142899"/>
    <n v="3.73781571428571"/>
    <n v="0.81510000000000005"/>
    <n v="0.99"/>
    <m/>
    <m/>
    <m/>
    <m/>
    <m/>
    <n v="0"/>
    <m/>
    <n v="0"/>
    <n v="0"/>
    <n v="0"/>
    <n v="0"/>
    <n v="0"/>
    <m/>
    <m/>
    <m/>
    <m/>
    <m/>
    <m/>
    <m/>
    <m/>
    <m/>
    <m/>
    <n v="0"/>
    <n v="0"/>
    <m/>
    <m/>
    <m/>
    <m/>
    <m/>
    <m/>
    <m/>
    <m/>
    <m/>
    <m/>
    <m/>
    <m/>
    <n v="0"/>
    <m/>
    <m/>
    <m/>
    <m/>
    <m/>
    <m/>
    <m/>
    <m/>
    <m/>
    <n v="71500"/>
    <n v="56992"/>
    <m/>
    <m/>
    <m/>
  </r>
  <r>
    <x v="814"/>
    <n v="266565.27857142902"/>
    <n v="4.5857142857142899"/>
    <n v="3.73776476190476"/>
    <n v="0.81508888888888897"/>
    <n v="0.99"/>
    <m/>
    <m/>
    <m/>
    <m/>
    <m/>
    <n v="0"/>
    <m/>
    <n v="0"/>
    <n v="0"/>
    <n v="0"/>
    <n v="0"/>
    <n v="0"/>
    <m/>
    <m/>
    <m/>
    <m/>
    <m/>
    <m/>
    <m/>
    <m/>
    <m/>
    <m/>
    <n v="0"/>
    <n v="0"/>
    <m/>
    <m/>
    <m/>
    <m/>
    <m/>
    <m/>
    <m/>
    <m/>
    <m/>
    <m/>
    <m/>
    <m/>
    <n v="0"/>
    <m/>
    <m/>
    <m/>
    <m/>
    <m/>
    <m/>
    <m/>
    <m/>
    <m/>
    <n v="71500"/>
    <n v="56992"/>
    <m/>
    <m/>
    <m/>
  </r>
  <r>
    <x v="815"/>
    <n v="266565.27857142902"/>
    <n v="4.5857142857142899"/>
    <n v="3.73771380952381"/>
    <n v="0.81507777777777801"/>
    <n v="0.99"/>
    <m/>
    <m/>
    <m/>
    <m/>
    <m/>
    <n v="0"/>
    <m/>
    <n v="0"/>
    <n v="0"/>
    <n v="0"/>
    <n v="0"/>
    <n v="0"/>
    <m/>
    <m/>
    <m/>
    <m/>
    <m/>
    <m/>
    <m/>
    <m/>
    <m/>
    <m/>
    <n v="0"/>
    <n v="0"/>
    <m/>
    <m/>
    <m/>
    <m/>
    <m/>
    <m/>
    <m/>
    <m/>
    <m/>
    <m/>
    <m/>
    <m/>
    <n v="0"/>
    <m/>
    <m/>
    <m/>
    <m/>
    <m/>
    <m/>
    <m/>
    <m/>
    <m/>
    <n v="71500"/>
    <n v="56992"/>
    <m/>
    <m/>
    <m/>
  </r>
  <r>
    <x v="816"/>
    <n v="266565.27857142902"/>
    <n v="4.5857142857142899"/>
    <n v="3.7376628571428601"/>
    <n v="0.81506666666666705"/>
    <n v="0.99"/>
    <m/>
    <m/>
    <m/>
    <m/>
    <m/>
    <n v="0"/>
    <m/>
    <n v="0"/>
    <n v="0"/>
    <n v="0"/>
    <n v="0"/>
    <n v="0"/>
    <m/>
    <m/>
    <m/>
    <m/>
    <m/>
    <m/>
    <m/>
    <m/>
    <m/>
    <m/>
    <n v="0"/>
    <n v="0"/>
    <m/>
    <m/>
    <m/>
    <m/>
    <m/>
    <m/>
    <m/>
    <m/>
    <m/>
    <m/>
    <m/>
    <m/>
    <n v="0"/>
    <m/>
    <m/>
    <m/>
    <m/>
    <m/>
    <m/>
    <m/>
    <m/>
    <m/>
    <n v="71500"/>
    <n v="56992"/>
    <m/>
    <m/>
    <m/>
  </r>
  <r>
    <x v="817"/>
    <n v="266565.27857142902"/>
    <n v="4.5857142857142899"/>
    <n v="3.7376119047619101"/>
    <n v="0.81505555555555598"/>
    <n v="0.99"/>
    <m/>
    <m/>
    <m/>
    <m/>
    <m/>
    <n v="0"/>
    <m/>
    <n v="0"/>
    <n v="0"/>
    <n v="0"/>
    <n v="0"/>
    <n v="0"/>
    <m/>
    <m/>
    <m/>
    <m/>
    <m/>
    <m/>
    <m/>
    <m/>
    <m/>
    <m/>
    <n v="0"/>
    <n v="0"/>
    <m/>
    <m/>
    <m/>
    <m/>
    <m/>
    <m/>
    <m/>
    <m/>
    <m/>
    <m/>
    <m/>
    <m/>
    <n v="0"/>
    <m/>
    <m/>
    <m/>
    <m/>
    <m/>
    <m/>
    <m/>
    <m/>
    <m/>
    <n v="71500"/>
    <n v="56992"/>
    <m/>
    <m/>
    <m/>
  </r>
  <r>
    <x v="818"/>
    <n v="266565.27857142902"/>
    <n v="4.5857142857142899"/>
    <n v="3.7375609523809499"/>
    <n v="0.81504444444444402"/>
    <n v="0.99"/>
    <m/>
    <m/>
    <m/>
    <m/>
    <m/>
    <n v="0"/>
    <m/>
    <n v="0"/>
    <n v="0"/>
    <n v="0"/>
    <n v="0"/>
    <n v="0"/>
    <m/>
    <m/>
    <m/>
    <m/>
    <m/>
    <m/>
    <m/>
    <m/>
    <m/>
    <m/>
    <n v="0"/>
    <n v="0"/>
    <m/>
    <m/>
    <m/>
    <m/>
    <m/>
    <m/>
    <m/>
    <m/>
    <m/>
    <m/>
    <m/>
    <m/>
    <n v="0"/>
    <m/>
    <m/>
    <m/>
    <m/>
    <m/>
    <m/>
    <m/>
    <m/>
    <m/>
    <n v="71500"/>
    <n v="56992"/>
    <m/>
    <m/>
    <m/>
  </r>
  <r>
    <x v="819"/>
    <n v="266565.27857142902"/>
    <n v="4.5857142857142899"/>
    <n v="3.7375099999999999"/>
    <n v="0.81503333333333305"/>
    <n v="0.99"/>
    <m/>
    <m/>
    <m/>
    <m/>
    <m/>
    <n v="0"/>
    <m/>
    <n v="0"/>
    <n v="0"/>
    <n v="0"/>
    <n v="0"/>
    <n v="0"/>
    <m/>
    <m/>
    <m/>
    <m/>
    <m/>
    <m/>
    <m/>
    <m/>
    <m/>
    <m/>
    <n v="0"/>
    <n v="0"/>
    <m/>
    <m/>
    <m/>
    <m/>
    <m/>
    <m/>
    <m/>
    <m/>
    <m/>
    <m/>
    <m/>
    <m/>
    <n v="0"/>
    <m/>
    <m/>
    <m/>
    <m/>
    <m/>
    <m/>
    <m/>
    <m/>
    <m/>
    <n v="71500"/>
    <n v="56992"/>
    <m/>
    <m/>
    <m/>
  </r>
  <r>
    <x v="820"/>
    <n v="269369.09999999998"/>
    <n v="4.5999999999999996"/>
    <n v="3.7490000000000001"/>
    <n v="0.81499999999999995"/>
    <n v="0.99"/>
    <m/>
    <m/>
    <m/>
    <m/>
    <m/>
    <n v="0"/>
    <m/>
    <n v="0"/>
    <n v="0"/>
    <n v="0"/>
    <n v="0"/>
    <n v="0"/>
    <m/>
    <m/>
    <m/>
    <m/>
    <m/>
    <m/>
    <m/>
    <m/>
    <m/>
    <m/>
    <n v="0"/>
    <n v="0"/>
    <m/>
    <m/>
    <m/>
    <m/>
    <m/>
    <m/>
    <m/>
    <m/>
    <m/>
    <m/>
    <m/>
    <m/>
    <n v="0"/>
    <m/>
    <m/>
    <m/>
    <m/>
    <m/>
    <m/>
    <m/>
    <m/>
    <m/>
    <n v="71500"/>
    <n v="56992"/>
    <m/>
    <m/>
    <m/>
  </r>
  <r>
    <x v="821"/>
    <n v="269369.09999999998"/>
    <n v="4.5999999999999996"/>
    <n v="3.74894888888889"/>
    <n v="0.81498888888888898"/>
    <n v="0.99"/>
    <m/>
    <m/>
    <m/>
    <m/>
    <m/>
    <n v="0"/>
    <m/>
    <n v="0"/>
    <n v="0"/>
    <n v="0"/>
    <n v="0"/>
    <n v="0"/>
    <m/>
    <m/>
    <m/>
    <m/>
    <m/>
    <m/>
    <m/>
    <m/>
    <m/>
    <m/>
    <n v="0"/>
    <n v="0"/>
    <m/>
    <m/>
    <m/>
    <m/>
    <m/>
    <m/>
    <m/>
    <m/>
    <m/>
    <m/>
    <m/>
    <m/>
    <n v="0"/>
    <m/>
    <m/>
    <m/>
    <m/>
    <m/>
    <m/>
    <m/>
    <m/>
    <m/>
    <n v="71500"/>
    <n v="56992"/>
    <m/>
    <m/>
    <m/>
  </r>
  <r>
    <x v="822"/>
    <n v="269369.09999999998"/>
    <n v="4.5999999999999996"/>
    <n v="3.7488977777777799"/>
    <n v="0.81497777777777802"/>
    <n v="0.99"/>
    <m/>
    <m/>
    <m/>
    <m/>
    <m/>
    <n v="0"/>
    <m/>
    <n v="0"/>
    <n v="0"/>
    <n v="0"/>
    <n v="0"/>
    <n v="0"/>
    <m/>
    <m/>
    <m/>
    <m/>
    <m/>
    <m/>
    <m/>
    <m/>
    <m/>
    <m/>
    <n v="0"/>
    <n v="0"/>
    <m/>
    <m/>
    <m/>
    <m/>
    <m/>
    <m/>
    <m/>
    <m/>
    <m/>
    <m/>
    <m/>
    <m/>
    <n v="0"/>
    <m/>
    <m/>
    <m/>
    <m/>
    <m/>
    <m/>
    <m/>
    <m/>
    <m/>
    <n v="71500"/>
    <n v="56992"/>
    <m/>
    <m/>
    <m/>
  </r>
  <r>
    <x v="823"/>
    <n v="269369.09999999998"/>
    <n v="4.5999999999999996"/>
    <n v="3.7488466666666702"/>
    <n v="0.81496666666666695"/>
    <n v="0.99"/>
    <m/>
    <m/>
    <m/>
    <m/>
    <m/>
    <n v="0"/>
    <m/>
    <n v="0"/>
    <n v="0"/>
    <n v="0"/>
    <n v="0"/>
    <n v="0"/>
    <m/>
    <m/>
    <m/>
    <m/>
    <m/>
    <m/>
    <m/>
    <m/>
    <m/>
    <m/>
    <n v="0"/>
    <n v="0"/>
    <m/>
    <m/>
    <m/>
    <m/>
    <m/>
    <m/>
    <m/>
    <m/>
    <m/>
    <m/>
    <m/>
    <m/>
    <n v="0"/>
    <m/>
    <m/>
    <m/>
    <m/>
    <m/>
    <m/>
    <m/>
    <m/>
    <m/>
    <n v="71500"/>
    <n v="56992"/>
    <m/>
    <m/>
    <m/>
  </r>
  <r>
    <x v="824"/>
    <n v="269369.09999999998"/>
    <n v="4.5999999999999996"/>
    <n v="3.7487955555555601"/>
    <n v="0.81495555555555599"/>
    <n v="0.99"/>
    <m/>
    <m/>
    <m/>
    <m/>
    <m/>
    <n v="0"/>
    <m/>
    <n v="0"/>
    <n v="0"/>
    <n v="0"/>
    <n v="0"/>
    <n v="0"/>
    <m/>
    <m/>
    <m/>
    <m/>
    <m/>
    <m/>
    <m/>
    <m/>
    <m/>
    <m/>
    <n v="0"/>
    <n v="0"/>
    <m/>
    <m/>
    <m/>
    <m/>
    <m/>
    <m/>
    <m/>
    <m/>
    <m/>
    <m/>
    <m/>
    <m/>
    <n v="0"/>
    <m/>
    <m/>
    <m/>
    <m/>
    <m/>
    <m/>
    <m/>
    <m/>
    <m/>
    <n v="71500"/>
    <n v="56992"/>
    <m/>
    <m/>
    <m/>
  </r>
  <r>
    <x v="825"/>
    <n v="269369.09999999998"/>
    <n v="4.5999999999999996"/>
    <n v="3.7487444444444402"/>
    <n v="0.81494444444444403"/>
    <n v="0.99"/>
    <m/>
    <m/>
    <m/>
    <m/>
    <m/>
    <n v="0"/>
    <m/>
    <n v="0"/>
    <n v="0"/>
    <n v="0"/>
    <n v="0"/>
    <n v="0"/>
    <m/>
    <m/>
    <m/>
    <m/>
    <m/>
    <m/>
    <m/>
    <m/>
    <m/>
    <m/>
    <n v="0"/>
    <n v="0"/>
    <m/>
    <m/>
    <m/>
    <m/>
    <m/>
    <m/>
    <m/>
    <m/>
    <m/>
    <m/>
    <m/>
    <m/>
    <n v="0"/>
    <m/>
    <m/>
    <m/>
    <m/>
    <m/>
    <m/>
    <m/>
    <m/>
    <m/>
    <n v="71500"/>
    <n v="56992"/>
    <m/>
    <m/>
    <m/>
  </r>
  <r>
    <x v="826"/>
    <n v="269369.09999999998"/>
    <n v="4.5999999999999996"/>
    <n v="3.7486933333333301"/>
    <n v="0.81493333333333295"/>
    <n v="0.99"/>
    <m/>
    <m/>
    <m/>
    <m/>
    <m/>
    <n v="0"/>
    <m/>
    <n v="0"/>
    <n v="0"/>
    <n v="0"/>
    <n v="0"/>
    <n v="0"/>
    <m/>
    <m/>
    <m/>
    <m/>
    <m/>
    <m/>
    <m/>
    <m/>
    <m/>
    <m/>
    <n v="0"/>
    <n v="0"/>
    <m/>
    <m/>
    <m/>
    <m/>
    <m/>
    <m/>
    <m/>
    <m/>
    <m/>
    <m/>
    <m/>
    <m/>
    <n v="0"/>
    <m/>
    <m/>
    <m/>
    <m/>
    <m/>
    <m/>
    <m/>
    <m/>
    <m/>
    <n v="71500"/>
    <n v="56992"/>
    <m/>
    <m/>
    <m/>
  </r>
  <r>
    <x v="827"/>
    <n v="269369.09999999998"/>
    <n v="4.5999999999999996"/>
    <n v="3.74864222222222"/>
    <n v="0.81492222222222199"/>
    <n v="0.99"/>
    <m/>
    <m/>
    <m/>
    <m/>
    <m/>
    <n v="0"/>
    <m/>
    <n v="0"/>
    <n v="0"/>
    <n v="0"/>
    <n v="0"/>
    <n v="0"/>
    <m/>
    <m/>
    <m/>
    <m/>
    <m/>
    <m/>
    <m/>
    <m/>
    <m/>
    <m/>
    <n v="0"/>
    <n v="0"/>
    <m/>
    <m/>
    <m/>
    <m/>
    <m/>
    <m/>
    <m/>
    <m/>
    <m/>
    <m/>
    <m/>
    <m/>
    <n v="0"/>
    <m/>
    <m/>
    <m/>
    <m/>
    <m/>
    <m/>
    <m/>
    <m/>
    <m/>
    <n v="71500"/>
    <n v="56992"/>
    <m/>
    <m/>
    <m/>
  </r>
  <r>
    <x v="828"/>
    <n v="269369.09999999998"/>
    <n v="4.5999999999999996"/>
    <n v="3.7485911111111099"/>
    <n v="0.81491111111111103"/>
    <n v="0.99"/>
    <m/>
    <m/>
    <m/>
    <m/>
    <m/>
    <n v="0"/>
    <m/>
    <n v="0"/>
    <n v="0"/>
    <n v="0"/>
    <n v="0"/>
    <n v="0"/>
    <m/>
    <m/>
    <m/>
    <m/>
    <m/>
    <m/>
    <m/>
    <m/>
    <m/>
    <m/>
    <n v="0"/>
    <n v="0"/>
    <m/>
    <m/>
    <m/>
    <m/>
    <m/>
    <m/>
    <m/>
    <m/>
    <m/>
    <m/>
    <m/>
    <m/>
    <n v="0"/>
    <m/>
    <m/>
    <m/>
    <m/>
    <m/>
    <m/>
    <m/>
    <m/>
    <m/>
    <n v="71500"/>
    <n v="56992"/>
    <m/>
    <m/>
    <m/>
  </r>
  <r>
    <x v="829"/>
    <n v="269369.09999999998"/>
    <n v="4.5999999999999996"/>
    <n v="3.7485400000000002"/>
    <n v="0.81489999999999996"/>
    <n v="0.99"/>
    <m/>
    <m/>
    <m/>
    <m/>
    <m/>
    <n v="0"/>
    <m/>
    <n v="0"/>
    <n v="0"/>
    <n v="0"/>
    <n v="0"/>
    <n v="0"/>
    <m/>
    <m/>
    <m/>
    <m/>
    <m/>
    <m/>
    <m/>
    <m/>
    <m/>
    <m/>
    <n v="0"/>
    <n v="0"/>
    <m/>
    <m/>
    <m/>
    <m/>
    <m/>
    <m/>
    <m/>
    <m/>
    <m/>
    <m/>
    <m/>
    <m/>
    <n v="0"/>
    <m/>
    <m/>
    <m/>
    <m/>
    <m/>
    <m/>
    <m/>
    <m/>
    <m/>
    <n v="71500"/>
    <n v="56992"/>
    <m/>
    <m/>
    <m/>
  </r>
  <r>
    <x v="830"/>
    <n v="269369.09999999998"/>
    <n v="4.5999999999999996"/>
    <n v="3.7484888888888901"/>
    <n v="0.814888888888889"/>
    <n v="0.99"/>
    <m/>
    <m/>
    <m/>
    <m/>
    <m/>
    <n v="0"/>
    <m/>
    <n v="0"/>
    <n v="0"/>
    <n v="0"/>
    <n v="0"/>
    <n v="0"/>
    <m/>
    <m/>
    <m/>
    <m/>
    <m/>
    <m/>
    <m/>
    <m/>
    <m/>
    <m/>
    <n v="0"/>
    <n v="0"/>
    <m/>
    <m/>
    <m/>
    <m/>
    <m/>
    <m/>
    <m/>
    <m/>
    <m/>
    <m/>
    <m/>
    <m/>
    <n v="0"/>
    <m/>
    <m/>
    <m/>
    <m/>
    <m/>
    <m/>
    <m/>
    <m/>
    <m/>
    <n v="71500"/>
    <n v="56992"/>
    <m/>
    <m/>
    <m/>
  </r>
  <r>
    <x v="831"/>
    <n v="269369.09999999998"/>
    <n v="4.5999999999999996"/>
    <n v="3.74843777777778"/>
    <n v="0.81487777777777803"/>
    <n v="0.99"/>
    <m/>
    <m/>
    <m/>
    <m/>
    <m/>
    <n v="0"/>
    <m/>
    <n v="0"/>
    <n v="0"/>
    <n v="0"/>
    <n v="0"/>
    <n v="0"/>
    <m/>
    <m/>
    <m/>
    <m/>
    <m/>
    <m/>
    <m/>
    <m/>
    <m/>
    <m/>
    <n v="0"/>
    <n v="0"/>
    <m/>
    <m/>
    <m/>
    <m/>
    <m/>
    <m/>
    <m/>
    <m/>
    <m/>
    <m/>
    <m/>
    <m/>
    <n v="0"/>
    <m/>
    <m/>
    <m/>
    <m/>
    <m/>
    <m/>
    <m/>
    <m/>
    <m/>
    <n v="71500"/>
    <n v="56992"/>
    <m/>
    <m/>
    <m/>
  </r>
  <r>
    <x v="832"/>
    <n v="269369.09999999998"/>
    <n v="4.5999999999999996"/>
    <n v="3.7483866666666699"/>
    <n v="0.81486666666666696"/>
    <n v="0.99"/>
    <m/>
    <m/>
    <m/>
    <m/>
    <m/>
    <n v="0"/>
    <m/>
    <n v="0"/>
    <n v="0"/>
    <n v="0"/>
    <n v="0"/>
    <n v="0"/>
    <m/>
    <m/>
    <m/>
    <m/>
    <m/>
    <m/>
    <m/>
    <m/>
    <m/>
    <m/>
    <n v="0"/>
    <n v="0"/>
    <m/>
    <m/>
    <m/>
    <m/>
    <m/>
    <m/>
    <m/>
    <m/>
    <m/>
    <m/>
    <m/>
    <m/>
    <n v="0"/>
    <m/>
    <m/>
    <m/>
    <m/>
    <m/>
    <m/>
    <m/>
    <m/>
    <m/>
    <n v="71500"/>
    <n v="56992"/>
    <m/>
    <m/>
    <m/>
  </r>
  <r>
    <x v="833"/>
    <n v="269369.09999999998"/>
    <n v="4.5999999999999996"/>
    <n v="3.7483355555555602"/>
    <n v="0.814855555555556"/>
    <n v="0.99"/>
    <m/>
    <m/>
    <m/>
    <m/>
    <m/>
    <n v="0"/>
    <m/>
    <n v="0"/>
    <n v="0"/>
    <n v="0"/>
    <n v="0"/>
    <n v="0"/>
    <m/>
    <m/>
    <m/>
    <m/>
    <m/>
    <m/>
    <m/>
    <m/>
    <m/>
    <m/>
    <n v="0"/>
    <n v="0"/>
    <m/>
    <m/>
    <m/>
    <m/>
    <m/>
    <m/>
    <m/>
    <m/>
    <m/>
    <m/>
    <m/>
    <m/>
    <n v="0"/>
    <m/>
    <m/>
    <m/>
    <m/>
    <m/>
    <m/>
    <m/>
    <m/>
    <m/>
    <n v="71500"/>
    <n v="56992"/>
    <m/>
    <m/>
    <m/>
  </r>
  <r>
    <x v="834"/>
    <n v="269369.09999999998"/>
    <n v="4.5999999999999996"/>
    <n v="3.7482844444444399"/>
    <n v="0.81484444444444404"/>
    <n v="0.99"/>
    <m/>
    <m/>
    <m/>
    <m/>
    <m/>
    <n v="0"/>
    <m/>
    <n v="0"/>
    <n v="0"/>
    <n v="0"/>
    <n v="0"/>
    <n v="0"/>
    <m/>
    <m/>
    <m/>
    <m/>
    <m/>
    <m/>
    <m/>
    <m/>
    <m/>
    <m/>
    <n v="0"/>
    <n v="0"/>
    <m/>
    <m/>
    <m/>
    <m/>
    <m/>
    <m/>
    <m/>
    <m/>
    <m/>
    <m/>
    <m/>
    <m/>
    <n v="0"/>
    <m/>
    <m/>
    <m/>
    <m/>
    <m/>
    <m/>
    <m/>
    <m/>
    <m/>
    <n v="71500"/>
    <n v="56992"/>
    <m/>
    <m/>
    <m/>
  </r>
  <r>
    <x v="835"/>
    <n v="269369.09999999998"/>
    <n v="4.5999999999999996"/>
    <n v="3.7482333333333302"/>
    <n v="0.81483333333333297"/>
    <n v="0.99"/>
    <m/>
    <m/>
    <m/>
    <m/>
    <m/>
    <n v="0"/>
    <m/>
    <n v="0"/>
    <n v="0"/>
    <n v="0"/>
    <n v="0"/>
    <n v="0"/>
    <m/>
    <m/>
    <m/>
    <m/>
    <m/>
    <m/>
    <m/>
    <m/>
    <m/>
    <m/>
    <n v="0"/>
    <n v="0"/>
    <m/>
    <m/>
    <m/>
    <m/>
    <m/>
    <m/>
    <m/>
    <m/>
    <m/>
    <m/>
    <m/>
    <m/>
    <n v="0"/>
    <m/>
    <m/>
    <m/>
    <m/>
    <m/>
    <m/>
    <m/>
    <m/>
    <m/>
    <n v="71500"/>
    <n v="56992"/>
    <m/>
    <m/>
    <m/>
  </r>
  <r>
    <x v="836"/>
    <n v="269369.09999999998"/>
    <n v="4.5999999999999996"/>
    <n v="3.7481822222222201"/>
    <n v="0.814822222222222"/>
    <n v="0.99"/>
    <m/>
    <m/>
    <m/>
    <m/>
    <m/>
    <n v="0"/>
    <m/>
    <n v="0"/>
    <n v="0"/>
    <n v="0"/>
    <n v="0"/>
    <n v="0"/>
    <m/>
    <m/>
    <m/>
    <m/>
    <m/>
    <m/>
    <m/>
    <m/>
    <m/>
    <m/>
    <n v="0"/>
    <n v="0"/>
    <m/>
    <m/>
    <m/>
    <m/>
    <m/>
    <m/>
    <m/>
    <m/>
    <m/>
    <m/>
    <m/>
    <m/>
    <n v="0"/>
    <m/>
    <m/>
    <m/>
    <m/>
    <m/>
    <m/>
    <m/>
    <m/>
    <m/>
    <n v="71500"/>
    <n v="56992"/>
    <m/>
    <m/>
    <m/>
  </r>
  <r>
    <x v="837"/>
    <n v="269369.09999999998"/>
    <n v="4.5999999999999996"/>
    <n v="3.74813111111111"/>
    <n v="0.81481111111111104"/>
    <n v="0.99"/>
    <m/>
    <m/>
    <m/>
    <m/>
    <m/>
    <n v="0"/>
    <m/>
    <n v="0"/>
    <n v="0"/>
    <n v="0"/>
    <n v="0"/>
    <n v="0"/>
    <m/>
    <m/>
    <m/>
    <m/>
    <m/>
    <m/>
    <m/>
    <m/>
    <m/>
    <m/>
    <n v="0"/>
    <n v="0"/>
    <m/>
    <m/>
    <m/>
    <m/>
    <m/>
    <m/>
    <m/>
    <m/>
    <m/>
    <m/>
    <m/>
    <m/>
    <n v="0"/>
    <m/>
    <m/>
    <m/>
    <m/>
    <m/>
    <m/>
    <m/>
    <m/>
    <m/>
    <n v="71500"/>
    <n v="56992"/>
    <m/>
    <m/>
    <m/>
  </r>
  <r>
    <x v="838"/>
    <n v="269369.09999999998"/>
    <n v="4.5999999999999996"/>
    <n v="3.7480799999999999"/>
    <n v="0.81479999999999997"/>
    <n v="0.99"/>
    <m/>
    <m/>
    <m/>
    <m/>
    <m/>
    <n v="0"/>
    <m/>
    <n v="0"/>
    <n v="0"/>
    <n v="0"/>
    <n v="0"/>
    <n v="0"/>
    <m/>
    <m/>
    <m/>
    <m/>
    <m/>
    <m/>
    <m/>
    <m/>
    <m/>
    <m/>
    <n v="0"/>
    <n v="0"/>
    <m/>
    <m/>
    <m/>
    <m/>
    <m/>
    <m/>
    <m/>
    <m/>
    <m/>
    <m/>
    <m/>
    <m/>
    <n v="0"/>
    <m/>
    <m/>
    <m/>
    <m/>
    <m/>
    <m/>
    <m/>
    <m/>
    <m/>
    <n v="71500"/>
    <n v="56992"/>
    <m/>
    <m/>
    <m/>
  </r>
  <r>
    <x v="839"/>
    <n v="269369.09999999998"/>
    <n v="4.5999999999999996"/>
    <n v="3.7480288888888902"/>
    <n v="0.81478888888888901"/>
    <n v="0.99"/>
    <m/>
    <m/>
    <m/>
    <m/>
    <m/>
    <n v="0"/>
    <m/>
    <n v="0"/>
    <n v="0"/>
    <n v="0"/>
    <n v="0"/>
    <n v="0"/>
    <m/>
    <m/>
    <m/>
    <m/>
    <m/>
    <m/>
    <m/>
    <m/>
    <m/>
    <m/>
    <n v="0"/>
    <n v="0"/>
    <m/>
    <m/>
    <m/>
    <m/>
    <m/>
    <m/>
    <m/>
    <m/>
    <m/>
    <m/>
    <m/>
    <m/>
    <n v="0"/>
    <m/>
    <m/>
    <m/>
    <m/>
    <m/>
    <m/>
    <m/>
    <m/>
    <m/>
    <n v="71500"/>
    <n v="56992"/>
    <m/>
    <m/>
    <m/>
  </r>
  <r>
    <x v="840"/>
    <n v="269369.09999999998"/>
    <n v="4.5999999999999996"/>
    <n v="3.7479777777777801"/>
    <n v="0.81477777777777805"/>
    <n v="0.99"/>
    <m/>
    <m/>
    <m/>
    <m/>
    <m/>
    <n v="0"/>
    <m/>
    <n v="0"/>
    <n v="0"/>
    <n v="0"/>
    <n v="0"/>
    <n v="0"/>
    <m/>
    <m/>
    <m/>
    <m/>
    <m/>
    <m/>
    <m/>
    <m/>
    <m/>
    <m/>
    <n v="0"/>
    <n v="0"/>
    <m/>
    <m/>
    <m/>
    <m/>
    <m/>
    <m/>
    <m/>
    <m/>
    <m/>
    <m/>
    <m/>
    <m/>
    <n v="0"/>
    <m/>
    <m/>
    <m/>
    <m/>
    <m/>
    <m/>
    <m/>
    <m/>
    <m/>
    <n v="71500"/>
    <n v="56992"/>
    <m/>
    <m/>
    <m/>
  </r>
  <r>
    <x v="841"/>
    <n v="269369.09999999998"/>
    <n v="4.5999999999999996"/>
    <n v="3.74792666666667"/>
    <n v="0.81476666666666697"/>
    <n v="0.99"/>
    <m/>
    <m/>
    <m/>
    <m/>
    <m/>
    <n v="0"/>
    <m/>
    <n v="0"/>
    <n v="0"/>
    <n v="0"/>
    <n v="0"/>
    <n v="0"/>
    <m/>
    <m/>
    <m/>
    <m/>
    <m/>
    <m/>
    <m/>
    <m/>
    <m/>
    <m/>
    <n v="0"/>
    <n v="0"/>
    <m/>
    <m/>
    <m/>
    <m/>
    <m/>
    <m/>
    <m/>
    <m/>
    <m/>
    <m/>
    <m/>
    <m/>
    <n v="0"/>
    <m/>
    <m/>
    <m/>
    <m/>
    <m/>
    <m/>
    <m/>
    <m/>
    <m/>
    <n v="71500"/>
    <n v="56992"/>
    <m/>
    <m/>
    <m/>
  </r>
  <r>
    <x v="842"/>
    <n v="269369.09999999998"/>
    <n v="4.5999999999999996"/>
    <n v="3.7478755555555598"/>
    <n v="0.81475555555555601"/>
    <n v="0.99"/>
    <m/>
    <m/>
    <m/>
    <m/>
    <m/>
    <n v="0"/>
    <m/>
    <n v="0"/>
    <n v="0"/>
    <n v="0"/>
    <n v="0"/>
    <n v="0"/>
    <m/>
    <m/>
    <m/>
    <m/>
    <m/>
    <m/>
    <m/>
    <m/>
    <m/>
    <m/>
    <n v="0"/>
    <n v="0"/>
    <m/>
    <m/>
    <m/>
    <m/>
    <m/>
    <m/>
    <m/>
    <m/>
    <m/>
    <m/>
    <m/>
    <m/>
    <n v="0"/>
    <m/>
    <m/>
    <m/>
    <m/>
    <m/>
    <m/>
    <m/>
    <m/>
    <m/>
    <n v="71500"/>
    <n v="56992"/>
    <m/>
    <m/>
    <m/>
  </r>
  <r>
    <x v="843"/>
    <n v="269369.09999999998"/>
    <n v="4.5999999999999996"/>
    <n v="3.74782444444444"/>
    <n v="0.81474444444444405"/>
    <n v="0.99"/>
    <m/>
    <m/>
    <m/>
    <m/>
    <m/>
    <n v="0"/>
    <m/>
    <n v="0"/>
    <n v="0"/>
    <n v="0"/>
    <n v="0"/>
    <n v="0"/>
    <m/>
    <m/>
    <m/>
    <m/>
    <m/>
    <m/>
    <m/>
    <m/>
    <m/>
    <m/>
    <n v="0"/>
    <n v="0"/>
    <m/>
    <m/>
    <m/>
    <m/>
    <m/>
    <m/>
    <m/>
    <m/>
    <m/>
    <m/>
    <m/>
    <m/>
    <n v="0"/>
    <m/>
    <m/>
    <m/>
    <m/>
    <m/>
    <m/>
    <m/>
    <m/>
    <m/>
    <n v="71500"/>
    <n v="56992"/>
    <m/>
    <m/>
    <m/>
  </r>
  <r>
    <x v="844"/>
    <n v="269369.09999999998"/>
    <n v="4.5999999999999996"/>
    <n v="3.7477733333333298"/>
    <n v="0.81473333333333298"/>
    <n v="0.99"/>
    <m/>
    <m/>
    <m/>
    <m/>
    <m/>
    <n v="0"/>
    <m/>
    <n v="0"/>
    <n v="0"/>
    <n v="0"/>
    <n v="0"/>
    <n v="0"/>
    <m/>
    <m/>
    <m/>
    <m/>
    <m/>
    <m/>
    <m/>
    <m/>
    <m/>
    <m/>
    <n v="0"/>
    <n v="0"/>
    <m/>
    <m/>
    <m/>
    <m/>
    <m/>
    <m/>
    <m/>
    <m/>
    <m/>
    <m/>
    <m/>
    <m/>
    <n v="0"/>
    <m/>
    <m/>
    <m/>
    <m/>
    <m/>
    <m/>
    <m/>
    <m/>
    <m/>
    <n v="71500"/>
    <n v="56992"/>
    <m/>
    <m/>
    <m/>
  </r>
  <r>
    <x v="845"/>
    <n v="269369.09999999998"/>
    <n v="4.5999999999999996"/>
    <n v="3.7477222222222202"/>
    <n v="0.81472222222222201"/>
    <n v="0.99"/>
    <m/>
    <m/>
    <m/>
    <m/>
    <m/>
    <n v="0"/>
    <m/>
    <n v="0"/>
    <n v="0"/>
    <n v="0"/>
    <n v="0"/>
    <n v="0"/>
    <m/>
    <m/>
    <m/>
    <m/>
    <m/>
    <m/>
    <m/>
    <m/>
    <m/>
    <m/>
    <n v="0"/>
    <n v="0"/>
    <m/>
    <m/>
    <m/>
    <m/>
    <m/>
    <m/>
    <m/>
    <m/>
    <m/>
    <m/>
    <m/>
    <m/>
    <n v="0"/>
    <m/>
    <m/>
    <m/>
    <m/>
    <m/>
    <m/>
    <m/>
    <m/>
    <m/>
    <n v="71500"/>
    <n v="56992"/>
    <m/>
    <m/>
    <m/>
  </r>
  <r>
    <x v="846"/>
    <n v="269369.09999999998"/>
    <n v="4.5999999999999996"/>
    <n v="3.7476711111111101"/>
    <n v="0.81471111111111105"/>
    <n v="0.99"/>
    <m/>
    <m/>
    <m/>
    <m/>
    <m/>
    <n v="0"/>
    <m/>
    <n v="0"/>
    <n v="0"/>
    <n v="0"/>
    <n v="0"/>
    <n v="0"/>
    <m/>
    <m/>
    <m/>
    <m/>
    <m/>
    <m/>
    <m/>
    <m/>
    <m/>
    <m/>
    <n v="0"/>
    <n v="0"/>
    <m/>
    <m/>
    <m/>
    <m/>
    <m/>
    <m/>
    <m/>
    <m/>
    <m/>
    <m/>
    <m/>
    <m/>
    <n v="0"/>
    <m/>
    <m/>
    <m/>
    <m/>
    <m/>
    <m/>
    <m/>
    <m/>
    <m/>
    <n v="71500"/>
    <n v="56992"/>
    <m/>
    <m/>
    <m/>
  </r>
  <r>
    <x v="847"/>
    <n v="269369.09999999998"/>
    <n v="4.5999999999999996"/>
    <n v="3.74762"/>
    <n v="0.81469999999999998"/>
    <n v="0.99"/>
    <m/>
    <m/>
    <m/>
    <m/>
    <m/>
    <n v="0"/>
    <m/>
    <n v="0"/>
    <n v="0"/>
    <n v="0"/>
    <n v="0"/>
    <n v="0"/>
    <m/>
    <m/>
    <m/>
    <m/>
    <m/>
    <m/>
    <m/>
    <m/>
    <m/>
    <m/>
    <n v="0"/>
    <n v="0"/>
    <m/>
    <m/>
    <m/>
    <m/>
    <m/>
    <m/>
    <m/>
    <m/>
    <m/>
    <m/>
    <m/>
    <m/>
    <n v="0"/>
    <m/>
    <m/>
    <m/>
    <m/>
    <m/>
    <m/>
    <m/>
    <m/>
    <m/>
    <n v="71500"/>
    <n v="56992"/>
    <m/>
    <m/>
    <m/>
  </r>
  <r>
    <x v="848"/>
    <n v="269369.09999999998"/>
    <n v="4.5999999999999996"/>
    <n v="3.7475688888888898"/>
    <n v="0.81468888888888902"/>
    <n v="0.99"/>
    <m/>
    <m/>
    <m/>
    <m/>
    <m/>
    <n v="0"/>
    <m/>
    <n v="0"/>
    <n v="0"/>
    <n v="0"/>
    <n v="0"/>
    <n v="0"/>
    <m/>
    <m/>
    <m/>
    <m/>
    <m/>
    <m/>
    <m/>
    <m/>
    <m/>
    <m/>
    <n v="0"/>
    <n v="0"/>
    <m/>
    <m/>
    <m/>
    <m/>
    <m/>
    <m/>
    <m/>
    <m/>
    <m/>
    <m/>
    <m/>
    <m/>
    <n v="0"/>
    <m/>
    <m/>
    <m/>
    <m/>
    <m/>
    <m/>
    <m/>
    <m/>
    <m/>
    <n v="71500"/>
    <n v="56992"/>
    <m/>
    <m/>
    <m/>
  </r>
  <r>
    <x v="849"/>
    <n v="269369.09999999998"/>
    <n v="4.5999999999999996"/>
    <n v="3.7475177777777802"/>
    <n v="0.81467777777777795"/>
    <n v="0.99"/>
    <m/>
    <m/>
    <m/>
    <m/>
    <m/>
    <n v="0"/>
    <m/>
    <n v="0"/>
    <n v="0"/>
    <n v="0"/>
    <n v="0"/>
    <n v="0"/>
    <m/>
    <m/>
    <m/>
    <m/>
    <m/>
    <m/>
    <m/>
    <m/>
    <m/>
    <m/>
    <n v="0"/>
    <n v="0"/>
    <m/>
    <m/>
    <m/>
    <m/>
    <m/>
    <m/>
    <m/>
    <m/>
    <m/>
    <m/>
    <m/>
    <m/>
    <n v="0"/>
    <m/>
    <m/>
    <m/>
    <m/>
    <m/>
    <m/>
    <m/>
    <m/>
    <m/>
    <n v="71500"/>
    <n v="56992"/>
    <m/>
    <m/>
    <m/>
  </r>
  <r>
    <x v="850"/>
    <n v="269369.09999999998"/>
    <n v="4.5999999999999996"/>
    <n v="3.7474666666666701"/>
    <n v="0.81466666666666698"/>
    <n v="0.99"/>
    <m/>
    <m/>
    <m/>
    <m/>
    <m/>
    <n v="0"/>
    <m/>
    <n v="0"/>
    <n v="0"/>
    <n v="0"/>
    <n v="0"/>
    <n v="0"/>
    <m/>
    <m/>
    <m/>
    <m/>
    <m/>
    <m/>
    <m/>
    <m/>
    <m/>
    <m/>
    <n v="0"/>
    <n v="0"/>
    <m/>
    <m/>
    <m/>
    <m/>
    <m/>
    <m/>
    <m/>
    <m/>
    <m/>
    <m/>
    <m/>
    <m/>
    <n v="0"/>
    <m/>
    <m/>
    <m/>
    <m/>
    <m/>
    <m/>
    <m/>
    <m/>
    <m/>
    <n v="71500"/>
    <n v="56992"/>
    <m/>
    <m/>
    <m/>
  </r>
  <r>
    <x v="851"/>
    <n v="260352.47333333301"/>
    <n v="4.4733333333333301"/>
    <n v="3.6442755555555499"/>
    <n v="0.81466666666666698"/>
    <n v="0.99"/>
    <m/>
    <m/>
    <m/>
    <m/>
    <m/>
    <n v="0"/>
    <m/>
    <n v="0"/>
    <n v="0"/>
    <n v="0"/>
    <n v="0"/>
    <n v="0"/>
    <m/>
    <m/>
    <m/>
    <m/>
    <m/>
    <m/>
    <m/>
    <m/>
    <m/>
    <m/>
    <n v="0"/>
    <n v="0"/>
    <m/>
    <m/>
    <m/>
    <m/>
    <m/>
    <m/>
    <m/>
    <m/>
    <m/>
    <m/>
    <m/>
    <m/>
    <n v="0"/>
    <m/>
    <m/>
    <m/>
    <m/>
    <m/>
    <m/>
    <m/>
    <m/>
    <m/>
    <n v="71500"/>
    <n v="56992"/>
    <m/>
    <m/>
    <m/>
  </r>
  <r>
    <x v="852"/>
    <n v="260352.47333333301"/>
    <n v="4.4733333333333301"/>
    <n v="3.64422585185185"/>
    <n v="0.81465555555555602"/>
    <n v="0.99"/>
    <m/>
    <m/>
    <m/>
    <m/>
    <m/>
    <n v="0"/>
    <m/>
    <n v="0"/>
    <n v="0"/>
    <n v="0"/>
    <n v="0"/>
    <n v="0"/>
    <m/>
    <m/>
    <m/>
    <m/>
    <m/>
    <m/>
    <m/>
    <m/>
    <m/>
    <m/>
    <n v="0"/>
    <n v="0"/>
    <m/>
    <m/>
    <m/>
    <m/>
    <m/>
    <m/>
    <m/>
    <m/>
    <m/>
    <m/>
    <m/>
    <m/>
    <n v="0"/>
    <m/>
    <m/>
    <m/>
    <m/>
    <m/>
    <m/>
    <m/>
    <m/>
    <m/>
    <n v="71500"/>
    <n v="56992"/>
    <m/>
    <m/>
    <m/>
  </r>
  <r>
    <x v="853"/>
    <n v="260352.47333333301"/>
    <n v="4.4733333333333301"/>
    <n v="3.6441761481481501"/>
    <n v="0.81464444444444395"/>
    <n v="0.99"/>
    <m/>
    <m/>
    <m/>
    <m/>
    <m/>
    <n v="0"/>
    <m/>
    <n v="0"/>
    <n v="0"/>
    <n v="0"/>
    <n v="0"/>
    <n v="0"/>
    <m/>
    <m/>
    <m/>
    <m/>
    <m/>
    <m/>
    <m/>
    <m/>
    <m/>
    <m/>
    <n v="0"/>
    <n v="0"/>
    <m/>
    <m/>
    <m/>
    <m/>
    <m/>
    <m/>
    <m/>
    <m/>
    <m/>
    <m/>
    <m/>
    <m/>
    <n v="0"/>
    <m/>
    <m/>
    <m/>
    <m/>
    <m/>
    <m/>
    <m/>
    <m/>
    <m/>
    <n v="71500"/>
    <n v="56992"/>
    <m/>
    <m/>
    <m/>
  </r>
  <r>
    <x v="854"/>
    <n v="260352.47333333301"/>
    <n v="4.4733333333333301"/>
    <n v="3.6441264444444399"/>
    <n v="0.81463333333333299"/>
    <n v="0.99"/>
    <m/>
    <m/>
    <m/>
    <m/>
    <m/>
    <n v="0"/>
    <m/>
    <n v="0"/>
    <n v="0"/>
    <n v="0"/>
    <n v="0"/>
    <n v="0"/>
    <m/>
    <m/>
    <m/>
    <m/>
    <m/>
    <m/>
    <m/>
    <m/>
    <m/>
    <m/>
    <n v="0"/>
    <n v="0"/>
    <m/>
    <m/>
    <m/>
    <m/>
    <m/>
    <m/>
    <m/>
    <m/>
    <m/>
    <m/>
    <m/>
    <m/>
    <n v="0"/>
    <m/>
    <m/>
    <m/>
    <m/>
    <m/>
    <m/>
    <m/>
    <m/>
    <m/>
    <n v="71500"/>
    <n v="56992"/>
    <m/>
    <m/>
    <m/>
  </r>
  <r>
    <x v="855"/>
    <n v="260352.47333333301"/>
    <n v="4.4733333333333301"/>
    <n v="3.64407674074074"/>
    <n v="0.81462222222222203"/>
    <n v="0.99"/>
    <m/>
    <m/>
    <m/>
    <m/>
    <m/>
    <n v="0"/>
    <m/>
    <n v="0"/>
    <n v="0"/>
    <n v="0"/>
    <n v="0"/>
    <n v="0"/>
    <m/>
    <m/>
    <m/>
    <m/>
    <m/>
    <m/>
    <m/>
    <m/>
    <m/>
    <m/>
    <n v="0"/>
    <n v="0"/>
    <m/>
    <m/>
    <m/>
    <m/>
    <m/>
    <m/>
    <m/>
    <m/>
    <m/>
    <m/>
    <m/>
    <m/>
    <n v="0"/>
    <m/>
    <m/>
    <m/>
    <m/>
    <m/>
    <m/>
    <m/>
    <m/>
    <m/>
    <n v="71500"/>
    <n v="56992"/>
    <m/>
    <m/>
    <m/>
  </r>
  <r>
    <x v="856"/>
    <n v="260352.47333333301"/>
    <n v="4.4733333333333301"/>
    <n v="3.64402703703704"/>
    <n v="0.81461111111111095"/>
    <n v="0.99"/>
    <m/>
    <m/>
    <m/>
    <m/>
    <m/>
    <n v="0"/>
    <m/>
    <n v="0"/>
    <n v="0"/>
    <n v="0"/>
    <n v="0"/>
    <n v="0"/>
    <m/>
    <m/>
    <m/>
    <m/>
    <m/>
    <m/>
    <m/>
    <m/>
    <m/>
    <m/>
    <n v="0"/>
    <n v="0"/>
    <m/>
    <m/>
    <m/>
    <m/>
    <m/>
    <m/>
    <m/>
    <m/>
    <m/>
    <m/>
    <m/>
    <m/>
    <n v="0"/>
    <m/>
    <m/>
    <m/>
    <m/>
    <m/>
    <m/>
    <m/>
    <m/>
    <m/>
    <n v="71500"/>
    <n v="56992"/>
    <m/>
    <m/>
    <m/>
  </r>
  <r>
    <x v="857"/>
    <n v="260352.47333333301"/>
    <n v="4.4733333333333301"/>
    <n v="3.6439773333333298"/>
    <n v="0.81459999999999999"/>
    <n v="0.99"/>
    <m/>
    <m/>
    <m/>
    <m/>
    <m/>
    <n v="0"/>
    <m/>
    <n v="0"/>
    <n v="0"/>
    <n v="0"/>
    <n v="0"/>
    <n v="0"/>
    <m/>
    <m/>
    <m/>
    <m/>
    <m/>
    <m/>
    <m/>
    <m/>
    <m/>
    <m/>
    <n v="0"/>
    <n v="0"/>
    <m/>
    <m/>
    <m/>
    <m/>
    <m/>
    <m/>
    <m/>
    <m/>
    <m/>
    <m/>
    <m/>
    <m/>
    <n v="0"/>
    <m/>
    <m/>
    <m/>
    <m/>
    <m/>
    <m/>
    <m/>
    <m/>
    <m/>
    <n v="71500"/>
    <n v="56992"/>
    <m/>
    <m/>
    <m/>
  </r>
  <r>
    <x v="858"/>
    <n v="260352.47333333301"/>
    <n v="4.4733333333333301"/>
    <n v="3.6439276296296299"/>
    <n v="0.81458888888888903"/>
    <n v="0.99"/>
    <m/>
    <m/>
    <m/>
    <m/>
    <m/>
    <n v="0"/>
    <m/>
    <n v="0"/>
    <n v="0"/>
    <n v="0"/>
    <n v="0"/>
    <n v="0"/>
    <m/>
    <m/>
    <m/>
    <m/>
    <m/>
    <m/>
    <m/>
    <m/>
    <m/>
    <m/>
    <n v="0"/>
    <n v="0"/>
    <m/>
    <m/>
    <m/>
    <m/>
    <m/>
    <m/>
    <m/>
    <m/>
    <m/>
    <m/>
    <m/>
    <m/>
    <n v="0"/>
    <m/>
    <m/>
    <m/>
    <m/>
    <m/>
    <m/>
    <m/>
    <m/>
    <m/>
    <n v="71500"/>
    <n v="56992"/>
    <m/>
    <m/>
    <m/>
  </r>
  <r>
    <x v="859"/>
    <n v="260352.47333333301"/>
    <n v="4.4733333333333301"/>
    <n v="3.64387792592593"/>
    <n v="0.81457777777777796"/>
    <n v="0.99"/>
    <m/>
    <m/>
    <m/>
    <m/>
    <m/>
    <n v="0"/>
    <m/>
    <n v="0"/>
    <n v="0"/>
    <n v="0"/>
    <n v="0"/>
    <n v="0"/>
    <m/>
    <m/>
    <m/>
    <m/>
    <m/>
    <m/>
    <m/>
    <m/>
    <m/>
    <m/>
    <n v="0"/>
    <n v="0"/>
    <m/>
    <m/>
    <m/>
    <m/>
    <m/>
    <m/>
    <m/>
    <m/>
    <m/>
    <m/>
    <m/>
    <m/>
    <n v="0"/>
    <m/>
    <m/>
    <m/>
    <m/>
    <m/>
    <m/>
    <m/>
    <m/>
    <m/>
    <n v="71500"/>
    <n v="56992"/>
    <m/>
    <m/>
    <m/>
  </r>
  <r>
    <x v="860"/>
    <n v="260352.47333333301"/>
    <n v="4.4733333333333301"/>
    <n v="3.6438282222222198"/>
    <n v="0.81456666666666699"/>
    <n v="0.99"/>
    <m/>
    <m/>
    <m/>
    <m/>
    <m/>
    <n v="0"/>
    <m/>
    <n v="0"/>
    <n v="0"/>
    <n v="0"/>
    <n v="0"/>
    <n v="0"/>
    <m/>
    <m/>
    <m/>
    <m/>
    <m/>
    <m/>
    <m/>
    <m/>
    <m/>
    <m/>
    <n v="0"/>
    <n v="0"/>
    <m/>
    <m/>
    <m/>
    <m/>
    <m/>
    <m/>
    <m/>
    <m/>
    <m/>
    <m/>
    <m/>
    <m/>
    <n v="0"/>
    <m/>
    <m/>
    <m/>
    <m/>
    <m/>
    <m/>
    <m/>
    <m/>
    <m/>
    <n v="71500"/>
    <n v="56992"/>
    <m/>
    <m/>
    <m/>
  </r>
  <r>
    <x v="861"/>
    <n v="260352.47333333301"/>
    <n v="4.4733333333333301"/>
    <n v="3.6437785185185199"/>
    <n v="0.81455555555555603"/>
    <n v="0.99"/>
    <m/>
    <m/>
    <m/>
    <m/>
    <m/>
    <n v="0"/>
    <m/>
    <n v="0"/>
    <n v="0"/>
    <n v="0"/>
    <n v="0"/>
    <n v="0"/>
    <m/>
    <m/>
    <m/>
    <m/>
    <m/>
    <m/>
    <m/>
    <m/>
    <m/>
    <m/>
    <n v="0"/>
    <n v="0"/>
    <m/>
    <m/>
    <m/>
    <m/>
    <m/>
    <m/>
    <m/>
    <m/>
    <m/>
    <m/>
    <m/>
    <m/>
    <n v="0"/>
    <m/>
    <m/>
    <m/>
    <m/>
    <m/>
    <m/>
    <m/>
    <m/>
    <m/>
    <n v="71500"/>
    <n v="56992"/>
    <m/>
    <m/>
    <m/>
  </r>
  <r>
    <x v="862"/>
    <n v="260352.47333333301"/>
    <n v="4.4733333333333301"/>
    <n v="3.6437288148148101"/>
    <n v="0.81454444444444396"/>
    <n v="0.99"/>
    <m/>
    <m/>
    <m/>
    <m/>
    <m/>
    <n v="0"/>
    <m/>
    <n v="0"/>
    <n v="0"/>
    <n v="0"/>
    <n v="0"/>
    <n v="0"/>
    <m/>
    <m/>
    <m/>
    <m/>
    <m/>
    <m/>
    <m/>
    <m/>
    <m/>
    <m/>
    <n v="0"/>
    <n v="0"/>
    <m/>
    <m/>
    <m/>
    <m/>
    <m/>
    <m/>
    <m/>
    <m/>
    <m/>
    <m/>
    <m/>
    <m/>
    <n v="0"/>
    <m/>
    <m/>
    <m/>
    <m/>
    <m/>
    <m/>
    <m/>
    <m/>
    <m/>
    <n v="71500"/>
    <n v="56992"/>
    <m/>
    <m/>
    <m/>
  </r>
  <r>
    <x v="863"/>
    <n v="260352.47333333301"/>
    <n v="4.4733333333333301"/>
    <n v="3.6436791111111102"/>
    <n v="0.814533333333333"/>
    <n v="0.99"/>
    <m/>
    <m/>
    <m/>
    <m/>
    <m/>
    <n v="0"/>
    <m/>
    <n v="0"/>
    <n v="0"/>
    <n v="0"/>
    <n v="0"/>
    <n v="0"/>
    <m/>
    <m/>
    <m/>
    <m/>
    <m/>
    <m/>
    <m/>
    <m/>
    <m/>
    <m/>
    <n v="0"/>
    <n v="0"/>
    <m/>
    <m/>
    <m/>
    <m/>
    <m/>
    <m/>
    <m/>
    <m/>
    <m/>
    <m/>
    <m/>
    <m/>
    <n v="0"/>
    <m/>
    <m/>
    <m/>
    <m/>
    <m/>
    <m/>
    <m/>
    <m/>
    <m/>
    <n v="71500"/>
    <n v="56992"/>
    <m/>
    <m/>
    <m/>
  </r>
  <r>
    <x v="864"/>
    <n v="260352.47333333301"/>
    <n v="4.4733333333333301"/>
    <n v="3.6436294074074098"/>
    <n v="0.81452222222222204"/>
    <n v="0.99"/>
    <m/>
    <m/>
    <m/>
    <m/>
    <m/>
    <n v="0"/>
    <m/>
    <n v="0"/>
    <n v="0"/>
    <n v="0"/>
    <n v="0"/>
    <n v="0"/>
    <m/>
    <m/>
    <m/>
    <m/>
    <m/>
    <m/>
    <m/>
    <m/>
    <m/>
    <m/>
    <n v="0"/>
    <n v="0"/>
    <m/>
    <m/>
    <m/>
    <m/>
    <m/>
    <m/>
    <m/>
    <m/>
    <m/>
    <m/>
    <m/>
    <m/>
    <n v="0"/>
    <m/>
    <m/>
    <m/>
    <m/>
    <m/>
    <m/>
    <m/>
    <m/>
    <m/>
    <n v="71500"/>
    <n v="56992"/>
    <m/>
    <m/>
    <m/>
  </r>
  <r>
    <x v="865"/>
    <n v="260352.47333333301"/>
    <n v="4.4733333333333301"/>
    <n v="3.6435797037037001"/>
    <n v="0.81451111111111096"/>
    <n v="0.99"/>
    <m/>
    <m/>
    <m/>
    <m/>
    <m/>
    <n v="0"/>
    <m/>
    <n v="0"/>
    <n v="0"/>
    <n v="0"/>
    <n v="0"/>
    <n v="0"/>
    <m/>
    <m/>
    <m/>
    <m/>
    <m/>
    <m/>
    <m/>
    <m/>
    <m/>
    <m/>
    <n v="0"/>
    <n v="0"/>
    <m/>
    <m/>
    <m/>
    <m/>
    <m/>
    <m/>
    <m/>
    <m/>
    <m/>
    <m/>
    <m/>
    <m/>
    <n v="0"/>
    <m/>
    <m/>
    <m/>
    <m/>
    <m/>
    <m/>
    <m/>
    <m/>
    <m/>
    <n v="71500"/>
    <n v="56992"/>
    <m/>
    <m/>
    <m/>
  </r>
  <r>
    <x v="866"/>
    <n v="260352.47333333301"/>
    <n v="4.4733333333333301"/>
    <n v="3.6435300000000002"/>
    <n v="0.8145"/>
    <n v="0.99"/>
    <m/>
    <m/>
    <m/>
    <m/>
    <m/>
    <n v="0"/>
    <m/>
    <n v="0"/>
    <n v="0"/>
    <n v="0"/>
    <n v="0"/>
    <n v="0"/>
    <m/>
    <m/>
    <m/>
    <m/>
    <m/>
    <m/>
    <m/>
    <m/>
    <m/>
    <m/>
    <n v="0"/>
    <n v="0"/>
    <m/>
    <m/>
    <m/>
    <m/>
    <m/>
    <m/>
    <m/>
    <m/>
    <m/>
    <m/>
    <m/>
    <m/>
    <n v="0"/>
    <m/>
    <m/>
    <m/>
    <m/>
    <m/>
    <m/>
    <m/>
    <m/>
    <m/>
    <n v="71500"/>
    <n v="56992"/>
    <m/>
    <m/>
    <m/>
  </r>
  <r>
    <x v="867"/>
    <n v="260352.47333333301"/>
    <n v="4.4733333333333301"/>
    <n v="3.6434802962963002"/>
    <n v="0.81448888888888904"/>
    <n v="0.99"/>
    <m/>
    <m/>
    <m/>
    <m/>
    <m/>
    <n v="0"/>
    <m/>
    <n v="0"/>
    <n v="0"/>
    <n v="0"/>
    <n v="0"/>
    <n v="0"/>
    <m/>
    <m/>
    <m/>
    <m/>
    <m/>
    <m/>
    <m/>
    <m/>
    <m/>
    <m/>
    <n v="0"/>
    <n v="0"/>
    <m/>
    <m/>
    <m/>
    <m/>
    <m/>
    <m/>
    <m/>
    <m/>
    <m/>
    <m/>
    <m/>
    <m/>
    <n v="0"/>
    <m/>
    <m/>
    <m/>
    <m/>
    <m/>
    <m/>
    <m/>
    <m/>
    <m/>
    <n v="71500"/>
    <n v="56992"/>
    <m/>
    <m/>
    <m/>
  </r>
  <r>
    <x v="868"/>
    <n v="260352.47333333301"/>
    <n v="4.4733333333333301"/>
    <n v="3.6434305925925901"/>
    <n v="0.81447777777777797"/>
    <n v="0.99"/>
    <m/>
    <m/>
    <m/>
    <m/>
    <m/>
    <n v="0"/>
    <m/>
    <n v="0"/>
    <n v="0"/>
    <n v="0"/>
    <n v="0"/>
    <n v="0"/>
    <m/>
    <m/>
    <m/>
    <m/>
    <m/>
    <m/>
    <m/>
    <m/>
    <m/>
    <m/>
    <n v="0"/>
    <n v="0"/>
    <m/>
    <m/>
    <m/>
    <m/>
    <m/>
    <m/>
    <m/>
    <m/>
    <m/>
    <m/>
    <m/>
    <m/>
    <n v="0"/>
    <m/>
    <m/>
    <m/>
    <m/>
    <m/>
    <m/>
    <m/>
    <m/>
    <m/>
    <n v="71500"/>
    <n v="56992"/>
    <m/>
    <m/>
    <m/>
  </r>
  <r>
    <x v="869"/>
    <n v="260352.47333333301"/>
    <n v="4.4733333333333301"/>
    <n v="3.6433808888888901"/>
    <n v="0.81446666666666701"/>
    <n v="0.99"/>
    <m/>
    <m/>
    <m/>
    <m/>
    <m/>
    <n v="0"/>
    <m/>
    <n v="0"/>
    <n v="0"/>
    <n v="0"/>
    <n v="0"/>
    <n v="0"/>
    <m/>
    <m/>
    <m/>
    <m/>
    <m/>
    <m/>
    <m/>
    <m/>
    <m/>
    <m/>
    <n v="0"/>
    <n v="0"/>
    <m/>
    <m/>
    <m/>
    <m/>
    <m/>
    <m/>
    <m/>
    <m/>
    <m/>
    <m/>
    <m/>
    <m/>
    <n v="0"/>
    <m/>
    <m/>
    <m/>
    <m/>
    <m/>
    <m/>
    <m/>
    <m/>
    <m/>
    <n v="71500"/>
    <n v="56992"/>
    <m/>
    <m/>
    <m/>
  </r>
  <r>
    <x v="870"/>
    <n v="260352.47333333301"/>
    <n v="4.4733333333333301"/>
    <n v="3.64333118518518"/>
    <n v="0.81445555555555504"/>
    <n v="0.99"/>
    <m/>
    <m/>
    <m/>
    <m/>
    <m/>
    <n v="0"/>
    <m/>
    <n v="0"/>
    <n v="0"/>
    <n v="0"/>
    <n v="0"/>
    <n v="0"/>
    <m/>
    <m/>
    <m/>
    <m/>
    <m/>
    <m/>
    <m/>
    <m/>
    <m/>
    <m/>
    <n v="0"/>
    <n v="0"/>
    <m/>
    <m/>
    <m/>
    <m/>
    <m/>
    <m/>
    <m/>
    <m/>
    <m/>
    <m/>
    <m/>
    <m/>
    <n v="0"/>
    <m/>
    <m/>
    <m/>
    <m/>
    <m/>
    <m/>
    <m/>
    <m/>
    <m/>
    <n v="71500"/>
    <n v="56992"/>
    <m/>
    <m/>
    <m/>
  </r>
  <r>
    <x v="871"/>
    <n v="260352.47333333301"/>
    <n v="4.4733333333333301"/>
    <n v="3.64328148148148"/>
    <n v="0.81444444444444397"/>
    <n v="0.99"/>
    <m/>
    <m/>
    <m/>
    <m/>
    <m/>
    <n v="0"/>
    <m/>
    <n v="0"/>
    <n v="0"/>
    <n v="0"/>
    <n v="0"/>
    <n v="0"/>
    <m/>
    <m/>
    <m/>
    <m/>
    <m/>
    <m/>
    <m/>
    <m/>
    <m/>
    <m/>
    <n v="0"/>
    <n v="0"/>
    <m/>
    <m/>
    <m/>
    <m/>
    <m/>
    <m/>
    <m/>
    <m/>
    <m/>
    <m/>
    <m/>
    <m/>
    <n v="0"/>
    <m/>
    <m/>
    <m/>
    <m/>
    <m/>
    <m/>
    <m/>
    <m/>
    <m/>
    <n v="71500"/>
    <n v="56992"/>
    <m/>
    <m/>
    <m/>
  </r>
  <r>
    <x v="872"/>
    <n v="260352.47333333301"/>
    <n v="4.4733333333333301"/>
    <n v="3.6432317777777801"/>
    <n v="0.81443333333333301"/>
    <n v="0.99"/>
    <m/>
    <m/>
    <m/>
    <m/>
    <m/>
    <n v="0"/>
    <m/>
    <n v="0"/>
    <n v="0"/>
    <n v="0"/>
    <n v="0"/>
    <n v="0"/>
    <m/>
    <m/>
    <m/>
    <m/>
    <m/>
    <m/>
    <m/>
    <m/>
    <m/>
    <m/>
    <n v="0"/>
    <n v="0"/>
    <m/>
    <m/>
    <m/>
    <m/>
    <m/>
    <m/>
    <m/>
    <m/>
    <m/>
    <m/>
    <m/>
    <m/>
    <n v="0"/>
    <m/>
    <m/>
    <m/>
    <m/>
    <m/>
    <m/>
    <m/>
    <m/>
    <m/>
    <n v="71500"/>
    <n v="56992"/>
    <m/>
    <m/>
    <m/>
  </r>
  <r>
    <x v="873"/>
    <n v="260352.47333333301"/>
    <n v="4.4733333333333301"/>
    <n v="3.6431820740740699"/>
    <n v="0.81442222222222205"/>
    <n v="0.99"/>
    <m/>
    <m/>
    <m/>
    <m/>
    <m/>
    <n v="0"/>
    <m/>
    <n v="0"/>
    <n v="0"/>
    <n v="0"/>
    <n v="0"/>
    <n v="0"/>
    <m/>
    <m/>
    <m/>
    <m/>
    <m/>
    <m/>
    <m/>
    <m/>
    <m/>
    <m/>
    <n v="0"/>
    <n v="0"/>
    <m/>
    <m/>
    <m/>
    <m/>
    <m/>
    <m/>
    <m/>
    <m/>
    <m/>
    <m/>
    <m/>
    <m/>
    <n v="0"/>
    <m/>
    <m/>
    <m/>
    <m/>
    <m/>
    <m/>
    <m/>
    <m/>
    <m/>
    <n v="71500"/>
    <n v="56992"/>
    <m/>
    <m/>
    <m/>
  </r>
  <r>
    <x v="874"/>
    <n v="260352.47333333301"/>
    <n v="4.4733333333333301"/>
    <n v="3.64313237037037"/>
    <n v="0.81441111111111097"/>
    <n v="0.99"/>
    <m/>
    <m/>
    <m/>
    <m/>
    <m/>
    <n v="0"/>
    <m/>
    <n v="0"/>
    <n v="0"/>
    <n v="0"/>
    <n v="0"/>
    <n v="0"/>
    <m/>
    <m/>
    <m/>
    <m/>
    <m/>
    <m/>
    <m/>
    <m/>
    <m/>
    <m/>
    <n v="0"/>
    <n v="0"/>
    <m/>
    <m/>
    <m/>
    <m/>
    <m/>
    <m/>
    <m/>
    <m/>
    <m/>
    <m/>
    <m/>
    <m/>
    <n v="0"/>
    <m/>
    <m/>
    <m/>
    <m/>
    <m/>
    <m/>
    <m/>
    <m/>
    <m/>
    <n v="71500"/>
    <n v="56992"/>
    <m/>
    <m/>
    <m/>
  </r>
  <r>
    <x v="875"/>
    <n v="260352.47333333301"/>
    <n v="4.4733333333333301"/>
    <n v="3.64308266666667"/>
    <n v="0.81440000000000001"/>
    <n v="0.99"/>
    <m/>
    <m/>
    <m/>
    <m/>
    <m/>
    <n v="0"/>
    <m/>
    <n v="0"/>
    <n v="0"/>
    <n v="0"/>
    <n v="0"/>
    <n v="0"/>
    <m/>
    <m/>
    <m/>
    <m/>
    <m/>
    <m/>
    <m/>
    <m/>
    <m/>
    <m/>
    <n v="0"/>
    <n v="0"/>
    <m/>
    <m/>
    <m/>
    <m/>
    <m/>
    <m/>
    <m/>
    <m/>
    <m/>
    <m/>
    <m/>
    <m/>
    <n v="0"/>
    <m/>
    <m/>
    <m/>
    <m/>
    <m/>
    <m/>
    <m/>
    <m/>
    <m/>
    <n v="71500"/>
    <n v="56992"/>
    <m/>
    <m/>
    <m/>
  </r>
  <r>
    <x v="876"/>
    <n v="260352.47333333301"/>
    <n v="4.4733333333333301"/>
    <n v="3.6430329629629599"/>
    <n v="0.81438888888888905"/>
    <n v="0.99"/>
    <m/>
    <m/>
    <m/>
    <m/>
    <m/>
    <n v="0"/>
    <m/>
    <n v="0"/>
    <n v="0"/>
    <n v="0"/>
    <n v="0"/>
    <n v="0"/>
    <m/>
    <m/>
    <m/>
    <m/>
    <m/>
    <m/>
    <m/>
    <m/>
    <m/>
    <m/>
    <n v="0"/>
    <n v="0"/>
    <m/>
    <m/>
    <m/>
    <m/>
    <m/>
    <m/>
    <m/>
    <m/>
    <m/>
    <m/>
    <m/>
    <m/>
    <n v="0"/>
    <m/>
    <m/>
    <m/>
    <m/>
    <m/>
    <m/>
    <m/>
    <m/>
    <m/>
    <n v="71500"/>
    <n v="56992"/>
    <m/>
    <m/>
    <m/>
  </r>
  <r>
    <x v="877"/>
    <n v="260352.47333333301"/>
    <n v="4.4733333333333301"/>
    <n v="3.6429832592592599"/>
    <n v="0.81437777777777798"/>
    <n v="0.99"/>
    <m/>
    <m/>
    <m/>
    <m/>
    <m/>
    <n v="0"/>
    <m/>
    <n v="0"/>
    <n v="0"/>
    <n v="0"/>
    <n v="0"/>
    <n v="0"/>
    <m/>
    <m/>
    <m/>
    <m/>
    <m/>
    <m/>
    <m/>
    <m/>
    <m/>
    <m/>
    <n v="0"/>
    <n v="0"/>
    <m/>
    <m/>
    <m/>
    <m/>
    <m/>
    <m/>
    <m/>
    <m/>
    <m/>
    <m/>
    <m/>
    <m/>
    <n v="0"/>
    <m/>
    <m/>
    <m/>
    <m/>
    <m/>
    <m/>
    <m/>
    <m/>
    <m/>
    <n v="71500"/>
    <n v="56992"/>
    <m/>
    <m/>
    <m/>
  </r>
  <r>
    <x v="878"/>
    <n v="260352.47333333301"/>
    <n v="4.4733333333333301"/>
    <n v="3.64293355555556"/>
    <n v="0.81436666666666702"/>
    <n v="0.99"/>
    <m/>
    <m/>
    <m/>
    <m/>
    <m/>
    <n v="0"/>
    <m/>
    <n v="0"/>
    <n v="0"/>
    <n v="0"/>
    <n v="0"/>
    <n v="0"/>
    <m/>
    <m/>
    <m/>
    <m/>
    <m/>
    <m/>
    <m/>
    <m/>
    <m/>
    <m/>
    <n v="0"/>
    <n v="0"/>
    <m/>
    <m/>
    <m/>
    <m/>
    <m/>
    <m/>
    <m/>
    <m/>
    <m/>
    <m/>
    <m/>
    <m/>
    <n v="0"/>
    <m/>
    <m/>
    <m/>
    <m/>
    <m/>
    <m/>
    <m/>
    <m/>
    <m/>
    <n v="71500"/>
    <n v="56992"/>
    <m/>
    <m/>
    <m/>
  </r>
  <r>
    <x v="879"/>
    <n v="260352.47333333301"/>
    <n v="4.4733333333333301"/>
    <n v="3.6428838518518498"/>
    <n v="0.81435555555555506"/>
    <n v="0.99"/>
    <m/>
    <m/>
    <m/>
    <m/>
    <m/>
    <n v="0"/>
    <m/>
    <n v="0"/>
    <n v="0"/>
    <n v="0"/>
    <n v="0"/>
    <n v="0"/>
    <m/>
    <m/>
    <m/>
    <m/>
    <m/>
    <m/>
    <m/>
    <m/>
    <m/>
    <m/>
    <n v="0"/>
    <n v="0"/>
    <m/>
    <m/>
    <m/>
    <m/>
    <m/>
    <m/>
    <m/>
    <m/>
    <m/>
    <m/>
    <m/>
    <m/>
    <n v="0"/>
    <m/>
    <m/>
    <m/>
    <m/>
    <m/>
    <m/>
    <m/>
    <m/>
    <m/>
    <n v="71500"/>
    <n v="56992"/>
    <m/>
    <m/>
    <m/>
  </r>
  <r>
    <x v="880"/>
    <n v="260352.47333333301"/>
    <n v="4.4733333333333301"/>
    <n v="3.6428341481481499"/>
    <n v="0.81434444444444398"/>
    <n v="0.99"/>
    <m/>
    <m/>
    <m/>
    <m/>
    <m/>
    <n v="0"/>
    <m/>
    <n v="0"/>
    <n v="0"/>
    <n v="0"/>
    <n v="0"/>
    <n v="0"/>
    <m/>
    <m/>
    <m/>
    <m/>
    <m/>
    <m/>
    <m/>
    <m/>
    <m/>
    <m/>
    <n v="0"/>
    <n v="0"/>
    <m/>
    <m/>
    <m/>
    <m/>
    <m/>
    <m/>
    <m/>
    <m/>
    <m/>
    <m/>
    <m/>
    <m/>
    <n v="0"/>
    <m/>
    <m/>
    <m/>
    <m/>
    <m/>
    <m/>
    <m/>
    <m/>
    <m/>
    <n v="71500"/>
    <n v="56992"/>
    <m/>
    <m/>
    <m/>
  </r>
  <r>
    <x v="881"/>
    <n v="255977.841935484"/>
    <n v="4.3290322580645197"/>
    <n v="3.5252752688172002"/>
    <n v="0.81433333333333302"/>
    <n v="0.99"/>
    <m/>
    <m/>
    <m/>
    <m/>
    <m/>
    <n v="0"/>
    <m/>
    <n v="0"/>
    <n v="0"/>
    <n v="0"/>
    <n v="0"/>
    <n v="0"/>
    <m/>
    <m/>
    <m/>
    <m/>
    <m/>
    <m/>
    <m/>
    <m/>
    <m/>
    <m/>
    <n v="0"/>
    <n v="0"/>
    <m/>
    <m/>
    <m/>
    <m/>
    <m/>
    <m/>
    <m/>
    <m/>
    <m/>
    <m/>
    <m/>
    <m/>
    <n v="0"/>
    <m/>
    <m/>
    <m/>
    <m/>
    <m/>
    <m/>
    <m/>
    <m/>
    <m/>
    <n v="71500"/>
    <n v="56992"/>
    <m/>
    <m/>
    <m/>
  </r>
  <r>
    <x v="882"/>
    <n v="255977.841935484"/>
    <n v="4.3290322580645197"/>
    <n v="3.5252271684587799"/>
    <n v="0.81432222222222195"/>
    <n v="0.99"/>
    <m/>
    <m/>
    <m/>
    <m/>
    <m/>
    <n v="0"/>
    <m/>
    <n v="0"/>
    <n v="0"/>
    <n v="0"/>
    <n v="0"/>
    <n v="0"/>
    <m/>
    <m/>
    <m/>
    <m/>
    <m/>
    <m/>
    <m/>
    <m/>
    <m/>
    <m/>
    <n v="0"/>
    <n v="0"/>
    <m/>
    <m/>
    <m/>
    <m/>
    <m/>
    <m/>
    <m/>
    <m/>
    <m/>
    <m/>
    <m/>
    <m/>
    <n v="0"/>
    <m/>
    <m/>
    <m/>
    <m/>
    <m/>
    <m/>
    <m/>
    <m/>
    <m/>
    <n v="71500"/>
    <n v="56992"/>
    <m/>
    <m/>
    <m/>
  </r>
  <r>
    <x v="883"/>
    <n v="255977.841935484"/>
    <n v="4.3290322580645197"/>
    <n v="3.5251790681003601"/>
    <n v="0.81431111111111099"/>
    <n v="0.99"/>
    <m/>
    <m/>
    <m/>
    <m/>
    <m/>
    <n v="0"/>
    <m/>
    <n v="0"/>
    <n v="0"/>
    <n v="0"/>
    <n v="0"/>
    <n v="0"/>
    <m/>
    <m/>
    <m/>
    <m/>
    <m/>
    <m/>
    <m/>
    <m/>
    <m/>
    <m/>
    <n v="0"/>
    <n v="0"/>
    <m/>
    <m/>
    <m/>
    <m/>
    <m/>
    <m/>
    <m/>
    <m/>
    <m/>
    <m/>
    <m/>
    <m/>
    <n v="0"/>
    <m/>
    <m/>
    <m/>
    <m/>
    <m/>
    <m/>
    <m/>
    <m/>
    <m/>
    <n v="71500"/>
    <n v="56992"/>
    <m/>
    <m/>
    <m/>
  </r>
  <r>
    <x v="884"/>
    <n v="255977.841935484"/>
    <n v="4.3290322580645197"/>
    <n v="3.5251309677419398"/>
    <n v="0.81430000000000002"/>
    <n v="0.99"/>
    <m/>
    <m/>
    <m/>
    <m/>
    <m/>
    <n v="0"/>
    <m/>
    <n v="0"/>
    <n v="0"/>
    <n v="0"/>
    <n v="0"/>
    <n v="0"/>
    <m/>
    <m/>
    <m/>
    <m/>
    <m/>
    <m/>
    <m/>
    <m/>
    <m/>
    <m/>
    <n v="0"/>
    <n v="0"/>
    <m/>
    <m/>
    <m/>
    <m/>
    <m/>
    <m/>
    <m/>
    <m/>
    <m/>
    <m/>
    <m/>
    <m/>
    <n v="0"/>
    <m/>
    <m/>
    <m/>
    <m/>
    <m/>
    <m/>
    <m/>
    <m/>
    <m/>
    <n v="71500"/>
    <n v="56992"/>
    <m/>
    <m/>
    <m/>
  </r>
  <r>
    <x v="885"/>
    <n v="255977.841935484"/>
    <n v="4.3290322580645197"/>
    <n v="3.5250828673835102"/>
    <n v="0.81428888888888895"/>
    <n v="0.99"/>
    <m/>
    <m/>
    <m/>
    <m/>
    <m/>
    <n v="0"/>
    <m/>
    <n v="0"/>
    <n v="0"/>
    <n v="0"/>
    <n v="0"/>
    <n v="0"/>
    <m/>
    <m/>
    <m/>
    <m/>
    <m/>
    <m/>
    <m/>
    <m/>
    <m/>
    <m/>
    <n v="0"/>
    <n v="0"/>
    <m/>
    <m/>
    <m/>
    <m/>
    <m/>
    <m/>
    <m/>
    <m/>
    <m/>
    <m/>
    <m/>
    <m/>
    <n v="0"/>
    <m/>
    <m/>
    <m/>
    <m/>
    <m/>
    <m/>
    <m/>
    <m/>
    <m/>
    <n v="71500"/>
    <n v="56992"/>
    <m/>
    <m/>
    <m/>
  </r>
  <r>
    <x v="886"/>
    <n v="255977.841935484"/>
    <n v="4.3290322580645197"/>
    <n v="3.5250347670250899"/>
    <n v="0.81427777777777799"/>
    <n v="0.99"/>
    <m/>
    <m/>
    <m/>
    <m/>
    <m/>
    <n v="0"/>
    <m/>
    <n v="0"/>
    <n v="0"/>
    <n v="0"/>
    <n v="0"/>
    <n v="0"/>
    <m/>
    <m/>
    <m/>
    <m/>
    <m/>
    <m/>
    <m/>
    <m/>
    <m/>
    <m/>
    <n v="0"/>
    <n v="0"/>
    <m/>
    <m/>
    <m/>
    <m/>
    <m/>
    <m/>
    <m/>
    <m/>
    <m/>
    <m/>
    <m/>
    <m/>
    <n v="0"/>
    <m/>
    <m/>
    <m/>
    <m/>
    <m/>
    <m/>
    <m/>
    <m/>
    <m/>
    <n v="71500"/>
    <n v="56992"/>
    <m/>
    <m/>
    <m/>
  </r>
  <r>
    <x v="887"/>
    <n v="255977.841935484"/>
    <n v="4.3290322580645197"/>
    <n v="3.52498666666667"/>
    <n v="0.81426666666666703"/>
    <n v="0.99"/>
    <m/>
    <m/>
    <m/>
    <m/>
    <m/>
    <n v="0"/>
    <m/>
    <n v="0"/>
    <n v="0"/>
    <n v="0"/>
    <n v="0"/>
    <n v="0"/>
    <m/>
    <m/>
    <m/>
    <m/>
    <m/>
    <m/>
    <m/>
    <m/>
    <m/>
    <m/>
    <n v="0"/>
    <n v="0"/>
    <m/>
    <m/>
    <m/>
    <m/>
    <m/>
    <m/>
    <m/>
    <m/>
    <m/>
    <m/>
    <m/>
    <m/>
    <n v="0"/>
    <m/>
    <m/>
    <m/>
    <m/>
    <m/>
    <m/>
    <m/>
    <m/>
    <m/>
    <n v="71500"/>
    <n v="56992"/>
    <m/>
    <m/>
    <m/>
  </r>
  <r>
    <x v="888"/>
    <n v="255977.841935484"/>
    <n v="4.3290322580645197"/>
    <n v="3.52493856630824"/>
    <n v="0.81425555555555595"/>
    <n v="0.99"/>
    <m/>
    <m/>
    <m/>
    <m/>
    <m/>
    <n v="0"/>
    <m/>
    <n v="0"/>
    <n v="0"/>
    <n v="0"/>
    <n v="0"/>
    <n v="0"/>
    <m/>
    <m/>
    <m/>
    <m/>
    <m/>
    <m/>
    <m/>
    <m/>
    <m/>
    <m/>
    <n v="0"/>
    <n v="0"/>
    <m/>
    <m/>
    <m/>
    <m/>
    <m/>
    <m/>
    <m/>
    <m/>
    <m/>
    <m/>
    <m/>
    <m/>
    <n v="0"/>
    <m/>
    <m/>
    <m/>
    <m/>
    <m/>
    <m/>
    <m/>
    <m/>
    <m/>
    <n v="71500"/>
    <n v="56992"/>
    <m/>
    <m/>
    <m/>
  </r>
  <r>
    <x v="889"/>
    <n v="255977.841935484"/>
    <n v="4.3290322580645197"/>
    <n v="3.5248904659498201"/>
    <n v="0.81424444444444399"/>
    <n v="0.99"/>
    <m/>
    <m/>
    <m/>
    <m/>
    <m/>
    <n v="0"/>
    <m/>
    <n v="0"/>
    <n v="0"/>
    <n v="0"/>
    <n v="0"/>
    <n v="0"/>
    <m/>
    <m/>
    <m/>
    <m/>
    <m/>
    <m/>
    <m/>
    <m/>
    <m/>
    <m/>
    <n v="0"/>
    <n v="0"/>
    <m/>
    <m/>
    <m/>
    <m/>
    <m/>
    <m/>
    <m/>
    <m/>
    <m/>
    <m/>
    <m/>
    <m/>
    <n v="0"/>
    <m/>
    <m/>
    <m/>
    <m/>
    <m/>
    <m/>
    <m/>
    <m/>
    <m/>
    <n v="71500"/>
    <n v="56992"/>
    <m/>
    <m/>
    <m/>
  </r>
  <r>
    <x v="890"/>
    <n v="255977.841935484"/>
    <n v="4.3290322580645197"/>
    <n v="3.5248423655913999"/>
    <n v="0.81423333333333303"/>
    <n v="0.99"/>
    <m/>
    <m/>
    <m/>
    <m/>
    <m/>
    <n v="0"/>
    <m/>
    <n v="0"/>
    <n v="0"/>
    <n v="0"/>
    <n v="0"/>
    <n v="0"/>
    <m/>
    <m/>
    <m/>
    <m/>
    <m/>
    <m/>
    <m/>
    <m/>
    <m/>
    <m/>
    <n v="0"/>
    <n v="0"/>
    <m/>
    <m/>
    <m/>
    <m/>
    <m/>
    <m/>
    <m/>
    <m/>
    <m/>
    <m/>
    <m/>
    <m/>
    <n v="0"/>
    <m/>
    <m/>
    <m/>
    <m/>
    <m/>
    <m/>
    <m/>
    <m/>
    <m/>
    <n v="71500"/>
    <n v="56992"/>
    <m/>
    <m/>
    <m/>
  </r>
  <r>
    <x v="891"/>
    <n v="255977.841935484"/>
    <n v="4.3290322580645197"/>
    <n v="3.5247942652329698"/>
    <n v="0.81422222222222196"/>
    <n v="0.99"/>
    <m/>
    <m/>
    <m/>
    <m/>
    <m/>
    <n v="0"/>
    <m/>
    <n v="0"/>
    <n v="0"/>
    <n v="0"/>
    <n v="0"/>
    <n v="0"/>
    <m/>
    <m/>
    <m/>
    <m/>
    <m/>
    <m/>
    <m/>
    <m/>
    <m/>
    <m/>
    <n v="0"/>
    <n v="0"/>
    <m/>
    <m/>
    <m/>
    <m/>
    <m/>
    <m/>
    <m/>
    <m/>
    <m/>
    <m/>
    <m/>
    <m/>
    <n v="0"/>
    <m/>
    <m/>
    <m/>
    <m/>
    <m/>
    <m/>
    <m/>
    <m/>
    <m/>
    <n v="71500"/>
    <n v="56992"/>
    <m/>
    <m/>
    <m/>
  </r>
  <r>
    <x v="892"/>
    <n v="255977.841935484"/>
    <n v="4.3290322580645197"/>
    <n v="3.5247461648745499"/>
    <n v="0.814211111111111"/>
    <n v="0.99"/>
    <m/>
    <m/>
    <m/>
    <m/>
    <m/>
    <n v="0"/>
    <m/>
    <n v="0"/>
    <n v="0"/>
    <n v="0"/>
    <n v="0"/>
    <n v="0"/>
    <m/>
    <m/>
    <m/>
    <m/>
    <m/>
    <m/>
    <m/>
    <m/>
    <m/>
    <m/>
    <n v="0"/>
    <n v="0"/>
    <m/>
    <m/>
    <m/>
    <m/>
    <m/>
    <m/>
    <m/>
    <m/>
    <m/>
    <m/>
    <m/>
    <m/>
    <n v="0"/>
    <m/>
    <m/>
    <m/>
    <m/>
    <m/>
    <m/>
    <m/>
    <m/>
    <m/>
    <n v="71500"/>
    <n v="56992"/>
    <m/>
    <m/>
    <m/>
  </r>
  <r>
    <x v="893"/>
    <n v="255977.841935484"/>
    <n v="4.3290322580645197"/>
    <n v="3.5246980645161301"/>
    <n v="0.81420000000000003"/>
    <n v="0.99"/>
    <m/>
    <m/>
    <m/>
    <m/>
    <m/>
    <n v="0"/>
    <m/>
    <n v="0"/>
    <n v="0"/>
    <n v="0"/>
    <n v="0"/>
    <n v="0"/>
    <m/>
    <m/>
    <m/>
    <m/>
    <m/>
    <m/>
    <m/>
    <m/>
    <m/>
    <m/>
    <n v="0"/>
    <n v="0"/>
    <m/>
    <m/>
    <m/>
    <m/>
    <m/>
    <m/>
    <m/>
    <m/>
    <m/>
    <m/>
    <m/>
    <m/>
    <n v="0"/>
    <m/>
    <m/>
    <m/>
    <m/>
    <m/>
    <m/>
    <m/>
    <m/>
    <m/>
    <n v="71500"/>
    <n v="56992"/>
    <m/>
    <m/>
    <m/>
  </r>
  <r>
    <x v="894"/>
    <n v="255977.841935484"/>
    <n v="4.3290322580645197"/>
    <n v="3.5246499641577098"/>
    <n v="0.81418888888888896"/>
    <n v="0.99"/>
    <m/>
    <m/>
    <m/>
    <m/>
    <m/>
    <n v="0"/>
    <m/>
    <n v="0"/>
    <n v="0"/>
    <n v="0"/>
    <n v="0"/>
    <n v="0"/>
    <m/>
    <m/>
    <m/>
    <m/>
    <m/>
    <m/>
    <m/>
    <m/>
    <m/>
    <m/>
    <n v="0"/>
    <n v="0"/>
    <m/>
    <m/>
    <m/>
    <m/>
    <m/>
    <m/>
    <m/>
    <m/>
    <m/>
    <m/>
    <m/>
    <m/>
    <n v="0"/>
    <m/>
    <m/>
    <m/>
    <m/>
    <m/>
    <m/>
    <m/>
    <m/>
    <m/>
    <n v="71500"/>
    <n v="56992"/>
    <m/>
    <m/>
    <m/>
  </r>
  <r>
    <x v="895"/>
    <n v="255977.841935484"/>
    <n v="4.3290322580645197"/>
    <n v="3.5246018637992802"/>
    <n v="0.814177777777778"/>
    <n v="0.99"/>
    <m/>
    <m/>
    <m/>
    <m/>
    <m/>
    <n v="0"/>
    <m/>
    <n v="0"/>
    <n v="0"/>
    <n v="0"/>
    <n v="0"/>
    <n v="0"/>
    <m/>
    <m/>
    <m/>
    <m/>
    <m/>
    <m/>
    <m/>
    <m/>
    <m/>
    <m/>
    <n v="0"/>
    <n v="0"/>
    <m/>
    <m/>
    <m/>
    <m/>
    <m/>
    <m/>
    <m/>
    <m/>
    <m/>
    <m/>
    <m/>
    <m/>
    <n v="0"/>
    <m/>
    <m/>
    <m/>
    <m/>
    <m/>
    <m/>
    <m/>
    <m/>
    <m/>
    <n v="71500"/>
    <n v="56992"/>
    <m/>
    <m/>
    <m/>
  </r>
  <r>
    <x v="896"/>
    <n v="255977.841935484"/>
    <n v="4.3290322580645197"/>
    <n v="3.5245537634408599"/>
    <n v="0.81416666666666704"/>
    <n v="0.99"/>
    <m/>
    <m/>
    <m/>
    <m/>
    <m/>
    <n v="0"/>
    <m/>
    <n v="0"/>
    <n v="0"/>
    <n v="0"/>
    <n v="0"/>
    <n v="0"/>
    <m/>
    <m/>
    <m/>
    <m/>
    <m/>
    <m/>
    <m/>
    <m/>
    <m/>
    <m/>
    <n v="0"/>
    <n v="0"/>
    <m/>
    <m/>
    <m/>
    <m/>
    <m/>
    <m/>
    <m/>
    <m/>
    <m/>
    <m/>
    <m/>
    <m/>
    <n v="0"/>
    <m/>
    <m/>
    <m/>
    <m/>
    <m/>
    <m/>
    <m/>
    <m/>
    <m/>
    <n v="71500"/>
    <n v="56992"/>
    <m/>
    <m/>
    <m/>
  </r>
  <r>
    <x v="897"/>
    <n v="255977.841935484"/>
    <n v="4.3290322580645197"/>
    <n v="3.5245056630824401"/>
    <n v="0.81415555555555597"/>
    <n v="0.99"/>
    <m/>
    <m/>
    <m/>
    <m/>
    <m/>
    <n v="0"/>
    <m/>
    <n v="0"/>
    <n v="0"/>
    <n v="0"/>
    <n v="0"/>
    <n v="0"/>
    <m/>
    <m/>
    <m/>
    <m/>
    <m/>
    <m/>
    <m/>
    <m/>
    <m/>
    <m/>
    <n v="0"/>
    <n v="0"/>
    <m/>
    <m/>
    <m/>
    <m/>
    <m/>
    <m/>
    <m/>
    <m/>
    <m/>
    <m/>
    <m/>
    <m/>
    <n v="0"/>
    <m/>
    <m/>
    <m/>
    <m/>
    <m/>
    <m/>
    <m/>
    <m/>
    <m/>
    <n v="71500"/>
    <n v="56992"/>
    <m/>
    <m/>
    <m/>
  </r>
  <r>
    <x v="898"/>
    <n v="255977.841935484"/>
    <n v="4.3290322580645197"/>
    <n v="3.52445756272401"/>
    <n v="0.814144444444444"/>
    <n v="0.99"/>
    <m/>
    <m/>
    <m/>
    <m/>
    <m/>
    <n v="0"/>
    <m/>
    <n v="0"/>
    <n v="0"/>
    <n v="0"/>
    <n v="0"/>
    <n v="0"/>
    <m/>
    <m/>
    <m/>
    <m/>
    <m/>
    <m/>
    <m/>
    <m/>
    <m/>
    <m/>
    <n v="0"/>
    <n v="0"/>
    <m/>
    <m/>
    <m/>
    <m/>
    <m/>
    <m/>
    <m/>
    <m/>
    <m/>
    <m/>
    <m/>
    <m/>
    <n v="0"/>
    <m/>
    <m/>
    <m/>
    <m/>
    <m/>
    <m/>
    <m/>
    <m/>
    <m/>
    <n v="71500"/>
    <n v="56992"/>
    <m/>
    <m/>
    <m/>
  </r>
  <r>
    <x v="899"/>
    <n v="255977.841935484"/>
    <n v="4.3290322580645197"/>
    <n v="3.5244094623655902"/>
    <n v="0.81413333333333304"/>
    <n v="0.99"/>
    <m/>
    <m/>
    <m/>
    <m/>
    <m/>
    <n v="0"/>
    <m/>
    <n v="0"/>
    <n v="0"/>
    <n v="0"/>
    <n v="0"/>
    <n v="0"/>
    <m/>
    <m/>
    <m/>
    <m/>
    <m/>
    <m/>
    <m/>
    <m/>
    <m/>
    <m/>
    <n v="0"/>
    <n v="0"/>
    <m/>
    <m/>
    <m/>
    <m/>
    <m/>
    <m/>
    <m/>
    <m/>
    <m/>
    <m/>
    <m/>
    <m/>
    <n v="0"/>
    <m/>
    <m/>
    <m/>
    <m/>
    <m/>
    <m/>
    <m/>
    <m/>
    <m/>
    <n v="71500"/>
    <n v="56992"/>
    <m/>
    <m/>
    <m/>
  </r>
  <r>
    <x v="900"/>
    <n v="255977.841935484"/>
    <n v="4.3290322580645197"/>
    <n v="3.5243613620071699"/>
    <n v="0.81412222222222197"/>
    <n v="0.99"/>
    <m/>
    <m/>
    <m/>
    <m/>
    <m/>
    <n v="0"/>
    <m/>
    <n v="0"/>
    <n v="0"/>
    <n v="0"/>
    <n v="0"/>
    <n v="0"/>
    <m/>
    <m/>
    <m/>
    <m/>
    <m/>
    <m/>
    <m/>
    <m/>
    <m/>
    <m/>
    <n v="0"/>
    <n v="0"/>
    <m/>
    <m/>
    <m/>
    <m/>
    <m/>
    <m/>
    <m/>
    <m/>
    <m/>
    <m/>
    <m/>
    <m/>
    <n v="0"/>
    <m/>
    <m/>
    <m/>
    <m/>
    <m/>
    <m/>
    <m/>
    <m/>
    <m/>
    <n v="71500"/>
    <n v="56992"/>
    <m/>
    <m/>
    <m/>
  </r>
  <r>
    <x v="901"/>
    <n v="255977.841935484"/>
    <n v="4.3290322580645197"/>
    <n v="3.52431326164875"/>
    <n v="0.81411111111111101"/>
    <n v="0.99"/>
    <m/>
    <m/>
    <m/>
    <m/>
    <m/>
    <n v="0"/>
    <m/>
    <n v="0"/>
    <n v="0"/>
    <n v="0"/>
    <n v="0"/>
    <n v="0"/>
    <m/>
    <m/>
    <m/>
    <m/>
    <m/>
    <m/>
    <m/>
    <m/>
    <m/>
    <m/>
    <n v="0"/>
    <n v="0"/>
    <m/>
    <m/>
    <m/>
    <m/>
    <m/>
    <m/>
    <m/>
    <m/>
    <m/>
    <m/>
    <m/>
    <m/>
    <n v="0"/>
    <m/>
    <m/>
    <m/>
    <m/>
    <m/>
    <m/>
    <m/>
    <m/>
    <m/>
    <n v="71500"/>
    <n v="56992"/>
    <m/>
    <m/>
    <m/>
  </r>
  <r>
    <x v="902"/>
    <n v="255977.841935484"/>
    <n v="4.3290322580645197"/>
    <n v="3.52426516129032"/>
    <n v="0.81410000000000005"/>
    <n v="0.99"/>
    <m/>
    <m/>
    <m/>
    <m/>
    <m/>
    <n v="0"/>
    <m/>
    <n v="0"/>
    <n v="0"/>
    <n v="0"/>
    <n v="0"/>
    <n v="0"/>
    <m/>
    <m/>
    <m/>
    <m/>
    <m/>
    <m/>
    <m/>
    <m/>
    <m/>
    <m/>
    <n v="0"/>
    <n v="0"/>
    <m/>
    <m/>
    <m/>
    <m/>
    <m/>
    <m/>
    <m/>
    <m/>
    <m/>
    <m/>
    <m/>
    <m/>
    <n v="0"/>
    <m/>
    <m/>
    <m/>
    <m/>
    <m/>
    <m/>
    <m/>
    <m/>
    <m/>
    <n v="71500"/>
    <n v="56992"/>
    <m/>
    <m/>
    <m/>
  </r>
  <r>
    <x v="903"/>
    <n v="255977.841935484"/>
    <n v="4.3290322580645197"/>
    <n v="3.5242170609319001"/>
    <n v="0.81408888888888897"/>
    <n v="0.99"/>
    <m/>
    <m/>
    <m/>
    <m/>
    <m/>
    <n v="0"/>
    <m/>
    <n v="0"/>
    <n v="0"/>
    <n v="0"/>
    <n v="0"/>
    <n v="0"/>
    <m/>
    <m/>
    <m/>
    <m/>
    <m/>
    <m/>
    <m/>
    <m/>
    <m/>
    <m/>
    <n v="0"/>
    <n v="0"/>
    <m/>
    <m/>
    <m/>
    <m/>
    <m/>
    <m/>
    <m/>
    <m/>
    <m/>
    <m/>
    <m/>
    <m/>
    <n v="0"/>
    <m/>
    <m/>
    <m/>
    <m/>
    <m/>
    <m/>
    <m/>
    <m/>
    <m/>
    <n v="71500"/>
    <n v="56992"/>
    <m/>
    <m/>
    <m/>
  </r>
  <r>
    <x v="904"/>
    <n v="255977.841935484"/>
    <n v="4.3290322580645197"/>
    <n v="3.5241689605734798"/>
    <n v="0.81407777777777801"/>
    <n v="0.99"/>
    <m/>
    <m/>
    <m/>
    <m/>
    <m/>
    <n v="0"/>
    <m/>
    <n v="0"/>
    <n v="0"/>
    <n v="0"/>
    <n v="0"/>
    <n v="0"/>
    <m/>
    <m/>
    <m/>
    <m/>
    <m/>
    <m/>
    <m/>
    <m/>
    <m/>
    <m/>
    <n v="0"/>
    <n v="0"/>
    <m/>
    <m/>
    <m/>
    <m/>
    <m/>
    <m/>
    <m/>
    <m/>
    <m/>
    <m/>
    <m/>
    <m/>
    <n v="0"/>
    <m/>
    <m/>
    <m/>
    <m/>
    <m/>
    <m/>
    <m/>
    <m/>
    <m/>
    <n v="71500"/>
    <n v="56992"/>
    <m/>
    <m/>
    <m/>
  </r>
  <r>
    <x v="905"/>
    <n v="255977.841935484"/>
    <n v="4.3290322580645197"/>
    <n v="3.5241208602150502"/>
    <n v="0.81406666666666705"/>
    <n v="0.99"/>
    <m/>
    <m/>
    <m/>
    <m/>
    <m/>
    <n v="0"/>
    <m/>
    <n v="0"/>
    <n v="0"/>
    <n v="0"/>
    <n v="0"/>
    <n v="0"/>
    <m/>
    <m/>
    <m/>
    <m/>
    <m/>
    <m/>
    <m/>
    <m/>
    <m/>
    <m/>
    <n v="0"/>
    <n v="0"/>
    <m/>
    <m/>
    <m/>
    <m/>
    <m/>
    <m/>
    <m/>
    <m/>
    <m/>
    <m/>
    <m/>
    <m/>
    <n v="0"/>
    <m/>
    <m/>
    <m/>
    <m/>
    <m/>
    <m/>
    <m/>
    <m/>
    <m/>
    <n v="71500"/>
    <n v="56992"/>
    <m/>
    <m/>
    <m/>
  </r>
  <r>
    <x v="906"/>
    <n v="255977.841935484"/>
    <n v="4.3290322580645197"/>
    <n v="3.5240727598566299"/>
    <n v="0.81405555555555598"/>
    <n v="0.99"/>
    <m/>
    <m/>
    <m/>
    <m/>
    <m/>
    <n v="0"/>
    <m/>
    <n v="0"/>
    <n v="0"/>
    <n v="0"/>
    <n v="0"/>
    <n v="0"/>
    <m/>
    <m/>
    <m/>
    <m/>
    <m/>
    <m/>
    <m/>
    <m/>
    <m/>
    <m/>
    <n v="0"/>
    <n v="0"/>
    <m/>
    <m/>
    <m/>
    <m/>
    <m/>
    <m/>
    <m/>
    <m/>
    <m/>
    <m/>
    <m/>
    <m/>
    <n v="0"/>
    <m/>
    <m/>
    <m/>
    <m/>
    <m/>
    <m/>
    <m/>
    <m/>
    <m/>
    <n v="71500"/>
    <n v="56992"/>
    <m/>
    <m/>
    <m/>
  </r>
  <r>
    <x v="907"/>
    <n v="255977.841935484"/>
    <n v="4.3290322580645197"/>
    <n v="3.5240246594982101"/>
    <n v="0.81404444444444402"/>
    <n v="0.99"/>
    <m/>
    <m/>
    <m/>
    <m/>
    <m/>
    <n v="0"/>
    <m/>
    <n v="0"/>
    <n v="0"/>
    <n v="0"/>
    <n v="0"/>
    <n v="0"/>
    <m/>
    <m/>
    <m/>
    <m/>
    <m/>
    <m/>
    <m/>
    <m/>
    <m/>
    <m/>
    <n v="0"/>
    <n v="0"/>
    <m/>
    <m/>
    <m/>
    <m/>
    <m/>
    <m/>
    <m/>
    <m/>
    <m/>
    <m/>
    <m/>
    <m/>
    <n v="0"/>
    <m/>
    <m/>
    <m/>
    <m/>
    <m/>
    <m/>
    <m/>
    <m/>
    <m/>
    <n v="71500"/>
    <n v="56992"/>
    <m/>
    <m/>
    <m/>
  </r>
  <r>
    <x v="908"/>
    <n v="255977.841935484"/>
    <n v="4.3290322580645197"/>
    <n v="3.52397655913978"/>
    <n v="0.81403333333333305"/>
    <n v="0.99"/>
    <m/>
    <m/>
    <m/>
    <m/>
    <m/>
    <n v="0"/>
    <m/>
    <n v="0"/>
    <n v="0"/>
    <n v="0"/>
    <n v="0"/>
    <n v="0"/>
    <m/>
    <m/>
    <m/>
    <m/>
    <m/>
    <m/>
    <m/>
    <m/>
    <m/>
    <m/>
    <n v="0"/>
    <n v="0"/>
    <m/>
    <m/>
    <m/>
    <m/>
    <m/>
    <m/>
    <m/>
    <m/>
    <m/>
    <m/>
    <m/>
    <m/>
    <n v="0"/>
    <m/>
    <m/>
    <m/>
    <m/>
    <m/>
    <m/>
    <m/>
    <m/>
    <m/>
    <n v="71500"/>
    <n v="56992"/>
    <m/>
    <m/>
    <m/>
  </r>
  <r>
    <x v="909"/>
    <n v="255977.841935484"/>
    <n v="4.3290322580645197"/>
    <n v="3.5239284587813602"/>
    <n v="0.81402222222222198"/>
    <n v="0.99"/>
    <m/>
    <m/>
    <m/>
    <m/>
    <m/>
    <n v="0"/>
    <m/>
    <n v="0"/>
    <n v="0"/>
    <n v="0"/>
    <n v="0"/>
    <n v="0"/>
    <m/>
    <m/>
    <m/>
    <m/>
    <m/>
    <m/>
    <m/>
    <m/>
    <m/>
    <m/>
    <n v="0"/>
    <n v="0"/>
    <m/>
    <m/>
    <m/>
    <m/>
    <m/>
    <m/>
    <m/>
    <m/>
    <m/>
    <m/>
    <m/>
    <m/>
    <n v="0"/>
    <m/>
    <m/>
    <m/>
    <m/>
    <m/>
    <m/>
    <m/>
    <m/>
    <m/>
    <n v="71500"/>
    <n v="56992"/>
    <m/>
    <m/>
    <m/>
  </r>
  <r>
    <x v="910"/>
    <n v="255977.841935484"/>
    <n v="4.3290322580645197"/>
    <n v="3.5238803584229399"/>
    <n v="0.81401111111111102"/>
    <n v="0.99"/>
    <m/>
    <m/>
    <m/>
    <m/>
    <m/>
    <n v="0"/>
    <m/>
    <n v="0"/>
    <n v="0"/>
    <n v="0"/>
    <n v="0"/>
    <n v="0"/>
    <m/>
    <m/>
    <m/>
    <m/>
    <m/>
    <m/>
    <m/>
    <m/>
    <m/>
    <m/>
    <n v="0"/>
    <n v="0"/>
    <m/>
    <m/>
    <m/>
    <m/>
    <m/>
    <m/>
    <m/>
    <m/>
    <m/>
    <m/>
    <m/>
    <m/>
    <n v="0"/>
    <m/>
    <m/>
    <m/>
    <m/>
    <m/>
    <m/>
    <m/>
    <m/>
    <m/>
    <n v="71500"/>
    <n v="56992"/>
    <m/>
    <m/>
    <m/>
  </r>
  <r>
    <x v="911"/>
    <n v="255977.841935484"/>
    <n v="4.3290322580645197"/>
    <n v="3.5238322580645201"/>
    <n v="0.81399999999999995"/>
    <n v="0.99"/>
    <m/>
    <m/>
    <m/>
    <m/>
    <m/>
    <n v="0"/>
    <m/>
    <n v="0"/>
    <n v="0"/>
    <n v="0"/>
    <n v="0"/>
    <n v="0"/>
    <m/>
    <m/>
    <m/>
    <m/>
    <m/>
    <m/>
    <m/>
    <m/>
    <m/>
    <m/>
    <n v="0"/>
    <n v="0"/>
    <m/>
    <m/>
    <m/>
    <m/>
    <m/>
    <m/>
    <m/>
    <m/>
    <m/>
    <m/>
    <m/>
    <m/>
    <n v="0"/>
    <m/>
    <m/>
    <m/>
    <m/>
    <m/>
    <m/>
    <m/>
    <m/>
    <m/>
    <n v="71500"/>
    <n v="56992"/>
    <m/>
    <m/>
    <m/>
  </r>
  <r>
    <x v="912"/>
    <n v="236808"/>
    <n v="4.1399999999999997"/>
    <n v="3.3699599999999998"/>
    <n v="0.81399999999999995"/>
    <n v="0.99"/>
    <m/>
    <m/>
    <m/>
    <m/>
    <m/>
    <n v="0"/>
    <m/>
    <n v="0"/>
    <n v="0"/>
    <n v="0"/>
    <n v="0"/>
    <n v="0"/>
    <m/>
    <m/>
    <m/>
    <m/>
    <m/>
    <m/>
    <m/>
    <m/>
    <m/>
    <m/>
    <n v="0"/>
    <n v="0"/>
    <m/>
    <m/>
    <m/>
    <m/>
    <m/>
    <m/>
    <m/>
    <m/>
    <m/>
    <m/>
    <m/>
    <m/>
    <n v="0"/>
    <m/>
    <m/>
    <m/>
    <m/>
    <m/>
    <m/>
    <m/>
    <m/>
    <m/>
    <n v="71500"/>
    <n v="56992"/>
    <m/>
    <m/>
    <m/>
  </r>
  <r>
    <x v="913"/>
    <n v="236808"/>
    <n v="4.1399999999999997"/>
    <n v="3.3699140000000001"/>
    <n v="0.81398888888888898"/>
    <n v="0.99"/>
    <m/>
    <m/>
    <m/>
    <m/>
    <m/>
    <n v="0"/>
    <m/>
    <n v="0"/>
    <n v="0"/>
    <n v="0"/>
    <n v="0"/>
    <n v="0"/>
    <m/>
    <m/>
    <m/>
    <m/>
    <m/>
    <m/>
    <m/>
    <m/>
    <m/>
    <m/>
    <n v="0"/>
    <n v="0"/>
    <m/>
    <m/>
    <m/>
    <m/>
    <m/>
    <m/>
    <m/>
    <m/>
    <m/>
    <m/>
    <m/>
    <m/>
    <n v="0"/>
    <m/>
    <m/>
    <m/>
    <m/>
    <m/>
    <m/>
    <m/>
    <m/>
    <m/>
    <n v="71500"/>
    <n v="56992"/>
    <m/>
    <m/>
    <m/>
  </r>
  <r>
    <x v="914"/>
    <n v="236808"/>
    <n v="4.1399999999999997"/>
    <n v="3.3698679999999999"/>
    <n v="0.81397777777777802"/>
    <n v="0.99"/>
    <m/>
    <m/>
    <m/>
    <m/>
    <m/>
    <n v="0"/>
    <m/>
    <n v="0"/>
    <n v="0"/>
    <n v="0"/>
    <n v="0"/>
    <n v="0"/>
    <m/>
    <m/>
    <m/>
    <m/>
    <m/>
    <m/>
    <m/>
    <m/>
    <m/>
    <m/>
    <n v="0"/>
    <n v="0"/>
    <m/>
    <m/>
    <m/>
    <m/>
    <m/>
    <m/>
    <m/>
    <m/>
    <m/>
    <m/>
    <m/>
    <m/>
    <n v="0"/>
    <m/>
    <m/>
    <m/>
    <m/>
    <m/>
    <m/>
    <m/>
    <m/>
    <m/>
    <n v="71500"/>
    <n v="56992"/>
    <m/>
    <m/>
    <m/>
  </r>
  <r>
    <x v="915"/>
    <n v="236808"/>
    <n v="4.1399999999999997"/>
    <n v="3.3698220000000001"/>
    <n v="0.81396666666666695"/>
    <n v="0.99"/>
    <m/>
    <m/>
    <m/>
    <m/>
    <m/>
    <n v="0"/>
    <m/>
    <n v="0"/>
    <n v="0"/>
    <n v="0"/>
    <n v="0"/>
    <n v="0"/>
    <m/>
    <m/>
    <m/>
    <m/>
    <m/>
    <m/>
    <m/>
    <m/>
    <m/>
    <m/>
    <n v="0"/>
    <n v="0"/>
    <m/>
    <m/>
    <m/>
    <m/>
    <m/>
    <m/>
    <m/>
    <m/>
    <m/>
    <m/>
    <m/>
    <m/>
    <n v="0"/>
    <m/>
    <m/>
    <m/>
    <m/>
    <m/>
    <m/>
    <m/>
    <m/>
    <m/>
    <n v="71500"/>
    <n v="56992"/>
    <m/>
    <m/>
    <m/>
  </r>
  <r>
    <x v="916"/>
    <n v="236808"/>
    <n v="4.1399999999999997"/>
    <n v="3.3697759999999999"/>
    <n v="0.81395555555555599"/>
    <n v="0.99"/>
    <m/>
    <m/>
    <m/>
    <m/>
    <m/>
    <n v="0"/>
    <m/>
    <n v="0"/>
    <n v="0"/>
    <n v="0"/>
    <n v="0"/>
    <n v="0"/>
    <m/>
    <m/>
    <m/>
    <m/>
    <m/>
    <m/>
    <m/>
    <m/>
    <m/>
    <m/>
    <n v="0"/>
    <n v="0"/>
    <m/>
    <m/>
    <m/>
    <m/>
    <m/>
    <m/>
    <m/>
    <m/>
    <m/>
    <m/>
    <m/>
    <m/>
    <n v="0"/>
    <m/>
    <m/>
    <m/>
    <m/>
    <m/>
    <m/>
    <m/>
    <m/>
    <m/>
    <n v="71500"/>
    <n v="56992"/>
    <m/>
    <m/>
    <m/>
  </r>
  <r>
    <x v="917"/>
    <n v="236808"/>
    <n v="4.1399999999999997"/>
    <n v="3.3697300000000001"/>
    <n v="0.81394444444444403"/>
    <n v="0.99"/>
    <m/>
    <m/>
    <m/>
    <m/>
    <m/>
    <n v="0"/>
    <m/>
    <n v="0"/>
    <n v="0"/>
    <n v="0"/>
    <n v="0"/>
    <n v="0"/>
    <m/>
    <m/>
    <m/>
    <m/>
    <m/>
    <m/>
    <m/>
    <m/>
    <m/>
    <m/>
    <n v="0"/>
    <n v="0"/>
    <m/>
    <m/>
    <m/>
    <m/>
    <m/>
    <m/>
    <m/>
    <m/>
    <m/>
    <m/>
    <m/>
    <m/>
    <n v="0"/>
    <m/>
    <m/>
    <m/>
    <m/>
    <m/>
    <m/>
    <m/>
    <m/>
    <m/>
    <n v="71500"/>
    <n v="56992"/>
    <m/>
    <m/>
    <m/>
  </r>
  <r>
    <x v="918"/>
    <n v="236808"/>
    <n v="4.1399999999999997"/>
    <n v="3.3696839999999999"/>
    <n v="0.81393333333333295"/>
    <n v="0.99"/>
    <m/>
    <m/>
    <m/>
    <m/>
    <m/>
    <n v="0"/>
    <m/>
    <n v="0"/>
    <n v="0"/>
    <n v="0"/>
    <n v="0"/>
    <n v="0"/>
    <m/>
    <m/>
    <m/>
    <m/>
    <m/>
    <m/>
    <m/>
    <m/>
    <m/>
    <m/>
    <n v="0"/>
    <n v="0"/>
    <m/>
    <m/>
    <m/>
    <m/>
    <m/>
    <m/>
    <m/>
    <m/>
    <m/>
    <m/>
    <m/>
    <m/>
    <n v="0"/>
    <m/>
    <m/>
    <m/>
    <m/>
    <m/>
    <m/>
    <m/>
    <m/>
    <m/>
    <n v="71500"/>
    <n v="56992"/>
    <m/>
    <m/>
    <m/>
  </r>
  <r>
    <x v="919"/>
    <n v="236808"/>
    <n v="4.1399999999999997"/>
    <n v="3.3696380000000001"/>
    <n v="0.81392222222222199"/>
    <n v="0.99"/>
    <m/>
    <m/>
    <m/>
    <m/>
    <m/>
    <n v="0"/>
    <m/>
    <n v="0"/>
    <n v="0"/>
    <n v="0"/>
    <n v="0"/>
    <n v="0"/>
    <m/>
    <m/>
    <m/>
    <m/>
    <m/>
    <m/>
    <m/>
    <m/>
    <m/>
    <m/>
    <n v="0"/>
    <n v="0"/>
    <m/>
    <m/>
    <m/>
    <m/>
    <m/>
    <m/>
    <m/>
    <m/>
    <m/>
    <m/>
    <m/>
    <m/>
    <n v="0"/>
    <m/>
    <m/>
    <m/>
    <m/>
    <m/>
    <m/>
    <m/>
    <m/>
    <m/>
    <n v="71500"/>
    <n v="56992"/>
    <m/>
    <m/>
    <m/>
  </r>
  <r>
    <x v="920"/>
    <n v="236808"/>
    <n v="4.1399999999999997"/>
    <n v="3.3695919999999999"/>
    <n v="0.81391111111111103"/>
    <n v="0.99"/>
    <m/>
    <m/>
    <m/>
    <m/>
    <m/>
    <n v="0"/>
    <m/>
    <n v="0"/>
    <n v="0"/>
    <n v="0"/>
    <n v="0"/>
    <n v="0"/>
    <m/>
    <m/>
    <m/>
    <m/>
    <m/>
    <m/>
    <m/>
    <m/>
    <m/>
    <m/>
    <n v="0"/>
    <n v="0"/>
    <m/>
    <m/>
    <m/>
    <m/>
    <m/>
    <m/>
    <m/>
    <m/>
    <m/>
    <m/>
    <m/>
    <m/>
    <n v="0"/>
    <m/>
    <m/>
    <m/>
    <m/>
    <m/>
    <m/>
    <m/>
    <m/>
    <m/>
    <n v="71500"/>
    <n v="56992"/>
    <m/>
    <m/>
    <m/>
  </r>
  <r>
    <x v="921"/>
    <n v="236808"/>
    <n v="4.1399999999999997"/>
    <n v="3.3695460000000002"/>
    <n v="0.81389999999999996"/>
    <n v="0.99"/>
    <m/>
    <m/>
    <m/>
    <m/>
    <m/>
    <n v="0"/>
    <m/>
    <n v="0"/>
    <n v="0"/>
    <n v="0"/>
    <n v="0"/>
    <n v="0"/>
    <m/>
    <m/>
    <m/>
    <m/>
    <m/>
    <m/>
    <m/>
    <m/>
    <m/>
    <m/>
    <n v="0"/>
    <n v="0"/>
    <m/>
    <m/>
    <m/>
    <m/>
    <m/>
    <m/>
    <m/>
    <m/>
    <m/>
    <m/>
    <m/>
    <m/>
    <n v="0"/>
    <m/>
    <m/>
    <m/>
    <m/>
    <m/>
    <m/>
    <m/>
    <m/>
    <m/>
    <n v="71500"/>
    <n v="56992"/>
    <m/>
    <m/>
    <m/>
  </r>
  <r>
    <x v="922"/>
    <n v="236808"/>
    <n v="4.1399999999999997"/>
    <n v="3.3694999999999999"/>
    <n v="0.81388888888888899"/>
    <n v="0.99"/>
    <m/>
    <m/>
    <m/>
    <m/>
    <m/>
    <n v="0"/>
    <m/>
    <n v="0"/>
    <n v="0"/>
    <n v="0"/>
    <n v="0"/>
    <n v="0"/>
    <m/>
    <m/>
    <m/>
    <m/>
    <m/>
    <m/>
    <m/>
    <m/>
    <m/>
    <m/>
    <n v="0"/>
    <n v="0"/>
    <m/>
    <m/>
    <m/>
    <m/>
    <m/>
    <m/>
    <m/>
    <m/>
    <m/>
    <m/>
    <m/>
    <m/>
    <n v="0"/>
    <m/>
    <m/>
    <m/>
    <m/>
    <m/>
    <m/>
    <m/>
    <m/>
    <m/>
    <n v="71500"/>
    <n v="56992"/>
    <m/>
    <m/>
    <m/>
  </r>
  <r>
    <x v="923"/>
    <n v="236808"/>
    <n v="4.1399999999999997"/>
    <n v="3.3694540000000002"/>
    <n v="0.81387777777777803"/>
    <n v="0.99"/>
    <m/>
    <m/>
    <m/>
    <m/>
    <m/>
    <n v="0"/>
    <m/>
    <n v="0"/>
    <n v="0"/>
    <n v="0"/>
    <n v="0"/>
    <n v="0"/>
    <m/>
    <m/>
    <m/>
    <m/>
    <m/>
    <m/>
    <m/>
    <m/>
    <m/>
    <m/>
    <n v="0"/>
    <n v="0"/>
    <m/>
    <m/>
    <m/>
    <m/>
    <m/>
    <m/>
    <m/>
    <m/>
    <m/>
    <m/>
    <m/>
    <m/>
    <n v="0"/>
    <m/>
    <m/>
    <m/>
    <m/>
    <m/>
    <m/>
    <m/>
    <m/>
    <m/>
    <n v="71500"/>
    <n v="56992"/>
    <m/>
    <m/>
    <m/>
  </r>
  <r>
    <x v="924"/>
    <n v="236808"/>
    <n v="4.1399999999999997"/>
    <n v="3.369408"/>
    <n v="0.81386666666666696"/>
    <n v="0.99"/>
    <m/>
    <m/>
    <m/>
    <m/>
    <m/>
    <n v="0"/>
    <m/>
    <n v="0"/>
    <n v="0"/>
    <n v="0"/>
    <n v="0"/>
    <n v="0"/>
    <m/>
    <m/>
    <m/>
    <m/>
    <m/>
    <m/>
    <m/>
    <m/>
    <m/>
    <m/>
    <n v="0"/>
    <n v="0"/>
    <m/>
    <m/>
    <m/>
    <m/>
    <m/>
    <m/>
    <m/>
    <m/>
    <m/>
    <m/>
    <m/>
    <m/>
    <n v="0"/>
    <m/>
    <m/>
    <m/>
    <m/>
    <m/>
    <m/>
    <m/>
    <m/>
    <m/>
    <n v="71500"/>
    <n v="56992"/>
    <m/>
    <m/>
    <m/>
  </r>
  <r>
    <x v="925"/>
    <n v="236808"/>
    <n v="4.1399999999999997"/>
    <n v="3.3693620000000002"/>
    <n v="0.813855555555556"/>
    <n v="0.99"/>
    <m/>
    <m/>
    <m/>
    <m/>
    <m/>
    <n v="0"/>
    <m/>
    <n v="0"/>
    <n v="0"/>
    <n v="0"/>
    <n v="0"/>
    <n v="0"/>
    <m/>
    <m/>
    <m/>
    <m/>
    <m/>
    <m/>
    <m/>
    <m/>
    <m/>
    <m/>
    <n v="0"/>
    <n v="0"/>
    <m/>
    <m/>
    <m/>
    <m/>
    <m/>
    <m/>
    <m/>
    <m/>
    <m/>
    <m/>
    <m/>
    <m/>
    <n v="0"/>
    <m/>
    <m/>
    <m/>
    <m/>
    <m/>
    <m/>
    <m/>
    <m/>
    <m/>
    <n v="71500"/>
    <n v="56992"/>
    <m/>
    <m/>
    <m/>
  </r>
  <r>
    <x v="926"/>
    <n v="236808"/>
    <n v="4.1399999999999997"/>
    <n v="3.369316"/>
    <n v="0.81384444444444404"/>
    <n v="0.99"/>
    <m/>
    <m/>
    <m/>
    <m/>
    <m/>
    <n v="0"/>
    <m/>
    <n v="0"/>
    <n v="0"/>
    <n v="0"/>
    <n v="0"/>
    <n v="0"/>
    <m/>
    <m/>
    <m/>
    <m/>
    <m/>
    <m/>
    <m/>
    <m/>
    <m/>
    <m/>
    <n v="0"/>
    <n v="0"/>
    <m/>
    <m/>
    <m/>
    <m/>
    <m/>
    <m/>
    <m/>
    <m/>
    <m/>
    <m/>
    <m/>
    <m/>
    <n v="0"/>
    <m/>
    <m/>
    <m/>
    <m/>
    <m/>
    <m/>
    <m/>
    <m/>
    <m/>
    <n v="71500"/>
    <n v="56992"/>
    <m/>
    <m/>
    <m/>
  </r>
  <r>
    <x v="927"/>
    <n v="236808"/>
    <n v="4.1399999999999997"/>
    <n v="3.3692700000000002"/>
    <n v="0.81383333333333296"/>
    <n v="0.99"/>
    <m/>
    <m/>
    <m/>
    <m/>
    <m/>
    <n v="0"/>
    <m/>
    <n v="0"/>
    <n v="0"/>
    <n v="0"/>
    <n v="0"/>
    <n v="0"/>
    <m/>
    <m/>
    <m/>
    <m/>
    <m/>
    <m/>
    <m/>
    <m/>
    <m/>
    <m/>
    <n v="0"/>
    <n v="0"/>
    <m/>
    <m/>
    <m/>
    <m/>
    <m/>
    <m/>
    <m/>
    <m/>
    <m/>
    <m/>
    <m/>
    <m/>
    <n v="0"/>
    <m/>
    <m/>
    <m/>
    <m/>
    <m/>
    <m/>
    <m/>
    <m/>
    <m/>
    <n v="71500"/>
    <n v="56992"/>
    <m/>
    <m/>
    <m/>
  </r>
  <r>
    <x v="928"/>
    <n v="236808"/>
    <n v="4.1399999999999997"/>
    <n v="3.369224"/>
    <n v="0.813822222222222"/>
    <n v="0.99"/>
    <m/>
    <m/>
    <m/>
    <m/>
    <m/>
    <n v="0"/>
    <m/>
    <n v="0"/>
    <n v="0"/>
    <n v="0"/>
    <n v="0"/>
    <n v="0"/>
    <m/>
    <m/>
    <m/>
    <m/>
    <m/>
    <m/>
    <m/>
    <m/>
    <m/>
    <m/>
    <n v="0"/>
    <n v="0"/>
    <m/>
    <m/>
    <m/>
    <m/>
    <m/>
    <m/>
    <m/>
    <m/>
    <m/>
    <m/>
    <m/>
    <m/>
    <n v="0"/>
    <m/>
    <m/>
    <m/>
    <m/>
    <m/>
    <m/>
    <m/>
    <m/>
    <m/>
    <n v="71500"/>
    <n v="56992"/>
    <m/>
    <m/>
    <m/>
  </r>
  <r>
    <x v="929"/>
    <n v="236808"/>
    <n v="4.1399999999999997"/>
    <n v="3.3691779999999998"/>
    <n v="0.81381111111111104"/>
    <n v="0.99"/>
    <m/>
    <m/>
    <m/>
    <m/>
    <m/>
    <n v="0"/>
    <m/>
    <n v="0"/>
    <n v="0"/>
    <n v="0"/>
    <n v="0"/>
    <n v="0"/>
    <m/>
    <m/>
    <m/>
    <m/>
    <m/>
    <m/>
    <m/>
    <m/>
    <m/>
    <m/>
    <n v="0"/>
    <n v="0"/>
    <m/>
    <m/>
    <m/>
    <m/>
    <m/>
    <m/>
    <m/>
    <m/>
    <m/>
    <m/>
    <m/>
    <m/>
    <n v="0"/>
    <m/>
    <m/>
    <m/>
    <m/>
    <m/>
    <m/>
    <m/>
    <m/>
    <m/>
    <n v="71500"/>
    <n v="56992"/>
    <m/>
    <m/>
    <m/>
  </r>
  <r>
    <x v="930"/>
    <n v="236808"/>
    <n v="4.1399999999999997"/>
    <n v="3.369132"/>
    <n v="0.81379999999999997"/>
    <n v="0.99"/>
    <m/>
    <m/>
    <m/>
    <m/>
    <m/>
    <n v="0"/>
    <m/>
    <n v="0"/>
    <n v="0"/>
    <n v="0"/>
    <n v="0"/>
    <n v="0"/>
    <m/>
    <m/>
    <m/>
    <m/>
    <m/>
    <m/>
    <m/>
    <m/>
    <m/>
    <m/>
    <n v="0"/>
    <n v="0"/>
    <m/>
    <m/>
    <m/>
    <m/>
    <m/>
    <m/>
    <m/>
    <m/>
    <m/>
    <m/>
    <m/>
    <m/>
    <n v="0"/>
    <m/>
    <m/>
    <m/>
    <m/>
    <m/>
    <m/>
    <m/>
    <m/>
    <m/>
    <n v="71500"/>
    <n v="56992"/>
    <m/>
    <m/>
    <m/>
  </r>
  <r>
    <x v="931"/>
    <n v="236808"/>
    <n v="4.1399999999999997"/>
    <n v="3.3690859999999998"/>
    <n v="0.81378888888888901"/>
    <n v="0.99"/>
    <m/>
    <m/>
    <m/>
    <m/>
    <m/>
    <n v="0"/>
    <m/>
    <n v="0"/>
    <n v="0"/>
    <n v="0"/>
    <n v="0"/>
    <n v="0"/>
    <m/>
    <m/>
    <m/>
    <m/>
    <m/>
    <m/>
    <m/>
    <m/>
    <m/>
    <m/>
    <n v="0"/>
    <n v="0"/>
    <m/>
    <m/>
    <m/>
    <m/>
    <m/>
    <m/>
    <m/>
    <m/>
    <m/>
    <m/>
    <m/>
    <m/>
    <n v="0"/>
    <m/>
    <m/>
    <m/>
    <m/>
    <m/>
    <m/>
    <m/>
    <m/>
    <m/>
    <n v="71500"/>
    <n v="56992"/>
    <m/>
    <m/>
    <m/>
  </r>
  <r>
    <x v="932"/>
    <n v="236808"/>
    <n v="4.1399999999999997"/>
    <n v="3.36904"/>
    <n v="0.81377777777777804"/>
    <n v="0.99"/>
    <m/>
    <m/>
    <m/>
    <m/>
    <m/>
    <n v="0"/>
    <m/>
    <n v="0"/>
    <n v="0"/>
    <n v="0"/>
    <n v="0"/>
    <n v="0"/>
    <m/>
    <m/>
    <m/>
    <m/>
    <m/>
    <m/>
    <m/>
    <m/>
    <m/>
    <m/>
    <n v="0"/>
    <n v="0"/>
    <m/>
    <m/>
    <m/>
    <m/>
    <m/>
    <m/>
    <m/>
    <m/>
    <m/>
    <m/>
    <m/>
    <m/>
    <n v="0"/>
    <m/>
    <m/>
    <m/>
    <m/>
    <m/>
    <m/>
    <m/>
    <m/>
    <m/>
    <n v="71500"/>
    <n v="56992"/>
    <m/>
    <m/>
    <m/>
  </r>
  <r>
    <x v="933"/>
    <n v="236808"/>
    <n v="4.1399999999999997"/>
    <n v="3.3689939999999998"/>
    <n v="0.81376666666666697"/>
    <n v="0.99"/>
    <m/>
    <m/>
    <m/>
    <m/>
    <m/>
    <n v="0"/>
    <m/>
    <n v="0"/>
    <n v="0"/>
    <n v="0"/>
    <n v="0"/>
    <n v="0"/>
    <m/>
    <m/>
    <m/>
    <m/>
    <m/>
    <m/>
    <m/>
    <m/>
    <m/>
    <m/>
    <n v="0"/>
    <n v="0"/>
    <m/>
    <m/>
    <m/>
    <m/>
    <m/>
    <m/>
    <m/>
    <m/>
    <m/>
    <m/>
    <m/>
    <m/>
    <n v="0"/>
    <m/>
    <m/>
    <m/>
    <m/>
    <m/>
    <m/>
    <m/>
    <m/>
    <m/>
    <n v="71500"/>
    <n v="56992"/>
    <m/>
    <m/>
    <m/>
  </r>
  <r>
    <x v="934"/>
    <n v="236808"/>
    <n v="4.1399999999999997"/>
    <n v="3.3689480000000001"/>
    <n v="0.81375555555555601"/>
    <n v="0.99"/>
    <m/>
    <m/>
    <m/>
    <m/>
    <m/>
    <n v="0"/>
    <m/>
    <n v="0"/>
    <n v="0"/>
    <n v="0"/>
    <n v="0"/>
    <n v="0"/>
    <m/>
    <m/>
    <m/>
    <m/>
    <m/>
    <m/>
    <m/>
    <m/>
    <m/>
    <m/>
    <n v="0"/>
    <n v="0"/>
    <m/>
    <m/>
    <m/>
    <m/>
    <m/>
    <m/>
    <m/>
    <m/>
    <m/>
    <m/>
    <m/>
    <m/>
    <n v="0"/>
    <m/>
    <m/>
    <m/>
    <m/>
    <m/>
    <m/>
    <m/>
    <m/>
    <m/>
    <n v="71500"/>
    <n v="56992"/>
    <m/>
    <m/>
    <m/>
  </r>
  <r>
    <x v="935"/>
    <n v="236808"/>
    <n v="4.1399999999999997"/>
    <n v="3.3689019999999998"/>
    <n v="0.81374444444444405"/>
    <n v="0.99"/>
    <m/>
    <m/>
    <m/>
    <m/>
    <m/>
    <n v="0"/>
    <m/>
    <n v="0"/>
    <n v="0"/>
    <n v="0"/>
    <n v="0"/>
    <n v="0"/>
    <m/>
    <m/>
    <m/>
    <m/>
    <m/>
    <m/>
    <m/>
    <m/>
    <m/>
    <m/>
    <n v="0"/>
    <n v="0"/>
    <m/>
    <m/>
    <m/>
    <m/>
    <m/>
    <m/>
    <m/>
    <m/>
    <m/>
    <m/>
    <m/>
    <m/>
    <n v="0"/>
    <m/>
    <m/>
    <m/>
    <m/>
    <m/>
    <m/>
    <m/>
    <m/>
    <m/>
    <n v="71500"/>
    <n v="56992"/>
    <m/>
    <m/>
    <m/>
  </r>
  <r>
    <x v="936"/>
    <n v="236808"/>
    <n v="4.1399999999999997"/>
    <n v="3.3688560000000001"/>
    <n v="0.81373333333333298"/>
    <n v="0.99"/>
    <m/>
    <m/>
    <m/>
    <m/>
    <m/>
    <n v="0"/>
    <m/>
    <n v="0"/>
    <n v="0"/>
    <n v="0"/>
    <n v="0"/>
    <n v="0"/>
    <m/>
    <m/>
    <m/>
    <m/>
    <m/>
    <m/>
    <m/>
    <m/>
    <m/>
    <m/>
    <n v="0"/>
    <n v="0"/>
    <m/>
    <m/>
    <m/>
    <m/>
    <m/>
    <m/>
    <m/>
    <m/>
    <m/>
    <m/>
    <m/>
    <m/>
    <n v="0"/>
    <m/>
    <m/>
    <m/>
    <m/>
    <m/>
    <m/>
    <m/>
    <m/>
    <m/>
    <n v="71500"/>
    <n v="56992"/>
    <m/>
    <m/>
    <m/>
  </r>
  <r>
    <x v="937"/>
    <n v="236808"/>
    <n v="4.1399999999999997"/>
    <n v="3.3688099999999999"/>
    <n v="0.81372222222222201"/>
    <n v="0.99"/>
    <m/>
    <m/>
    <m/>
    <m/>
    <m/>
    <n v="0"/>
    <m/>
    <n v="0"/>
    <n v="0"/>
    <n v="0"/>
    <n v="0"/>
    <n v="0"/>
    <m/>
    <m/>
    <m/>
    <m/>
    <m/>
    <m/>
    <m/>
    <m/>
    <m/>
    <m/>
    <n v="0"/>
    <n v="0"/>
    <m/>
    <m/>
    <m/>
    <m/>
    <m/>
    <m/>
    <m/>
    <m/>
    <m/>
    <m/>
    <m/>
    <m/>
    <n v="0"/>
    <m/>
    <m/>
    <m/>
    <m/>
    <m/>
    <m/>
    <m/>
    <m/>
    <m/>
    <n v="71500"/>
    <n v="56992"/>
    <m/>
    <m/>
    <m/>
  </r>
  <r>
    <x v="938"/>
    <n v="236808"/>
    <n v="4.1399999999999997"/>
    <n v="3.3687640000000001"/>
    <n v="0.81371111111111105"/>
    <n v="0.99"/>
    <m/>
    <m/>
    <m/>
    <m/>
    <m/>
    <n v="0"/>
    <m/>
    <n v="0"/>
    <n v="0"/>
    <n v="0"/>
    <n v="0"/>
    <n v="0"/>
    <m/>
    <m/>
    <m/>
    <m/>
    <m/>
    <m/>
    <m/>
    <m/>
    <m/>
    <m/>
    <n v="0"/>
    <n v="0"/>
    <m/>
    <m/>
    <m/>
    <m/>
    <m/>
    <m/>
    <m/>
    <m/>
    <m/>
    <m/>
    <m/>
    <m/>
    <n v="0"/>
    <m/>
    <m/>
    <m/>
    <m/>
    <m/>
    <m/>
    <m/>
    <m/>
    <m/>
    <n v="71500"/>
    <n v="56992"/>
    <m/>
    <m/>
    <m/>
  </r>
  <r>
    <x v="939"/>
    <n v="236808"/>
    <n v="4.1399999999999997"/>
    <n v="3.3687179999999999"/>
    <n v="0.81369999999999998"/>
    <n v="0.99"/>
    <m/>
    <m/>
    <m/>
    <m/>
    <m/>
    <n v="0"/>
    <m/>
    <n v="0"/>
    <n v="0"/>
    <n v="0"/>
    <n v="0"/>
    <n v="0"/>
    <m/>
    <m/>
    <m/>
    <m/>
    <m/>
    <m/>
    <m/>
    <m/>
    <m/>
    <m/>
    <n v="0"/>
    <n v="0"/>
    <m/>
    <m/>
    <m/>
    <m/>
    <m/>
    <m/>
    <m/>
    <m/>
    <m/>
    <m/>
    <m/>
    <m/>
    <n v="0"/>
    <m/>
    <m/>
    <m/>
    <m/>
    <m/>
    <m/>
    <m/>
    <m/>
    <m/>
    <n v="71500"/>
    <n v="56992"/>
    <m/>
    <m/>
    <m/>
  </r>
  <r>
    <x v="940"/>
    <n v="236808"/>
    <n v="4.1399999999999997"/>
    <n v="3.3686720000000001"/>
    <n v="0.81368888888888902"/>
    <n v="0.99"/>
    <m/>
    <m/>
    <m/>
    <m/>
    <m/>
    <n v="0"/>
    <m/>
    <n v="0"/>
    <n v="0"/>
    <n v="0"/>
    <n v="0"/>
    <n v="0"/>
    <m/>
    <m/>
    <m/>
    <m/>
    <m/>
    <m/>
    <m/>
    <m/>
    <m/>
    <m/>
    <n v="0"/>
    <n v="0"/>
    <m/>
    <m/>
    <m/>
    <m/>
    <m/>
    <m/>
    <m/>
    <m/>
    <m/>
    <m/>
    <m/>
    <m/>
    <n v="0"/>
    <m/>
    <m/>
    <m/>
    <m/>
    <m/>
    <m/>
    <m/>
    <m/>
    <m/>
    <n v="71500"/>
    <n v="56992"/>
    <m/>
    <m/>
    <m/>
  </r>
  <r>
    <x v="941"/>
    <n v="236808"/>
    <n v="4.1399999999999997"/>
    <n v="3.3686259999999999"/>
    <n v="0.81367777777777806"/>
    <n v="0.99"/>
    <m/>
    <m/>
    <m/>
    <m/>
    <m/>
    <n v="0"/>
    <m/>
    <n v="0"/>
    <n v="0"/>
    <n v="0"/>
    <n v="0"/>
    <n v="0"/>
    <m/>
    <m/>
    <m/>
    <m/>
    <m/>
    <m/>
    <m/>
    <m/>
    <m/>
    <m/>
    <n v="0"/>
    <n v="0"/>
    <m/>
    <m/>
    <m/>
    <m/>
    <m/>
    <m/>
    <m/>
    <m/>
    <m/>
    <m/>
    <m/>
    <m/>
    <n v="0"/>
    <m/>
    <m/>
    <m/>
    <m/>
    <m/>
    <m/>
    <m/>
    <m/>
    <m/>
    <n v="71500"/>
    <n v="56992"/>
    <m/>
    <m/>
    <m/>
  </r>
  <r>
    <x v="942"/>
    <n v="249932.632258064"/>
    <n v="4.2064516129032299"/>
    <n v="3.4226494623655901"/>
    <n v="0.81366666666666698"/>
    <n v="0.99"/>
    <m/>
    <m/>
    <m/>
    <m/>
    <m/>
    <n v="0"/>
    <m/>
    <n v="0"/>
    <n v="0"/>
    <n v="0"/>
    <n v="0"/>
    <n v="0"/>
    <m/>
    <m/>
    <m/>
    <m/>
    <m/>
    <m/>
    <m/>
    <m/>
    <m/>
    <m/>
    <n v="0"/>
    <n v="0"/>
    <m/>
    <m/>
    <m/>
    <m/>
    <m/>
    <m/>
    <m/>
    <m/>
    <m/>
    <m/>
    <m/>
    <m/>
    <n v="0"/>
    <m/>
    <m/>
    <m/>
    <m/>
    <m/>
    <m/>
    <m/>
    <m/>
    <m/>
    <n v="71500"/>
    <n v="56992"/>
    <m/>
    <m/>
    <m/>
  </r>
  <r>
    <x v="943"/>
    <n v="249932.632258064"/>
    <n v="4.2064516129032299"/>
    <n v="3.42260272401434"/>
    <n v="0.81365555555555602"/>
    <n v="0.99"/>
    <m/>
    <m/>
    <m/>
    <m/>
    <m/>
    <n v="0"/>
    <m/>
    <n v="0"/>
    <n v="0"/>
    <n v="0"/>
    <n v="0"/>
    <n v="0"/>
    <m/>
    <m/>
    <m/>
    <m/>
    <m/>
    <m/>
    <m/>
    <m/>
    <m/>
    <m/>
    <n v="0"/>
    <n v="0"/>
    <m/>
    <m/>
    <m/>
    <m/>
    <m/>
    <m/>
    <m/>
    <m/>
    <m/>
    <m/>
    <m/>
    <m/>
    <n v="0"/>
    <m/>
    <m/>
    <m/>
    <m/>
    <m/>
    <m/>
    <m/>
    <m/>
    <m/>
    <n v="71500"/>
    <n v="56992"/>
    <m/>
    <m/>
    <m/>
  </r>
  <r>
    <x v="944"/>
    <n v="249932.632258064"/>
    <n v="4.2064516129032299"/>
    <n v="3.4225559856630801"/>
    <n v="0.81364444444444395"/>
    <n v="0.99"/>
    <m/>
    <m/>
    <m/>
    <m/>
    <m/>
    <n v="0"/>
    <m/>
    <n v="0"/>
    <n v="0"/>
    <n v="0"/>
    <n v="0"/>
    <n v="0"/>
    <m/>
    <m/>
    <m/>
    <m/>
    <m/>
    <m/>
    <m/>
    <m/>
    <m/>
    <m/>
    <n v="0"/>
    <n v="0"/>
    <m/>
    <m/>
    <m/>
    <m/>
    <m/>
    <m/>
    <m/>
    <m/>
    <m/>
    <m/>
    <m/>
    <m/>
    <n v="0"/>
    <m/>
    <m/>
    <m/>
    <m/>
    <m/>
    <m/>
    <m/>
    <m/>
    <m/>
    <n v="71500"/>
    <n v="56992"/>
    <m/>
    <m/>
    <m/>
  </r>
  <r>
    <x v="945"/>
    <n v="249932.632258064"/>
    <n v="4.2064516129032299"/>
    <n v="3.4225092473118299"/>
    <n v="0.81363333333333299"/>
    <n v="0.99"/>
    <m/>
    <m/>
    <m/>
    <m/>
    <m/>
    <n v="0"/>
    <m/>
    <n v="0"/>
    <n v="0"/>
    <n v="0"/>
    <n v="0"/>
    <n v="0"/>
    <m/>
    <m/>
    <m/>
    <m/>
    <m/>
    <m/>
    <m/>
    <m/>
    <m/>
    <m/>
    <n v="0"/>
    <n v="0"/>
    <m/>
    <m/>
    <m/>
    <m/>
    <m/>
    <m/>
    <m/>
    <m/>
    <m/>
    <m/>
    <m/>
    <m/>
    <n v="0"/>
    <m/>
    <m/>
    <m/>
    <m/>
    <m/>
    <m/>
    <m/>
    <m/>
    <m/>
    <n v="71500"/>
    <n v="56992"/>
    <m/>
    <m/>
    <m/>
  </r>
  <r>
    <x v="946"/>
    <n v="249932.632258064"/>
    <n v="4.2064516129032299"/>
    <n v="3.42246250896057"/>
    <n v="0.81362222222222202"/>
    <n v="0.99"/>
    <m/>
    <m/>
    <m/>
    <m/>
    <m/>
    <n v="0"/>
    <m/>
    <n v="0"/>
    <n v="0"/>
    <n v="0"/>
    <n v="0"/>
    <n v="0"/>
    <m/>
    <m/>
    <m/>
    <m/>
    <m/>
    <m/>
    <m/>
    <m/>
    <m/>
    <m/>
    <n v="0"/>
    <n v="0"/>
    <m/>
    <m/>
    <m/>
    <m/>
    <m/>
    <m/>
    <m/>
    <m/>
    <m/>
    <m/>
    <m/>
    <m/>
    <n v="0"/>
    <m/>
    <m/>
    <m/>
    <m/>
    <m/>
    <m/>
    <m/>
    <m/>
    <m/>
    <n v="71500"/>
    <n v="56992"/>
    <m/>
    <m/>
    <m/>
  </r>
  <r>
    <x v="947"/>
    <n v="249932.632258064"/>
    <n v="4.2064516129032299"/>
    <n v="3.4224157706093199"/>
    <n v="0.81361111111111095"/>
    <n v="0.99"/>
    <m/>
    <m/>
    <m/>
    <m/>
    <m/>
    <n v="0"/>
    <m/>
    <n v="0"/>
    <n v="0"/>
    <n v="0"/>
    <n v="0"/>
    <n v="0"/>
    <m/>
    <m/>
    <m/>
    <m/>
    <m/>
    <m/>
    <m/>
    <m/>
    <m/>
    <m/>
    <n v="0"/>
    <n v="0"/>
    <m/>
    <m/>
    <m/>
    <m/>
    <m/>
    <m/>
    <m/>
    <m/>
    <m/>
    <m/>
    <m/>
    <m/>
    <n v="0"/>
    <m/>
    <m/>
    <m/>
    <m/>
    <m/>
    <m/>
    <m/>
    <m/>
    <m/>
    <n v="71500"/>
    <n v="56992"/>
    <m/>
    <m/>
    <m/>
  </r>
  <r>
    <x v="948"/>
    <n v="249932.632258064"/>
    <n v="4.2064516129032299"/>
    <n v="3.42236903225806"/>
    <n v="0.81359999999999999"/>
    <n v="0.99"/>
    <m/>
    <m/>
    <m/>
    <m/>
    <m/>
    <n v="0"/>
    <m/>
    <n v="0"/>
    <n v="0"/>
    <n v="0"/>
    <n v="0"/>
    <n v="0"/>
    <m/>
    <m/>
    <m/>
    <m/>
    <m/>
    <m/>
    <m/>
    <m/>
    <m/>
    <m/>
    <n v="0"/>
    <n v="0"/>
    <m/>
    <m/>
    <m/>
    <m/>
    <m/>
    <m/>
    <m/>
    <m/>
    <m/>
    <m/>
    <m/>
    <m/>
    <n v="0"/>
    <m/>
    <m/>
    <m/>
    <m/>
    <m/>
    <m/>
    <m/>
    <m/>
    <m/>
    <n v="71500"/>
    <n v="56992"/>
    <m/>
    <m/>
    <m/>
  </r>
  <r>
    <x v="949"/>
    <n v="249932.632258064"/>
    <n v="4.2064516129032299"/>
    <n v="3.4223222939068099"/>
    <n v="0.81358888888888903"/>
    <n v="0.99"/>
    <m/>
    <m/>
    <m/>
    <m/>
    <m/>
    <n v="0"/>
    <m/>
    <n v="0"/>
    <n v="0"/>
    <n v="0"/>
    <n v="0"/>
    <n v="0"/>
    <m/>
    <m/>
    <m/>
    <m/>
    <m/>
    <m/>
    <m/>
    <m/>
    <m/>
    <m/>
    <n v="0"/>
    <n v="0"/>
    <m/>
    <m/>
    <m/>
    <m/>
    <m/>
    <m/>
    <m/>
    <m/>
    <m/>
    <m/>
    <m/>
    <m/>
    <n v="0"/>
    <m/>
    <m/>
    <m/>
    <m/>
    <m/>
    <m/>
    <m/>
    <m/>
    <m/>
    <n v="71500"/>
    <n v="56992"/>
    <m/>
    <m/>
    <m/>
  </r>
  <r>
    <x v="950"/>
    <n v="249932.632258064"/>
    <n v="4.2064516129032299"/>
    <n v="3.4222755555555602"/>
    <n v="0.81357777777777796"/>
    <n v="0.99"/>
    <m/>
    <m/>
    <m/>
    <m/>
    <m/>
    <n v="0"/>
    <m/>
    <n v="0"/>
    <n v="0"/>
    <n v="0"/>
    <n v="0"/>
    <n v="0"/>
    <m/>
    <m/>
    <m/>
    <m/>
    <m/>
    <m/>
    <m/>
    <m/>
    <m/>
    <m/>
    <n v="0"/>
    <n v="0"/>
    <m/>
    <m/>
    <m/>
    <m/>
    <m/>
    <m/>
    <m/>
    <m/>
    <m/>
    <m/>
    <m/>
    <m/>
    <n v="0"/>
    <m/>
    <m/>
    <m/>
    <m/>
    <m/>
    <m/>
    <m/>
    <m/>
    <m/>
    <n v="71500"/>
    <n v="56992"/>
    <m/>
    <m/>
    <m/>
  </r>
  <r>
    <x v="951"/>
    <n v="249932.632258064"/>
    <n v="4.2064516129032299"/>
    <n v="3.4222288172042998"/>
    <n v="0.81356666666666699"/>
    <n v="0.99"/>
    <m/>
    <m/>
    <m/>
    <m/>
    <m/>
    <n v="0"/>
    <m/>
    <n v="0"/>
    <n v="0"/>
    <n v="0"/>
    <n v="0"/>
    <n v="0"/>
    <m/>
    <m/>
    <m/>
    <m/>
    <m/>
    <m/>
    <m/>
    <m/>
    <m/>
    <m/>
    <n v="0"/>
    <n v="0"/>
    <m/>
    <m/>
    <m/>
    <m/>
    <m/>
    <m/>
    <m/>
    <m/>
    <m/>
    <m/>
    <m/>
    <m/>
    <n v="0"/>
    <m/>
    <m/>
    <m/>
    <m/>
    <m/>
    <m/>
    <m/>
    <m/>
    <m/>
    <n v="71500"/>
    <n v="56992"/>
    <m/>
    <m/>
    <m/>
  </r>
  <r>
    <x v="952"/>
    <n v="249932.632258064"/>
    <n v="4.2064516129032299"/>
    <n v="3.4221820788530501"/>
    <n v="0.81355555555555603"/>
    <n v="0.99"/>
    <m/>
    <m/>
    <m/>
    <m/>
    <m/>
    <n v="0"/>
    <m/>
    <n v="0"/>
    <n v="0"/>
    <n v="0"/>
    <n v="0"/>
    <n v="0"/>
    <m/>
    <m/>
    <m/>
    <m/>
    <m/>
    <m/>
    <m/>
    <m/>
    <m/>
    <m/>
    <n v="0"/>
    <n v="0"/>
    <m/>
    <m/>
    <m/>
    <m/>
    <m/>
    <m/>
    <m/>
    <m/>
    <m/>
    <m/>
    <m/>
    <m/>
    <n v="0"/>
    <m/>
    <m/>
    <m/>
    <m/>
    <m/>
    <m/>
    <m/>
    <m/>
    <m/>
    <n v="71500"/>
    <n v="56992"/>
    <m/>
    <m/>
    <m/>
  </r>
  <r>
    <x v="953"/>
    <n v="249932.632258064"/>
    <n v="4.2064516129032299"/>
    <n v="3.4221353405017898"/>
    <n v="0.81354444444444396"/>
    <n v="0.99"/>
    <m/>
    <m/>
    <m/>
    <m/>
    <m/>
    <n v="0"/>
    <m/>
    <n v="0"/>
    <n v="0"/>
    <n v="0"/>
    <n v="0"/>
    <n v="0"/>
    <m/>
    <m/>
    <m/>
    <m/>
    <m/>
    <m/>
    <m/>
    <m/>
    <m/>
    <m/>
    <n v="0"/>
    <n v="0"/>
    <m/>
    <m/>
    <m/>
    <m/>
    <m/>
    <m/>
    <m/>
    <m/>
    <m/>
    <m/>
    <m/>
    <m/>
    <n v="0"/>
    <m/>
    <m/>
    <m/>
    <m/>
    <m/>
    <m/>
    <m/>
    <m/>
    <m/>
    <n v="71500"/>
    <n v="56992"/>
    <m/>
    <m/>
    <m/>
  </r>
  <r>
    <x v="954"/>
    <n v="249932.632258064"/>
    <n v="4.2064516129032299"/>
    <n v="3.4220886021505401"/>
    <n v="0.813533333333333"/>
    <n v="0.99"/>
    <m/>
    <m/>
    <m/>
    <m/>
    <m/>
    <n v="0"/>
    <m/>
    <n v="0"/>
    <n v="0"/>
    <n v="0"/>
    <n v="0"/>
    <n v="0"/>
    <m/>
    <m/>
    <m/>
    <m/>
    <m/>
    <m/>
    <m/>
    <m/>
    <m/>
    <m/>
    <n v="0"/>
    <n v="0"/>
    <m/>
    <m/>
    <m/>
    <m/>
    <m/>
    <m/>
    <m/>
    <m/>
    <m/>
    <m/>
    <m/>
    <m/>
    <n v="0"/>
    <m/>
    <m/>
    <m/>
    <m/>
    <m/>
    <m/>
    <m/>
    <m/>
    <m/>
    <n v="71500"/>
    <n v="56992"/>
    <m/>
    <m/>
    <m/>
  </r>
  <r>
    <x v="955"/>
    <n v="249932.632258064"/>
    <n v="4.2064516129032299"/>
    <n v="3.4220418637992802"/>
    <n v="0.81352222222222204"/>
    <n v="0.99"/>
    <m/>
    <m/>
    <m/>
    <m/>
    <m/>
    <n v="0"/>
    <m/>
    <n v="0"/>
    <n v="0"/>
    <n v="0"/>
    <n v="0"/>
    <n v="0"/>
    <m/>
    <m/>
    <m/>
    <m/>
    <m/>
    <m/>
    <m/>
    <m/>
    <m/>
    <m/>
    <n v="0"/>
    <n v="0"/>
    <m/>
    <m/>
    <m/>
    <m/>
    <m/>
    <m/>
    <m/>
    <m/>
    <m/>
    <m/>
    <m/>
    <m/>
    <n v="0"/>
    <m/>
    <m/>
    <m/>
    <m/>
    <m/>
    <m/>
    <m/>
    <m/>
    <m/>
    <n v="71500"/>
    <n v="56992"/>
    <m/>
    <m/>
    <m/>
  </r>
  <r>
    <x v="956"/>
    <n v="249932.632258064"/>
    <n v="4.2064516129032299"/>
    <n v="3.4219951254480301"/>
    <n v="0.81351111111111096"/>
    <n v="0.99"/>
    <m/>
    <m/>
    <m/>
    <m/>
    <m/>
    <n v="0"/>
    <m/>
    <n v="0"/>
    <n v="0"/>
    <n v="0"/>
    <n v="0"/>
    <n v="0"/>
    <m/>
    <m/>
    <m/>
    <m/>
    <m/>
    <m/>
    <m/>
    <m/>
    <m/>
    <m/>
    <n v="0"/>
    <n v="0"/>
    <m/>
    <m/>
    <m/>
    <m/>
    <m/>
    <m/>
    <m/>
    <m/>
    <m/>
    <m/>
    <m/>
    <m/>
    <n v="0"/>
    <m/>
    <m/>
    <m/>
    <m/>
    <m/>
    <m/>
    <m/>
    <m/>
    <m/>
    <n v="71500"/>
    <n v="56992"/>
    <m/>
    <m/>
    <m/>
  </r>
  <r>
    <x v="957"/>
    <n v="249932.632258064"/>
    <n v="4.2064516129032299"/>
    <n v="3.4219483870967702"/>
    <n v="0.8135"/>
    <n v="0.99"/>
    <m/>
    <m/>
    <m/>
    <m/>
    <m/>
    <n v="0"/>
    <m/>
    <n v="0"/>
    <n v="0"/>
    <n v="0"/>
    <n v="0"/>
    <n v="0"/>
    <m/>
    <m/>
    <m/>
    <m/>
    <m/>
    <m/>
    <m/>
    <m/>
    <m/>
    <m/>
    <n v="0"/>
    <n v="0"/>
    <m/>
    <m/>
    <m/>
    <m/>
    <m/>
    <m/>
    <m/>
    <m/>
    <m/>
    <m/>
    <m/>
    <m/>
    <n v="0"/>
    <m/>
    <m/>
    <m/>
    <m/>
    <m/>
    <m/>
    <m/>
    <m/>
    <m/>
    <n v="71500"/>
    <n v="56992"/>
    <m/>
    <m/>
    <m/>
  </r>
  <r>
    <x v="958"/>
    <n v="249932.632258064"/>
    <n v="4.2064516129032299"/>
    <n v="3.4219016487455201"/>
    <n v="0.81348888888888904"/>
    <n v="0.99"/>
    <m/>
    <m/>
    <m/>
    <m/>
    <m/>
    <n v="0"/>
    <m/>
    <n v="0"/>
    <n v="0"/>
    <n v="0"/>
    <n v="0"/>
    <n v="0"/>
    <m/>
    <m/>
    <m/>
    <m/>
    <m/>
    <m/>
    <m/>
    <m/>
    <m/>
    <m/>
    <n v="0"/>
    <n v="0"/>
    <m/>
    <m/>
    <m/>
    <m/>
    <m/>
    <m/>
    <m/>
    <m/>
    <m/>
    <m/>
    <m/>
    <m/>
    <n v="0"/>
    <m/>
    <m/>
    <m/>
    <m/>
    <m/>
    <m/>
    <m/>
    <m/>
    <m/>
    <n v="71500"/>
    <n v="56992"/>
    <m/>
    <m/>
    <m/>
  </r>
  <r>
    <x v="959"/>
    <n v="249932.632258064"/>
    <n v="4.2064516129032299"/>
    <n v="3.4218549103942699"/>
    <n v="0.81347777777777797"/>
    <n v="0.99"/>
    <m/>
    <m/>
    <m/>
    <m/>
    <m/>
    <n v="0"/>
    <m/>
    <n v="0"/>
    <n v="0"/>
    <n v="0"/>
    <n v="0"/>
    <n v="0"/>
    <m/>
    <m/>
    <m/>
    <m/>
    <m/>
    <m/>
    <m/>
    <m/>
    <m/>
    <m/>
    <n v="0"/>
    <n v="0"/>
    <m/>
    <m/>
    <m/>
    <m/>
    <m/>
    <m/>
    <m/>
    <m/>
    <m/>
    <m/>
    <m/>
    <m/>
    <n v="0"/>
    <m/>
    <m/>
    <m/>
    <m/>
    <m/>
    <m/>
    <m/>
    <m/>
    <m/>
    <n v="71500"/>
    <n v="56992"/>
    <m/>
    <m/>
    <m/>
  </r>
  <r>
    <x v="960"/>
    <n v="249932.632258064"/>
    <n v="4.2064516129032299"/>
    <n v="3.42180817204301"/>
    <n v="0.813466666666667"/>
    <n v="0.99"/>
    <m/>
    <m/>
    <m/>
    <m/>
    <m/>
    <n v="0"/>
    <m/>
    <n v="0"/>
    <n v="0"/>
    <n v="0"/>
    <n v="0"/>
    <n v="0"/>
    <m/>
    <m/>
    <m/>
    <m/>
    <m/>
    <m/>
    <m/>
    <m/>
    <m/>
    <m/>
    <n v="0"/>
    <n v="0"/>
    <m/>
    <m/>
    <m/>
    <m/>
    <m/>
    <m/>
    <m/>
    <m/>
    <m/>
    <m/>
    <m/>
    <m/>
    <n v="0"/>
    <m/>
    <m/>
    <m/>
    <m/>
    <m/>
    <m/>
    <m/>
    <m/>
    <m/>
    <n v="71500"/>
    <n v="56992"/>
    <m/>
    <m/>
    <m/>
  </r>
  <r>
    <x v="961"/>
    <n v="249932.632258064"/>
    <n v="4.2064516129032299"/>
    <n v="3.4217614336917599"/>
    <n v="0.81345555555555504"/>
    <n v="0.99"/>
    <m/>
    <m/>
    <m/>
    <m/>
    <m/>
    <n v="0"/>
    <m/>
    <n v="0"/>
    <n v="0"/>
    <n v="0"/>
    <n v="0"/>
    <n v="0"/>
    <m/>
    <m/>
    <m/>
    <m/>
    <m/>
    <m/>
    <m/>
    <m/>
    <m/>
    <m/>
    <n v="0"/>
    <n v="0"/>
    <m/>
    <m/>
    <m/>
    <m/>
    <m/>
    <m/>
    <m/>
    <m/>
    <m/>
    <m/>
    <m/>
    <m/>
    <n v="0"/>
    <m/>
    <m/>
    <m/>
    <m/>
    <m/>
    <m/>
    <m/>
    <m/>
    <m/>
    <n v="71500"/>
    <n v="56992"/>
    <m/>
    <m/>
    <m/>
  </r>
  <r>
    <x v="962"/>
    <n v="249932.632258064"/>
    <n v="4.2064516129032299"/>
    <n v="3.4217146953405"/>
    <n v="0.81344444444444397"/>
    <n v="0.99"/>
    <m/>
    <m/>
    <m/>
    <m/>
    <m/>
    <n v="0"/>
    <m/>
    <n v="0"/>
    <n v="0"/>
    <n v="0"/>
    <n v="0"/>
    <n v="0"/>
    <m/>
    <m/>
    <m/>
    <m/>
    <m/>
    <m/>
    <m/>
    <m/>
    <m/>
    <m/>
    <n v="0"/>
    <n v="0"/>
    <m/>
    <m/>
    <m/>
    <m/>
    <m/>
    <m/>
    <m/>
    <m/>
    <m/>
    <m/>
    <m/>
    <m/>
    <n v="0"/>
    <m/>
    <m/>
    <m/>
    <m/>
    <m/>
    <m/>
    <m/>
    <m/>
    <m/>
    <n v="71500"/>
    <n v="56992"/>
    <m/>
    <m/>
    <m/>
  </r>
  <r>
    <x v="963"/>
    <n v="249932.632258064"/>
    <n v="4.2064516129032299"/>
    <n v="3.4216679569892499"/>
    <n v="0.81343333333333301"/>
    <n v="0.99"/>
    <m/>
    <m/>
    <m/>
    <m/>
    <m/>
    <n v="0"/>
    <m/>
    <n v="0"/>
    <n v="0"/>
    <n v="0"/>
    <n v="0"/>
    <n v="0"/>
    <m/>
    <m/>
    <m/>
    <m/>
    <m/>
    <m/>
    <m/>
    <m/>
    <m/>
    <m/>
    <n v="0"/>
    <n v="0"/>
    <m/>
    <m/>
    <m/>
    <m/>
    <m/>
    <m/>
    <m/>
    <m/>
    <m/>
    <m/>
    <m/>
    <m/>
    <n v="0"/>
    <m/>
    <m/>
    <m/>
    <m/>
    <m/>
    <m/>
    <m/>
    <m/>
    <m/>
    <n v="71500"/>
    <n v="56992"/>
    <m/>
    <m/>
    <m/>
  </r>
  <r>
    <x v="964"/>
    <n v="249932.632258064"/>
    <n v="4.2064516129032299"/>
    <n v="3.42162121863799"/>
    <n v="0.81342222222222205"/>
    <n v="0.99"/>
    <m/>
    <m/>
    <m/>
    <m/>
    <m/>
    <n v="0"/>
    <m/>
    <n v="0"/>
    <n v="0"/>
    <n v="0"/>
    <n v="0"/>
    <n v="0"/>
    <m/>
    <m/>
    <m/>
    <m/>
    <m/>
    <m/>
    <m/>
    <m/>
    <m/>
    <m/>
    <n v="0"/>
    <n v="0"/>
    <m/>
    <m/>
    <m/>
    <m/>
    <m/>
    <m/>
    <m/>
    <m/>
    <m/>
    <m/>
    <m/>
    <m/>
    <n v="0"/>
    <m/>
    <m/>
    <m/>
    <m/>
    <m/>
    <m/>
    <m/>
    <m/>
    <m/>
    <n v="71500"/>
    <n v="56992"/>
    <m/>
    <m/>
    <m/>
  </r>
  <r>
    <x v="965"/>
    <n v="249932.632258064"/>
    <n v="4.2064516129032299"/>
    <n v="3.4215744802867398"/>
    <n v="0.81341111111111097"/>
    <n v="0.99"/>
    <m/>
    <m/>
    <m/>
    <m/>
    <m/>
    <n v="0"/>
    <m/>
    <n v="0"/>
    <n v="0"/>
    <n v="0"/>
    <n v="0"/>
    <n v="0"/>
    <m/>
    <m/>
    <m/>
    <m/>
    <m/>
    <m/>
    <m/>
    <m/>
    <m/>
    <m/>
    <n v="0"/>
    <n v="0"/>
    <m/>
    <m/>
    <m/>
    <m/>
    <m/>
    <m/>
    <m/>
    <m/>
    <m/>
    <m/>
    <m/>
    <m/>
    <n v="0"/>
    <m/>
    <m/>
    <m/>
    <m/>
    <m/>
    <m/>
    <m/>
    <m/>
    <m/>
    <n v="71500"/>
    <n v="56992"/>
    <m/>
    <m/>
    <m/>
  </r>
  <r>
    <x v="966"/>
    <n v="249932.632258064"/>
    <n v="4.2064516129032299"/>
    <n v="3.4215277419354799"/>
    <n v="0.81340000000000001"/>
    <n v="0.99"/>
    <m/>
    <m/>
    <m/>
    <m/>
    <m/>
    <n v="0"/>
    <m/>
    <n v="0"/>
    <n v="0"/>
    <n v="0"/>
    <n v="0"/>
    <n v="0"/>
    <m/>
    <m/>
    <m/>
    <m/>
    <m/>
    <m/>
    <m/>
    <m/>
    <m/>
    <m/>
    <n v="0"/>
    <n v="0"/>
    <m/>
    <m/>
    <m/>
    <m/>
    <m/>
    <m/>
    <m/>
    <m/>
    <m/>
    <m/>
    <m/>
    <m/>
    <n v="0"/>
    <m/>
    <m/>
    <m/>
    <m/>
    <m/>
    <m/>
    <m/>
    <m/>
    <m/>
    <n v="71500"/>
    <n v="56992"/>
    <m/>
    <m/>
    <m/>
  </r>
  <r>
    <x v="967"/>
    <n v="249932.632258064"/>
    <n v="4.2064516129032299"/>
    <n v="3.4214810035842298"/>
    <n v="0.81338888888888905"/>
    <n v="0.99"/>
    <m/>
    <m/>
    <m/>
    <m/>
    <m/>
    <n v="0"/>
    <m/>
    <n v="0"/>
    <n v="0"/>
    <n v="0"/>
    <n v="0"/>
    <n v="0"/>
    <m/>
    <m/>
    <m/>
    <m/>
    <m/>
    <m/>
    <m/>
    <m/>
    <m/>
    <m/>
    <n v="0"/>
    <n v="0"/>
    <m/>
    <m/>
    <m/>
    <m/>
    <m/>
    <m/>
    <m/>
    <m/>
    <m/>
    <m/>
    <m/>
    <m/>
    <n v="0"/>
    <m/>
    <m/>
    <m/>
    <m/>
    <m/>
    <m/>
    <m/>
    <m/>
    <m/>
    <n v="71500"/>
    <n v="56992"/>
    <m/>
    <m/>
    <m/>
  </r>
  <r>
    <x v="968"/>
    <n v="249932.632258064"/>
    <n v="4.2064516129032299"/>
    <n v="3.4214342652329801"/>
    <n v="0.81337777777777798"/>
    <n v="0.99"/>
    <m/>
    <m/>
    <m/>
    <m/>
    <m/>
    <n v="0"/>
    <m/>
    <n v="0"/>
    <n v="0"/>
    <n v="0"/>
    <n v="0"/>
    <n v="0"/>
    <m/>
    <m/>
    <m/>
    <m/>
    <m/>
    <m/>
    <m/>
    <m/>
    <m/>
    <m/>
    <n v="0"/>
    <n v="0"/>
    <m/>
    <m/>
    <m/>
    <m/>
    <m/>
    <m/>
    <m/>
    <m/>
    <m/>
    <m/>
    <m/>
    <m/>
    <n v="0"/>
    <m/>
    <m/>
    <m/>
    <m/>
    <m/>
    <m/>
    <m/>
    <m/>
    <m/>
    <n v="71500"/>
    <n v="56992"/>
    <m/>
    <m/>
    <m/>
  </r>
  <r>
    <x v="969"/>
    <n v="249932.632258064"/>
    <n v="4.2064516129032299"/>
    <n v="3.4213875268817202"/>
    <n v="0.81336666666666702"/>
    <n v="0.99"/>
    <m/>
    <m/>
    <m/>
    <m/>
    <m/>
    <n v="0"/>
    <m/>
    <n v="0"/>
    <n v="0"/>
    <n v="0"/>
    <n v="0"/>
    <n v="0"/>
    <m/>
    <m/>
    <m/>
    <m/>
    <m/>
    <m/>
    <m/>
    <m/>
    <m/>
    <m/>
    <n v="0"/>
    <n v="0"/>
    <m/>
    <m/>
    <m/>
    <m/>
    <m/>
    <m/>
    <m/>
    <m/>
    <m/>
    <m/>
    <m/>
    <m/>
    <n v="0"/>
    <m/>
    <m/>
    <m/>
    <m/>
    <m/>
    <m/>
    <m/>
    <m/>
    <m/>
    <n v="71500"/>
    <n v="56992"/>
    <m/>
    <m/>
    <m/>
  </r>
  <r>
    <x v="970"/>
    <n v="249932.632258064"/>
    <n v="4.2064516129032299"/>
    <n v="3.4213407885304701"/>
    <n v="0.81335555555555505"/>
    <n v="0.99"/>
    <m/>
    <m/>
    <m/>
    <m/>
    <m/>
    <n v="0"/>
    <m/>
    <n v="0"/>
    <n v="0"/>
    <n v="0"/>
    <n v="0"/>
    <n v="0"/>
    <m/>
    <m/>
    <m/>
    <m/>
    <m/>
    <m/>
    <m/>
    <m/>
    <m/>
    <m/>
    <n v="0"/>
    <n v="0"/>
    <m/>
    <m/>
    <m/>
    <m/>
    <m/>
    <m/>
    <m/>
    <m/>
    <m/>
    <m/>
    <m/>
    <m/>
    <n v="0"/>
    <m/>
    <m/>
    <m/>
    <m/>
    <m/>
    <m/>
    <m/>
    <m/>
    <m/>
    <n v="71500"/>
    <n v="56992"/>
    <m/>
    <m/>
    <m/>
  </r>
  <r>
    <x v="971"/>
    <n v="249932.632258064"/>
    <n v="4.2064516129032299"/>
    <n v="3.4212940501792102"/>
    <n v="0.81334444444444398"/>
    <n v="0.99"/>
    <m/>
    <m/>
    <m/>
    <m/>
    <m/>
    <n v="0"/>
    <m/>
    <n v="0"/>
    <n v="0"/>
    <n v="0"/>
    <n v="0"/>
    <n v="0"/>
    <m/>
    <m/>
    <m/>
    <m/>
    <m/>
    <m/>
    <m/>
    <m/>
    <m/>
    <m/>
    <n v="0"/>
    <n v="0"/>
    <m/>
    <m/>
    <m/>
    <m/>
    <m/>
    <m/>
    <m/>
    <m/>
    <m/>
    <m/>
    <m/>
    <m/>
    <n v="0"/>
    <m/>
    <m/>
    <m/>
    <m/>
    <m/>
    <m/>
    <m/>
    <m/>
    <m/>
    <n v="71500"/>
    <n v="56992"/>
    <m/>
    <m/>
    <m/>
  </r>
  <r>
    <x v="972"/>
    <n v="249932.632258064"/>
    <n v="4.2064516129032299"/>
    <n v="3.42124731182796"/>
    <n v="0.81333333333333302"/>
    <n v="0.99"/>
    <m/>
    <m/>
    <m/>
    <m/>
    <m/>
    <n v="0"/>
    <m/>
    <n v="0"/>
    <n v="0"/>
    <n v="0"/>
    <n v="0"/>
    <n v="0"/>
    <m/>
    <m/>
    <m/>
    <m/>
    <m/>
    <m/>
    <m/>
    <m/>
    <m/>
    <m/>
    <n v="0"/>
    <n v="0"/>
    <m/>
    <m/>
    <m/>
    <m/>
    <m/>
    <m/>
    <m/>
    <m/>
    <m/>
    <m/>
    <m/>
    <m/>
    <n v="0"/>
    <m/>
    <m/>
    <m/>
    <m/>
    <m/>
    <m/>
    <m/>
    <m/>
    <m/>
    <n v="71500"/>
    <n v="56992"/>
    <m/>
    <m/>
    <m/>
  </r>
  <r>
    <x v="973"/>
    <n v="261950.629032258"/>
    <n v="4.4193548387096797"/>
    <n v="3.5944086021505401"/>
    <n v="0.81333333333333302"/>
    <n v="0.99"/>
    <m/>
    <m/>
    <m/>
    <m/>
    <m/>
    <n v="0"/>
    <m/>
    <n v="0"/>
    <n v="0"/>
    <n v="0"/>
    <n v="0"/>
    <n v="0"/>
    <m/>
    <m/>
    <m/>
    <m/>
    <m/>
    <m/>
    <m/>
    <m/>
    <m/>
    <m/>
    <n v="0"/>
    <n v="0"/>
    <m/>
    <m/>
    <m/>
    <m/>
    <m/>
    <m/>
    <m/>
    <m/>
    <m/>
    <m/>
    <m/>
    <m/>
    <n v="0"/>
    <m/>
    <m/>
    <m/>
    <m/>
    <m/>
    <m/>
    <m/>
    <m/>
    <m/>
    <n v="71500"/>
    <n v="56992"/>
    <m/>
    <m/>
    <m/>
  </r>
  <r>
    <x v="974"/>
    <n v="261950.629032258"/>
    <n v="4.4193548387096797"/>
    <n v="3.5943594982078801"/>
    <n v="0.81332222222222195"/>
    <n v="0.99"/>
    <m/>
    <m/>
    <m/>
    <m/>
    <m/>
    <n v="0"/>
    <m/>
    <n v="0"/>
    <n v="0"/>
    <n v="0"/>
    <n v="0"/>
    <n v="0"/>
    <m/>
    <m/>
    <m/>
    <m/>
    <m/>
    <m/>
    <m/>
    <m/>
    <m/>
    <m/>
    <n v="0"/>
    <n v="0"/>
    <m/>
    <m/>
    <m/>
    <m/>
    <m/>
    <m/>
    <m/>
    <m/>
    <m/>
    <m/>
    <m/>
    <m/>
    <n v="0"/>
    <m/>
    <m/>
    <m/>
    <m/>
    <m/>
    <m/>
    <m/>
    <m/>
    <m/>
    <n v="71500"/>
    <n v="56992"/>
    <m/>
    <m/>
    <m/>
  </r>
  <r>
    <x v="975"/>
    <n v="261950.629032258"/>
    <n v="4.4193548387096797"/>
    <n v="3.5943103942652299"/>
    <n v="0.81331111111111098"/>
    <n v="0.99"/>
    <m/>
    <m/>
    <m/>
    <m/>
    <m/>
    <n v="0"/>
    <m/>
    <n v="0"/>
    <n v="0"/>
    <n v="0"/>
    <n v="0"/>
    <n v="0"/>
    <m/>
    <m/>
    <m/>
    <m/>
    <m/>
    <m/>
    <m/>
    <m/>
    <m/>
    <m/>
    <n v="0"/>
    <n v="0"/>
    <m/>
    <m/>
    <m/>
    <m/>
    <m/>
    <m/>
    <m/>
    <m/>
    <m/>
    <m/>
    <m/>
    <m/>
    <n v="0"/>
    <m/>
    <m/>
    <m/>
    <m/>
    <m/>
    <m/>
    <m/>
    <m/>
    <m/>
    <n v="71500"/>
    <n v="56992"/>
    <m/>
    <m/>
    <m/>
  </r>
  <r>
    <x v="976"/>
    <n v="261950.629032258"/>
    <n v="4.4193548387096797"/>
    <n v="3.5942612903225801"/>
    <n v="0.81330000000000002"/>
    <n v="0.99"/>
    <m/>
    <m/>
    <m/>
    <m/>
    <m/>
    <n v="0"/>
    <m/>
    <n v="0"/>
    <n v="0"/>
    <n v="0"/>
    <n v="0"/>
    <n v="0"/>
    <m/>
    <m/>
    <m/>
    <m/>
    <m/>
    <m/>
    <m/>
    <m/>
    <m/>
    <m/>
    <n v="0"/>
    <n v="0"/>
    <m/>
    <m/>
    <m/>
    <m/>
    <m/>
    <m/>
    <m/>
    <m/>
    <m/>
    <m/>
    <m/>
    <m/>
    <n v="0"/>
    <m/>
    <m/>
    <m/>
    <m/>
    <m/>
    <m/>
    <m/>
    <m/>
    <m/>
    <n v="71500"/>
    <n v="56992"/>
    <m/>
    <m/>
    <m/>
  </r>
  <r>
    <x v="977"/>
    <n v="261950.629032258"/>
    <n v="4.4193548387096797"/>
    <n v="3.5942121863799299"/>
    <n v="0.81328888888888895"/>
    <n v="0.99"/>
    <m/>
    <m/>
    <m/>
    <m/>
    <m/>
    <n v="0"/>
    <m/>
    <n v="0"/>
    <n v="0"/>
    <n v="0"/>
    <n v="0"/>
    <n v="0"/>
    <m/>
    <m/>
    <m/>
    <m/>
    <m/>
    <m/>
    <m/>
    <m/>
    <m/>
    <m/>
    <n v="0"/>
    <n v="0"/>
    <m/>
    <m/>
    <m/>
    <m/>
    <m/>
    <m/>
    <m/>
    <m/>
    <m/>
    <m/>
    <m/>
    <m/>
    <n v="0"/>
    <m/>
    <m/>
    <m/>
    <m/>
    <m/>
    <m/>
    <m/>
    <m/>
    <m/>
    <n v="71500"/>
    <n v="56992"/>
    <m/>
    <m/>
    <m/>
  </r>
  <r>
    <x v="978"/>
    <n v="261950.629032258"/>
    <n v="4.4193548387096797"/>
    <n v="3.5941630824372801"/>
    <n v="0.81327777777777799"/>
    <n v="0.99"/>
    <m/>
    <m/>
    <m/>
    <m/>
    <m/>
    <n v="0"/>
    <m/>
    <n v="0"/>
    <n v="0"/>
    <n v="0"/>
    <n v="0"/>
    <n v="0"/>
    <m/>
    <m/>
    <m/>
    <m/>
    <m/>
    <m/>
    <m/>
    <m/>
    <m/>
    <m/>
    <n v="0"/>
    <n v="0"/>
    <m/>
    <m/>
    <m/>
    <m/>
    <m/>
    <m/>
    <m/>
    <m/>
    <m/>
    <m/>
    <m/>
    <m/>
    <n v="0"/>
    <m/>
    <m/>
    <m/>
    <m/>
    <m/>
    <m/>
    <m/>
    <m/>
    <m/>
    <n v="71500"/>
    <n v="56992"/>
    <m/>
    <m/>
    <m/>
  </r>
  <r>
    <x v="979"/>
    <n v="261950.629032258"/>
    <n v="4.4193548387096797"/>
    <n v="3.5941139784946201"/>
    <n v="0.81326666666666703"/>
    <n v="0.99"/>
    <m/>
    <m/>
    <m/>
    <m/>
    <m/>
    <n v="0"/>
    <m/>
    <n v="0"/>
    <n v="0"/>
    <n v="0"/>
    <n v="0"/>
    <n v="0"/>
    <m/>
    <m/>
    <m/>
    <m/>
    <m/>
    <m/>
    <m/>
    <m/>
    <m/>
    <m/>
    <n v="0"/>
    <n v="0"/>
    <m/>
    <m/>
    <m/>
    <m/>
    <m/>
    <m/>
    <m/>
    <m/>
    <m/>
    <m/>
    <m/>
    <m/>
    <n v="0"/>
    <m/>
    <m/>
    <m/>
    <m/>
    <m/>
    <m/>
    <m/>
    <m/>
    <m/>
    <n v="71500"/>
    <n v="56992"/>
    <m/>
    <m/>
    <m/>
  </r>
  <r>
    <x v="980"/>
    <n v="261950.629032258"/>
    <n v="4.4193548387096797"/>
    <n v="3.5940648745519699"/>
    <n v="0.81325555555555595"/>
    <n v="0.99"/>
    <m/>
    <m/>
    <m/>
    <m/>
    <m/>
    <n v="0"/>
    <m/>
    <n v="0"/>
    <n v="0"/>
    <n v="0"/>
    <n v="0"/>
    <n v="0"/>
    <m/>
    <m/>
    <m/>
    <m/>
    <m/>
    <m/>
    <m/>
    <m/>
    <m/>
    <m/>
    <n v="0"/>
    <n v="0"/>
    <m/>
    <m/>
    <m/>
    <m/>
    <m/>
    <m/>
    <m/>
    <m/>
    <m/>
    <m/>
    <m/>
    <m/>
    <n v="0"/>
    <m/>
    <m/>
    <m/>
    <m/>
    <m/>
    <m/>
    <m/>
    <m/>
    <m/>
    <n v="71500"/>
    <n v="56992"/>
    <m/>
    <m/>
    <m/>
  </r>
  <r>
    <x v="981"/>
    <n v="261950.629032258"/>
    <n v="4.4193548387096797"/>
    <n v="3.5940157706093201"/>
    <n v="0.81324444444444399"/>
    <n v="0.99"/>
    <m/>
    <m/>
    <m/>
    <m/>
    <m/>
    <n v="0"/>
    <m/>
    <n v="0"/>
    <n v="0"/>
    <n v="0"/>
    <n v="0"/>
    <n v="0"/>
    <m/>
    <m/>
    <m/>
    <m/>
    <m/>
    <m/>
    <m/>
    <m/>
    <m/>
    <m/>
    <n v="0"/>
    <n v="0"/>
    <m/>
    <m/>
    <m/>
    <m/>
    <m/>
    <m/>
    <m/>
    <m/>
    <m/>
    <m/>
    <m/>
    <m/>
    <n v="0"/>
    <m/>
    <m/>
    <m/>
    <m/>
    <m/>
    <m/>
    <m/>
    <m/>
    <m/>
    <n v="71500"/>
    <n v="56992"/>
    <m/>
    <m/>
    <m/>
  </r>
  <r>
    <x v="982"/>
    <n v="261950.629032258"/>
    <n v="4.4193548387096797"/>
    <n v="3.5939666666666699"/>
    <n v="0.81323333333333303"/>
    <n v="0.99"/>
    <m/>
    <m/>
    <m/>
    <m/>
    <m/>
    <n v="0"/>
    <m/>
    <n v="0"/>
    <n v="0"/>
    <n v="0"/>
    <n v="0"/>
    <n v="0"/>
    <m/>
    <m/>
    <m/>
    <m/>
    <m/>
    <m/>
    <m/>
    <m/>
    <m/>
    <m/>
    <n v="0"/>
    <n v="0"/>
    <m/>
    <m/>
    <m/>
    <m/>
    <m/>
    <m/>
    <m/>
    <m/>
    <m/>
    <m/>
    <m/>
    <m/>
    <n v="0"/>
    <m/>
    <m/>
    <m/>
    <m/>
    <m/>
    <m/>
    <m/>
    <m/>
    <m/>
    <n v="71500"/>
    <n v="56992"/>
    <m/>
    <m/>
    <m/>
  </r>
  <r>
    <x v="983"/>
    <n v="261950.629032258"/>
    <n v="4.4193548387096797"/>
    <n v="3.5939175627240099"/>
    <n v="0.81322222222222196"/>
    <n v="0.99"/>
    <m/>
    <m/>
    <m/>
    <m/>
    <m/>
    <n v="0"/>
    <m/>
    <n v="0"/>
    <n v="0"/>
    <n v="0"/>
    <n v="0"/>
    <n v="0"/>
    <m/>
    <m/>
    <m/>
    <m/>
    <m/>
    <m/>
    <m/>
    <m/>
    <m/>
    <m/>
    <n v="0"/>
    <n v="0"/>
    <m/>
    <m/>
    <m/>
    <m/>
    <m/>
    <m/>
    <m/>
    <m/>
    <m/>
    <m/>
    <m/>
    <m/>
    <n v="0"/>
    <m/>
    <m/>
    <m/>
    <m/>
    <m/>
    <m/>
    <m/>
    <m/>
    <m/>
    <n v="71500"/>
    <n v="56992"/>
    <m/>
    <m/>
    <m/>
  </r>
  <r>
    <x v="984"/>
    <n v="261950.629032258"/>
    <n v="4.4193548387096797"/>
    <n v="3.5938684587813601"/>
    <n v="0.813211111111111"/>
    <n v="0.99"/>
    <m/>
    <m/>
    <m/>
    <m/>
    <m/>
    <n v="0"/>
    <m/>
    <n v="0"/>
    <n v="0"/>
    <n v="0"/>
    <n v="0"/>
    <n v="0"/>
    <m/>
    <m/>
    <m/>
    <m/>
    <m/>
    <m/>
    <m/>
    <m/>
    <m/>
    <m/>
    <n v="0"/>
    <n v="0"/>
    <m/>
    <m/>
    <m/>
    <m/>
    <m/>
    <m/>
    <m/>
    <m/>
    <m/>
    <m/>
    <m/>
    <m/>
    <n v="0"/>
    <m/>
    <m/>
    <m/>
    <m/>
    <m/>
    <m/>
    <m/>
    <m/>
    <m/>
    <n v="71500"/>
    <n v="56992"/>
    <m/>
    <m/>
    <m/>
  </r>
  <r>
    <x v="985"/>
    <n v="261950.629032258"/>
    <n v="4.4193548387096797"/>
    <n v="3.5938193548387098"/>
    <n v="0.81320000000000003"/>
    <n v="0.99"/>
    <m/>
    <m/>
    <m/>
    <m/>
    <m/>
    <n v="0"/>
    <m/>
    <n v="0"/>
    <n v="0"/>
    <n v="0"/>
    <n v="0"/>
    <n v="0"/>
    <m/>
    <m/>
    <m/>
    <m/>
    <m/>
    <m/>
    <m/>
    <m/>
    <m/>
    <m/>
    <n v="0"/>
    <n v="0"/>
    <m/>
    <m/>
    <m/>
    <m/>
    <m/>
    <m/>
    <m/>
    <m/>
    <m/>
    <m/>
    <m/>
    <m/>
    <n v="0"/>
    <m/>
    <m/>
    <m/>
    <m/>
    <m/>
    <m/>
    <m/>
    <m/>
    <m/>
    <n v="71500"/>
    <n v="56992"/>
    <m/>
    <m/>
    <m/>
  </r>
  <r>
    <x v="986"/>
    <n v="261950.629032258"/>
    <n v="4.4193548387096797"/>
    <n v="3.5937702508960601"/>
    <n v="0.81318888888888896"/>
    <n v="0.99"/>
    <m/>
    <m/>
    <m/>
    <m/>
    <m/>
    <n v="0"/>
    <m/>
    <n v="0"/>
    <n v="0"/>
    <n v="0"/>
    <n v="0"/>
    <n v="0"/>
    <m/>
    <m/>
    <m/>
    <m/>
    <m/>
    <m/>
    <m/>
    <m/>
    <m/>
    <m/>
    <n v="0"/>
    <n v="0"/>
    <m/>
    <m/>
    <m/>
    <m/>
    <m/>
    <m/>
    <m/>
    <m/>
    <m/>
    <m/>
    <m/>
    <m/>
    <n v="0"/>
    <m/>
    <m/>
    <m/>
    <m/>
    <m/>
    <m/>
    <m/>
    <m/>
    <m/>
    <n v="71500"/>
    <n v="56992"/>
    <m/>
    <m/>
    <m/>
  </r>
  <r>
    <x v="987"/>
    <n v="261950.629032258"/>
    <n v="4.4193548387096797"/>
    <n v="3.5937211469534001"/>
    <n v="0.813177777777778"/>
    <n v="0.99"/>
    <m/>
    <m/>
    <m/>
    <m/>
    <m/>
    <n v="0"/>
    <m/>
    <n v="0"/>
    <n v="0"/>
    <n v="0"/>
    <n v="0"/>
    <n v="0"/>
    <m/>
    <m/>
    <m/>
    <m/>
    <m/>
    <m/>
    <m/>
    <m/>
    <m/>
    <m/>
    <n v="0"/>
    <n v="0"/>
    <m/>
    <m/>
    <m/>
    <m/>
    <m/>
    <m/>
    <m/>
    <m/>
    <m/>
    <m/>
    <m/>
    <m/>
    <n v="0"/>
    <m/>
    <m/>
    <m/>
    <m/>
    <m/>
    <m/>
    <m/>
    <m/>
    <m/>
    <n v="71500"/>
    <n v="56992"/>
    <m/>
    <m/>
    <m/>
  </r>
  <r>
    <x v="988"/>
    <n v="261950.629032258"/>
    <n v="4.4193548387096797"/>
    <n v="3.5936720430107498"/>
    <n v="0.81316666666666704"/>
    <n v="0.99"/>
    <m/>
    <m/>
    <m/>
    <m/>
    <m/>
    <n v="0"/>
    <m/>
    <n v="0"/>
    <n v="0"/>
    <n v="0"/>
    <n v="0"/>
    <n v="0"/>
    <m/>
    <m/>
    <m/>
    <m/>
    <m/>
    <m/>
    <m/>
    <m/>
    <m/>
    <m/>
    <n v="0"/>
    <n v="0"/>
    <m/>
    <m/>
    <m/>
    <m/>
    <m/>
    <m/>
    <m/>
    <m/>
    <m/>
    <m/>
    <m/>
    <m/>
    <n v="0"/>
    <m/>
    <m/>
    <m/>
    <m/>
    <m/>
    <m/>
    <m/>
    <m/>
    <m/>
    <n v="71500"/>
    <n v="56992"/>
    <m/>
    <m/>
    <m/>
  </r>
  <r>
    <x v="989"/>
    <n v="261950.629032258"/>
    <n v="4.4193548387096797"/>
    <n v="3.5936229390681"/>
    <n v="0.81315555555555596"/>
    <n v="0.99"/>
    <m/>
    <m/>
    <m/>
    <m/>
    <m/>
    <n v="0"/>
    <m/>
    <n v="0"/>
    <n v="0"/>
    <n v="0"/>
    <n v="0"/>
    <n v="0"/>
    <m/>
    <m/>
    <m/>
    <m/>
    <m/>
    <m/>
    <m/>
    <m/>
    <m/>
    <m/>
    <n v="0"/>
    <n v="0"/>
    <m/>
    <m/>
    <m/>
    <m/>
    <m/>
    <m/>
    <m/>
    <m/>
    <m/>
    <m/>
    <m/>
    <m/>
    <n v="0"/>
    <m/>
    <m/>
    <m/>
    <m/>
    <m/>
    <m/>
    <m/>
    <m/>
    <m/>
    <n v="71500"/>
    <n v="56992"/>
    <m/>
    <m/>
    <m/>
  </r>
  <r>
    <x v="990"/>
    <n v="261950.629032258"/>
    <n v="4.4193548387096797"/>
    <n v="3.5935738351254498"/>
    <n v="0.813144444444444"/>
    <n v="0.99"/>
    <m/>
    <m/>
    <m/>
    <m/>
    <m/>
    <n v="0"/>
    <m/>
    <n v="0"/>
    <n v="0"/>
    <n v="0"/>
    <n v="0"/>
    <n v="0"/>
    <m/>
    <m/>
    <m/>
    <m/>
    <m/>
    <m/>
    <m/>
    <m/>
    <m/>
    <m/>
    <n v="0"/>
    <n v="0"/>
    <m/>
    <m/>
    <m/>
    <m/>
    <m/>
    <m/>
    <m/>
    <m/>
    <m/>
    <m/>
    <m/>
    <m/>
    <n v="0"/>
    <m/>
    <m/>
    <m/>
    <m/>
    <m/>
    <m/>
    <m/>
    <m/>
    <m/>
    <n v="71500"/>
    <n v="56992"/>
    <m/>
    <m/>
    <m/>
  </r>
  <r>
    <x v="991"/>
    <n v="261950.629032258"/>
    <n v="4.4193548387096797"/>
    <n v="3.5935247311828"/>
    <n v="0.81313333333333304"/>
    <n v="0.99"/>
    <m/>
    <m/>
    <m/>
    <m/>
    <m/>
    <n v="0"/>
    <m/>
    <n v="0"/>
    <n v="0"/>
    <n v="0"/>
    <n v="0"/>
    <n v="0"/>
    <m/>
    <m/>
    <m/>
    <m/>
    <m/>
    <m/>
    <m/>
    <m/>
    <m/>
    <m/>
    <n v="0"/>
    <n v="0"/>
    <m/>
    <m/>
    <m/>
    <m/>
    <m/>
    <m/>
    <m/>
    <m/>
    <m/>
    <m/>
    <m/>
    <m/>
    <n v="0"/>
    <m/>
    <m/>
    <m/>
    <m/>
    <m/>
    <m/>
    <m/>
    <m/>
    <m/>
    <n v="71500"/>
    <n v="56992"/>
    <m/>
    <m/>
    <m/>
  </r>
  <r>
    <x v="992"/>
    <n v="261950.629032258"/>
    <n v="4.4193548387096797"/>
    <n v="3.59347562724014"/>
    <n v="0.81312222222222197"/>
    <n v="0.99"/>
    <m/>
    <m/>
    <m/>
    <m/>
    <m/>
    <n v="0"/>
    <m/>
    <n v="0"/>
    <n v="0"/>
    <n v="0"/>
    <n v="0"/>
    <n v="0"/>
    <m/>
    <m/>
    <m/>
    <m/>
    <m/>
    <m/>
    <m/>
    <m/>
    <m/>
    <m/>
    <n v="0"/>
    <n v="0"/>
    <m/>
    <m/>
    <m/>
    <m/>
    <m/>
    <m/>
    <m/>
    <m/>
    <m/>
    <m/>
    <m/>
    <m/>
    <n v="0"/>
    <m/>
    <m/>
    <m/>
    <m/>
    <m/>
    <m/>
    <m/>
    <m/>
    <m/>
    <n v="71500"/>
    <n v="56992"/>
    <m/>
    <m/>
    <m/>
  </r>
  <r>
    <x v="993"/>
    <n v="261950.629032258"/>
    <n v="4.4193548387096797"/>
    <n v="3.5934265232974898"/>
    <n v="0.81311111111111101"/>
    <n v="0.99"/>
    <m/>
    <m/>
    <m/>
    <m/>
    <m/>
    <n v="0"/>
    <m/>
    <n v="0"/>
    <n v="0"/>
    <n v="0"/>
    <n v="0"/>
    <n v="0"/>
    <m/>
    <m/>
    <m/>
    <m/>
    <m/>
    <m/>
    <m/>
    <m/>
    <m/>
    <m/>
    <n v="0"/>
    <n v="0"/>
    <m/>
    <m/>
    <m/>
    <m/>
    <m/>
    <m/>
    <m/>
    <m/>
    <m/>
    <m/>
    <m/>
    <m/>
    <n v="0"/>
    <m/>
    <m/>
    <m/>
    <m/>
    <m/>
    <m/>
    <m/>
    <m/>
    <m/>
    <n v="71500"/>
    <n v="56992"/>
    <m/>
    <m/>
    <m/>
  </r>
  <r>
    <x v="994"/>
    <n v="261950.629032258"/>
    <n v="4.4193548387096797"/>
    <n v="3.59337741935484"/>
    <n v="0.81310000000000004"/>
    <n v="0.99"/>
    <m/>
    <m/>
    <m/>
    <m/>
    <m/>
    <n v="0"/>
    <m/>
    <n v="0"/>
    <n v="0"/>
    <n v="0"/>
    <n v="0"/>
    <n v="0"/>
    <m/>
    <m/>
    <m/>
    <m/>
    <m/>
    <m/>
    <m/>
    <m/>
    <m/>
    <m/>
    <n v="0"/>
    <n v="0"/>
    <m/>
    <m/>
    <m/>
    <m/>
    <m/>
    <m/>
    <m/>
    <m/>
    <m/>
    <m/>
    <m/>
    <m/>
    <n v="0"/>
    <m/>
    <m/>
    <m/>
    <m/>
    <m/>
    <m/>
    <m/>
    <m/>
    <m/>
    <n v="71500"/>
    <n v="56992"/>
    <m/>
    <m/>
    <m/>
  </r>
  <r>
    <x v="995"/>
    <n v="261950.629032258"/>
    <n v="4.4193548387096797"/>
    <n v="3.5933283154121902"/>
    <n v="0.81308888888888897"/>
    <n v="0.99"/>
    <m/>
    <m/>
    <m/>
    <m/>
    <m/>
    <n v="0"/>
    <m/>
    <n v="0"/>
    <n v="0"/>
    <n v="0"/>
    <n v="0"/>
    <n v="0"/>
    <m/>
    <m/>
    <m/>
    <m/>
    <m/>
    <m/>
    <m/>
    <m/>
    <m/>
    <m/>
    <n v="0"/>
    <n v="0"/>
    <m/>
    <m/>
    <m/>
    <m/>
    <m/>
    <m/>
    <m/>
    <m/>
    <m/>
    <m/>
    <m/>
    <m/>
    <n v="0"/>
    <m/>
    <m/>
    <m/>
    <m/>
    <m/>
    <m/>
    <m/>
    <m/>
    <m/>
    <n v="71500"/>
    <n v="56992"/>
    <m/>
    <m/>
    <m/>
  </r>
  <r>
    <x v="996"/>
    <n v="261950.629032258"/>
    <n v="4.4193548387096797"/>
    <n v="3.5932792114695302"/>
    <n v="0.81307777777777801"/>
    <n v="0.99"/>
    <m/>
    <m/>
    <m/>
    <m/>
    <m/>
    <n v="0"/>
    <m/>
    <n v="0"/>
    <n v="0"/>
    <n v="0"/>
    <n v="0"/>
    <n v="0"/>
    <m/>
    <m/>
    <m/>
    <m/>
    <m/>
    <m/>
    <m/>
    <m/>
    <m/>
    <m/>
    <n v="0"/>
    <n v="0"/>
    <m/>
    <m/>
    <m/>
    <m/>
    <m/>
    <m/>
    <m/>
    <m/>
    <m/>
    <m/>
    <m/>
    <m/>
    <n v="0"/>
    <m/>
    <m/>
    <m/>
    <m/>
    <m/>
    <m/>
    <m/>
    <m/>
    <m/>
    <n v="71500"/>
    <n v="56992"/>
    <m/>
    <m/>
    <m/>
  </r>
  <r>
    <x v="997"/>
    <n v="261950.629032258"/>
    <n v="4.4193548387096797"/>
    <n v="3.59323010752688"/>
    <n v="0.81306666666666705"/>
    <n v="0.99"/>
    <m/>
    <m/>
    <m/>
    <m/>
    <m/>
    <n v="0"/>
    <m/>
    <n v="0"/>
    <n v="0"/>
    <n v="0"/>
    <n v="0"/>
    <n v="0"/>
    <m/>
    <m/>
    <m/>
    <m/>
    <m/>
    <m/>
    <m/>
    <m/>
    <m/>
    <m/>
    <n v="0"/>
    <n v="0"/>
    <m/>
    <m/>
    <m/>
    <m/>
    <m/>
    <m/>
    <m/>
    <m/>
    <m/>
    <m/>
    <m/>
    <m/>
    <n v="0"/>
    <m/>
    <m/>
    <m/>
    <m/>
    <m/>
    <m/>
    <m/>
    <m/>
    <m/>
    <n v="71500"/>
    <n v="56992"/>
    <m/>
    <m/>
    <m/>
  </r>
  <r>
    <x v="998"/>
    <n v="261950.629032258"/>
    <n v="4.4193548387096797"/>
    <n v="3.5931810035842302"/>
    <n v="0.81305555555555598"/>
    <n v="0.99"/>
    <m/>
    <m/>
    <m/>
    <m/>
    <m/>
    <n v="0"/>
    <m/>
    <n v="0"/>
    <n v="0"/>
    <n v="0"/>
    <n v="0"/>
    <n v="0"/>
    <m/>
    <m/>
    <m/>
    <m/>
    <m/>
    <m/>
    <m/>
    <m/>
    <m/>
    <m/>
    <n v="0"/>
    <n v="0"/>
    <m/>
    <m/>
    <m/>
    <m/>
    <m/>
    <m/>
    <m/>
    <m/>
    <m/>
    <m/>
    <m/>
    <m/>
    <n v="0"/>
    <m/>
    <m/>
    <m/>
    <m/>
    <m/>
    <m/>
    <m/>
    <m/>
    <m/>
    <n v="71500"/>
    <n v="56992"/>
    <m/>
    <m/>
    <m/>
  </r>
  <r>
    <x v="999"/>
    <n v="261950.629032258"/>
    <n v="4.4193548387096797"/>
    <n v="3.59313189964158"/>
    <n v="0.81304444444444401"/>
    <n v="0.99"/>
    <m/>
    <m/>
    <m/>
    <m/>
    <m/>
    <n v="0"/>
    <m/>
    <n v="0"/>
    <n v="0"/>
    <n v="0"/>
    <n v="0"/>
    <n v="0"/>
    <m/>
    <m/>
    <m/>
    <m/>
    <m/>
    <m/>
    <m/>
    <m/>
    <m/>
    <m/>
    <n v="0"/>
    <n v="0"/>
    <m/>
    <m/>
    <m/>
    <m/>
    <m/>
    <m/>
    <m/>
    <m/>
    <m/>
    <m/>
    <m/>
    <m/>
    <n v="0"/>
    <m/>
    <m/>
    <m/>
    <m/>
    <m/>
    <m/>
    <m/>
    <m/>
    <m/>
    <n v="71500"/>
    <n v="56992"/>
    <m/>
    <m/>
    <m/>
  </r>
  <r>
    <x v="1000"/>
    <n v="261950.629032258"/>
    <n v="4.4193548387096797"/>
    <n v="3.59308279569892"/>
    <n v="0.81303333333333305"/>
    <n v="0.99"/>
    <m/>
    <m/>
    <m/>
    <m/>
    <m/>
    <n v="0"/>
    <m/>
    <n v="0"/>
    <n v="0"/>
    <n v="0"/>
    <n v="0"/>
    <n v="0"/>
    <m/>
    <m/>
    <m/>
    <m/>
    <m/>
    <m/>
    <m/>
    <m/>
    <m/>
    <m/>
    <n v="0"/>
    <n v="0"/>
    <m/>
    <m/>
    <m/>
    <m/>
    <m/>
    <m/>
    <m/>
    <m/>
    <m/>
    <m/>
    <m/>
    <m/>
    <n v="0"/>
    <m/>
    <m/>
    <m/>
    <m/>
    <m/>
    <m/>
    <m/>
    <m/>
    <m/>
    <n v="71500"/>
    <n v="56992"/>
    <m/>
    <m/>
    <m/>
  </r>
  <r>
    <x v="1001"/>
    <n v="261950.629032258"/>
    <n v="4.4193548387096797"/>
    <n v="3.5930336917562702"/>
    <n v="0.81302222222222198"/>
    <n v="0.99"/>
    <m/>
    <m/>
    <m/>
    <m/>
    <m/>
    <n v="0"/>
    <m/>
    <n v="0"/>
    <n v="0"/>
    <n v="0"/>
    <n v="0"/>
    <n v="0"/>
    <m/>
    <m/>
    <m/>
    <m/>
    <m/>
    <m/>
    <m/>
    <m/>
    <m/>
    <m/>
    <n v="0"/>
    <n v="0"/>
    <m/>
    <m/>
    <m/>
    <m/>
    <m/>
    <m/>
    <m/>
    <m/>
    <m/>
    <m/>
    <m/>
    <m/>
    <n v="0"/>
    <m/>
    <m/>
    <m/>
    <m/>
    <m/>
    <m/>
    <m/>
    <m/>
    <m/>
    <n v="71500"/>
    <n v="56992"/>
    <m/>
    <m/>
    <m/>
  </r>
  <r>
    <x v="1002"/>
    <n v="261950.629032258"/>
    <n v="4.4193548387096797"/>
    <n v="3.59298458781362"/>
    <n v="0.81301111111111102"/>
    <n v="0.99"/>
    <m/>
    <m/>
    <m/>
    <m/>
    <m/>
    <n v="0"/>
    <m/>
    <n v="0"/>
    <n v="0"/>
    <n v="0"/>
    <n v="0"/>
    <n v="0"/>
    <m/>
    <m/>
    <m/>
    <m/>
    <m/>
    <m/>
    <m/>
    <m/>
    <m/>
    <m/>
    <n v="0"/>
    <n v="0"/>
    <m/>
    <m/>
    <m/>
    <m/>
    <m/>
    <m/>
    <m/>
    <m/>
    <m/>
    <m/>
    <m/>
    <m/>
    <n v="0"/>
    <m/>
    <m/>
    <m/>
    <m/>
    <m/>
    <m/>
    <m/>
    <m/>
    <m/>
    <n v="71500"/>
    <n v="56992"/>
    <m/>
    <m/>
    <m/>
  </r>
  <r>
    <x v="1003"/>
    <n v="261950.629032258"/>
    <n v="4.4193548387096797"/>
    <n v="3.5929354838709702"/>
    <n v="0.81299999999999994"/>
    <n v="0.99"/>
    <m/>
    <m/>
    <m/>
    <m/>
    <m/>
    <n v="0"/>
    <m/>
    <n v="0"/>
    <n v="0"/>
    <n v="0"/>
    <n v="0"/>
    <n v="0"/>
    <m/>
    <m/>
    <m/>
    <m/>
    <m/>
    <m/>
    <m/>
    <m/>
    <m/>
    <m/>
    <n v="0"/>
    <n v="0"/>
    <m/>
    <m/>
    <m/>
    <m/>
    <m/>
    <m/>
    <m/>
    <m/>
    <m/>
    <m/>
    <m/>
    <m/>
    <n v="0"/>
    <m/>
    <m/>
    <m/>
    <m/>
    <m/>
    <m/>
    <m/>
    <m/>
    <m/>
    <n v="71500"/>
    <n v="56992"/>
    <m/>
    <m/>
    <m/>
  </r>
  <r>
    <x v="1004"/>
    <n v="280814.82"/>
    <n v="4.7433333333333296"/>
    <n v="3.8563299999999998"/>
    <n v="0.81299999999999994"/>
    <n v="0.99"/>
    <m/>
    <m/>
    <m/>
    <m/>
    <m/>
    <n v="0"/>
    <m/>
    <n v="0"/>
    <n v="0"/>
    <n v="0"/>
    <n v="0"/>
    <n v="0"/>
    <m/>
    <m/>
    <m/>
    <m/>
    <m/>
    <m/>
    <m/>
    <m/>
    <m/>
    <m/>
    <n v="0"/>
    <n v="0"/>
    <m/>
    <m/>
    <m/>
    <m/>
    <m/>
    <m/>
    <m/>
    <m/>
    <m/>
    <m/>
    <m/>
    <m/>
    <n v="0"/>
    <m/>
    <m/>
    <m/>
    <m/>
    <m/>
    <m/>
    <m/>
    <m/>
    <m/>
    <n v="71500"/>
    <n v="56992"/>
    <m/>
    <m/>
    <m/>
  </r>
  <r>
    <x v="1005"/>
    <n v="280814.82"/>
    <n v="4.7433333333333296"/>
    <n v="3.8562772962962999"/>
    <n v="0.81298888888888898"/>
    <n v="0.99"/>
    <m/>
    <m/>
    <m/>
    <m/>
    <m/>
    <n v="0"/>
    <m/>
    <n v="0"/>
    <n v="0"/>
    <n v="0"/>
    <n v="0"/>
    <n v="0"/>
    <m/>
    <m/>
    <m/>
    <m/>
    <m/>
    <m/>
    <m/>
    <m/>
    <m/>
    <m/>
    <n v="0"/>
    <n v="0"/>
    <m/>
    <m/>
    <m/>
    <m/>
    <m/>
    <m/>
    <m/>
    <m/>
    <m/>
    <m/>
    <m/>
    <m/>
    <n v="0"/>
    <m/>
    <m/>
    <m/>
    <m/>
    <m/>
    <m/>
    <m/>
    <m/>
    <m/>
    <n v="71500"/>
    <n v="56992"/>
    <m/>
    <m/>
    <m/>
  </r>
  <r>
    <x v="1006"/>
    <n v="280814.82"/>
    <n v="4.7433333333333296"/>
    <n v="3.8562245925925902"/>
    <n v="0.81297777777777802"/>
    <n v="0.99"/>
    <m/>
    <m/>
    <m/>
    <m/>
    <m/>
    <n v="0"/>
    <m/>
    <n v="0"/>
    <n v="0"/>
    <n v="0"/>
    <n v="0"/>
    <n v="0"/>
    <m/>
    <m/>
    <m/>
    <m/>
    <m/>
    <m/>
    <m/>
    <m/>
    <m/>
    <m/>
    <n v="0"/>
    <n v="0"/>
    <m/>
    <m/>
    <m/>
    <m/>
    <m/>
    <m/>
    <m/>
    <m/>
    <m/>
    <m/>
    <m/>
    <m/>
    <n v="0"/>
    <m/>
    <m/>
    <m/>
    <m/>
    <m/>
    <m/>
    <m/>
    <m/>
    <m/>
    <n v="71500"/>
    <n v="56992"/>
    <m/>
    <m/>
    <m/>
  </r>
  <r>
    <x v="1007"/>
    <n v="280814.82"/>
    <n v="4.7433333333333296"/>
    <n v="3.8561718888888898"/>
    <n v="0.81296666666666695"/>
    <n v="0.99"/>
    <m/>
    <m/>
    <m/>
    <m/>
    <m/>
    <n v="0"/>
    <m/>
    <n v="0"/>
    <n v="0"/>
    <n v="0"/>
    <n v="0"/>
    <n v="0"/>
    <m/>
    <m/>
    <m/>
    <m/>
    <m/>
    <m/>
    <m/>
    <m/>
    <m/>
    <m/>
    <n v="0"/>
    <n v="0"/>
    <m/>
    <m/>
    <m/>
    <m/>
    <m/>
    <m/>
    <m/>
    <m/>
    <m/>
    <m/>
    <m/>
    <m/>
    <n v="0"/>
    <m/>
    <m/>
    <m/>
    <m/>
    <m/>
    <m/>
    <m/>
    <m/>
    <m/>
    <n v="71500"/>
    <n v="56992"/>
    <m/>
    <m/>
    <m/>
  </r>
  <r>
    <x v="1008"/>
    <n v="280814.82"/>
    <n v="4.7433333333333296"/>
    <n v="3.8561191851851899"/>
    <n v="0.81295555555555599"/>
    <n v="0.99"/>
    <m/>
    <m/>
    <m/>
    <m/>
    <m/>
    <n v="0"/>
    <m/>
    <n v="0"/>
    <n v="0"/>
    <n v="0"/>
    <n v="0"/>
    <n v="0"/>
    <m/>
    <m/>
    <m/>
    <m/>
    <m/>
    <m/>
    <m/>
    <m/>
    <m/>
    <m/>
    <n v="0"/>
    <n v="0"/>
    <m/>
    <m/>
    <m/>
    <m/>
    <m/>
    <m/>
    <m/>
    <m/>
    <m/>
    <m/>
    <m/>
    <m/>
    <n v="0"/>
    <m/>
    <m/>
    <m/>
    <m/>
    <m/>
    <m/>
    <m/>
    <m/>
    <m/>
    <n v="71500"/>
    <n v="56992"/>
    <m/>
    <m/>
    <m/>
  </r>
  <r>
    <x v="1009"/>
    <n v="280814.82"/>
    <n v="4.7433333333333296"/>
    <n v="3.8560664814814798"/>
    <n v="0.81294444444444403"/>
    <n v="0.99"/>
    <m/>
    <m/>
    <m/>
    <m/>
    <m/>
    <n v="0"/>
    <m/>
    <n v="0"/>
    <n v="0"/>
    <n v="0"/>
    <n v="0"/>
    <n v="0"/>
    <m/>
    <m/>
    <m/>
    <m/>
    <m/>
    <m/>
    <m/>
    <m/>
    <m/>
    <m/>
    <n v="0"/>
    <n v="0"/>
    <m/>
    <m/>
    <m/>
    <m/>
    <m/>
    <m/>
    <m/>
    <m/>
    <m/>
    <m/>
    <m/>
    <m/>
    <n v="0"/>
    <m/>
    <m/>
    <m/>
    <m/>
    <m/>
    <m/>
    <m/>
    <m/>
    <m/>
    <n v="71500"/>
    <n v="56992"/>
    <m/>
    <m/>
    <m/>
  </r>
  <r>
    <x v="1010"/>
    <n v="280814.82"/>
    <n v="4.7433333333333296"/>
    <n v="3.8560137777777799"/>
    <n v="0.81293333333333295"/>
    <n v="0.99"/>
    <m/>
    <m/>
    <m/>
    <m/>
    <m/>
    <n v="0"/>
    <m/>
    <n v="0"/>
    <n v="0"/>
    <n v="0"/>
    <n v="0"/>
    <n v="0"/>
    <m/>
    <m/>
    <m/>
    <m/>
    <m/>
    <m/>
    <m/>
    <m/>
    <m/>
    <m/>
    <n v="0"/>
    <n v="0"/>
    <m/>
    <m/>
    <m/>
    <m/>
    <m/>
    <m/>
    <m/>
    <m/>
    <m/>
    <m/>
    <m/>
    <m/>
    <n v="0"/>
    <m/>
    <m/>
    <m/>
    <m/>
    <m/>
    <m/>
    <m/>
    <m/>
    <m/>
    <n v="71500"/>
    <n v="56992"/>
    <m/>
    <m/>
    <m/>
  </r>
  <r>
    <x v="1011"/>
    <n v="280814.82"/>
    <n v="4.7433333333333296"/>
    <n v="3.8559610740740702"/>
    <n v="0.81292222222222199"/>
    <n v="0.99"/>
    <m/>
    <m/>
    <m/>
    <m/>
    <m/>
    <n v="0"/>
    <m/>
    <n v="0"/>
    <n v="0"/>
    <n v="0"/>
    <n v="0"/>
    <n v="0"/>
    <m/>
    <m/>
    <m/>
    <m/>
    <m/>
    <m/>
    <m/>
    <m/>
    <m/>
    <m/>
    <n v="0"/>
    <n v="0"/>
    <m/>
    <m/>
    <m/>
    <m/>
    <m/>
    <m/>
    <m/>
    <m/>
    <m/>
    <m/>
    <m/>
    <m/>
    <n v="0"/>
    <m/>
    <m/>
    <m/>
    <m/>
    <m/>
    <m/>
    <m/>
    <m/>
    <m/>
    <n v="71500"/>
    <n v="56992"/>
    <m/>
    <m/>
    <m/>
  </r>
  <r>
    <x v="1012"/>
    <n v="280814.82"/>
    <n v="4.7433333333333296"/>
    <n v="3.8559083703703698"/>
    <n v="0.81291111111111103"/>
    <n v="0.99"/>
    <m/>
    <m/>
    <m/>
    <m/>
    <m/>
    <n v="0"/>
    <m/>
    <n v="0"/>
    <n v="0"/>
    <n v="0"/>
    <n v="0"/>
    <n v="0"/>
    <m/>
    <m/>
    <m/>
    <m/>
    <m/>
    <m/>
    <m/>
    <m/>
    <m/>
    <m/>
    <n v="0"/>
    <n v="0"/>
    <m/>
    <m/>
    <m/>
    <m/>
    <m/>
    <m/>
    <m/>
    <m/>
    <m/>
    <m/>
    <m/>
    <m/>
    <n v="0"/>
    <m/>
    <m/>
    <m/>
    <m/>
    <m/>
    <m/>
    <m/>
    <m/>
    <m/>
    <n v="71500"/>
    <n v="56992"/>
    <m/>
    <m/>
    <m/>
  </r>
  <r>
    <x v="1013"/>
    <n v="280814.82"/>
    <n v="4.7433333333333296"/>
    <n v="3.8558556666666699"/>
    <n v="0.81289999999999996"/>
    <n v="0.99"/>
    <m/>
    <m/>
    <m/>
    <m/>
    <m/>
    <n v="0"/>
    <m/>
    <n v="0"/>
    <n v="0"/>
    <n v="0"/>
    <n v="0"/>
    <n v="0"/>
    <m/>
    <m/>
    <m/>
    <m/>
    <m/>
    <m/>
    <m/>
    <m/>
    <m/>
    <m/>
    <n v="0"/>
    <n v="0"/>
    <m/>
    <m/>
    <m/>
    <m/>
    <m/>
    <m/>
    <m/>
    <m/>
    <m/>
    <m/>
    <m/>
    <m/>
    <n v="0"/>
    <m/>
    <m/>
    <m/>
    <m/>
    <m/>
    <m/>
    <m/>
    <m/>
    <m/>
    <n v="71500"/>
    <n v="56992"/>
    <m/>
    <m/>
    <m/>
  </r>
  <r>
    <x v="1014"/>
    <n v="280814.82"/>
    <n v="4.7433333333333296"/>
    <n v="3.8558029629629602"/>
    <n v="0.81288888888888899"/>
    <n v="0.99"/>
    <m/>
    <m/>
    <m/>
    <m/>
    <m/>
    <n v="0"/>
    <m/>
    <n v="0"/>
    <n v="0"/>
    <n v="0"/>
    <n v="0"/>
    <n v="0"/>
    <m/>
    <m/>
    <m/>
    <m/>
    <m/>
    <m/>
    <m/>
    <m/>
    <m/>
    <m/>
    <n v="0"/>
    <n v="0"/>
    <m/>
    <m/>
    <m/>
    <m/>
    <m/>
    <m/>
    <m/>
    <m/>
    <m/>
    <m/>
    <m/>
    <m/>
    <n v="0"/>
    <m/>
    <m/>
    <m/>
    <m/>
    <m/>
    <m/>
    <m/>
    <m/>
    <m/>
    <n v="71500"/>
    <n v="56992"/>
    <m/>
    <m/>
    <m/>
  </r>
  <r>
    <x v="1015"/>
    <n v="280814.82"/>
    <n v="4.7433333333333296"/>
    <n v="3.8557502592592598"/>
    <n v="0.81287777777777803"/>
    <n v="0.99"/>
    <m/>
    <m/>
    <m/>
    <m/>
    <m/>
    <n v="0"/>
    <m/>
    <n v="0"/>
    <n v="0"/>
    <n v="0"/>
    <n v="0"/>
    <n v="0"/>
    <m/>
    <m/>
    <m/>
    <m/>
    <m/>
    <m/>
    <m/>
    <m/>
    <m/>
    <m/>
    <n v="0"/>
    <n v="0"/>
    <m/>
    <m/>
    <m/>
    <m/>
    <m/>
    <m/>
    <m/>
    <m/>
    <m/>
    <m/>
    <m/>
    <m/>
    <n v="0"/>
    <m/>
    <m/>
    <m/>
    <m/>
    <m/>
    <m/>
    <m/>
    <m/>
    <m/>
    <n v="71500"/>
    <n v="56992"/>
    <m/>
    <m/>
    <m/>
  </r>
  <r>
    <x v="1016"/>
    <n v="280814.82"/>
    <n v="4.7433333333333296"/>
    <n v="3.8556975555555599"/>
    <n v="0.81286666666666696"/>
    <n v="0.99"/>
    <m/>
    <m/>
    <m/>
    <m/>
    <m/>
    <n v="0"/>
    <m/>
    <n v="0"/>
    <n v="0"/>
    <n v="0"/>
    <n v="0"/>
    <n v="0"/>
    <m/>
    <m/>
    <m/>
    <m/>
    <m/>
    <m/>
    <m/>
    <m/>
    <m/>
    <m/>
    <n v="0"/>
    <n v="0"/>
    <m/>
    <m/>
    <m/>
    <m/>
    <m/>
    <m/>
    <m/>
    <m/>
    <m/>
    <m/>
    <m/>
    <m/>
    <n v="0"/>
    <m/>
    <m/>
    <m/>
    <m/>
    <m/>
    <m/>
    <m/>
    <m/>
    <m/>
    <n v="71500"/>
    <n v="56992"/>
    <m/>
    <m/>
    <m/>
  </r>
  <r>
    <x v="1017"/>
    <n v="280814.82"/>
    <n v="4.7433333333333296"/>
    <n v="3.8556448518518498"/>
    <n v="0.812855555555556"/>
    <n v="0.99"/>
    <m/>
    <m/>
    <m/>
    <m/>
    <m/>
    <n v="0"/>
    <m/>
    <n v="0"/>
    <n v="0"/>
    <n v="0"/>
    <n v="0"/>
    <n v="0"/>
    <m/>
    <m/>
    <m/>
    <m/>
    <m/>
    <m/>
    <m/>
    <m/>
    <m/>
    <m/>
    <n v="0"/>
    <n v="0"/>
    <m/>
    <m/>
    <m/>
    <m/>
    <m/>
    <m/>
    <m/>
    <m/>
    <m/>
    <m/>
    <m/>
    <m/>
    <n v="0"/>
    <m/>
    <m/>
    <m/>
    <m/>
    <m/>
    <m/>
    <m/>
    <m/>
    <m/>
    <n v="71500"/>
    <n v="56992"/>
    <m/>
    <m/>
    <m/>
  </r>
  <r>
    <x v="1018"/>
    <n v="280814.82"/>
    <n v="4.7433333333333296"/>
    <n v="3.8555921481481499"/>
    <n v="0.81284444444444404"/>
    <n v="0.99"/>
    <m/>
    <m/>
    <m/>
    <m/>
    <m/>
    <n v="0"/>
    <m/>
    <n v="0"/>
    <n v="0"/>
    <n v="0"/>
    <n v="0"/>
    <n v="0"/>
    <m/>
    <m/>
    <m/>
    <m/>
    <m/>
    <m/>
    <m/>
    <m/>
    <m/>
    <m/>
    <n v="0"/>
    <n v="0"/>
    <m/>
    <m/>
    <m/>
    <m/>
    <m/>
    <m/>
    <m/>
    <m/>
    <m/>
    <m/>
    <m/>
    <m/>
    <n v="0"/>
    <m/>
    <m/>
    <m/>
    <m/>
    <m/>
    <m/>
    <m/>
    <m/>
    <m/>
    <n v="71500"/>
    <n v="56992"/>
    <m/>
    <m/>
    <m/>
  </r>
  <r>
    <x v="1019"/>
    <n v="280814.82"/>
    <n v="4.7433333333333296"/>
    <n v="3.85553944444445"/>
    <n v="0.81283333333333296"/>
    <n v="0.99"/>
    <m/>
    <m/>
    <m/>
    <m/>
    <m/>
    <n v="0"/>
    <m/>
    <n v="0"/>
    <n v="0"/>
    <n v="0"/>
    <n v="0"/>
    <n v="0"/>
    <m/>
    <m/>
    <m/>
    <m/>
    <m/>
    <m/>
    <m/>
    <m/>
    <m/>
    <m/>
    <n v="0"/>
    <n v="0"/>
    <m/>
    <m/>
    <m/>
    <m/>
    <m/>
    <m/>
    <m/>
    <m/>
    <m/>
    <m/>
    <m/>
    <m/>
    <n v="0"/>
    <m/>
    <m/>
    <m/>
    <m/>
    <m/>
    <m/>
    <m/>
    <m/>
    <m/>
    <n v="71500"/>
    <n v="56992"/>
    <m/>
    <m/>
    <m/>
  </r>
  <r>
    <x v="1020"/>
    <n v="280814.82"/>
    <n v="4.7433333333333296"/>
    <n v="3.8554867407407398"/>
    <n v="0.812822222222222"/>
    <n v="0.99"/>
    <m/>
    <m/>
    <m/>
    <m/>
    <m/>
    <n v="0"/>
    <m/>
    <n v="0"/>
    <n v="0"/>
    <n v="0"/>
    <n v="0"/>
    <n v="0"/>
    <m/>
    <m/>
    <m/>
    <m/>
    <m/>
    <m/>
    <m/>
    <m/>
    <m/>
    <m/>
    <n v="0"/>
    <n v="0"/>
    <m/>
    <m/>
    <m/>
    <m/>
    <m/>
    <m/>
    <m/>
    <m/>
    <m/>
    <m/>
    <m/>
    <m/>
    <n v="0"/>
    <m/>
    <m/>
    <m/>
    <m/>
    <m/>
    <m/>
    <m/>
    <m/>
    <m/>
    <n v="71500"/>
    <n v="56992"/>
    <m/>
    <m/>
    <m/>
  </r>
  <r>
    <x v="1021"/>
    <n v="280814.82"/>
    <n v="4.7433333333333296"/>
    <n v="3.8554340370370399"/>
    <n v="0.81281111111111104"/>
    <n v="0.99"/>
    <m/>
    <m/>
    <m/>
    <m/>
    <m/>
    <n v="0"/>
    <m/>
    <n v="0"/>
    <n v="0"/>
    <n v="0"/>
    <n v="0"/>
    <n v="0"/>
    <m/>
    <m/>
    <m/>
    <m/>
    <m/>
    <m/>
    <m/>
    <m/>
    <m/>
    <m/>
    <n v="0"/>
    <n v="0"/>
    <m/>
    <m/>
    <m/>
    <m/>
    <m/>
    <m/>
    <m/>
    <m/>
    <m/>
    <m/>
    <m/>
    <m/>
    <n v="0"/>
    <m/>
    <m/>
    <m/>
    <m/>
    <m/>
    <m/>
    <m/>
    <m/>
    <m/>
    <n v="71500"/>
    <n v="56992"/>
    <m/>
    <m/>
    <m/>
  </r>
  <r>
    <x v="1022"/>
    <n v="280814.82"/>
    <n v="4.7433333333333296"/>
    <n v="3.8553813333333302"/>
    <n v="0.81279999999999997"/>
    <n v="0.99"/>
    <m/>
    <m/>
    <m/>
    <m/>
    <m/>
    <n v="0"/>
    <m/>
    <n v="0"/>
    <n v="0"/>
    <n v="0"/>
    <n v="0"/>
    <n v="0"/>
    <m/>
    <m/>
    <m/>
    <m/>
    <m/>
    <m/>
    <m/>
    <m/>
    <m/>
    <m/>
    <n v="0"/>
    <n v="0"/>
    <m/>
    <m/>
    <m/>
    <m/>
    <m/>
    <m/>
    <m/>
    <m/>
    <m/>
    <m/>
    <m/>
    <m/>
    <n v="0"/>
    <m/>
    <m/>
    <m/>
    <m/>
    <m/>
    <m/>
    <m/>
    <m/>
    <m/>
    <n v="71500"/>
    <n v="56992"/>
    <m/>
    <m/>
    <m/>
  </r>
  <r>
    <x v="1023"/>
    <n v="280814.82"/>
    <n v="4.7433333333333296"/>
    <n v="3.8553286296296299"/>
    <n v="0.81278888888888901"/>
    <n v="0.99"/>
    <m/>
    <m/>
    <m/>
    <m/>
    <m/>
    <n v="0"/>
    <m/>
    <n v="0"/>
    <n v="0"/>
    <n v="0"/>
    <n v="0"/>
    <n v="0"/>
    <m/>
    <m/>
    <m/>
    <m/>
    <m/>
    <m/>
    <m/>
    <m/>
    <m/>
    <m/>
    <n v="0"/>
    <n v="0"/>
    <m/>
    <m/>
    <m/>
    <m/>
    <m/>
    <m/>
    <m/>
    <m/>
    <m/>
    <m/>
    <m/>
    <m/>
    <n v="0"/>
    <m/>
    <m/>
    <m/>
    <m/>
    <m/>
    <m/>
    <m/>
    <m/>
    <m/>
    <n v="71500"/>
    <n v="56992"/>
    <m/>
    <m/>
    <m/>
  </r>
  <r>
    <x v="1024"/>
    <n v="280814.82"/>
    <n v="4.7433333333333296"/>
    <n v="3.8552759259259299"/>
    <n v="0.81277777777777804"/>
    <n v="0.99"/>
    <m/>
    <m/>
    <m/>
    <m/>
    <m/>
    <n v="0"/>
    <m/>
    <n v="0"/>
    <n v="0"/>
    <n v="0"/>
    <n v="0"/>
    <n v="0"/>
    <m/>
    <m/>
    <m/>
    <m/>
    <m/>
    <m/>
    <m/>
    <m/>
    <m/>
    <m/>
    <n v="0"/>
    <n v="0"/>
    <m/>
    <m/>
    <m/>
    <m/>
    <m/>
    <m/>
    <m/>
    <m/>
    <m/>
    <m/>
    <m/>
    <m/>
    <n v="0"/>
    <m/>
    <m/>
    <m/>
    <m/>
    <m/>
    <m/>
    <m/>
    <m/>
    <m/>
    <n v="71500"/>
    <n v="56992"/>
    <m/>
    <m/>
    <m/>
  </r>
  <r>
    <x v="1025"/>
    <n v="280814.82"/>
    <n v="4.7433333333333296"/>
    <n v="3.8552232222222198"/>
    <n v="0.81276666666666697"/>
    <n v="0.99"/>
    <m/>
    <m/>
    <m/>
    <m/>
    <m/>
    <n v="0"/>
    <m/>
    <n v="0"/>
    <n v="0"/>
    <n v="0"/>
    <n v="0"/>
    <n v="0"/>
    <m/>
    <m/>
    <m/>
    <m/>
    <m/>
    <m/>
    <m/>
    <m/>
    <m/>
    <m/>
    <n v="0"/>
    <n v="0"/>
    <m/>
    <m/>
    <m/>
    <m/>
    <m/>
    <m/>
    <m/>
    <m/>
    <m/>
    <m/>
    <m/>
    <m/>
    <n v="0"/>
    <m/>
    <m/>
    <m/>
    <m/>
    <m/>
    <m/>
    <m/>
    <m/>
    <m/>
    <n v="71500"/>
    <n v="56992"/>
    <m/>
    <m/>
    <m/>
  </r>
  <r>
    <x v="1026"/>
    <n v="280814.82"/>
    <n v="4.7433333333333296"/>
    <n v="3.8551705185185199"/>
    <n v="0.81275555555555601"/>
    <n v="0.99"/>
    <m/>
    <m/>
    <m/>
    <m/>
    <m/>
    <n v="0"/>
    <m/>
    <n v="0"/>
    <n v="0"/>
    <n v="0"/>
    <n v="0"/>
    <n v="0"/>
    <m/>
    <m/>
    <m/>
    <m/>
    <m/>
    <m/>
    <m/>
    <m/>
    <m/>
    <m/>
    <n v="0"/>
    <n v="0"/>
    <m/>
    <m/>
    <m/>
    <m/>
    <m/>
    <m/>
    <m/>
    <m/>
    <m/>
    <m/>
    <m/>
    <m/>
    <n v="0"/>
    <m/>
    <m/>
    <m/>
    <m/>
    <m/>
    <m/>
    <m/>
    <m/>
    <m/>
    <n v="71500"/>
    <n v="56992"/>
    <m/>
    <m/>
    <m/>
  </r>
  <r>
    <x v="1027"/>
    <n v="280814.82"/>
    <n v="4.7433333333333296"/>
    <n v="3.85511781481482"/>
    <n v="0.81274444444444405"/>
    <n v="0.99"/>
    <m/>
    <m/>
    <m/>
    <m/>
    <m/>
    <n v="0"/>
    <m/>
    <n v="0"/>
    <n v="0"/>
    <n v="0"/>
    <n v="0"/>
    <n v="0"/>
    <m/>
    <m/>
    <m/>
    <m/>
    <m/>
    <m/>
    <m/>
    <m/>
    <m/>
    <m/>
    <n v="0"/>
    <n v="0"/>
    <m/>
    <m/>
    <m/>
    <m/>
    <m/>
    <m/>
    <m/>
    <m/>
    <m/>
    <m/>
    <m/>
    <m/>
    <n v="0"/>
    <m/>
    <m/>
    <m/>
    <m/>
    <m/>
    <m/>
    <m/>
    <m/>
    <m/>
    <n v="71500"/>
    <n v="56992"/>
    <m/>
    <m/>
    <m/>
  </r>
  <r>
    <x v="1028"/>
    <n v="280814.82"/>
    <n v="4.7433333333333296"/>
    <n v="3.8550651111111098"/>
    <n v="0.81273333333333297"/>
    <n v="0.99"/>
    <m/>
    <m/>
    <m/>
    <m/>
    <m/>
    <n v="0"/>
    <m/>
    <n v="0"/>
    <n v="0"/>
    <n v="0"/>
    <n v="0"/>
    <n v="0"/>
    <m/>
    <m/>
    <m/>
    <m/>
    <m/>
    <m/>
    <m/>
    <m/>
    <m/>
    <m/>
    <n v="0"/>
    <n v="0"/>
    <m/>
    <m/>
    <m/>
    <m/>
    <m/>
    <m/>
    <m/>
    <m/>
    <m/>
    <m/>
    <m/>
    <m/>
    <n v="0"/>
    <m/>
    <m/>
    <m/>
    <m/>
    <m/>
    <m/>
    <m/>
    <m/>
    <m/>
    <n v="71500"/>
    <n v="56992"/>
    <m/>
    <m/>
    <m/>
  </r>
  <r>
    <x v="1029"/>
    <n v="280814.82"/>
    <n v="4.7433333333333296"/>
    <n v="3.8550124074074099"/>
    <n v="0.81272222222222201"/>
    <n v="0.99"/>
    <m/>
    <m/>
    <m/>
    <m/>
    <m/>
    <n v="0"/>
    <m/>
    <n v="0"/>
    <n v="0"/>
    <n v="0"/>
    <n v="0"/>
    <n v="0"/>
    <m/>
    <m/>
    <m/>
    <m/>
    <m/>
    <m/>
    <m/>
    <m/>
    <m/>
    <m/>
    <n v="0"/>
    <n v="0"/>
    <m/>
    <m/>
    <m/>
    <m/>
    <m/>
    <m/>
    <m/>
    <m/>
    <m/>
    <m/>
    <m/>
    <m/>
    <n v="0"/>
    <m/>
    <m/>
    <m/>
    <m/>
    <m/>
    <m/>
    <m/>
    <m/>
    <m/>
    <n v="71500"/>
    <n v="56992"/>
    <m/>
    <m/>
    <m/>
  </r>
  <r>
    <x v="1030"/>
    <n v="280814.82"/>
    <n v="4.7433333333333296"/>
    <n v="3.8549597037036998"/>
    <n v="0.81271111111111105"/>
    <n v="0.99"/>
    <m/>
    <m/>
    <m/>
    <m/>
    <m/>
    <n v="0"/>
    <m/>
    <n v="0"/>
    <n v="0"/>
    <n v="0"/>
    <n v="0"/>
    <n v="0"/>
    <m/>
    <m/>
    <m/>
    <m/>
    <m/>
    <m/>
    <m/>
    <m/>
    <m/>
    <m/>
    <n v="0"/>
    <n v="0"/>
    <m/>
    <m/>
    <m/>
    <m/>
    <m/>
    <m/>
    <m/>
    <m/>
    <m/>
    <m/>
    <m/>
    <m/>
    <n v="0"/>
    <m/>
    <m/>
    <m/>
    <m/>
    <m/>
    <m/>
    <m/>
    <m/>
    <m/>
    <n v="71500"/>
    <n v="56992"/>
    <m/>
    <m/>
    <m/>
  </r>
  <r>
    <x v="1031"/>
    <n v="280814.82"/>
    <n v="4.7433333333333296"/>
    <n v="3.8549069999999999"/>
    <n v="0.81269999999999998"/>
    <n v="0.99"/>
    <m/>
    <m/>
    <m/>
    <m/>
    <m/>
    <n v="0"/>
    <m/>
    <n v="0"/>
    <n v="0"/>
    <n v="0"/>
    <n v="0"/>
    <n v="0"/>
    <m/>
    <m/>
    <m/>
    <m/>
    <m/>
    <m/>
    <m/>
    <m/>
    <m/>
    <m/>
    <n v="0"/>
    <n v="0"/>
    <m/>
    <m/>
    <m/>
    <m/>
    <m/>
    <m/>
    <m/>
    <m/>
    <m/>
    <m/>
    <m/>
    <m/>
    <n v="0"/>
    <m/>
    <m/>
    <m/>
    <m/>
    <m/>
    <m/>
    <m/>
    <m/>
    <m/>
    <n v="71500"/>
    <n v="56992"/>
    <m/>
    <m/>
    <m/>
  </r>
  <r>
    <x v="1032"/>
    <n v="280814.82"/>
    <n v="4.7433333333333296"/>
    <n v="3.8548542962962999"/>
    <n v="0.81268888888888902"/>
    <n v="0.99"/>
    <m/>
    <m/>
    <m/>
    <m/>
    <m/>
    <n v="0"/>
    <m/>
    <n v="0"/>
    <n v="0"/>
    <n v="0"/>
    <n v="0"/>
    <n v="0"/>
    <m/>
    <m/>
    <m/>
    <m/>
    <m/>
    <m/>
    <m/>
    <m/>
    <m/>
    <m/>
    <n v="0"/>
    <n v="0"/>
    <m/>
    <m/>
    <m/>
    <m/>
    <m/>
    <m/>
    <m/>
    <m/>
    <m/>
    <m/>
    <m/>
    <m/>
    <n v="0"/>
    <m/>
    <m/>
    <m/>
    <m/>
    <m/>
    <m/>
    <m/>
    <m/>
    <m/>
    <n v="71500"/>
    <n v="56992"/>
    <m/>
    <m/>
    <m/>
  </r>
  <r>
    <x v="1033"/>
    <n v="280814.82"/>
    <n v="4.7433333333333296"/>
    <n v="3.8548015925925898"/>
    <n v="0.81267777777777805"/>
    <n v="0.99"/>
    <m/>
    <m/>
    <m/>
    <m/>
    <m/>
    <n v="0"/>
    <m/>
    <n v="0"/>
    <n v="0"/>
    <n v="0"/>
    <n v="0"/>
    <n v="0"/>
    <m/>
    <m/>
    <m/>
    <m/>
    <m/>
    <m/>
    <m/>
    <m/>
    <m/>
    <m/>
    <n v="0"/>
    <n v="0"/>
    <m/>
    <m/>
    <m/>
    <m/>
    <m/>
    <m/>
    <m/>
    <m/>
    <m/>
    <m/>
    <m/>
    <m/>
    <n v="0"/>
    <m/>
    <m/>
    <m/>
    <m/>
    <m/>
    <m/>
    <m/>
    <m/>
    <m/>
    <n v="71500"/>
    <n v="56992"/>
    <m/>
    <m/>
    <m/>
  </r>
  <r>
    <x v="1034"/>
    <n v="267120.30967741902"/>
    <n v="4.4903225806451603"/>
    <n v="3.6491354838709702"/>
    <n v="0.81266666666666698"/>
    <n v="0.99"/>
    <m/>
    <m/>
    <m/>
    <m/>
    <m/>
    <n v="0"/>
    <m/>
    <n v="0"/>
    <n v="0"/>
    <n v="0"/>
    <n v="0"/>
    <n v="0"/>
    <m/>
    <m/>
    <m/>
    <m/>
    <m/>
    <m/>
    <m/>
    <m/>
    <m/>
    <m/>
    <n v="0"/>
    <n v="0"/>
    <m/>
    <m/>
    <m/>
    <m/>
    <m/>
    <m/>
    <m/>
    <m/>
    <m/>
    <m/>
    <m/>
    <m/>
    <n v="0"/>
    <m/>
    <m/>
    <m/>
    <m/>
    <m/>
    <m/>
    <m/>
    <m/>
    <m/>
    <n v="71500"/>
    <n v="56992"/>
    <m/>
    <m/>
    <m/>
  </r>
  <r>
    <x v="1035"/>
    <n v="267120.30967741902"/>
    <n v="4.4903225806451603"/>
    <n v="3.6490855913978502"/>
    <n v="0.81265555555555602"/>
    <n v="0.99"/>
    <m/>
    <m/>
    <m/>
    <m/>
    <m/>
    <n v="0"/>
    <m/>
    <n v="0"/>
    <n v="0"/>
    <n v="0"/>
    <n v="0"/>
    <n v="0"/>
    <m/>
    <m/>
    <m/>
    <m/>
    <m/>
    <m/>
    <m/>
    <m/>
    <m/>
    <m/>
    <n v="0"/>
    <n v="0"/>
    <m/>
    <m/>
    <m/>
    <m/>
    <m/>
    <m/>
    <m/>
    <m/>
    <m/>
    <m/>
    <m/>
    <m/>
    <n v="0"/>
    <m/>
    <m/>
    <m/>
    <m/>
    <m/>
    <m/>
    <m/>
    <m/>
    <m/>
    <n v="71500"/>
    <n v="56992"/>
    <m/>
    <m/>
    <m/>
  </r>
  <r>
    <x v="1036"/>
    <n v="267120.30967741902"/>
    <n v="4.4903225806451603"/>
    <n v="3.6490356989247301"/>
    <n v="0.81264444444444395"/>
    <n v="0.99"/>
    <m/>
    <m/>
    <m/>
    <m/>
    <m/>
    <n v="0"/>
    <m/>
    <n v="0"/>
    <n v="0"/>
    <n v="0"/>
    <n v="0"/>
    <n v="0"/>
    <m/>
    <m/>
    <m/>
    <m/>
    <m/>
    <m/>
    <m/>
    <m/>
    <m/>
    <m/>
    <n v="0"/>
    <n v="0"/>
    <m/>
    <m/>
    <m/>
    <m/>
    <m/>
    <m/>
    <m/>
    <m/>
    <m/>
    <m/>
    <m/>
    <m/>
    <n v="0"/>
    <m/>
    <m/>
    <m/>
    <m/>
    <m/>
    <m/>
    <m/>
    <m/>
    <m/>
    <n v="71500"/>
    <n v="56992"/>
    <m/>
    <m/>
    <m/>
  </r>
  <r>
    <x v="1037"/>
    <n v="267120.30967741902"/>
    <n v="4.4903225806451603"/>
    <n v="3.6489858064516101"/>
    <n v="0.81263333333333299"/>
    <n v="0.99"/>
    <m/>
    <m/>
    <m/>
    <m/>
    <m/>
    <n v="0"/>
    <m/>
    <n v="0"/>
    <n v="0"/>
    <n v="0"/>
    <n v="0"/>
    <n v="0"/>
    <m/>
    <m/>
    <m/>
    <m/>
    <m/>
    <m/>
    <m/>
    <m/>
    <m/>
    <m/>
    <n v="0"/>
    <n v="0"/>
    <m/>
    <m/>
    <m/>
    <m/>
    <m/>
    <m/>
    <m/>
    <m/>
    <m/>
    <m/>
    <m/>
    <m/>
    <n v="0"/>
    <m/>
    <m/>
    <m/>
    <m/>
    <m/>
    <m/>
    <m/>
    <m/>
    <m/>
    <n v="71500"/>
    <n v="56992"/>
    <m/>
    <m/>
    <m/>
  </r>
  <r>
    <x v="1038"/>
    <n v="267120.30967741902"/>
    <n v="4.4903225806451603"/>
    <n v="3.64893591397849"/>
    <n v="0.81262222222222202"/>
    <n v="0.99"/>
    <m/>
    <m/>
    <m/>
    <m/>
    <m/>
    <n v="0"/>
    <m/>
    <n v="0"/>
    <n v="0"/>
    <n v="0"/>
    <n v="0"/>
    <n v="0"/>
    <m/>
    <m/>
    <m/>
    <m/>
    <m/>
    <m/>
    <m/>
    <m/>
    <m/>
    <m/>
    <n v="0"/>
    <n v="0"/>
    <m/>
    <m/>
    <m/>
    <m/>
    <m/>
    <m/>
    <m/>
    <m/>
    <m/>
    <m/>
    <m/>
    <m/>
    <n v="0"/>
    <m/>
    <m/>
    <m/>
    <m/>
    <m/>
    <m/>
    <m/>
    <m/>
    <m/>
    <n v="71500"/>
    <n v="56992"/>
    <m/>
    <m/>
    <m/>
  </r>
  <r>
    <x v="1039"/>
    <n v="267120.30967741902"/>
    <n v="4.4903225806451603"/>
    <n v="3.6488860215053802"/>
    <n v="0.81261111111111095"/>
    <n v="0.99"/>
    <m/>
    <m/>
    <m/>
    <m/>
    <m/>
    <n v="0"/>
    <m/>
    <n v="0"/>
    <n v="0"/>
    <n v="0"/>
    <n v="0"/>
    <n v="0"/>
    <m/>
    <m/>
    <m/>
    <m/>
    <m/>
    <m/>
    <m/>
    <m/>
    <m/>
    <m/>
    <n v="0"/>
    <n v="0"/>
    <m/>
    <m/>
    <m/>
    <m/>
    <m/>
    <m/>
    <m/>
    <m/>
    <m/>
    <m/>
    <m/>
    <m/>
    <n v="0"/>
    <m/>
    <m/>
    <m/>
    <m/>
    <m/>
    <m/>
    <m/>
    <m/>
    <m/>
    <n v="71500"/>
    <n v="56992"/>
    <m/>
    <m/>
    <m/>
  </r>
  <r>
    <x v="1040"/>
    <n v="267120.30967741902"/>
    <n v="4.4903225806451603"/>
    <n v="3.6488361290322602"/>
    <n v="0.81259999999999999"/>
    <n v="0.99"/>
    <m/>
    <m/>
    <m/>
    <m/>
    <m/>
    <n v="0"/>
    <m/>
    <n v="0"/>
    <n v="0"/>
    <n v="0"/>
    <n v="0"/>
    <n v="0"/>
    <m/>
    <m/>
    <m/>
    <m/>
    <m/>
    <m/>
    <m/>
    <m/>
    <m/>
    <m/>
    <n v="0"/>
    <n v="0"/>
    <m/>
    <m/>
    <m/>
    <m/>
    <m/>
    <m/>
    <m/>
    <m/>
    <m/>
    <m/>
    <m/>
    <m/>
    <n v="0"/>
    <m/>
    <m/>
    <m/>
    <m/>
    <m/>
    <m/>
    <m/>
    <m/>
    <m/>
    <n v="71500"/>
    <n v="56992"/>
    <m/>
    <m/>
    <m/>
  </r>
  <r>
    <x v="1041"/>
    <n v="267120.30967741902"/>
    <n v="4.4903225806451603"/>
    <n v="3.6487862365591401"/>
    <n v="0.81258888888888903"/>
    <n v="0.99"/>
    <m/>
    <m/>
    <m/>
    <m/>
    <m/>
    <n v="0"/>
    <m/>
    <n v="0"/>
    <n v="0"/>
    <n v="0"/>
    <n v="0"/>
    <n v="0"/>
    <m/>
    <m/>
    <m/>
    <m/>
    <m/>
    <m/>
    <m/>
    <m/>
    <m/>
    <m/>
    <n v="0"/>
    <n v="0"/>
    <m/>
    <m/>
    <m/>
    <m/>
    <m/>
    <m/>
    <m/>
    <m/>
    <m/>
    <m/>
    <m/>
    <m/>
    <n v="0"/>
    <m/>
    <m/>
    <m/>
    <m/>
    <m/>
    <m/>
    <m/>
    <m/>
    <m/>
    <n v="71500"/>
    <n v="56992"/>
    <m/>
    <m/>
    <m/>
  </r>
  <r>
    <x v="1042"/>
    <n v="267120.30967741902"/>
    <n v="4.4903225806451603"/>
    <n v="3.6487363440860201"/>
    <n v="0.81257777777777795"/>
    <n v="0.99"/>
    <m/>
    <m/>
    <m/>
    <m/>
    <m/>
    <n v="0"/>
    <m/>
    <n v="0"/>
    <n v="0"/>
    <n v="0"/>
    <n v="0"/>
    <n v="0"/>
    <m/>
    <m/>
    <m/>
    <m/>
    <m/>
    <m/>
    <m/>
    <m/>
    <m/>
    <m/>
    <n v="0"/>
    <n v="0"/>
    <m/>
    <m/>
    <m/>
    <m/>
    <m/>
    <m/>
    <m/>
    <m/>
    <m/>
    <m/>
    <m/>
    <m/>
    <n v="0"/>
    <m/>
    <m/>
    <m/>
    <m/>
    <m/>
    <m/>
    <m/>
    <m/>
    <m/>
    <n v="71500"/>
    <n v="56992"/>
    <m/>
    <m/>
    <m/>
  </r>
  <r>
    <x v="1043"/>
    <n v="267120.30967741902"/>
    <n v="4.4903225806451603"/>
    <n v="3.6486864516129001"/>
    <n v="0.81256666666666699"/>
    <n v="0.99"/>
    <m/>
    <m/>
    <m/>
    <m/>
    <m/>
    <n v="0"/>
    <m/>
    <n v="0"/>
    <n v="0"/>
    <n v="0"/>
    <n v="0"/>
    <n v="0"/>
    <m/>
    <m/>
    <m/>
    <m/>
    <m/>
    <m/>
    <m/>
    <m/>
    <m/>
    <m/>
    <n v="0"/>
    <n v="0"/>
    <m/>
    <m/>
    <m/>
    <m/>
    <m/>
    <m/>
    <m/>
    <m/>
    <m/>
    <m/>
    <m/>
    <m/>
    <n v="0"/>
    <m/>
    <m/>
    <m/>
    <m/>
    <m/>
    <m/>
    <m/>
    <m/>
    <m/>
    <n v="71500"/>
    <n v="56992"/>
    <m/>
    <m/>
    <m/>
  </r>
  <r>
    <x v="1044"/>
    <n v="267120.30967741902"/>
    <n v="4.4903225806451603"/>
    <n v="3.64863655913978"/>
    <n v="0.81255555555555603"/>
    <n v="0.99"/>
    <m/>
    <m/>
    <m/>
    <m/>
    <m/>
    <n v="0"/>
    <m/>
    <n v="0"/>
    <n v="0"/>
    <n v="0"/>
    <n v="0"/>
    <n v="0"/>
    <m/>
    <m/>
    <m/>
    <m/>
    <m/>
    <m/>
    <m/>
    <m/>
    <m/>
    <m/>
    <n v="0"/>
    <n v="0"/>
    <m/>
    <m/>
    <m/>
    <m/>
    <m/>
    <m/>
    <m/>
    <m/>
    <m/>
    <m/>
    <m/>
    <m/>
    <n v="0"/>
    <m/>
    <m/>
    <m/>
    <m/>
    <m/>
    <m/>
    <m/>
    <m/>
    <m/>
    <n v="71500"/>
    <n v="56992"/>
    <m/>
    <m/>
    <m/>
  </r>
  <r>
    <x v="1045"/>
    <n v="267120.30967741902"/>
    <n v="4.4903225806451603"/>
    <n v="3.6485866666666702"/>
    <n v="0.81254444444444396"/>
    <n v="0.99"/>
    <m/>
    <m/>
    <m/>
    <m/>
    <m/>
    <n v="0"/>
    <m/>
    <n v="0"/>
    <n v="0"/>
    <n v="0"/>
    <n v="0"/>
    <n v="0"/>
    <m/>
    <m/>
    <m/>
    <m/>
    <m/>
    <m/>
    <m/>
    <m/>
    <m/>
    <m/>
    <n v="0"/>
    <n v="0"/>
    <m/>
    <m/>
    <m/>
    <m/>
    <m/>
    <m/>
    <m/>
    <m/>
    <m/>
    <m/>
    <m/>
    <m/>
    <n v="0"/>
    <m/>
    <m/>
    <m/>
    <m/>
    <m/>
    <m/>
    <m/>
    <m/>
    <m/>
    <n v="71500"/>
    <n v="56992"/>
    <m/>
    <m/>
    <m/>
  </r>
  <r>
    <x v="1046"/>
    <n v="267120.30967741902"/>
    <n v="4.4903225806451603"/>
    <n v="3.6485367741935502"/>
    <n v="0.812533333333333"/>
    <n v="0.99"/>
    <m/>
    <m/>
    <m/>
    <m/>
    <m/>
    <n v="0"/>
    <m/>
    <n v="0"/>
    <n v="0"/>
    <n v="0"/>
    <n v="0"/>
    <n v="0"/>
    <m/>
    <m/>
    <m/>
    <m/>
    <m/>
    <m/>
    <m/>
    <m/>
    <m/>
    <m/>
    <n v="0"/>
    <n v="0"/>
    <m/>
    <m/>
    <m/>
    <m/>
    <m/>
    <m/>
    <m/>
    <m/>
    <m/>
    <m/>
    <m/>
    <m/>
    <n v="0"/>
    <m/>
    <m/>
    <m/>
    <m/>
    <m/>
    <m/>
    <m/>
    <m/>
    <m/>
    <n v="71500"/>
    <n v="56992"/>
    <m/>
    <m/>
    <m/>
  </r>
  <r>
    <x v="1047"/>
    <n v="267120.30967741902"/>
    <n v="4.4903225806451603"/>
    <n v="3.6484868817204301"/>
    <n v="0.81252222222222203"/>
    <n v="0.99"/>
    <m/>
    <m/>
    <m/>
    <m/>
    <m/>
    <n v="0"/>
    <m/>
    <n v="0"/>
    <n v="0"/>
    <n v="0"/>
    <n v="0"/>
    <n v="0"/>
    <m/>
    <m/>
    <m/>
    <m/>
    <m/>
    <m/>
    <m/>
    <m/>
    <m/>
    <m/>
    <n v="0"/>
    <n v="0"/>
    <m/>
    <m/>
    <m/>
    <m/>
    <m/>
    <m/>
    <m/>
    <m/>
    <m/>
    <m/>
    <m/>
    <m/>
    <n v="0"/>
    <m/>
    <m/>
    <m/>
    <m/>
    <m/>
    <m/>
    <m/>
    <m/>
    <m/>
    <n v="71500"/>
    <n v="56992"/>
    <m/>
    <m/>
    <m/>
  </r>
  <r>
    <x v="1048"/>
    <n v="267120.30967741902"/>
    <n v="4.4903225806451603"/>
    <n v="3.6484369892473101"/>
    <n v="0.81251111111111096"/>
    <n v="0.99"/>
    <m/>
    <m/>
    <m/>
    <m/>
    <m/>
    <n v="0"/>
    <m/>
    <n v="0"/>
    <n v="0"/>
    <n v="0"/>
    <n v="0"/>
    <n v="0"/>
    <m/>
    <m/>
    <m/>
    <m/>
    <m/>
    <m/>
    <m/>
    <m/>
    <m/>
    <m/>
    <n v="0"/>
    <n v="0"/>
    <m/>
    <m/>
    <m/>
    <m/>
    <m/>
    <m/>
    <m/>
    <m/>
    <m/>
    <m/>
    <m/>
    <m/>
    <n v="0"/>
    <m/>
    <m/>
    <m/>
    <m/>
    <m/>
    <m/>
    <m/>
    <m/>
    <m/>
    <n v="71500"/>
    <n v="56992"/>
    <m/>
    <m/>
    <m/>
  </r>
  <r>
    <x v="1049"/>
    <n v="267120.30967741902"/>
    <n v="4.4903225806451603"/>
    <n v="3.64838709677419"/>
    <n v="0.8125"/>
    <n v="0.99"/>
    <m/>
    <m/>
    <m/>
    <m/>
    <m/>
    <n v="0"/>
    <m/>
    <n v="0"/>
    <n v="0"/>
    <n v="0"/>
    <n v="0"/>
    <n v="0"/>
    <m/>
    <m/>
    <m/>
    <m/>
    <m/>
    <m/>
    <m/>
    <m/>
    <m/>
    <m/>
    <n v="0"/>
    <n v="0"/>
    <m/>
    <m/>
    <m/>
    <m/>
    <m/>
    <m/>
    <m/>
    <m/>
    <m/>
    <m/>
    <m/>
    <m/>
    <n v="0"/>
    <m/>
    <m/>
    <m/>
    <m/>
    <m/>
    <m/>
    <m/>
    <m/>
    <m/>
    <n v="71500"/>
    <n v="56992"/>
    <m/>
    <m/>
    <m/>
  </r>
  <r>
    <x v="1050"/>
    <n v="267120.30967741902"/>
    <n v="4.4903225806451603"/>
    <n v="3.6483372043010802"/>
    <n v="0.81248888888888904"/>
    <n v="0.99"/>
    <m/>
    <m/>
    <m/>
    <m/>
    <m/>
    <n v="0"/>
    <m/>
    <n v="0"/>
    <n v="0"/>
    <n v="0"/>
    <n v="0"/>
    <n v="0"/>
    <m/>
    <m/>
    <m/>
    <m/>
    <m/>
    <m/>
    <m/>
    <m/>
    <m/>
    <m/>
    <n v="0"/>
    <n v="0"/>
    <m/>
    <m/>
    <m/>
    <m/>
    <m/>
    <m/>
    <m/>
    <m/>
    <m/>
    <m/>
    <m/>
    <m/>
    <n v="0"/>
    <m/>
    <m/>
    <m/>
    <m/>
    <m/>
    <m/>
    <m/>
    <m/>
    <m/>
    <n v="71500"/>
    <n v="56992"/>
    <m/>
    <m/>
    <m/>
  </r>
  <r>
    <x v="1051"/>
    <n v="267120.30967741902"/>
    <n v="4.4903225806451603"/>
    <n v="3.6482873118279602"/>
    <n v="0.81247777777777797"/>
    <n v="0.99"/>
    <m/>
    <m/>
    <m/>
    <m/>
    <m/>
    <n v="0"/>
    <m/>
    <n v="0"/>
    <n v="0"/>
    <n v="0"/>
    <n v="0"/>
    <n v="0"/>
    <m/>
    <m/>
    <m/>
    <m/>
    <m/>
    <m/>
    <m/>
    <m/>
    <m/>
    <m/>
    <n v="0"/>
    <n v="0"/>
    <m/>
    <m/>
    <m/>
    <m/>
    <m/>
    <m/>
    <m/>
    <m/>
    <m/>
    <m/>
    <m/>
    <m/>
    <n v="0"/>
    <m/>
    <m/>
    <m/>
    <m/>
    <m/>
    <m/>
    <m/>
    <m/>
    <m/>
    <n v="71500"/>
    <n v="56992"/>
    <m/>
    <m/>
    <m/>
  </r>
  <r>
    <x v="1052"/>
    <n v="267120.30967741902"/>
    <n v="4.4903225806451603"/>
    <n v="3.6482374193548401"/>
    <n v="0.812466666666667"/>
    <n v="0.99"/>
    <m/>
    <m/>
    <m/>
    <m/>
    <m/>
    <n v="0"/>
    <m/>
    <n v="0"/>
    <n v="0"/>
    <n v="0"/>
    <n v="0"/>
    <n v="0"/>
    <m/>
    <m/>
    <m/>
    <m/>
    <m/>
    <m/>
    <m/>
    <m/>
    <m/>
    <m/>
    <n v="0"/>
    <n v="0"/>
    <m/>
    <m/>
    <m/>
    <m/>
    <m/>
    <m/>
    <m/>
    <m/>
    <m/>
    <m/>
    <m/>
    <m/>
    <n v="0"/>
    <m/>
    <m/>
    <m/>
    <m/>
    <m/>
    <m/>
    <m/>
    <m/>
    <m/>
    <n v="71500"/>
    <n v="56992"/>
    <m/>
    <m/>
    <m/>
  </r>
  <r>
    <x v="1053"/>
    <n v="267120.30967741902"/>
    <n v="4.4903225806451603"/>
    <n v="3.6481875268817201"/>
    <n v="0.81245555555555504"/>
    <n v="0.99"/>
    <m/>
    <m/>
    <m/>
    <m/>
    <m/>
    <n v="0"/>
    <m/>
    <n v="0"/>
    <n v="0"/>
    <n v="0"/>
    <n v="0"/>
    <n v="0"/>
    <m/>
    <m/>
    <m/>
    <m/>
    <m/>
    <m/>
    <m/>
    <m/>
    <m/>
    <m/>
    <n v="0"/>
    <n v="0"/>
    <m/>
    <m/>
    <m/>
    <m/>
    <m/>
    <m/>
    <m/>
    <m/>
    <m/>
    <m/>
    <m/>
    <m/>
    <n v="0"/>
    <m/>
    <m/>
    <m/>
    <m/>
    <m/>
    <m/>
    <m/>
    <m/>
    <m/>
    <n v="71500"/>
    <n v="56992"/>
    <m/>
    <m/>
    <m/>
  </r>
  <r>
    <x v="1054"/>
    <n v="267120.30967741902"/>
    <n v="4.4903225806451603"/>
    <n v="3.6481376344086001"/>
    <n v="0.81244444444444397"/>
    <n v="0.99"/>
    <m/>
    <m/>
    <m/>
    <m/>
    <m/>
    <n v="0"/>
    <m/>
    <n v="0"/>
    <n v="0"/>
    <n v="0"/>
    <n v="0"/>
    <n v="0"/>
    <m/>
    <m/>
    <m/>
    <m/>
    <m/>
    <m/>
    <m/>
    <m/>
    <m/>
    <m/>
    <n v="0"/>
    <n v="0"/>
    <m/>
    <m/>
    <m/>
    <m/>
    <m/>
    <m/>
    <m/>
    <m/>
    <m/>
    <m/>
    <m/>
    <m/>
    <n v="0"/>
    <m/>
    <m/>
    <m/>
    <m/>
    <m/>
    <m/>
    <m/>
    <m/>
    <m/>
    <n v="71500"/>
    <n v="56992"/>
    <m/>
    <m/>
    <m/>
  </r>
  <r>
    <x v="1055"/>
    <n v="267120.30967741902"/>
    <n v="4.4903225806451603"/>
    <n v="3.64808774193548"/>
    <n v="0.81243333333333301"/>
    <n v="0.99"/>
    <m/>
    <m/>
    <m/>
    <m/>
    <m/>
    <n v="0"/>
    <m/>
    <n v="0"/>
    <n v="0"/>
    <n v="0"/>
    <n v="0"/>
    <n v="0"/>
    <m/>
    <m/>
    <m/>
    <m/>
    <m/>
    <m/>
    <m/>
    <m/>
    <m/>
    <m/>
    <n v="0"/>
    <n v="0"/>
    <m/>
    <m/>
    <m/>
    <m/>
    <m/>
    <m/>
    <m/>
    <m/>
    <m/>
    <m/>
    <m/>
    <m/>
    <n v="0"/>
    <m/>
    <m/>
    <m/>
    <m/>
    <m/>
    <m/>
    <m/>
    <m/>
    <m/>
    <n v="71500"/>
    <n v="56992"/>
    <m/>
    <m/>
    <m/>
  </r>
  <r>
    <x v="1056"/>
    <n v="267120.30967741902"/>
    <n v="4.4903225806451603"/>
    <n v="3.6480378494623702"/>
    <n v="0.81242222222222205"/>
    <n v="0.99"/>
    <m/>
    <m/>
    <m/>
    <m/>
    <m/>
    <n v="0"/>
    <m/>
    <n v="0"/>
    <n v="0"/>
    <n v="0"/>
    <n v="0"/>
    <n v="0"/>
    <m/>
    <m/>
    <m/>
    <m/>
    <m/>
    <m/>
    <m/>
    <m/>
    <m/>
    <m/>
    <n v="0"/>
    <n v="0"/>
    <m/>
    <m/>
    <m/>
    <m/>
    <m/>
    <m/>
    <m/>
    <m/>
    <m/>
    <m/>
    <m/>
    <m/>
    <n v="0"/>
    <m/>
    <m/>
    <m/>
    <m/>
    <m/>
    <m/>
    <m/>
    <m/>
    <m/>
    <n v="71500"/>
    <n v="56992"/>
    <m/>
    <m/>
    <m/>
  </r>
  <r>
    <x v="1057"/>
    <n v="267120.30967741902"/>
    <n v="4.4903225806451603"/>
    <n v="3.6479879569892502"/>
    <n v="0.81241111111111097"/>
    <n v="0.99"/>
    <m/>
    <m/>
    <m/>
    <m/>
    <m/>
    <n v="0"/>
    <m/>
    <n v="0"/>
    <n v="0"/>
    <n v="0"/>
    <n v="0"/>
    <n v="0"/>
    <m/>
    <m/>
    <m/>
    <m/>
    <m/>
    <m/>
    <m/>
    <m/>
    <m/>
    <m/>
    <n v="0"/>
    <n v="0"/>
    <m/>
    <m/>
    <m/>
    <m/>
    <m/>
    <m/>
    <m/>
    <m/>
    <m/>
    <m/>
    <m/>
    <m/>
    <n v="0"/>
    <m/>
    <m/>
    <m/>
    <m/>
    <m/>
    <m/>
    <m/>
    <m/>
    <m/>
    <n v="71500"/>
    <n v="56992"/>
    <m/>
    <m/>
    <m/>
  </r>
  <r>
    <x v="1058"/>
    <n v="267120.30967741902"/>
    <n v="4.4903225806451603"/>
    <n v="3.6479380645161301"/>
    <n v="0.81240000000000001"/>
    <n v="0.99"/>
    <m/>
    <m/>
    <m/>
    <m/>
    <m/>
    <n v="0"/>
    <m/>
    <n v="0"/>
    <n v="0"/>
    <n v="0"/>
    <n v="0"/>
    <n v="0"/>
    <m/>
    <m/>
    <m/>
    <m/>
    <m/>
    <m/>
    <m/>
    <m/>
    <m/>
    <m/>
    <n v="0"/>
    <n v="0"/>
    <m/>
    <m/>
    <m/>
    <m/>
    <m/>
    <m/>
    <m/>
    <m/>
    <m/>
    <m/>
    <m/>
    <m/>
    <n v="0"/>
    <m/>
    <m/>
    <m/>
    <m/>
    <m/>
    <m/>
    <m/>
    <m/>
    <m/>
    <n v="71500"/>
    <n v="56992"/>
    <m/>
    <m/>
    <m/>
  </r>
  <r>
    <x v="1059"/>
    <n v="267120.30967741902"/>
    <n v="4.4903225806451603"/>
    <n v="3.6478881720430101"/>
    <n v="0.81238888888888905"/>
    <n v="0.99"/>
    <m/>
    <m/>
    <m/>
    <m/>
    <m/>
    <n v="0"/>
    <m/>
    <n v="0"/>
    <n v="0"/>
    <n v="0"/>
    <n v="0"/>
    <n v="0"/>
    <m/>
    <m/>
    <m/>
    <m/>
    <m/>
    <m/>
    <m/>
    <m/>
    <m/>
    <m/>
    <n v="0"/>
    <n v="0"/>
    <m/>
    <m/>
    <m/>
    <m/>
    <m/>
    <m/>
    <m/>
    <m/>
    <m/>
    <m/>
    <m/>
    <m/>
    <n v="0"/>
    <m/>
    <m/>
    <m/>
    <m/>
    <m/>
    <m/>
    <m/>
    <m/>
    <m/>
    <n v="71500"/>
    <n v="56992"/>
    <m/>
    <m/>
    <m/>
  </r>
  <r>
    <x v="1060"/>
    <n v="267120.30967741902"/>
    <n v="4.4903225806451603"/>
    <n v="3.64783827956989"/>
    <n v="0.81237777777777798"/>
    <n v="0.99"/>
    <m/>
    <m/>
    <m/>
    <m/>
    <m/>
    <n v="0"/>
    <m/>
    <n v="0"/>
    <n v="0"/>
    <n v="0"/>
    <n v="0"/>
    <n v="0"/>
    <m/>
    <m/>
    <m/>
    <m/>
    <m/>
    <m/>
    <m/>
    <m/>
    <m/>
    <m/>
    <n v="0"/>
    <n v="0"/>
    <m/>
    <m/>
    <m/>
    <m/>
    <m/>
    <m/>
    <m/>
    <m/>
    <m/>
    <m/>
    <m/>
    <m/>
    <n v="0"/>
    <m/>
    <m/>
    <m/>
    <m/>
    <m/>
    <m/>
    <m/>
    <m/>
    <m/>
    <n v="71500"/>
    <n v="56992"/>
    <m/>
    <m/>
    <m/>
  </r>
  <r>
    <x v="1061"/>
    <n v="267120.30967741902"/>
    <n v="4.4903225806451603"/>
    <n v="3.64778838709677"/>
    <n v="0.81236666666666701"/>
    <n v="0.99"/>
    <m/>
    <m/>
    <m/>
    <m/>
    <m/>
    <n v="0"/>
    <m/>
    <n v="0"/>
    <n v="0"/>
    <n v="0"/>
    <n v="0"/>
    <n v="0"/>
    <m/>
    <m/>
    <m/>
    <m/>
    <m/>
    <m/>
    <m/>
    <m/>
    <m/>
    <m/>
    <n v="0"/>
    <n v="0"/>
    <m/>
    <m/>
    <m/>
    <m/>
    <m/>
    <m/>
    <m/>
    <m/>
    <m/>
    <m/>
    <m/>
    <m/>
    <n v="0"/>
    <m/>
    <m/>
    <m/>
    <m/>
    <m/>
    <m/>
    <m/>
    <m/>
    <m/>
    <n v="71500"/>
    <n v="56992"/>
    <m/>
    <m/>
    <m/>
  </r>
  <r>
    <x v="1062"/>
    <n v="267120.30967741902"/>
    <n v="4.4903225806451603"/>
    <n v="3.6477384946236602"/>
    <n v="0.81235555555555505"/>
    <n v="0.99"/>
    <m/>
    <m/>
    <m/>
    <m/>
    <m/>
    <n v="0"/>
    <m/>
    <n v="0"/>
    <n v="0"/>
    <n v="0"/>
    <n v="0"/>
    <n v="0"/>
    <m/>
    <m/>
    <m/>
    <m/>
    <m/>
    <m/>
    <m/>
    <m/>
    <m/>
    <m/>
    <n v="0"/>
    <n v="0"/>
    <m/>
    <m/>
    <m/>
    <m/>
    <m/>
    <m/>
    <m/>
    <m/>
    <m/>
    <m/>
    <m/>
    <m/>
    <n v="0"/>
    <m/>
    <m/>
    <m/>
    <m/>
    <m/>
    <m/>
    <m/>
    <m/>
    <m/>
    <n v="71500"/>
    <n v="56992"/>
    <m/>
    <m/>
    <m/>
  </r>
  <r>
    <x v="1063"/>
    <n v="267120.30967741902"/>
    <n v="4.4903225806451603"/>
    <n v="3.6476886021505401"/>
    <n v="0.81234444444444398"/>
    <n v="0.99"/>
    <m/>
    <m/>
    <m/>
    <m/>
    <m/>
    <n v="0"/>
    <m/>
    <n v="0"/>
    <n v="0"/>
    <n v="0"/>
    <n v="0"/>
    <n v="0"/>
    <m/>
    <m/>
    <m/>
    <m/>
    <m/>
    <m/>
    <m/>
    <m/>
    <m/>
    <m/>
    <n v="0"/>
    <n v="0"/>
    <m/>
    <m/>
    <m/>
    <m/>
    <m/>
    <m/>
    <m/>
    <m/>
    <m/>
    <m/>
    <m/>
    <m/>
    <n v="0"/>
    <m/>
    <m/>
    <m/>
    <m/>
    <m/>
    <m/>
    <m/>
    <m/>
    <m/>
    <n v="71500"/>
    <n v="56992"/>
    <m/>
    <m/>
    <m/>
  </r>
  <r>
    <x v="1064"/>
    <n v="267120.30967741902"/>
    <n v="4.4903225806451603"/>
    <n v="3.6476387096774201"/>
    <n v="0.81233333333333302"/>
    <n v="0.99"/>
    <m/>
    <m/>
    <m/>
    <m/>
    <m/>
    <n v="0"/>
    <m/>
    <n v="0"/>
    <n v="0"/>
    <n v="0"/>
    <n v="0"/>
    <n v="0"/>
    <m/>
    <m/>
    <m/>
    <m/>
    <m/>
    <m/>
    <m/>
    <m/>
    <m/>
    <m/>
    <n v="0"/>
    <n v="0"/>
    <m/>
    <m/>
    <m/>
    <m/>
    <m/>
    <m/>
    <m/>
    <m/>
    <m/>
    <m/>
    <m/>
    <m/>
    <n v="0"/>
    <m/>
    <m/>
    <m/>
    <m/>
    <m/>
    <m/>
    <m/>
    <m/>
    <m/>
    <n v="71500"/>
    <n v="56992"/>
    <m/>
    <m/>
    <m/>
  </r>
  <r>
    <x v="1065"/>
    <n v="247960.808333333"/>
    <n v="4.18333333333333"/>
    <n v="3.3982611111111098"/>
    <n v="0.81233333333333302"/>
    <n v="0.99"/>
    <m/>
    <m/>
    <m/>
    <m/>
    <m/>
    <n v="0"/>
    <m/>
    <n v="0"/>
    <n v="0"/>
    <n v="0"/>
    <n v="0"/>
    <n v="0"/>
    <m/>
    <m/>
    <m/>
    <m/>
    <m/>
    <m/>
    <m/>
    <m/>
    <m/>
    <m/>
    <n v="0"/>
    <n v="0"/>
    <m/>
    <m/>
    <m/>
    <m/>
    <m/>
    <m/>
    <m/>
    <m/>
    <m/>
    <m/>
    <m/>
    <m/>
    <n v="0"/>
    <m/>
    <m/>
    <m/>
    <m/>
    <m/>
    <m/>
    <m/>
    <m/>
    <m/>
    <n v="71500"/>
    <n v="56992"/>
    <m/>
    <m/>
    <m/>
  </r>
  <r>
    <x v="1066"/>
    <n v="247960.808333333"/>
    <n v="4.18333333333333"/>
    <n v="3.3982146296296301"/>
    <n v="0.81232222222222195"/>
    <n v="0.99"/>
    <m/>
    <m/>
    <m/>
    <m/>
    <m/>
    <n v="0"/>
    <m/>
    <n v="0"/>
    <n v="0"/>
    <n v="0"/>
    <n v="0"/>
    <n v="0"/>
    <m/>
    <m/>
    <m/>
    <m/>
    <m/>
    <m/>
    <m/>
    <m/>
    <m/>
    <m/>
    <n v="0"/>
    <n v="0"/>
    <m/>
    <m/>
    <m/>
    <m/>
    <m/>
    <m/>
    <m/>
    <m/>
    <m/>
    <m/>
    <m/>
    <m/>
    <n v="0"/>
    <m/>
    <m/>
    <m/>
    <m/>
    <m/>
    <m/>
    <m/>
    <m/>
    <m/>
    <n v="71500"/>
    <n v="56992"/>
    <m/>
    <m/>
    <m/>
  </r>
  <r>
    <x v="1067"/>
    <n v="247960.808333333"/>
    <n v="4.18333333333333"/>
    <n v="3.3981681481481498"/>
    <n v="0.81231111111111098"/>
    <n v="0.99"/>
    <m/>
    <m/>
    <m/>
    <m/>
    <m/>
    <n v="0"/>
    <m/>
    <n v="0"/>
    <n v="0"/>
    <n v="0"/>
    <n v="0"/>
    <n v="0"/>
    <m/>
    <m/>
    <m/>
    <m/>
    <m/>
    <m/>
    <m/>
    <m/>
    <m/>
    <m/>
    <n v="0"/>
    <n v="0"/>
    <m/>
    <m/>
    <m/>
    <m/>
    <m/>
    <m/>
    <m/>
    <m/>
    <m/>
    <m/>
    <m/>
    <m/>
    <n v="0"/>
    <m/>
    <m/>
    <m/>
    <m/>
    <m/>
    <m/>
    <m/>
    <m/>
    <m/>
    <n v="71500"/>
    <n v="56992"/>
    <m/>
    <m/>
    <m/>
  </r>
  <r>
    <x v="1068"/>
    <n v="247960.808333333"/>
    <n v="4.18333333333333"/>
    <n v="3.39812166666667"/>
    <n v="0.81230000000000002"/>
    <n v="0.99"/>
    <m/>
    <m/>
    <m/>
    <m/>
    <m/>
    <n v="0"/>
    <m/>
    <n v="0"/>
    <n v="0"/>
    <n v="0"/>
    <n v="0"/>
    <n v="0"/>
    <m/>
    <m/>
    <m/>
    <m/>
    <m/>
    <m/>
    <m/>
    <m/>
    <m/>
    <m/>
    <n v="0"/>
    <n v="0"/>
    <m/>
    <m/>
    <m/>
    <m/>
    <m/>
    <m/>
    <m/>
    <m/>
    <m/>
    <m/>
    <m/>
    <m/>
    <n v="0"/>
    <m/>
    <m/>
    <m/>
    <m/>
    <m/>
    <m/>
    <m/>
    <m/>
    <m/>
    <n v="71500"/>
    <n v="56992"/>
    <m/>
    <m/>
    <m/>
  </r>
  <r>
    <x v="1069"/>
    <n v="247960.808333333"/>
    <n v="4.18333333333333"/>
    <n v="3.3980751851851898"/>
    <n v="0.81228888888888895"/>
    <n v="0.99"/>
    <m/>
    <m/>
    <m/>
    <m/>
    <m/>
    <n v="0"/>
    <m/>
    <n v="0"/>
    <n v="0"/>
    <n v="0"/>
    <n v="0"/>
    <n v="0"/>
    <m/>
    <m/>
    <m/>
    <m/>
    <m/>
    <m/>
    <m/>
    <m/>
    <m/>
    <m/>
    <n v="0"/>
    <n v="0"/>
    <m/>
    <m/>
    <m/>
    <m/>
    <m/>
    <m/>
    <m/>
    <m/>
    <m/>
    <m/>
    <m/>
    <m/>
    <n v="0"/>
    <m/>
    <m/>
    <m/>
    <m/>
    <m/>
    <m/>
    <m/>
    <m/>
    <m/>
    <n v="71500"/>
    <n v="56992"/>
    <m/>
    <m/>
    <m/>
  </r>
  <r>
    <x v="1070"/>
    <n v="247960.808333333"/>
    <n v="4.18333333333333"/>
    <n v="3.3980287037036998"/>
    <n v="0.81227777777777799"/>
    <n v="0.99"/>
    <m/>
    <m/>
    <m/>
    <m/>
    <m/>
    <n v="0"/>
    <m/>
    <n v="0"/>
    <n v="0"/>
    <n v="0"/>
    <n v="0"/>
    <n v="0"/>
    <m/>
    <m/>
    <m/>
    <m/>
    <m/>
    <m/>
    <m/>
    <m/>
    <m/>
    <m/>
    <n v="0"/>
    <n v="0"/>
    <m/>
    <m/>
    <m/>
    <m/>
    <m/>
    <m/>
    <m/>
    <m/>
    <m/>
    <m/>
    <m/>
    <m/>
    <n v="0"/>
    <m/>
    <m/>
    <m/>
    <m/>
    <m/>
    <m/>
    <m/>
    <m/>
    <m/>
    <n v="71500"/>
    <n v="56992"/>
    <m/>
    <m/>
    <m/>
  </r>
  <r>
    <x v="1071"/>
    <n v="247960.808333333"/>
    <n v="4.18333333333333"/>
    <n v="3.39798222222222"/>
    <n v="0.81226666666666703"/>
    <n v="0.99"/>
    <m/>
    <m/>
    <m/>
    <m/>
    <m/>
    <n v="0"/>
    <m/>
    <n v="0"/>
    <n v="0"/>
    <n v="0"/>
    <n v="0"/>
    <n v="0"/>
    <m/>
    <m/>
    <m/>
    <m/>
    <m/>
    <m/>
    <m/>
    <m/>
    <m/>
    <m/>
    <n v="0"/>
    <n v="0"/>
    <m/>
    <m/>
    <m/>
    <m/>
    <m/>
    <m/>
    <m/>
    <m/>
    <m/>
    <m/>
    <m/>
    <m/>
    <n v="0"/>
    <m/>
    <m/>
    <m/>
    <m/>
    <m/>
    <m/>
    <m/>
    <m/>
    <m/>
    <n v="71500"/>
    <n v="56992"/>
    <m/>
    <m/>
    <m/>
  </r>
  <r>
    <x v="1072"/>
    <n v="247960.808333333"/>
    <n v="4.18333333333333"/>
    <n v="3.3979357407407398"/>
    <n v="0.81225555555555595"/>
    <n v="0.99"/>
    <m/>
    <m/>
    <m/>
    <m/>
    <m/>
    <n v="0"/>
    <m/>
    <n v="0"/>
    <n v="0"/>
    <n v="0"/>
    <n v="0"/>
    <n v="0"/>
    <m/>
    <m/>
    <m/>
    <m/>
    <m/>
    <m/>
    <m/>
    <m/>
    <m/>
    <m/>
    <n v="0"/>
    <n v="0"/>
    <m/>
    <m/>
    <m/>
    <m/>
    <m/>
    <m/>
    <m/>
    <m/>
    <m/>
    <m/>
    <m/>
    <m/>
    <n v="0"/>
    <m/>
    <m/>
    <m/>
    <m/>
    <m/>
    <m/>
    <m/>
    <m/>
    <m/>
    <n v="71500"/>
    <n v="56992"/>
    <m/>
    <m/>
    <m/>
  </r>
  <r>
    <x v="1073"/>
    <n v="247960.808333333"/>
    <n v="4.18333333333333"/>
    <n v="3.39788925925926"/>
    <n v="0.81224444444444399"/>
    <n v="0.99"/>
    <m/>
    <m/>
    <m/>
    <m/>
    <m/>
    <n v="0"/>
    <m/>
    <n v="0"/>
    <n v="0"/>
    <n v="0"/>
    <n v="0"/>
    <n v="0"/>
    <m/>
    <m/>
    <m/>
    <m/>
    <m/>
    <m/>
    <m/>
    <m/>
    <m/>
    <m/>
    <n v="0"/>
    <n v="0"/>
    <m/>
    <m/>
    <m/>
    <m/>
    <m/>
    <m/>
    <m/>
    <m/>
    <m/>
    <m/>
    <m/>
    <m/>
    <n v="0"/>
    <m/>
    <m/>
    <m/>
    <m/>
    <m/>
    <m/>
    <m/>
    <m/>
    <m/>
    <n v="71500"/>
    <n v="56992"/>
    <m/>
    <m/>
    <m/>
  </r>
  <r>
    <x v="1074"/>
    <n v="247960.808333333"/>
    <n v="4.18333333333333"/>
    <n v="3.3978427777777802"/>
    <n v="0.81223333333333303"/>
    <n v="0.99"/>
    <m/>
    <m/>
    <m/>
    <m/>
    <m/>
    <n v="0"/>
    <m/>
    <n v="0"/>
    <n v="0"/>
    <n v="0"/>
    <n v="0"/>
    <n v="0"/>
    <m/>
    <m/>
    <m/>
    <m/>
    <m/>
    <m/>
    <m/>
    <m/>
    <m/>
    <m/>
    <n v="0"/>
    <n v="0"/>
    <m/>
    <m/>
    <m/>
    <m/>
    <m/>
    <m/>
    <m/>
    <m/>
    <m/>
    <m/>
    <m/>
    <m/>
    <n v="0"/>
    <m/>
    <m/>
    <m/>
    <m/>
    <m/>
    <m/>
    <m/>
    <m/>
    <m/>
    <n v="71500"/>
    <n v="56992"/>
    <m/>
    <m/>
    <m/>
  </r>
  <r>
    <x v="1075"/>
    <n v="247960.808333333"/>
    <n v="4.18333333333333"/>
    <n v="3.3977962962963"/>
    <n v="0.81222222222222196"/>
    <n v="0.99"/>
    <m/>
    <m/>
    <m/>
    <m/>
    <m/>
    <n v="0"/>
    <m/>
    <n v="0"/>
    <n v="0"/>
    <n v="0"/>
    <n v="0"/>
    <n v="0"/>
    <m/>
    <m/>
    <m/>
    <m/>
    <m/>
    <m/>
    <m/>
    <m/>
    <m/>
    <m/>
    <n v="0"/>
    <n v="0"/>
    <m/>
    <m/>
    <m/>
    <m/>
    <m/>
    <m/>
    <m/>
    <m/>
    <m/>
    <m/>
    <m/>
    <m/>
    <n v="0"/>
    <m/>
    <m/>
    <m/>
    <m/>
    <m/>
    <m/>
    <m/>
    <m/>
    <m/>
    <n v="71500"/>
    <n v="56992"/>
    <m/>
    <m/>
    <m/>
  </r>
  <r>
    <x v="1076"/>
    <n v="247960.808333333"/>
    <n v="4.18333333333333"/>
    <n v="3.39774981481481"/>
    <n v="0.81221111111111099"/>
    <n v="0.99"/>
    <m/>
    <m/>
    <m/>
    <m/>
    <m/>
    <n v="0"/>
    <m/>
    <n v="0"/>
    <n v="0"/>
    <n v="0"/>
    <n v="0"/>
    <n v="0"/>
    <m/>
    <m/>
    <m/>
    <m/>
    <m/>
    <m/>
    <m/>
    <m/>
    <m/>
    <m/>
    <n v="0"/>
    <n v="0"/>
    <m/>
    <m/>
    <m/>
    <m/>
    <m/>
    <m/>
    <m/>
    <m/>
    <m/>
    <m/>
    <m/>
    <m/>
    <n v="0"/>
    <m/>
    <m/>
    <m/>
    <m/>
    <m/>
    <m/>
    <m/>
    <m/>
    <m/>
    <n v="71500"/>
    <n v="56992"/>
    <m/>
    <m/>
    <m/>
  </r>
  <r>
    <x v="1077"/>
    <n v="247960.808333333"/>
    <n v="4.18333333333333"/>
    <n v="3.3977033333333302"/>
    <n v="0.81220000000000003"/>
    <n v="0.99"/>
    <m/>
    <m/>
    <m/>
    <m/>
    <m/>
    <n v="0"/>
    <m/>
    <n v="0"/>
    <n v="0"/>
    <n v="0"/>
    <n v="0"/>
    <n v="0"/>
    <m/>
    <m/>
    <m/>
    <m/>
    <m/>
    <m/>
    <m/>
    <m/>
    <m/>
    <m/>
    <n v="0"/>
    <n v="0"/>
    <m/>
    <m/>
    <m/>
    <m/>
    <m/>
    <m/>
    <m/>
    <m/>
    <m/>
    <m/>
    <m/>
    <m/>
    <n v="0"/>
    <m/>
    <m/>
    <m/>
    <m/>
    <m/>
    <m/>
    <m/>
    <m/>
    <m/>
    <n v="71500"/>
    <n v="56992"/>
    <m/>
    <m/>
    <m/>
  </r>
  <r>
    <x v="1078"/>
    <n v="247960.808333333"/>
    <n v="4.18333333333333"/>
    <n v="3.39765685185185"/>
    <n v="0.81218888888888896"/>
    <n v="0.99"/>
    <m/>
    <m/>
    <m/>
    <m/>
    <m/>
    <n v="0"/>
    <m/>
    <n v="0"/>
    <n v="0"/>
    <n v="0"/>
    <n v="0"/>
    <n v="0"/>
    <m/>
    <m/>
    <m/>
    <m/>
    <m/>
    <m/>
    <m/>
    <m/>
    <m/>
    <m/>
    <n v="0"/>
    <n v="0"/>
    <m/>
    <m/>
    <m/>
    <m/>
    <m/>
    <m/>
    <m/>
    <m/>
    <m/>
    <m/>
    <m/>
    <m/>
    <n v="0"/>
    <m/>
    <m/>
    <m/>
    <m/>
    <m/>
    <m/>
    <m/>
    <m/>
    <m/>
    <n v="71500"/>
    <n v="56992"/>
    <m/>
    <m/>
    <m/>
  </r>
  <r>
    <x v="1079"/>
    <n v="247960.808333333"/>
    <n v="4.18333333333333"/>
    <n v="3.3976103703703702"/>
    <n v="0.812177777777778"/>
    <n v="0.99"/>
    <m/>
    <m/>
    <m/>
    <m/>
    <m/>
    <n v="0"/>
    <m/>
    <n v="0"/>
    <n v="0"/>
    <n v="0"/>
    <n v="0"/>
    <n v="0"/>
    <m/>
    <m/>
    <m/>
    <m/>
    <m/>
    <m/>
    <m/>
    <m/>
    <m/>
    <m/>
    <n v="0"/>
    <n v="0"/>
    <m/>
    <m/>
    <m/>
    <m/>
    <m/>
    <m/>
    <m/>
    <m/>
    <m/>
    <m/>
    <m/>
    <m/>
    <n v="0"/>
    <m/>
    <m/>
    <m/>
    <m/>
    <m/>
    <m/>
    <m/>
    <m/>
    <m/>
    <n v="71500"/>
    <n v="56992"/>
    <m/>
    <m/>
    <m/>
  </r>
  <r>
    <x v="1080"/>
    <n v="247960.808333333"/>
    <n v="4.18333333333333"/>
    <n v="3.3975638888888899"/>
    <n v="0.81216666666666704"/>
    <n v="0.99"/>
    <m/>
    <m/>
    <m/>
    <m/>
    <m/>
    <n v="0"/>
    <m/>
    <n v="0"/>
    <n v="0"/>
    <n v="0"/>
    <n v="0"/>
    <n v="0"/>
    <m/>
    <m/>
    <m/>
    <m/>
    <m/>
    <m/>
    <m/>
    <m/>
    <m/>
    <m/>
    <n v="0"/>
    <n v="0"/>
    <m/>
    <m/>
    <m/>
    <m/>
    <m/>
    <m/>
    <m/>
    <m/>
    <m/>
    <m/>
    <m/>
    <m/>
    <n v="0"/>
    <m/>
    <m/>
    <m/>
    <m/>
    <m/>
    <m/>
    <m/>
    <m/>
    <m/>
    <n v="71500"/>
    <n v="56992"/>
    <m/>
    <m/>
    <m/>
  </r>
  <r>
    <x v="1081"/>
    <n v="247960.808333333"/>
    <n v="4.18333333333333"/>
    <n v="3.3975174074074102"/>
    <n v="0.81215555555555596"/>
    <n v="0.99"/>
    <m/>
    <m/>
    <m/>
    <m/>
    <m/>
    <n v="0"/>
    <m/>
    <n v="0"/>
    <n v="0"/>
    <n v="0"/>
    <n v="0"/>
    <n v="0"/>
    <m/>
    <m/>
    <m/>
    <m/>
    <m/>
    <m/>
    <m/>
    <m/>
    <m/>
    <m/>
    <n v="0"/>
    <n v="0"/>
    <m/>
    <m/>
    <m/>
    <m/>
    <m/>
    <m/>
    <m/>
    <m/>
    <m/>
    <m/>
    <m/>
    <m/>
    <n v="0"/>
    <m/>
    <m/>
    <m/>
    <m/>
    <m/>
    <m/>
    <m/>
    <m/>
    <m/>
    <n v="71500"/>
    <n v="56992"/>
    <m/>
    <m/>
    <m/>
  </r>
  <r>
    <x v="1082"/>
    <n v="247960.808333333"/>
    <n v="4.18333333333333"/>
    <n v="3.3974709259259299"/>
    <n v="0.812144444444444"/>
    <n v="0.99"/>
    <m/>
    <m/>
    <m/>
    <m/>
    <m/>
    <n v="0"/>
    <m/>
    <n v="0"/>
    <n v="0"/>
    <n v="0"/>
    <n v="0"/>
    <n v="0"/>
    <m/>
    <m/>
    <m/>
    <m/>
    <m/>
    <m/>
    <m/>
    <m/>
    <m/>
    <m/>
    <n v="0"/>
    <n v="0"/>
    <m/>
    <m/>
    <m/>
    <m/>
    <m/>
    <m/>
    <m/>
    <m/>
    <m/>
    <m/>
    <m/>
    <m/>
    <n v="0"/>
    <m/>
    <m/>
    <m/>
    <m/>
    <m/>
    <m/>
    <m/>
    <m/>
    <m/>
    <n v="71500"/>
    <n v="56992"/>
    <m/>
    <m/>
    <m/>
  </r>
  <r>
    <x v="1083"/>
    <n v="247960.808333333"/>
    <n v="4.18333333333333"/>
    <n v="3.3974244444444399"/>
    <n v="0.81213333333333304"/>
    <n v="0.99"/>
    <m/>
    <m/>
    <m/>
    <m/>
    <m/>
    <n v="0"/>
    <m/>
    <n v="0"/>
    <n v="0"/>
    <n v="0"/>
    <n v="0"/>
    <n v="0"/>
    <m/>
    <m/>
    <m/>
    <m/>
    <m/>
    <m/>
    <m/>
    <m/>
    <m/>
    <m/>
    <n v="0"/>
    <n v="0"/>
    <m/>
    <m/>
    <m/>
    <m/>
    <m/>
    <m/>
    <m/>
    <m/>
    <m/>
    <m/>
    <m/>
    <m/>
    <n v="0"/>
    <m/>
    <m/>
    <m/>
    <m/>
    <m/>
    <m/>
    <m/>
    <m/>
    <m/>
    <n v="71500"/>
    <n v="56992"/>
    <m/>
    <m/>
    <m/>
  </r>
  <r>
    <x v="1084"/>
    <n v="247960.808333333"/>
    <n v="4.18333333333333"/>
    <n v="3.3973779629629601"/>
    <n v="0.81212222222222197"/>
    <n v="0.99"/>
    <m/>
    <m/>
    <m/>
    <m/>
    <m/>
    <n v="0"/>
    <m/>
    <n v="0"/>
    <n v="0"/>
    <n v="0"/>
    <n v="0"/>
    <n v="0"/>
    <m/>
    <m/>
    <m/>
    <m/>
    <m/>
    <m/>
    <m/>
    <m/>
    <m/>
    <m/>
    <n v="0"/>
    <n v="0"/>
    <m/>
    <m/>
    <m/>
    <m/>
    <m/>
    <m/>
    <m/>
    <m/>
    <m/>
    <m/>
    <m/>
    <m/>
    <n v="0"/>
    <m/>
    <m/>
    <m/>
    <m/>
    <m/>
    <m/>
    <m/>
    <m/>
    <m/>
    <n v="71500"/>
    <n v="56992"/>
    <m/>
    <m/>
    <m/>
  </r>
  <r>
    <x v="1085"/>
    <n v="247960.808333333"/>
    <n v="4.18333333333333"/>
    <n v="3.3973314814814799"/>
    <n v="0.81211111111111101"/>
    <n v="0.99"/>
    <m/>
    <m/>
    <m/>
    <m/>
    <m/>
    <n v="0"/>
    <m/>
    <n v="0"/>
    <n v="0"/>
    <n v="0"/>
    <n v="0"/>
    <n v="0"/>
    <m/>
    <m/>
    <m/>
    <m/>
    <m/>
    <m/>
    <m/>
    <m/>
    <m/>
    <m/>
    <n v="0"/>
    <n v="0"/>
    <m/>
    <m/>
    <m/>
    <m/>
    <m/>
    <m/>
    <m/>
    <m/>
    <m/>
    <m/>
    <m/>
    <m/>
    <n v="0"/>
    <m/>
    <m/>
    <m/>
    <m/>
    <m/>
    <m/>
    <m/>
    <m/>
    <m/>
    <n v="71500"/>
    <n v="56992"/>
    <m/>
    <m/>
    <m/>
  </r>
  <r>
    <x v="1086"/>
    <n v="247960.808333333"/>
    <n v="4.18333333333333"/>
    <n v="3.3972850000000001"/>
    <n v="0.81210000000000004"/>
    <n v="0.99"/>
    <m/>
    <m/>
    <m/>
    <m/>
    <m/>
    <n v="0"/>
    <m/>
    <n v="0"/>
    <n v="0"/>
    <n v="0"/>
    <n v="0"/>
    <n v="0"/>
    <m/>
    <m/>
    <m/>
    <m/>
    <m/>
    <m/>
    <m/>
    <m/>
    <m/>
    <m/>
    <n v="0"/>
    <n v="0"/>
    <m/>
    <m/>
    <m/>
    <m/>
    <m/>
    <m/>
    <m/>
    <m/>
    <m/>
    <m/>
    <m/>
    <m/>
    <n v="0"/>
    <m/>
    <m/>
    <m/>
    <m/>
    <m/>
    <m/>
    <m/>
    <m/>
    <m/>
    <n v="71500"/>
    <n v="56992"/>
    <m/>
    <m/>
    <m/>
  </r>
  <r>
    <x v="1087"/>
    <n v="247960.808333333"/>
    <n v="4.18333333333333"/>
    <n v="3.3972385185185199"/>
    <n v="0.81208888888888897"/>
    <n v="0.99"/>
    <m/>
    <m/>
    <m/>
    <m/>
    <m/>
    <n v="0"/>
    <m/>
    <n v="0"/>
    <n v="0"/>
    <n v="0"/>
    <n v="0"/>
    <n v="0"/>
    <m/>
    <m/>
    <m/>
    <m/>
    <m/>
    <m/>
    <m/>
    <m/>
    <m/>
    <m/>
    <n v="0"/>
    <n v="0"/>
    <m/>
    <m/>
    <m/>
    <m/>
    <m/>
    <m/>
    <m/>
    <m/>
    <m/>
    <m/>
    <m/>
    <m/>
    <n v="0"/>
    <m/>
    <m/>
    <m/>
    <m/>
    <m/>
    <m/>
    <m/>
    <m/>
    <m/>
    <n v="71500"/>
    <n v="56992"/>
    <m/>
    <m/>
    <m/>
  </r>
  <r>
    <x v="1088"/>
    <n v="247960.808333333"/>
    <n v="4.18333333333333"/>
    <n v="3.3971920370370401"/>
    <n v="0.81207777777777801"/>
    <n v="0.99"/>
    <m/>
    <m/>
    <m/>
    <m/>
    <m/>
    <n v="0"/>
    <m/>
    <n v="0"/>
    <n v="0"/>
    <n v="0"/>
    <n v="0"/>
    <n v="0"/>
    <m/>
    <m/>
    <m/>
    <m/>
    <m/>
    <m/>
    <m/>
    <m/>
    <m/>
    <m/>
    <n v="0"/>
    <n v="0"/>
    <m/>
    <m/>
    <m/>
    <m/>
    <m/>
    <m/>
    <m/>
    <m/>
    <m/>
    <m/>
    <m/>
    <m/>
    <n v="0"/>
    <m/>
    <m/>
    <m/>
    <m/>
    <m/>
    <m/>
    <m/>
    <m/>
    <m/>
    <n v="71500"/>
    <n v="56992"/>
    <m/>
    <m/>
    <m/>
  </r>
  <r>
    <x v="1089"/>
    <n v="247960.808333333"/>
    <n v="4.18333333333333"/>
    <n v="3.3971455555555599"/>
    <n v="0.81206666666666705"/>
    <n v="0.99"/>
    <m/>
    <m/>
    <m/>
    <m/>
    <m/>
    <n v="0"/>
    <m/>
    <n v="0"/>
    <n v="0"/>
    <n v="0"/>
    <n v="0"/>
    <n v="0"/>
    <m/>
    <m/>
    <m/>
    <m/>
    <m/>
    <m/>
    <m/>
    <m/>
    <m/>
    <m/>
    <n v="0"/>
    <n v="0"/>
    <m/>
    <m/>
    <m/>
    <m/>
    <m/>
    <m/>
    <m/>
    <m/>
    <m/>
    <m/>
    <m/>
    <m/>
    <n v="0"/>
    <m/>
    <m/>
    <m/>
    <m/>
    <m/>
    <m/>
    <m/>
    <m/>
    <m/>
    <n v="71500"/>
    <n v="56992"/>
    <m/>
    <m/>
    <m/>
  </r>
  <r>
    <x v="1090"/>
    <n v="247960.808333333"/>
    <n v="4.18333333333333"/>
    <n v="3.3970990740740699"/>
    <n v="0.81205555555555597"/>
    <n v="0.99"/>
    <m/>
    <m/>
    <m/>
    <m/>
    <m/>
    <n v="0"/>
    <m/>
    <n v="0"/>
    <n v="0"/>
    <n v="0"/>
    <n v="0"/>
    <n v="0"/>
    <m/>
    <m/>
    <m/>
    <m/>
    <m/>
    <m/>
    <m/>
    <m/>
    <m/>
    <m/>
    <n v="0"/>
    <n v="0"/>
    <m/>
    <m/>
    <m/>
    <m/>
    <m/>
    <m/>
    <m/>
    <m/>
    <m/>
    <m/>
    <m/>
    <m/>
    <n v="0"/>
    <m/>
    <m/>
    <m/>
    <m/>
    <m/>
    <m/>
    <m/>
    <m/>
    <m/>
    <n v="71500"/>
    <n v="56992"/>
    <m/>
    <m/>
    <m/>
  </r>
  <r>
    <x v="1091"/>
    <n v="247960.808333333"/>
    <n v="4.18333333333333"/>
    <n v="3.3970525925925901"/>
    <n v="0.81204444444444401"/>
    <n v="0.99"/>
    <m/>
    <m/>
    <m/>
    <m/>
    <m/>
    <n v="0"/>
    <m/>
    <n v="0"/>
    <n v="0"/>
    <n v="0"/>
    <n v="0"/>
    <n v="0"/>
    <m/>
    <m/>
    <m/>
    <m/>
    <m/>
    <m/>
    <m/>
    <m/>
    <m/>
    <m/>
    <n v="0"/>
    <n v="0"/>
    <m/>
    <m/>
    <m/>
    <m/>
    <m/>
    <m/>
    <m/>
    <m/>
    <m/>
    <m/>
    <m/>
    <m/>
    <n v="0"/>
    <m/>
    <m/>
    <m/>
    <m/>
    <m/>
    <m/>
    <m/>
    <m/>
    <m/>
    <n v="71500"/>
    <n v="56992"/>
    <m/>
    <m/>
    <m/>
  </r>
  <r>
    <x v="1092"/>
    <n v="247960.808333333"/>
    <n v="4.18333333333333"/>
    <n v="3.3970061111111098"/>
    <n v="0.81203333333333305"/>
    <n v="0.99"/>
    <m/>
    <m/>
    <m/>
    <m/>
    <m/>
    <n v="0"/>
    <m/>
    <n v="0"/>
    <n v="0"/>
    <n v="0"/>
    <n v="0"/>
    <n v="0"/>
    <m/>
    <m/>
    <m/>
    <m/>
    <m/>
    <m/>
    <m/>
    <m/>
    <m/>
    <m/>
    <n v="0"/>
    <n v="0"/>
    <m/>
    <m/>
    <m/>
    <m/>
    <m/>
    <m/>
    <m/>
    <m/>
    <m/>
    <m/>
    <m/>
    <m/>
    <n v="0"/>
    <m/>
    <m/>
    <m/>
    <m/>
    <m/>
    <m/>
    <m/>
    <m/>
    <m/>
    <n v="71500"/>
    <n v="56992"/>
    <m/>
    <m/>
    <m/>
  </r>
  <r>
    <x v="1093"/>
    <n v="247960.808333333"/>
    <n v="4.18333333333333"/>
    <n v="3.3969596296296301"/>
    <n v="0.81202222222222198"/>
    <n v="0.99"/>
    <m/>
    <m/>
    <m/>
    <m/>
    <m/>
    <n v="0"/>
    <m/>
    <n v="0"/>
    <n v="0"/>
    <n v="0"/>
    <n v="0"/>
    <n v="0"/>
    <m/>
    <m/>
    <m/>
    <m/>
    <m/>
    <m/>
    <m/>
    <m/>
    <m/>
    <m/>
    <n v="0"/>
    <n v="0"/>
    <m/>
    <m/>
    <m/>
    <m/>
    <m/>
    <m/>
    <m/>
    <m/>
    <m/>
    <m/>
    <m/>
    <m/>
    <n v="0"/>
    <m/>
    <m/>
    <m/>
    <m/>
    <m/>
    <m/>
    <m/>
    <m/>
    <m/>
    <n v="71500"/>
    <n v="56992"/>
    <m/>
    <m/>
    <m/>
  </r>
  <r>
    <x v="1094"/>
    <n v="247960.808333333"/>
    <n v="4.18333333333333"/>
    <n v="3.3969131481481498"/>
    <n v="0.81201111111111102"/>
    <n v="0.99"/>
    <m/>
    <m/>
    <m/>
    <m/>
    <m/>
    <n v="0"/>
    <m/>
    <n v="0"/>
    <n v="0"/>
    <n v="0"/>
    <n v="0"/>
    <n v="0"/>
    <m/>
    <m/>
    <m/>
    <m/>
    <m/>
    <m/>
    <m/>
    <m/>
    <m/>
    <m/>
    <n v="0"/>
    <n v="0"/>
    <m/>
    <m/>
    <m/>
    <m/>
    <m/>
    <m/>
    <m/>
    <m/>
    <m/>
    <m/>
    <m/>
    <m/>
    <n v="0"/>
    <m/>
    <m/>
    <m/>
    <m/>
    <m/>
    <m/>
    <m/>
    <m/>
    <m/>
    <n v="71500"/>
    <n v="56992"/>
    <m/>
    <m/>
    <m/>
  </r>
  <r>
    <x v="1095"/>
    <n v="235895.33709677399"/>
    <n v="4.1709677419354803"/>
    <n v="3.3868258064516099"/>
    <n v="0.81200000000000006"/>
    <n v="0.99"/>
    <m/>
    <m/>
    <m/>
    <m/>
    <m/>
    <n v="0"/>
    <m/>
    <n v="0"/>
    <n v="0"/>
    <n v="0"/>
    <n v="0"/>
    <n v="0"/>
    <m/>
    <m/>
    <m/>
    <m/>
    <m/>
    <m/>
    <m/>
    <m/>
    <m/>
    <m/>
    <n v="0"/>
    <n v="0"/>
    <m/>
    <m/>
    <m/>
    <m/>
    <m/>
    <m/>
    <m/>
    <m/>
    <m/>
    <m/>
    <m/>
    <m/>
    <n v="0"/>
    <m/>
    <m/>
    <m/>
    <m/>
    <m/>
    <m/>
    <m/>
    <m/>
    <m/>
    <n v="71500"/>
    <n v="56992"/>
    <m/>
    <m/>
    <m/>
  </r>
  <r>
    <x v="1096"/>
    <n v="235895.33709677399"/>
    <n v="4.1709677419354803"/>
    <n v="3.38677946236559"/>
    <n v="0.81198888888888898"/>
    <n v="0.99"/>
    <m/>
    <m/>
    <m/>
    <m/>
    <m/>
    <n v="0"/>
    <m/>
    <n v="0"/>
    <n v="0"/>
    <n v="0"/>
    <n v="0"/>
    <n v="0"/>
    <m/>
    <m/>
    <m/>
    <m/>
    <m/>
    <m/>
    <m/>
    <m/>
    <m/>
    <m/>
    <n v="0"/>
    <n v="0"/>
    <m/>
    <m/>
    <m/>
    <m/>
    <m/>
    <m/>
    <m/>
    <m/>
    <m/>
    <m/>
    <m/>
    <m/>
    <n v="0"/>
    <m/>
    <m/>
    <m/>
    <m/>
    <m/>
    <m/>
    <m/>
    <m/>
    <m/>
    <n v="71500"/>
    <n v="56992"/>
    <m/>
    <m/>
    <m/>
  </r>
  <r>
    <x v="1097"/>
    <n v="235895.33709677399"/>
    <n v="4.1709677419354803"/>
    <n v="3.3867331182795701"/>
    <n v="0.81197777777777802"/>
    <n v="0.99"/>
    <m/>
    <m/>
    <m/>
    <m/>
    <m/>
    <n v="0"/>
    <m/>
    <n v="0"/>
    <n v="0"/>
    <n v="0"/>
    <n v="0"/>
    <n v="0"/>
    <m/>
    <m/>
    <m/>
    <m/>
    <m/>
    <m/>
    <m/>
    <m/>
    <m/>
    <m/>
    <n v="0"/>
    <n v="0"/>
    <m/>
    <m/>
    <m/>
    <m/>
    <m/>
    <m/>
    <m/>
    <m/>
    <m/>
    <m/>
    <m/>
    <m/>
    <n v="0"/>
    <m/>
    <m/>
    <m/>
    <m/>
    <m/>
    <m/>
    <m/>
    <m/>
    <m/>
    <n v="71500"/>
    <n v="56992"/>
    <m/>
    <m/>
    <m/>
  </r>
  <r>
    <x v="1098"/>
    <n v="235895.33709677399"/>
    <n v="4.1709677419354803"/>
    <n v="3.3866867741935498"/>
    <n v="0.81196666666666695"/>
    <n v="0.99"/>
    <m/>
    <m/>
    <m/>
    <m/>
    <m/>
    <n v="0"/>
    <m/>
    <n v="0"/>
    <n v="0"/>
    <n v="0"/>
    <n v="0"/>
    <n v="0"/>
    <m/>
    <m/>
    <m/>
    <m/>
    <m/>
    <m/>
    <m/>
    <m/>
    <m/>
    <m/>
    <n v="0"/>
    <n v="0"/>
    <m/>
    <m/>
    <m/>
    <m/>
    <m/>
    <m/>
    <m/>
    <m/>
    <m/>
    <m/>
    <m/>
    <m/>
    <n v="0"/>
    <m/>
    <m/>
    <m/>
    <m/>
    <m/>
    <m/>
    <m/>
    <m/>
    <m/>
    <n v="71500"/>
    <n v="56992"/>
    <m/>
    <m/>
    <m/>
  </r>
  <r>
    <x v="1099"/>
    <n v="235895.33709677399"/>
    <n v="4.1709677419354803"/>
    <n v="3.3866404301075299"/>
    <n v="0.81195555555555599"/>
    <n v="0.99"/>
    <m/>
    <m/>
    <m/>
    <m/>
    <m/>
    <n v="0"/>
    <m/>
    <n v="0"/>
    <n v="0"/>
    <n v="0"/>
    <n v="0"/>
    <n v="0"/>
    <m/>
    <m/>
    <m/>
    <m/>
    <m/>
    <m/>
    <m/>
    <m/>
    <m/>
    <m/>
    <n v="0"/>
    <n v="0"/>
    <m/>
    <m/>
    <m/>
    <m/>
    <m/>
    <m/>
    <m/>
    <m/>
    <m/>
    <m/>
    <m/>
    <m/>
    <n v="0"/>
    <m/>
    <m/>
    <m/>
    <m/>
    <m/>
    <m/>
    <m/>
    <m/>
    <m/>
    <n v="71500"/>
    <n v="56992"/>
    <m/>
    <m/>
    <m/>
  </r>
  <r>
    <x v="1100"/>
    <n v="235895.33709677399"/>
    <n v="4.1709677419354803"/>
    <n v="3.38659408602151"/>
    <n v="0.81194444444444402"/>
    <n v="0.99"/>
    <m/>
    <m/>
    <m/>
    <m/>
    <m/>
    <n v="0"/>
    <m/>
    <n v="0"/>
    <n v="0"/>
    <n v="0"/>
    <n v="0"/>
    <n v="0"/>
    <m/>
    <m/>
    <m/>
    <m/>
    <m/>
    <m/>
    <m/>
    <m/>
    <m/>
    <m/>
    <n v="0"/>
    <n v="0"/>
    <m/>
    <m/>
    <m/>
    <m/>
    <m/>
    <m/>
    <m/>
    <m/>
    <m/>
    <m/>
    <m/>
    <m/>
    <n v="0"/>
    <m/>
    <m/>
    <m/>
    <m/>
    <m/>
    <m/>
    <m/>
    <m/>
    <m/>
    <n v="71500"/>
    <n v="56992"/>
    <m/>
    <m/>
    <m/>
  </r>
  <r>
    <x v="1101"/>
    <n v="235895.33709677399"/>
    <n v="4.1709677419354803"/>
    <n v="3.3865477419354799"/>
    <n v="0.81193333333333295"/>
    <n v="0.99"/>
    <m/>
    <m/>
    <m/>
    <m/>
    <m/>
    <n v="0"/>
    <m/>
    <n v="0"/>
    <n v="0"/>
    <n v="0"/>
    <n v="0"/>
    <n v="0"/>
    <m/>
    <m/>
    <m/>
    <m/>
    <m/>
    <m/>
    <m/>
    <m/>
    <m/>
    <m/>
    <n v="0"/>
    <n v="0"/>
    <m/>
    <m/>
    <m/>
    <m/>
    <m/>
    <m/>
    <m/>
    <m/>
    <m/>
    <m/>
    <m/>
    <m/>
    <n v="0"/>
    <m/>
    <m/>
    <m/>
    <m/>
    <m/>
    <m/>
    <m/>
    <m/>
    <m/>
    <n v="71500"/>
    <n v="56992"/>
    <m/>
    <m/>
    <m/>
  </r>
  <r>
    <x v="1102"/>
    <n v="235895.33709677399"/>
    <n v="4.1709677419354803"/>
    <n v="3.38650139784946"/>
    <n v="0.81192222222222199"/>
    <n v="0.99"/>
    <m/>
    <m/>
    <m/>
    <m/>
    <m/>
    <n v="0"/>
    <m/>
    <n v="0"/>
    <n v="0"/>
    <n v="0"/>
    <n v="0"/>
    <n v="0"/>
    <m/>
    <m/>
    <m/>
    <m/>
    <m/>
    <m/>
    <m/>
    <m/>
    <m/>
    <m/>
    <n v="0"/>
    <n v="0"/>
    <m/>
    <m/>
    <m/>
    <m/>
    <m/>
    <m/>
    <m/>
    <m/>
    <m/>
    <m/>
    <m/>
    <m/>
    <n v="0"/>
    <m/>
    <m/>
    <m/>
    <m/>
    <m/>
    <m/>
    <m/>
    <m/>
    <m/>
    <n v="71500"/>
    <n v="56992"/>
    <m/>
    <m/>
    <m/>
  </r>
  <r>
    <x v="1103"/>
    <n v="235895.33709677399"/>
    <n v="4.1709677419354803"/>
    <n v="3.3864550537634401"/>
    <n v="0.81191111111111103"/>
    <n v="0.99"/>
    <m/>
    <m/>
    <m/>
    <m/>
    <m/>
    <n v="0"/>
    <m/>
    <n v="0"/>
    <n v="0"/>
    <n v="0"/>
    <n v="0"/>
    <n v="0"/>
    <m/>
    <m/>
    <m/>
    <m/>
    <m/>
    <m/>
    <m/>
    <m/>
    <m/>
    <m/>
    <n v="0"/>
    <n v="0"/>
    <m/>
    <m/>
    <m/>
    <m/>
    <m/>
    <m/>
    <m/>
    <m/>
    <m/>
    <m/>
    <m/>
    <m/>
    <n v="0"/>
    <m/>
    <m/>
    <m/>
    <m/>
    <m/>
    <m/>
    <m/>
    <m/>
    <m/>
    <n v="71500"/>
    <n v="56992"/>
    <m/>
    <m/>
    <m/>
  </r>
  <r>
    <x v="1104"/>
    <n v="235895.33709677399"/>
    <n v="4.1709677419354803"/>
    <n v="3.3864087096774198"/>
    <n v="0.81189999999999996"/>
    <n v="0.99"/>
    <m/>
    <m/>
    <m/>
    <m/>
    <m/>
    <n v="0"/>
    <m/>
    <n v="0"/>
    <n v="0"/>
    <n v="0"/>
    <n v="0"/>
    <n v="0"/>
    <m/>
    <m/>
    <m/>
    <m/>
    <m/>
    <m/>
    <m/>
    <m/>
    <m/>
    <m/>
    <n v="0"/>
    <n v="0"/>
    <m/>
    <m/>
    <m/>
    <m/>
    <m/>
    <m/>
    <m/>
    <m/>
    <m/>
    <m/>
    <m/>
    <m/>
    <n v="0"/>
    <m/>
    <m/>
    <m/>
    <m/>
    <m/>
    <m/>
    <m/>
    <m/>
    <m/>
    <n v="71500"/>
    <n v="56992"/>
    <m/>
    <m/>
    <m/>
  </r>
  <r>
    <x v="1105"/>
    <n v="235895.33709677399"/>
    <n v="4.1709677419354803"/>
    <n v="3.3863623655913999"/>
    <n v="0.81188888888888899"/>
    <n v="0.99"/>
    <m/>
    <m/>
    <m/>
    <m/>
    <m/>
    <n v="0"/>
    <m/>
    <n v="0"/>
    <n v="0"/>
    <n v="0"/>
    <n v="0"/>
    <n v="0"/>
    <m/>
    <m/>
    <m/>
    <m/>
    <m/>
    <m/>
    <m/>
    <m/>
    <m/>
    <m/>
    <n v="0"/>
    <n v="0"/>
    <m/>
    <m/>
    <m/>
    <m/>
    <m/>
    <m/>
    <m/>
    <m/>
    <m/>
    <m/>
    <m/>
    <m/>
    <n v="0"/>
    <m/>
    <m/>
    <m/>
    <m/>
    <m/>
    <m/>
    <m/>
    <m/>
    <m/>
    <n v="71500"/>
    <n v="56992"/>
    <m/>
    <m/>
    <m/>
  </r>
  <r>
    <x v="1106"/>
    <n v="235895.33709677399"/>
    <n v="4.1709677419354803"/>
    <n v="3.38631602150538"/>
    <n v="0.81187777777777803"/>
    <n v="0.99"/>
    <m/>
    <m/>
    <m/>
    <m/>
    <m/>
    <n v="0"/>
    <m/>
    <n v="0"/>
    <n v="0"/>
    <n v="0"/>
    <n v="0"/>
    <n v="0"/>
    <m/>
    <m/>
    <m/>
    <m/>
    <m/>
    <m/>
    <m/>
    <m/>
    <m/>
    <m/>
    <n v="0"/>
    <n v="0"/>
    <m/>
    <m/>
    <m/>
    <m/>
    <m/>
    <m/>
    <m/>
    <m/>
    <m/>
    <m/>
    <m/>
    <m/>
    <n v="0"/>
    <m/>
    <m/>
    <m/>
    <m/>
    <m/>
    <m/>
    <m/>
    <m/>
    <m/>
    <n v="71500"/>
    <n v="56992"/>
    <m/>
    <m/>
    <m/>
  </r>
  <r>
    <x v="1107"/>
    <n v="235895.33709677399"/>
    <n v="4.1709677419354803"/>
    <n v="3.3862696774193499"/>
    <n v="0.81186666666666696"/>
    <n v="0.99"/>
    <m/>
    <m/>
    <m/>
    <m/>
    <m/>
    <n v="0"/>
    <m/>
    <n v="0"/>
    <n v="0"/>
    <n v="0"/>
    <n v="0"/>
    <n v="0"/>
    <m/>
    <m/>
    <m/>
    <m/>
    <m/>
    <m/>
    <m/>
    <m/>
    <m/>
    <m/>
    <n v="0"/>
    <n v="0"/>
    <m/>
    <m/>
    <m/>
    <m/>
    <m/>
    <m/>
    <m/>
    <m/>
    <m/>
    <m/>
    <m/>
    <m/>
    <n v="0"/>
    <m/>
    <m/>
    <m/>
    <m/>
    <m/>
    <m/>
    <m/>
    <m/>
    <m/>
    <n v="71500"/>
    <n v="56992"/>
    <m/>
    <m/>
    <m/>
  </r>
  <r>
    <x v="1108"/>
    <n v="235895.33709677399"/>
    <n v="4.1709677419354803"/>
    <n v="3.38622333333333"/>
    <n v="0.811855555555556"/>
    <n v="0.99"/>
    <m/>
    <m/>
    <m/>
    <m/>
    <m/>
    <n v="0"/>
    <m/>
    <n v="0"/>
    <n v="0"/>
    <n v="0"/>
    <n v="0"/>
    <n v="0"/>
    <m/>
    <m/>
    <m/>
    <m/>
    <m/>
    <m/>
    <m/>
    <m/>
    <m/>
    <m/>
    <n v="0"/>
    <n v="0"/>
    <m/>
    <m/>
    <m/>
    <m/>
    <m/>
    <m/>
    <m/>
    <m/>
    <m/>
    <m/>
    <m/>
    <m/>
    <n v="0"/>
    <m/>
    <m/>
    <m/>
    <m/>
    <m/>
    <m/>
    <m/>
    <m/>
    <m/>
    <n v="71500"/>
    <n v="56992"/>
    <m/>
    <m/>
    <m/>
  </r>
  <r>
    <x v="1109"/>
    <n v="235895.33709677399"/>
    <n v="4.1709677419354803"/>
    <n v="3.3861769892473101"/>
    <n v="0.81184444444444404"/>
    <n v="0.99"/>
    <m/>
    <m/>
    <m/>
    <m/>
    <m/>
    <n v="0"/>
    <m/>
    <n v="0"/>
    <n v="0"/>
    <n v="0"/>
    <n v="0"/>
    <n v="0"/>
    <m/>
    <m/>
    <m/>
    <m/>
    <m/>
    <m/>
    <m/>
    <m/>
    <m/>
    <m/>
    <n v="0"/>
    <n v="0"/>
    <m/>
    <m/>
    <m/>
    <m/>
    <m/>
    <m/>
    <m/>
    <m/>
    <m/>
    <m/>
    <m/>
    <m/>
    <n v="0"/>
    <m/>
    <m/>
    <m/>
    <m/>
    <m/>
    <m/>
    <m/>
    <m/>
    <m/>
    <n v="71500"/>
    <n v="56992"/>
    <m/>
    <m/>
    <m/>
  </r>
  <r>
    <x v="1110"/>
    <n v="235895.33709677399"/>
    <n v="4.1709677419354803"/>
    <n v="3.3861306451612898"/>
    <n v="0.81183333333333296"/>
    <n v="0.99"/>
    <m/>
    <m/>
    <m/>
    <m/>
    <m/>
    <n v="0"/>
    <m/>
    <n v="0"/>
    <n v="0"/>
    <n v="0"/>
    <n v="0"/>
    <n v="0"/>
    <m/>
    <m/>
    <m/>
    <m/>
    <m/>
    <m/>
    <m/>
    <m/>
    <m/>
    <m/>
    <n v="0"/>
    <n v="0"/>
    <m/>
    <m/>
    <m/>
    <m/>
    <m/>
    <m/>
    <m/>
    <m/>
    <m/>
    <m/>
    <m/>
    <m/>
    <n v="0"/>
    <m/>
    <m/>
    <m/>
    <m/>
    <m/>
    <m/>
    <m/>
    <m/>
    <m/>
    <n v="71500"/>
    <n v="56992"/>
    <m/>
    <m/>
    <m/>
  </r>
  <r>
    <x v="1111"/>
    <n v="235895.33709677399"/>
    <n v="4.1709677419354803"/>
    <n v="3.3860843010752699"/>
    <n v="0.811822222222222"/>
    <n v="0.99"/>
    <m/>
    <m/>
    <m/>
    <m/>
    <m/>
    <n v="0"/>
    <m/>
    <n v="0"/>
    <n v="0"/>
    <n v="0"/>
    <n v="0"/>
    <n v="0"/>
    <m/>
    <m/>
    <m/>
    <m/>
    <m/>
    <m/>
    <m/>
    <m/>
    <m/>
    <m/>
    <n v="0"/>
    <n v="0"/>
    <m/>
    <m/>
    <m/>
    <m/>
    <m/>
    <m/>
    <m/>
    <m/>
    <m/>
    <m/>
    <m/>
    <m/>
    <n v="0"/>
    <m/>
    <m/>
    <m/>
    <m/>
    <m/>
    <m/>
    <m/>
    <m/>
    <m/>
    <n v="71500"/>
    <n v="56992"/>
    <m/>
    <m/>
    <m/>
  </r>
  <r>
    <x v="1112"/>
    <n v="235895.33709677399"/>
    <n v="4.1709677419354803"/>
    <n v="3.38603795698925"/>
    <n v="0.81181111111111104"/>
    <n v="0.99"/>
    <m/>
    <m/>
    <m/>
    <m/>
    <m/>
    <n v="0"/>
    <m/>
    <n v="0"/>
    <n v="0"/>
    <n v="0"/>
    <n v="0"/>
    <n v="0"/>
    <m/>
    <m/>
    <m/>
    <m/>
    <m/>
    <m/>
    <m/>
    <m/>
    <m/>
    <m/>
    <n v="0"/>
    <n v="0"/>
    <m/>
    <m/>
    <m/>
    <m/>
    <m/>
    <m/>
    <m/>
    <m/>
    <m/>
    <m/>
    <m/>
    <m/>
    <n v="0"/>
    <m/>
    <m/>
    <m/>
    <m/>
    <m/>
    <m/>
    <m/>
    <m/>
    <m/>
    <n v="71500"/>
    <n v="56992"/>
    <m/>
    <m/>
    <m/>
  </r>
  <r>
    <x v="1113"/>
    <n v="235895.33709677399"/>
    <n v="4.1709677419354803"/>
    <n v="3.3859916129032301"/>
    <n v="0.81179999999999997"/>
    <n v="0.99"/>
    <m/>
    <m/>
    <m/>
    <m/>
    <m/>
    <n v="0"/>
    <m/>
    <n v="0"/>
    <n v="0"/>
    <n v="0"/>
    <n v="0"/>
    <n v="0"/>
    <m/>
    <m/>
    <m/>
    <m/>
    <m/>
    <m/>
    <m/>
    <m/>
    <m/>
    <m/>
    <n v="0"/>
    <n v="0"/>
    <m/>
    <m/>
    <m/>
    <m/>
    <m/>
    <m/>
    <m/>
    <m/>
    <m/>
    <m/>
    <m/>
    <m/>
    <n v="0"/>
    <m/>
    <m/>
    <m/>
    <m/>
    <m/>
    <m/>
    <m/>
    <m/>
    <m/>
    <n v="71500"/>
    <n v="56992"/>
    <m/>
    <m/>
    <m/>
  </r>
  <r>
    <x v="1114"/>
    <n v="235895.33709677399"/>
    <n v="4.1709677419354803"/>
    <n v="3.3859452688172"/>
    <n v="0.811788888888889"/>
    <n v="0.99"/>
    <m/>
    <m/>
    <m/>
    <m/>
    <m/>
    <n v="0"/>
    <m/>
    <n v="0"/>
    <n v="0"/>
    <n v="0"/>
    <n v="0"/>
    <n v="0"/>
    <m/>
    <m/>
    <m/>
    <m/>
    <m/>
    <m/>
    <m/>
    <m/>
    <m/>
    <m/>
    <n v="0"/>
    <n v="0"/>
    <m/>
    <m/>
    <m/>
    <m/>
    <m/>
    <m/>
    <m/>
    <m/>
    <m/>
    <m/>
    <m/>
    <m/>
    <n v="0"/>
    <m/>
    <m/>
    <m/>
    <m/>
    <m/>
    <m/>
    <m/>
    <m/>
    <m/>
    <n v="71500"/>
    <n v="56992"/>
    <m/>
    <m/>
    <m/>
  </r>
  <r>
    <x v="1115"/>
    <n v="235895.33709677399"/>
    <n v="4.1709677419354803"/>
    <n v="3.3858989247311801"/>
    <n v="0.81177777777777804"/>
    <n v="0.99"/>
    <m/>
    <m/>
    <m/>
    <m/>
    <m/>
    <n v="0"/>
    <m/>
    <n v="0"/>
    <n v="0"/>
    <n v="0"/>
    <n v="0"/>
    <n v="0"/>
    <m/>
    <m/>
    <m/>
    <m/>
    <m/>
    <m/>
    <m/>
    <m/>
    <m/>
    <m/>
    <n v="0"/>
    <n v="0"/>
    <m/>
    <m/>
    <m/>
    <m/>
    <m/>
    <m/>
    <m/>
    <m/>
    <m/>
    <m/>
    <m/>
    <m/>
    <n v="0"/>
    <m/>
    <m/>
    <m/>
    <m/>
    <m/>
    <m/>
    <m/>
    <m/>
    <m/>
    <n v="71500"/>
    <n v="56992"/>
    <m/>
    <m/>
    <m/>
  </r>
  <r>
    <x v="1116"/>
    <n v="235895.33709677399"/>
    <n v="4.1709677419354803"/>
    <n v="3.3858525806451598"/>
    <n v="0.81176666666666697"/>
    <n v="0.99"/>
    <m/>
    <m/>
    <m/>
    <m/>
    <m/>
    <n v="0"/>
    <m/>
    <n v="0"/>
    <n v="0"/>
    <n v="0"/>
    <n v="0"/>
    <n v="0"/>
    <m/>
    <m/>
    <m/>
    <m/>
    <m/>
    <m/>
    <m/>
    <m/>
    <m/>
    <m/>
    <n v="0"/>
    <n v="0"/>
    <m/>
    <m/>
    <m/>
    <m/>
    <m/>
    <m/>
    <m/>
    <m/>
    <m/>
    <m/>
    <m/>
    <m/>
    <n v="0"/>
    <m/>
    <m/>
    <m/>
    <m/>
    <m/>
    <m/>
    <m/>
    <m/>
    <m/>
    <n v="71500"/>
    <n v="56992"/>
    <m/>
    <m/>
    <m/>
  </r>
  <r>
    <x v="1117"/>
    <n v="235895.33709677399"/>
    <n v="4.1709677419354803"/>
    <n v="3.3858062365591399"/>
    <n v="0.81175555555555601"/>
    <n v="0.99"/>
    <m/>
    <m/>
    <m/>
    <m/>
    <m/>
    <n v="0"/>
    <m/>
    <n v="0"/>
    <n v="0"/>
    <n v="0"/>
    <n v="0"/>
    <n v="0"/>
    <m/>
    <m/>
    <m/>
    <m/>
    <m/>
    <m/>
    <m/>
    <m/>
    <m/>
    <m/>
    <n v="0"/>
    <n v="0"/>
    <m/>
    <m/>
    <m/>
    <m/>
    <m/>
    <m/>
    <m/>
    <m/>
    <m/>
    <m/>
    <m/>
    <m/>
    <n v="0"/>
    <m/>
    <m/>
    <m/>
    <m/>
    <m/>
    <m/>
    <m/>
    <m/>
    <m/>
    <n v="71500"/>
    <n v="56992"/>
    <m/>
    <m/>
    <m/>
  </r>
  <r>
    <x v="1118"/>
    <n v="235895.33709677399"/>
    <n v="4.1709677419354803"/>
    <n v="3.38575989247312"/>
    <n v="0.81174444444444405"/>
    <n v="0.99"/>
    <m/>
    <m/>
    <m/>
    <m/>
    <m/>
    <n v="0"/>
    <m/>
    <n v="0"/>
    <n v="0"/>
    <n v="0"/>
    <n v="0"/>
    <n v="0"/>
    <m/>
    <m/>
    <m/>
    <m/>
    <m/>
    <m/>
    <m/>
    <m/>
    <m/>
    <m/>
    <n v="0"/>
    <n v="0"/>
    <m/>
    <m/>
    <m/>
    <m/>
    <m/>
    <m/>
    <m/>
    <m/>
    <m/>
    <m/>
    <m/>
    <m/>
    <n v="0"/>
    <m/>
    <m/>
    <m/>
    <m/>
    <m/>
    <m/>
    <m/>
    <m/>
    <m/>
    <n v="71500"/>
    <n v="56992"/>
    <m/>
    <m/>
    <m/>
  </r>
  <r>
    <x v="1119"/>
    <n v="235895.33709677399"/>
    <n v="4.1709677419354803"/>
    <n v="3.3857135483871001"/>
    <n v="0.81173333333333297"/>
    <n v="0.99"/>
    <m/>
    <m/>
    <m/>
    <m/>
    <m/>
    <n v="0"/>
    <m/>
    <n v="0"/>
    <n v="0"/>
    <n v="0"/>
    <n v="0"/>
    <n v="0"/>
    <m/>
    <m/>
    <m/>
    <m/>
    <m/>
    <m/>
    <m/>
    <m/>
    <m/>
    <m/>
    <n v="0"/>
    <n v="0"/>
    <m/>
    <m/>
    <m/>
    <m/>
    <m/>
    <m/>
    <m/>
    <m/>
    <m/>
    <m/>
    <m/>
    <m/>
    <n v="0"/>
    <m/>
    <m/>
    <m/>
    <m/>
    <m/>
    <m/>
    <m/>
    <m/>
    <m/>
    <n v="71500"/>
    <n v="56992"/>
    <m/>
    <m/>
    <m/>
  </r>
  <r>
    <x v="1120"/>
    <n v="235895.33709677399"/>
    <n v="4.1709677419354803"/>
    <n v="3.3856672043010798"/>
    <n v="0.81172222222222201"/>
    <n v="0.99"/>
    <m/>
    <m/>
    <m/>
    <m/>
    <m/>
    <n v="0"/>
    <m/>
    <n v="0"/>
    <n v="0"/>
    <n v="0"/>
    <n v="0"/>
    <n v="0"/>
    <m/>
    <m/>
    <m/>
    <m/>
    <m/>
    <m/>
    <m/>
    <m/>
    <m/>
    <m/>
    <n v="0"/>
    <n v="0"/>
    <m/>
    <m/>
    <m/>
    <m/>
    <m/>
    <m/>
    <m/>
    <m/>
    <m/>
    <m/>
    <m/>
    <m/>
    <n v="0"/>
    <m/>
    <m/>
    <m/>
    <m/>
    <m/>
    <m/>
    <m/>
    <m/>
    <m/>
    <n v="71500"/>
    <n v="56992"/>
    <m/>
    <m/>
    <m/>
  </r>
  <r>
    <x v="1121"/>
    <n v="235895.33709677399"/>
    <n v="4.1709677419354803"/>
    <n v="3.3856208602150502"/>
    <n v="0.81171111111111105"/>
    <n v="0.99"/>
    <m/>
    <m/>
    <m/>
    <m/>
    <m/>
    <n v="0"/>
    <m/>
    <n v="0"/>
    <n v="0"/>
    <n v="0"/>
    <n v="0"/>
    <n v="0"/>
    <m/>
    <m/>
    <m/>
    <m/>
    <m/>
    <m/>
    <m/>
    <m/>
    <m/>
    <m/>
    <n v="0"/>
    <n v="0"/>
    <m/>
    <m/>
    <m/>
    <m/>
    <m/>
    <m/>
    <m/>
    <m/>
    <m/>
    <m/>
    <m/>
    <m/>
    <n v="0"/>
    <m/>
    <m/>
    <m/>
    <m/>
    <m/>
    <m/>
    <m/>
    <m/>
    <m/>
    <n v="71500"/>
    <n v="56992"/>
    <m/>
    <m/>
    <m/>
  </r>
  <r>
    <x v="1122"/>
    <n v="235895.33709677399"/>
    <n v="4.1709677419354803"/>
    <n v="3.3855745161290298"/>
    <n v="0.81169999999999998"/>
    <n v="0.99"/>
    <m/>
    <m/>
    <m/>
    <m/>
    <m/>
    <n v="0"/>
    <m/>
    <n v="0"/>
    <n v="0"/>
    <n v="0"/>
    <n v="0"/>
    <n v="0"/>
    <m/>
    <m/>
    <m/>
    <m/>
    <m/>
    <m/>
    <m/>
    <m/>
    <m/>
    <m/>
    <n v="0"/>
    <n v="0"/>
    <m/>
    <m/>
    <m/>
    <m/>
    <m/>
    <m/>
    <m/>
    <m/>
    <m/>
    <m/>
    <m/>
    <m/>
    <n v="0"/>
    <m/>
    <m/>
    <m/>
    <m/>
    <m/>
    <m/>
    <m/>
    <m/>
    <m/>
    <n v="71500"/>
    <n v="56992"/>
    <m/>
    <m/>
    <m/>
  </r>
  <r>
    <x v="1123"/>
    <n v="235895.33709677399"/>
    <n v="4.1709677419354803"/>
    <n v="3.3855281720430099"/>
    <n v="0.81168888888888902"/>
    <n v="0.99"/>
    <m/>
    <m/>
    <m/>
    <m/>
    <m/>
    <n v="0"/>
    <m/>
    <n v="0"/>
    <n v="0"/>
    <n v="0"/>
    <n v="0"/>
    <n v="0"/>
    <m/>
    <m/>
    <m/>
    <m/>
    <m/>
    <m/>
    <m/>
    <m/>
    <m/>
    <m/>
    <n v="0"/>
    <n v="0"/>
    <m/>
    <m/>
    <m/>
    <m/>
    <m/>
    <m/>
    <m/>
    <m/>
    <m/>
    <m/>
    <m/>
    <m/>
    <n v="0"/>
    <m/>
    <m/>
    <m/>
    <m/>
    <m/>
    <m/>
    <m/>
    <m/>
    <m/>
    <n v="71500"/>
    <n v="56992"/>
    <m/>
    <m/>
    <m/>
  </r>
  <r>
    <x v="1124"/>
    <n v="235895.33709677399"/>
    <n v="4.1709677419354803"/>
    <n v="3.38548182795699"/>
    <n v="0.81167777777777805"/>
    <n v="0.99"/>
    <m/>
    <m/>
    <m/>
    <m/>
    <m/>
    <n v="0"/>
    <m/>
    <n v="0"/>
    <n v="0"/>
    <n v="0"/>
    <n v="0"/>
    <n v="0"/>
    <m/>
    <m/>
    <m/>
    <m/>
    <m/>
    <m/>
    <m/>
    <m/>
    <m/>
    <m/>
    <n v="0"/>
    <n v="0"/>
    <m/>
    <m/>
    <m/>
    <m/>
    <m/>
    <m/>
    <m/>
    <m/>
    <m/>
    <m/>
    <m/>
    <m/>
    <n v="0"/>
    <m/>
    <m/>
    <m/>
    <m/>
    <m/>
    <m/>
    <m/>
    <m/>
    <m/>
    <n v="71500"/>
    <n v="56992"/>
    <m/>
    <m/>
    <m/>
  </r>
  <r>
    <x v="1125"/>
    <n v="235895.33709677399"/>
    <n v="4.1709677419354803"/>
    <n v="3.3854354838709702"/>
    <n v="0.81166666666666698"/>
    <n v="0.99"/>
    <m/>
    <m/>
    <m/>
    <m/>
    <m/>
    <n v="0"/>
    <m/>
    <n v="0"/>
    <n v="0"/>
    <n v="0"/>
    <n v="0"/>
    <n v="0"/>
    <m/>
    <m/>
    <m/>
    <m/>
    <m/>
    <m/>
    <m/>
    <m/>
    <m/>
    <m/>
    <n v="0"/>
    <n v="0"/>
    <m/>
    <m/>
    <m/>
    <m/>
    <m/>
    <m/>
    <m/>
    <m/>
    <m/>
    <m/>
    <m/>
    <m/>
    <n v="0"/>
    <m/>
    <m/>
    <m/>
    <m/>
    <m/>
    <m/>
    <m/>
    <m/>
    <m/>
    <n v="71500"/>
    <n v="56992"/>
    <m/>
    <m/>
    <m/>
  </r>
  <r>
    <x v="1126"/>
    <n v="249932.632258064"/>
    <n v="4.2064516129032299"/>
    <n v="3.4142365591397899"/>
    <n v="0.81166666666666698"/>
    <n v="0.99"/>
    <m/>
    <m/>
    <m/>
    <m/>
    <m/>
    <n v="0"/>
    <m/>
    <n v="0"/>
    <n v="0"/>
    <n v="0"/>
    <n v="0"/>
    <n v="0"/>
    <m/>
    <m/>
    <m/>
    <m/>
    <m/>
    <m/>
    <m/>
    <m/>
    <m/>
    <m/>
    <n v="0"/>
    <n v="0"/>
    <m/>
    <m/>
    <m/>
    <m/>
    <m/>
    <m/>
    <m/>
    <m/>
    <m/>
    <m/>
    <m/>
    <m/>
    <n v="0"/>
    <m/>
    <m/>
    <m/>
    <m/>
    <m/>
    <m/>
    <m/>
    <m/>
    <m/>
    <n v="71500"/>
    <n v="56992"/>
    <m/>
    <m/>
    <m/>
  </r>
  <r>
    <x v="1127"/>
    <n v="249932.632258064"/>
    <n v="4.2064516129032299"/>
    <n v="3.4141898207885299"/>
    <n v="0.81165555555555602"/>
    <n v="0.99"/>
    <m/>
    <m/>
    <m/>
    <m/>
    <m/>
    <n v="0"/>
    <m/>
    <n v="0"/>
    <n v="0"/>
    <n v="0"/>
    <n v="0"/>
    <n v="0"/>
    <m/>
    <m/>
    <m/>
    <m/>
    <m/>
    <m/>
    <m/>
    <m/>
    <m/>
    <m/>
    <n v="0"/>
    <n v="0"/>
    <m/>
    <m/>
    <m/>
    <m/>
    <m/>
    <m/>
    <m/>
    <m/>
    <m/>
    <m/>
    <m/>
    <m/>
    <n v="0"/>
    <m/>
    <m/>
    <m/>
    <m/>
    <m/>
    <m/>
    <m/>
    <m/>
    <m/>
    <n v="71500"/>
    <n v="56992"/>
    <m/>
    <m/>
    <m/>
  </r>
  <r>
    <x v="1128"/>
    <n v="249932.632258064"/>
    <n v="4.2064516129032299"/>
    <n v="3.4141430824372798"/>
    <n v="0.81164444444444395"/>
    <n v="0.99"/>
    <m/>
    <m/>
    <m/>
    <m/>
    <m/>
    <n v="0"/>
    <m/>
    <n v="0"/>
    <n v="0"/>
    <n v="0"/>
    <n v="0"/>
    <n v="0"/>
    <m/>
    <m/>
    <m/>
    <m/>
    <m/>
    <m/>
    <m/>
    <m/>
    <m/>
    <m/>
    <n v="0"/>
    <n v="0"/>
    <m/>
    <m/>
    <m/>
    <m/>
    <m/>
    <m/>
    <m/>
    <m/>
    <m/>
    <m/>
    <m/>
    <m/>
    <n v="0"/>
    <m/>
    <m/>
    <m/>
    <m/>
    <m/>
    <m/>
    <m/>
    <m/>
    <m/>
    <n v="71500"/>
    <n v="56992"/>
    <m/>
    <m/>
    <m/>
  </r>
  <r>
    <x v="1129"/>
    <n v="249932.632258064"/>
    <n v="4.2064516129032299"/>
    <n v="3.4140963440860199"/>
    <n v="0.81163333333333298"/>
    <n v="0.99"/>
    <m/>
    <m/>
    <m/>
    <m/>
    <m/>
    <n v="0"/>
    <m/>
    <n v="0"/>
    <n v="0"/>
    <n v="0"/>
    <n v="0"/>
    <n v="0"/>
    <m/>
    <m/>
    <m/>
    <m/>
    <m/>
    <m/>
    <m/>
    <m/>
    <m/>
    <m/>
    <n v="0"/>
    <n v="0"/>
    <m/>
    <m/>
    <m/>
    <m/>
    <m/>
    <m/>
    <m/>
    <m/>
    <m/>
    <m/>
    <m/>
    <m/>
    <n v="0"/>
    <m/>
    <m/>
    <m/>
    <m/>
    <m/>
    <m/>
    <m/>
    <m/>
    <m/>
    <n v="71500"/>
    <n v="56992"/>
    <m/>
    <m/>
    <m/>
  </r>
  <r>
    <x v="1130"/>
    <n v="249932.632258064"/>
    <n v="4.2064516129032299"/>
    <n v="3.4140496057347698"/>
    <n v="0.81162222222222202"/>
    <n v="0.99"/>
    <m/>
    <m/>
    <m/>
    <m/>
    <m/>
    <n v="0"/>
    <m/>
    <n v="0"/>
    <n v="0"/>
    <n v="0"/>
    <n v="0"/>
    <n v="0"/>
    <m/>
    <m/>
    <m/>
    <m/>
    <m/>
    <m/>
    <m/>
    <m/>
    <m/>
    <m/>
    <n v="0"/>
    <n v="0"/>
    <m/>
    <m/>
    <m/>
    <m/>
    <m/>
    <m/>
    <m/>
    <m/>
    <m/>
    <m/>
    <m/>
    <m/>
    <n v="0"/>
    <m/>
    <m/>
    <m/>
    <m/>
    <m/>
    <m/>
    <m/>
    <m/>
    <m/>
    <n v="71500"/>
    <n v="56992"/>
    <m/>
    <m/>
    <m/>
  </r>
  <r>
    <x v="1131"/>
    <n v="249932.632258064"/>
    <n v="4.2064516129032299"/>
    <n v="3.4140028673835099"/>
    <n v="0.81161111111111095"/>
    <n v="0.99"/>
    <m/>
    <m/>
    <m/>
    <m/>
    <m/>
    <n v="0"/>
    <m/>
    <n v="0"/>
    <n v="0"/>
    <n v="0"/>
    <n v="0"/>
    <n v="0"/>
    <m/>
    <m/>
    <m/>
    <m/>
    <m/>
    <m/>
    <m/>
    <m/>
    <m/>
    <m/>
    <n v="0"/>
    <n v="0"/>
    <m/>
    <m/>
    <m/>
    <m/>
    <m/>
    <m/>
    <m/>
    <m/>
    <m/>
    <m/>
    <m/>
    <m/>
    <n v="0"/>
    <m/>
    <m/>
    <m/>
    <m/>
    <m/>
    <m/>
    <m/>
    <m/>
    <m/>
    <n v="71500"/>
    <n v="56992"/>
    <m/>
    <m/>
    <m/>
  </r>
  <r>
    <x v="1132"/>
    <n v="249932.632258064"/>
    <n v="4.2064516129032299"/>
    <n v="3.4139561290322602"/>
    <n v="0.81159999999999999"/>
    <n v="0.99"/>
    <m/>
    <m/>
    <m/>
    <m/>
    <m/>
    <n v="0"/>
    <m/>
    <n v="0"/>
    <n v="0"/>
    <n v="0"/>
    <n v="0"/>
    <n v="0"/>
    <m/>
    <m/>
    <m/>
    <m/>
    <m/>
    <m/>
    <m/>
    <m/>
    <m/>
    <m/>
    <n v="0"/>
    <n v="0"/>
    <m/>
    <m/>
    <m/>
    <m/>
    <m/>
    <m/>
    <m/>
    <m/>
    <m/>
    <m/>
    <m/>
    <m/>
    <n v="0"/>
    <m/>
    <m/>
    <m/>
    <m/>
    <m/>
    <m/>
    <m/>
    <m/>
    <m/>
    <n v="71500"/>
    <n v="56992"/>
    <m/>
    <m/>
    <m/>
  </r>
  <r>
    <x v="1133"/>
    <n v="249932.632258064"/>
    <n v="4.2064516129032299"/>
    <n v="3.4139093906809999"/>
    <n v="0.81158888888888903"/>
    <n v="0.99"/>
    <m/>
    <m/>
    <m/>
    <m/>
    <m/>
    <n v="0"/>
    <m/>
    <n v="0"/>
    <n v="0"/>
    <n v="0"/>
    <n v="0"/>
    <n v="0"/>
    <m/>
    <m/>
    <m/>
    <m/>
    <m/>
    <m/>
    <m/>
    <m/>
    <m/>
    <m/>
    <n v="0"/>
    <n v="0"/>
    <m/>
    <m/>
    <m/>
    <m/>
    <m/>
    <m/>
    <m/>
    <m/>
    <m/>
    <m/>
    <m/>
    <m/>
    <n v="0"/>
    <m/>
    <m/>
    <m/>
    <m/>
    <m/>
    <m/>
    <m/>
    <m/>
    <m/>
    <n v="71500"/>
    <n v="56992"/>
    <m/>
    <m/>
    <m/>
  </r>
  <r>
    <x v="1134"/>
    <n v="249932.632258064"/>
    <n v="4.2064516129032299"/>
    <n v="3.4138626523297502"/>
    <n v="0.81157777777777795"/>
    <n v="0.99"/>
    <m/>
    <m/>
    <m/>
    <m/>
    <m/>
    <n v="0"/>
    <m/>
    <n v="0"/>
    <n v="0"/>
    <n v="0"/>
    <n v="0"/>
    <n v="0"/>
    <m/>
    <m/>
    <m/>
    <m/>
    <m/>
    <m/>
    <m/>
    <m/>
    <m/>
    <m/>
    <n v="0"/>
    <n v="0"/>
    <m/>
    <m/>
    <m/>
    <m/>
    <m/>
    <m/>
    <m/>
    <m/>
    <m/>
    <m/>
    <m/>
    <m/>
    <n v="0"/>
    <m/>
    <m/>
    <m/>
    <m/>
    <m/>
    <m/>
    <m/>
    <m/>
    <m/>
    <n v="71500"/>
    <n v="56992"/>
    <m/>
    <m/>
    <m/>
  </r>
  <r>
    <x v="1135"/>
    <n v="249932.632258064"/>
    <n v="4.2064516129032299"/>
    <n v="3.4138159139785"/>
    <n v="0.81156666666666699"/>
    <n v="0.99"/>
    <m/>
    <m/>
    <m/>
    <m/>
    <m/>
    <n v="0"/>
    <m/>
    <n v="0"/>
    <n v="0"/>
    <n v="0"/>
    <n v="0"/>
    <n v="0"/>
    <m/>
    <m/>
    <m/>
    <m/>
    <m/>
    <m/>
    <m/>
    <m/>
    <m/>
    <m/>
    <n v="0"/>
    <n v="0"/>
    <m/>
    <m/>
    <m/>
    <m/>
    <m/>
    <m/>
    <m/>
    <m/>
    <m/>
    <m/>
    <m/>
    <m/>
    <n v="0"/>
    <m/>
    <m/>
    <m/>
    <m/>
    <m/>
    <m/>
    <m/>
    <m/>
    <m/>
    <n v="71500"/>
    <n v="56992"/>
    <m/>
    <m/>
    <m/>
  </r>
  <r>
    <x v="1136"/>
    <n v="249932.632258064"/>
    <n v="4.2064516129032299"/>
    <n v="3.4137691756272401"/>
    <n v="0.81155555555555603"/>
    <n v="0.99"/>
    <m/>
    <m/>
    <m/>
    <m/>
    <m/>
    <n v="0"/>
    <m/>
    <n v="0"/>
    <n v="0"/>
    <n v="0"/>
    <n v="0"/>
    <n v="0"/>
    <m/>
    <m/>
    <m/>
    <m/>
    <m/>
    <m/>
    <m/>
    <m/>
    <m/>
    <m/>
    <n v="0"/>
    <n v="0"/>
    <m/>
    <m/>
    <m/>
    <m/>
    <m/>
    <m/>
    <m/>
    <m/>
    <m/>
    <m/>
    <m/>
    <m/>
    <n v="0"/>
    <m/>
    <m/>
    <m/>
    <m/>
    <m/>
    <m/>
    <m/>
    <m/>
    <m/>
    <n v="71500"/>
    <n v="56992"/>
    <m/>
    <m/>
    <m/>
  </r>
  <r>
    <x v="1137"/>
    <n v="249932.632258064"/>
    <n v="4.2064516129032299"/>
    <n v="3.41372243727599"/>
    <n v="0.81154444444444396"/>
    <n v="0.99"/>
    <m/>
    <m/>
    <m/>
    <m/>
    <m/>
    <n v="0"/>
    <m/>
    <n v="0"/>
    <n v="0"/>
    <n v="0"/>
    <n v="0"/>
    <n v="0"/>
    <m/>
    <m/>
    <m/>
    <m/>
    <m/>
    <m/>
    <m/>
    <m/>
    <m/>
    <m/>
    <n v="0"/>
    <n v="0"/>
    <m/>
    <m/>
    <m/>
    <m/>
    <m/>
    <m/>
    <m/>
    <m/>
    <m/>
    <m/>
    <m/>
    <m/>
    <n v="0"/>
    <m/>
    <m/>
    <m/>
    <m/>
    <m/>
    <m/>
    <m/>
    <m/>
    <m/>
    <n v="71500"/>
    <n v="56992"/>
    <m/>
    <m/>
    <m/>
  </r>
  <r>
    <x v="1138"/>
    <n v="249932.632258064"/>
    <n v="4.2064516129032299"/>
    <n v="3.4136756989247301"/>
    <n v="0.811533333333333"/>
    <n v="0.99"/>
    <m/>
    <m/>
    <m/>
    <m/>
    <m/>
    <n v="0"/>
    <m/>
    <n v="0"/>
    <n v="0"/>
    <n v="0"/>
    <n v="0"/>
    <n v="0"/>
    <m/>
    <m/>
    <m/>
    <m/>
    <m/>
    <m/>
    <m/>
    <m/>
    <m/>
    <m/>
    <n v="0"/>
    <n v="0"/>
    <m/>
    <m/>
    <m/>
    <m/>
    <m/>
    <m/>
    <m/>
    <m/>
    <m/>
    <m/>
    <m/>
    <m/>
    <n v="0"/>
    <m/>
    <m/>
    <m/>
    <m/>
    <m/>
    <m/>
    <m/>
    <m/>
    <m/>
    <n v="71500"/>
    <n v="56992"/>
    <m/>
    <m/>
    <m/>
  </r>
  <r>
    <x v="1139"/>
    <n v="249932.632258064"/>
    <n v="4.2064516129032299"/>
    <n v="3.41362896057348"/>
    <n v="0.81152222222222203"/>
    <n v="0.99"/>
    <m/>
    <m/>
    <m/>
    <m/>
    <m/>
    <n v="0"/>
    <m/>
    <n v="0"/>
    <n v="0"/>
    <n v="0"/>
    <n v="0"/>
    <n v="0"/>
    <m/>
    <m/>
    <m/>
    <m/>
    <m/>
    <m/>
    <m/>
    <m/>
    <m/>
    <m/>
    <n v="0"/>
    <n v="0"/>
    <m/>
    <m/>
    <m/>
    <m/>
    <m/>
    <m/>
    <m/>
    <m/>
    <m/>
    <m/>
    <m/>
    <m/>
    <n v="0"/>
    <m/>
    <m/>
    <m/>
    <m/>
    <m/>
    <m/>
    <m/>
    <m/>
    <m/>
    <n v="71500"/>
    <n v="56992"/>
    <m/>
    <m/>
    <m/>
  </r>
  <r>
    <x v="1140"/>
    <n v="249932.632258064"/>
    <n v="4.2064516129032299"/>
    <n v="3.4135822222222201"/>
    <n v="0.81151111111111096"/>
    <n v="0.99"/>
    <m/>
    <m/>
    <m/>
    <m/>
    <m/>
    <n v="0"/>
    <m/>
    <n v="0"/>
    <n v="0"/>
    <n v="0"/>
    <n v="0"/>
    <n v="0"/>
    <m/>
    <m/>
    <m/>
    <m/>
    <m/>
    <m/>
    <m/>
    <m/>
    <m/>
    <m/>
    <n v="0"/>
    <n v="0"/>
    <m/>
    <m/>
    <m/>
    <m/>
    <m/>
    <m/>
    <m/>
    <m/>
    <m/>
    <m/>
    <m/>
    <m/>
    <n v="0"/>
    <m/>
    <m/>
    <m/>
    <m/>
    <m/>
    <m/>
    <m/>
    <m/>
    <m/>
    <n v="71500"/>
    <n v="56992"/>
    <m/>
    <m/>
    <m/>
  </r>
  <r>
    <x v="1141"/>
    <n v="249932.632258064"/>
    <n v="4.2064516129032299"/>
    <n v="3.4135354838709699"/>
    <n v="0.8115"/>
    <n v="0.99"/>
    <m/>
    <m/>
    <m/>
    <m/>
    <m/>
    <n v="0"/>
    <m/>
    <n v="0"/>
    <n v="0"/>
    <n v="0"/>
    <n v="0"/>
    <n v="0"/>
    <m/>
    <m/>
    <m/>
    <m/>
    <m/>
    <m/>
    <m/>
    <m/>
    <m/>
    <m/>
    <n v="0"/>
    <n v="0"/>
    <m/>
    <m/>
    <m/>
    <m/>
    <m/>
    <m/>
    <m/>
    <m/>
    <m/>
    <m/>
    <m/>
    <m/>
    <n v="0"/>
    <m/>
    <m/>
    <m/>
    <m/>
    <m/>
    <m/>
    <m/>
    <m/>
    <m/>
    <n v="71500"/>
    <n v="56992"/>
    <m/>
    <m/>
    <m/>
  </r>
  <r>
    <x v="1142"/>
    <n v="249932.632258064"/>
    <n v="4.2064516129032299"/>
    <n v="3.41348874551971"/>
    <n v="0.81148888888888904"/>
    <n v="0.99"/>
    <m/>
    <m/>
    <m/>
    <m/>
    <m/>
    <n v="0"/>
    <m/>
    <n v="0"/>
    <n v="0"/>
    <n v="0"/>
    <n v="0"/>
    <n v="0"/>
    <m/>
    <m/>
    <m/>
    <m/>
    <m/>
    <m/>
    <m/>
    <m/>
    <m/>
    <m/>
    <n v="0"/>
    <n v="0"/>
    <m/>
    <m/>
    <m/>
    <m/>
    <m/>
    <m/>
    <m/>
    <m/>
    <m/>
    <m/>
    <m/>
    <m/>
    <n v="0"/>
    <m/>
    <m/>
    <m/>
    <m/>
    <m/>
    <m/>
    <m/>
    <m/>
    <m/>
    <n v="71500"/>
    <n v="56992"/>
    <m/>
    <m/>
    <m/>
  </r>
  <r>
    <x v="1143"/>
    <n v="249932.632258064"/>
    <n v="4.2064516129032299"/>
    <n v="3.4134420071684599"/>
    <n v="0.81147777777777796"/>
    <n v="0.99"/>
    <m/>
    <m/>
    <m/>
    <m/>
    <m/>
    <n v="0"/>
    <m/>
    <n v="0"/>
    <n v="0"/>
    <n v="0"/>
    <n v="0"/>
    <n v="0"/>
    <m/>
    <m/>
    <m/>
    <m/>
    <m/>
    <m/>
    <m/>
    <m/>
    <m/>
    <m/>
    <n v="0"/>
    <n v="0"/>
    <m/>
    <m/>
    <m/>
    <m/>
    <m/>
    <m/>
    <m/>
    <m/>
    <m/>
    <m/>
    <m/>
    <m/>
    <n v="0"/>
    <m/>
    <m/>
    <m/>
    <m/>
    <m/>
    <m/>
    <m/>
    <m/>
    <m/>
    <n v="71500"/>
    <n v="56992"/>
    <m/>
    <m/>
    <m/>
  </r>
  <r>
    <x v="1144"/>
    <n v="249932.632258064"/>
    <n v="4.2064516129032299"/>
    <n v="3.4133952688172"/>
    <n v="0.811466666666667"/>
    <n v="0.99"/>
    <m/>
    <m/>
    <m/>
    <m/>
    <m/>
    <n v="0"/>
    <m/>
    <n v="0"/>
    <n v="0"/>
    <n v="0"/>
    <n v="0"/>
    <n v="0"/>
    <m/>
    <m/>
    <m/>
    <m/>
    <m/>
    <m/>
    <m/>
    <m/>
    <m/>
    <m/>
    <n v="0"/>
    <n v="0"/>
    <m/>
    <m/>
    <m/>
    <m/>
    <m/>
    <m/>
    <m/>
    <m/>
    <m/>
    <m/>
    <m/>
    <m/>
    <n v="0"/>
    <m/>
    <m/>
    <m/>
    <m/>
    <m/>
    <m/>
    <m/>
    <m/>
    <m/>
    <n v="71500"/>
    <n v="56992"/>
    <m/>
    <m/>
    <m/>
  </r>
  <r>
    <x v="1145"/>
    <n v="249932.632258064"/>
    <n v="4.2064516129032299"/>
    <n v="3.4133485304659499"/>
    <n v="0.81145555555555604"/>
    <n v="0.99"/>
    <m/>
    <m/>
    <m/>
    <m/>
    <m/>
    <n v="0"/>
    <m/>
    <n v="0"/>
    <n v="0"/>
    <n v="0"/>
    <n v="0"/>
    <n v="0"/>
    <m/>
    <m/>
    <m/>
    <m/>
    <m/>
    <m/>
    <m/>
    <m/>
    <m/>
    <m/>
    <n v="0"/>
    <n v="0"/>
    <m/>
    <m/>
    <m/>
    <m/>
    <m/>
    <m/>
    <m/>
    <m/>
    <m/>
    <m/>
    <m/>
    <m/>
    <n v="0"/>
    <m/>
    <m/>
    <m/>
    <m/>
    <m/>
    <m/>
    <m/>
    <m/>
    <m/>
    <n v="71500"/>
    <n v="56992"/>
    <m/>
    <m/>
    <m/>
  </r>
  <r>
    <x v="1146"/>
    <n v="249932.632258064"/>
    <n v="4.2064516129032299"/>
    <n v="3.4133017921147002"/>
    <n v="0.81144444444444397"/>
    <n v="0.99"/>
    <m/>
    <m/>
    <m/>
    <m/>
    <m/>
    <n v="0"/>
    <m/>
    <n v="0"/>
    <n v="0"/>
    <n v="0"/>
    <n v="0"/>
    <n v="0"/>
    <m/>
    <m/>
    <m/>
    <m/>
    <m/>
    <m/>
    <m/>
    <m/>
    <m/>
    <m/>
    <n v="0"/>
    <n v="0"/>
    <m/>
    <m/>
    <m/>
    <m/>
    <m/>
    <m/>
    <m/>
    <m/>
    <m/>
    <m/>
    <m/>
    <m/>
    <n v="0"/>
    <m/>
    <m/>
    <m/>
    <m/>
    <m/>
    <m/>
    <m/>
    <m/>
    <m/>
    <n v="71500"/>
    <n v="56992"/>
    <m/>
    <m/>
    <m/>
  </r>
  <r>
    <x v="1147"/>
    <n v="249932.632258064"/>
    <n v="4.2064516129032299"/>
    <n v="3.4132550537634399"/>
    <n v="0.81143333333333301"/>
    <n v="0.99"/>
    <m/>
    <m/>
    <m/>
    <m/>
    <m/>
    <n v="0"/>
    <m/>
    <n v="0"/>
    <n v="0"/>
    <n v="0"/>
    <n v="0"/>
    <n v="0"/>
    <m/>
    <m/>
    <m/>
    <m/>
    <m/>
    <m/>
    <m/>
    <m/>
    <m/>
    <m/>
    <n v="0"/>
    <n v="0"/>
    <m/>
    <m/>
    <m/>
    <m/>
    <m/>
    <m/>
    <m/>
    <m/>
    <m/>
    <m/>
    <m/>
    <m/>
    <n v="0"/>
    <m/>
    <m/>
    <m/>
    <m/>
    <m/>
    <m/>
    <m/>
    <m/>
    <m/>
    <n v="71500"/>
    <n v="56992"/>
    <m/>
    <m/>
    <m/>
  </r>
  <r>
    <x v="1148"/>
    <n v="249932.632258064"/>
    <n v="4.2064516129032299"/>
    <n v="3.4132083154121902"/>
    <n v="0.81142222222222204"/>
    <n v="0.99"/>
    <m/>
    <m/>
    <m/>
    <m/>
    <m/>
    <n v="0"/>
    <m/>
    <n v="0"/>
    <n v="0"/>
    <n v="0"/>
    <n v="0"/>
    <n v="0"/>
    <m/>
    <m/>
    <m/>
    <m/>
    <m/>
    <m/>
    <m/>
    <m/>
    <m/>
    <m/>
    <n v="0"/>
    <n v="0"/>
    <m/>
    <m/>
    <m/>
    <m/>
    <m/>
    <m/>
    <m/>
    <m/>
    <m/>
    <m/>
    <m/>
    <m/>
    <n v="0"/>
    <m/>
    <m/>
    <m/>
    <m/>
    <m/>
    <m/>
    <m/>
    <m/>
    <m/>
    <n v="71500"/>
    <n v="56992"/>
    <m/>
    <m/>
    <m/>
  </r>
  <r>
    <x v="1149"/>
    <n v="249932.632258064"/>
    <n v="4.2064516129032299"/>
    <n v="3.4131615770609298"/>
    <n v="0.81141111111111097"/>
    <n v="0.99"/>
    <m/>
    <m/>
    <m/>
    <m/>
    <m/>
    <n v="0"/>
    <m/>
    <n v="0"/>
    <n v="0"/>
    <n v="0"/>
    <n v="0"/>
    <n v="0"/>
    <m/>
    <m/>
    <m/>
    <m/>
    <m/>
    <m/>
    <m/>
    <m/>
    <m/>
    <m/>
    <n v="0"/>
    <n v="0"/>
    <m/>
    <m/>
    <m/>
    <m/>
    <m/>
    <m/>
    <m/>
    <m/>
    <m/>
    <m/>
    <m/>
    <m/>
    <n v="0"/>
    <m/>
    <m/>
    <m/>
    <m/>
    <m/>
    <m/>
    <m/>
    <m/>
    <m/>
    <n v="71500"/>
    <n v="56992"/>
    <m/>
    <m/>
    <m/>
  </r>
  <r>
    <x v="1150"/>
    <n v="249932.632258064"/>
    <n v="4.2064516129032299"/>
    <n v="3.4131148387096801"/>
    <n v="0.81140000000000001"/>
    <n v="0.99"/>
    <m/>
    <m/>
    <m/>
    <m/>
    <m/>
    <n v="0"/>
    <m/>
    <n v="0"/>
    <n v="0"/>
    <n v="0"/>
    <n v="0"/>
    <n v="0"/>
    <m/>
    <m/>
    <m/>
    <m/>
    <m/>
    <m/>
    <m/>
    <m/>
    <m/>
    <m/>
    <n v="0"/>
    <n v="0"/>
    <m/>
    <m/>
    <m/>
    <m/>
    <m/>
    <m/>
    <m/>
    <m/>
    <m/>
    <m/>
    <m/>
    <m/>
    <n v="0"/>
    <m/>
    <m/>
    <m/>
    <m/>
    <m/>
    <m/>
    <m/>
    <m/>
    <m/>
    <n v="71500"/>
    <n v="56992"/>
    <m/>
    <m/>
    <m/>
  </r>
  <r>
    <x v="1151"/>
    <n v="249932.632258064"/>
    <n v="4.2064516129032299"/>
    <n v="3.4130681003584198"/>
    <n v="0.81138888888888905"/>
    <n v="0.99"/>
    <m/>
    <m/>
    <m/>
    <m/>
    <m/>
    <n v="0"/>
    <m/>
    <n v="0"/>
    <n v="0"/>
    <n v="0"/>
    <n v="0"/>
    <n v="0"/>
    <m/>
    <m/>
    <m/>
    <m/>
    <m/>
    <m/>
    <m/>
    <m/>
    <m/>
    <m/>
    <n v="0"/>
    <n v="0"/>
    <m/>
    <m/>
    <m/>
    <m/>
    <m/>
    <m/>
    <m/>
    <m/>
    <m/>
    <m/>
    <m/>
    <m/>
    <n v="0"/>
    <m/>
    <m/>
    <m/>
    <m/>
    <m/>
    <m/>
    <m/>
    <m/>
    <m/>
    <n v="71500"/>
    <n v="56992"/>
    <m/>
    <m/>
    <m/>
  </r>
  <r>
    <x v="1152"/>
    <n v="249932.632258064"/>
    <n v="4.2064516129032299"/>
    <n v="3.4130213620071701"/>
    <n v="0.81137777777777798"/>
    <n v="0.99"/>
    <m/>
    <m/>
    <m/>
    <m/>
    <m/>
    <n v="0"/>
    <m/>
    <n v="0"/>
    <n v="0"/>
    <n v="0"/>
    <n v="0"/>
    <n v="0"/>
    <m/>
    <m/>
    <m/>
    <m/>
    <m/>
    <m/>
    <m/>
    <m/>
    <m/>
    <m/>
    <n v="0"/>
    <n v="0"/>
    <m/>
    <m/>
    <m/>
    <m/>
    <m/>
    <m/>
    <m/>
    <m/>
    <m/>
    <m/>
    <m/>
    <m/>
    <n v="0"/>
    <m/>
    <m/>
    <m/>
    <m/>
    <m/>
    <m/>
    <m/>
    <m/>
    <m/>
    <n v="71500"/>
    <n v="56992"/>
    <m/>
    <m/>
    <m/>
  </r>
  <r>
    <x v="1153"/>
    <n v="249932.632258064"/>
    <n v="4.2064516129032299"/>
    <n v="3.4129746236559102"/>
    <n v="0.81136666666666701"/>
    <n v="0.99"/>
    <m/>
    <m/>
    <m/>
    <m/>
    <m/>
    <n v="0"/>
    <m/>
    <n v="0"/>
    <n v="0"/>
    <n v="0"/>
    <n v="0"/>
    <n v="0"/>
    <m/>
    <m/>
    <m/>
    <m/>
    <m/>
    <m/>
    <m/>
    <m/>
    <m/>
    <m/>
    <n v="0"/>
    <n v="0"/>
    <m/>
    <m/>
    <m/>
    <m/>
    <m/>
    <m/>
    <m/>
    <m/>
    <m/>
    <m/>
    <m/>
    <m/>
    <n v="0"/>
    <m/>
    <m/>
    <m/>
    <m/>
    <m/>
    <m/>
    <m/>
    <m/>
    <m/>
    <n v="71500"/>
    <n v="56992"/>
    <m/>
    <m/>
    <m/>
  </r>
  <r>
    <x v="1154"/>
    <n v="249932.632258064"/>
    <n v="4.2064516129032299"/>
    <n v="3.4129278853046601"/>
    <n v="0.81135555555555505"/>
    <n v="0.99"/>
    <m/>
    <m/>
    <m/>
    <m/>
    <m/>
    <n v="0"/>
    <m/>
    <n v="0"/>
    <n v="0"/>
    <n v="0"/>
    <n v="0"/>
    <n v="0"/>
    <m/>
    <m/>
    <m/>
    <m/>
    <m/>
    <m/>
    <m/>
    <m/>
    <m/>
    <m/>
    <n v="0"/>
    <n v="0"/>
    <m/>
    <m/>
    <m/>
    <m/>
    <m/>
    <m/>
    <m/>
    <m/>
    <m/>
    <m/>
    <m/>
    <m/>
    <n v="0"/>
    <m/>
    <m/>
    <m/>
    <m/>
    <m/>
    <m/>
    <m/>
    <m/>
    <m/>
    <n v="71500"/>
    <n v="56992"/>
    <m/>
    <m/>
    <m/>
  </r>
  <r>
    <x v="1155"/>
    <n v="249932.632258064"/>
    <n v="4.2064516129032299"/>
    <n v="3.4128811469534099"/>
    <n v="0.81134444444444398"/>
    <n v="0.99"/>
    <m/>
    <m/>
    <m/>
    <m/>
    <m/>
    <n v="0"/>
    <m/>
    <n v="0"/>
    <n v="0"/>
    <n v="0"/>
    <n v="0"/>
    <n v="0"/>
    <m/>
    <m/>
    <m/>
    <m/>
    <m/>
    <m/>
    <m/>
    <m/>
    <m/>
    <m/>
    <n v="0"/>
    <n v="0"/>
    <m/>
    <m/>
    <m/>
    <m/>
    <m/>
    <m/>
    <m/>
    <m/>
    <m/>
    <m/>
    <m/>
    <m/>
    <n v="0"/>
    <m/>
    <m/>
    <m/>
    <m/>
    <m/>
    <m/>
    <m/>
    <m/>
    <m/>
    <n v="71500"/>
    <n v="56992"/>
    <m/>
    <m/>
    <m/>
  </r>
  <r>
    <x v="1156"/>
    <n v="249932.632258064"/>
    <n v="4.2064516129032299"/>
    <n v="3.41283440860215"/>
    <n v="0.81133333333333302"/>
    <n v="0.99"/>
    <m/>
    <m/>
    <m/>
    <m/>
    <m/>
    <n v="0"/>
    <m/>
    <n v="0"/>
    <n v="0"/>
    <n v="0"/>
    <n v="0"/>
    <n v="0"/>
    <m/>
    <m/>
    <m/>
    <m/>
    <m/>
    <m/>
    <m/>
    <m/>
    <m/>
    <m/>
    <n v="0"/>
    <n v="0"/>
    <m/>
    <m/>
    <m/>
    <m/>
    <m/>
    <m/>
    <m/>
    <m/>
    <m/>
    <m/>
    <m/>
    <m/>
    <n v="0"/>
    <m/>
    <m/>
    <m/>
    <m/>
    <m/>
    <m/>
    <m/>
    <m/>
    <m/>
    <n v="71500"/>
    <n v="56992"/>
    <m/>
    <m/>
    <m/>
  </r>
  <r>
    <x v="1157"/>
    <n v="257373.372413793"/>
    <n v="4.4275862068965504"/>
    <n v="3.5922482758620702"/>
    <n v="0.81133333333333302"/>
    <n v="0.99"/>
    <m/>
    <m/>
    <m/>
    <m/>
    <m/>
    <n v="0"/>
    <m/>
    <n v="0"/>
    <n v="0"/>
    <n v="0"/>
    <n v="0"/>
    <n v="0"/>
    <m/>
    <m/>
    <m/>
    <m/>
    <m/>
    <m/>
    <m/>
    <m/>
    <m/>
    <m/>
    <n v="0"/>
    <n v="0"/>
    <m/>
    <m/>
    <m/>
    <m/>
    <m/>
    <m/>
    <m/>
    <m/>
    <m/>
    <m/>
    <m/>
    <m/>
    <n v="0"/>
    <m/>
    <m/>
    <m/>
    <m/>
    <m/>
    <m/>
    <m/>
    <m/>
    <m/>
    <n v="71500"/>
    <n v="56992"/>
    <m/>
    <m/>
    <m/>
  </r>
  <r>
    <x v="1158"/>
    <n v="257373.372413793"/>
    <n v="4.4275862068965504"/>
    <n v="3.5921990804597699"/>
    <n v="0.81132222222222194"/>
    <n v="0.99"/>
    <m/>
    <m/>
    <m/>
    <m/>
    <m/>
    <n v="0"/>
    <m/>
    <n v="0"/>
    <n v="0"/>
    <n v="0"/>
    <n v="0"/>
    <n v="0"/>
    <m/>
    <m/>
    <m/>
    <m/>
    <m/>
    <m/>
    <m/>
    <m/>
    <m/>
    <m/>
    <n v="0"/>
    <n v="0"/>
    <m/>
    <m/>
    <m/>
    <m/>
    <m/>
    <m/>
    <m/>
    <m/>
    <m/>
    <m/>
    <m/>
    <m/>
    <n v="0"/>
    <m/>
    <m/>
    <m/>
    <m/>
    <m/>
    <m/>
    <m/>
    <m/>
    <m/>
    <n v="71500"/>
    <n v="56992"/>
    <m/>
    <m/>
    <m/>
  </r>
  <r>
    <x v="1159"/>
    <n v="257373.372413793"/>
    <n v="4.4275862068965504"/>
    <n v="3.59214988505747"/>
    <n v="0.81131111111111098"/>
    <n v="0.99"/>
    <m/>
    <m/>
    <m/>
    <m/>
    <m/>
    <n v="0"/>
    <m/>
    <n v="0"/>
    <n v="0"/>
    <n v="0"/>
    <n v="0"/>
    <n v="0"/>
    <m/>
    <m/>
    <m/>
    <m/>
    <m/>
    <m/>
    <m/>
    <m/>
    <m/>
    <m/>
    <n v="0"/>
    <n v="0"/>
    <m/>
    <m/>
    <m/>
    <m/>
    <m/>
    <m/>
    <m/>
    <m/>
    <m/>
    <m/>
    <m/>
    <m/>
    <n v="0"/>
    <m/>
    <m/>
    <m/>
    <m/>
    <m/>
    <m/>
    <m/>
    <m/>
    <m/>
    <n v="71500"/>
    <n v="56992"/>
    <m/>
    <m/>
    <m/>
  </r>
  <r>
    <x v="1160"/>
    <n v="257373.372413793"/>
    <n v="4.4275862068965504"/>
    <n v="3.5921006896551702"/>
    <n v="0.81130000000000002"/>
    <n v="0.99"/>
    <m/>
    <m/>
    <m/>
    <m/>
    <m/>
    <n v="0"/>
    <m/>
    <n v="0"/>
    <n v="0"/>
    <n v="0"/>
    <n v="0"/>
    <n v="0"/>
    <m/>
    <m/>
    <m/>
    <m/>
    <m/>
    <m/>
    <m/>
    <m/>
    <m/>
    <m/>
    <n v="0"/>
    <n v="0"/>
    <m/>
    <m/>
    <m/>
    <m/>
    <m/>
    <m/>
    <m/>
    <m/>
    <m/>
    <m/>
    <m/>
    <m/>
    <n v="0"/>
    <m/>
    <m/>
    <m/>
    <m/>
    <m/>
    <m/>
    <m/>
    <m/>
    <m/>
    <n v="71500"/>
    <n v="56992"/>
    <m/>
    <m/>
    <m/>
  </r>
  <r>
    <x v="1161"/>
    <n v="257373.372413793"/>
    <n v="4.4275862068965504"/>
    <n v="3.5920514942528698"/>
    <n v="0.81128888888888895"/>
    <n v="0.99"/>
    <m/>
    <m/>
    <m/>
    <m/>
    <m/>
    <n v="0"/>
    <m/>
    <n v="0"/>
    <n v="0"/>
    <n v="0"/>
    <n v="0"/>
    <n v="0"/>
    <m/>
    <m/>
    <m/>
    <m/>
    <m/>
    <m/>
    <m/>
    <m/>
    <m/>
    <m/>
    <n v="0"/>
    <n v="0"/>
    <m/>
    <m/>
    <m/>
    <m/>
    <m/>
    <m/>
    <m/>
    <m/>
    <m/>
    <m/>
    <m/>
    <m/>
    <n v="0"/>
    <m/>
    <m/>
    <m/>
    <m/>
    <m/>
    <m/>
    <m/>
    <m/>
    <m/>
    <n v="71500"/>
    <n v="56992"/>
    <m/>
    <m/>
    <m/>
  </r>
  <r>
    <x v="1162"/>
    <n v="257373.372413793"/>
    <n v="4.4275862068965504"/>
    <n v="3.59200229885057"/>
    <n v="0.81127777777777799"/>
    <n v="0.99"/>
    <m/>
    <m/>
    <m/>
    <m/>
    <m/>
    <n v="0"/>
    <m/>
    <n v="0"/>
    <n v="0"/>
    <n v="0"/>
    <n v="0"/>
    <n v="0"/>
    <m/>
    <m/>
    <m/>
    <m/>
    <m/>
    <m/>
    <m/>
    <m/>
    <m/>
    <m/>
    <n v="0"/>
    <n v="0"/>
    <m/>
    <m/>
    <m/>
    <m/>
    <m/>
    <m/>
    <m/>
    <m/>
    <m/>
    <m/>
    <m/>
    <m/>
    <n v="0"/>
    <m/>
    <m/>
    <m/>
    <m/>
    <m/>
    <m/>
    <m/>
    <m/>
    <m/>
    <n v="71500"/>
    <n v="56992"/>
    <m/>
    <m/>
    <m/>
  </r>
  <r>
    <x v="1163"/>
    <n v="257373.372413793"/>
    <n v="4.4275862068965504"/>
    <n v="3.5919531034482799"/>
    <n v="0.81126666666666702"/>
    <n v="0.99"/>
    <m/>
    <m/>
    <m/>
    <m/>
    <m/>
    <n v="0"/>
    <m/>
    <n v="0"/>
    <n v="0"/>
    <n v="0"/>
    <n v="0"/>
    <n v="0"/>
    <m/>
    <m/>
    <m/>
    <m/>
    <m/>
    <m/>
    <m/>
    <m/>
    <m/>
    <m/>
    <n v="0"/>
    <n v="0"/>
    <m/>
    <m/>
    <m/>
    <m/>
    <m/>
    <m/>
    <m/>
    <m/>
    <m/>
    <m/>
    <m/>
    <m/>
    <n v="0"/>
    <m/>
    <m/>
    <m/>
    <m/>
    <m/>
    <m/>
    <m/>
    <m/>
    <m/>
    <n v="71500"/>
    <n v="56992"/>
    <m/>
    <m/>
    <m/>
  </r>
  <r>
    <x v="1164"/>
    <n v="257373.372413793"/>
    <n v="4.4275862068965504"/>
    <n v="3.59190390804598"/>
    <n v="0.81125555555555595"/>
    <n v="0.99"/>
    <m/>
    <m/>
    <m/>
    <m/>
    <m/>
    <n v="0"/>
    <m/>
    <n v="0"/>
    <n v="0"/>
    <n v="0"/>
    <n v="0"/>
    <n v="0"/>
    <m/>
    <m/>
    <m/>
    <m/>
    <m/>
    <m/>
    <m/>
    <m/>
    <m/>
    <m/>
    <n v="0"/>
    <n v="0"/>
    <m/>
    <m/>
    <m/>
    <m/>
    <m/>
    <m/>
    <m/>
    <m/>
    <m/>
    <m/>
    <m/>
    <m/>
    <n v="0"/>
    <m/>
    <m/>
    <m/>
    <m/>
    <m/>
    <m/>
    <m/>
    <m/>
    <m/>
    <n v="71500"/>
    <n v="56992"/>
    <m/>
    <m/>
    <m/>
  </r>
  <r>
    <x v="1165"/>
    <n v="257373.372413793"/>
    <n v="4.4275862068965504"/>
    <n v="3.5918547126436802"/>
    <n v="0.81124444444444399"/>
    <n v="0.99"/>
    <m/>
    <m/>
    <m/>
    <m/>
    <m/>
    <n v="0"/>
    <m/>
    <n v="0"/>
    <n v="0"/>
    <n v="0"/>
    <n v="0"/>
    <n v="0"/>
    <m/>
    <m/>
    <m/>
    <m/>
    <m/>
    <m/>
    <m/>
    <m/>
    <m/>
    <m/>
    <n v="0"/>
    <n v="0"/>
    <m/>
    <m/>
    <m/>
    <m/>
    <m/>
    <m/>
    <m/>
    <m/>
    <m/>
    <m/>
    <m/>
    <m/>
    <n v="0"/>
    <m/>
    <m/>
    <m/>
    <m/>
    <m/>
    <m/>
    <m/>
    <m/>
    <m/>
    <n v="71500"/>
    <n v="56992"/>
    <m/>
    <m/>
    <m/>
  </r>
  <r>
    <x v="1166"/>
    <n v="257373.372413793"/>
    <n v="4.4275862068965504"/>
    <n v="3.5918055172413799"/>
    <n v="0.81123333333333303"/>
    <n v="0.99"/>
    <m/>
    <m/>
    <m/>
    <m/>
    <m/>
    <n v="0"/>
    <m/>
    <n v="0"/>
    <n v="0"/>
    <n v="0"/>
    <n v="0"/>
    <n v="0"/>
    <m/>
    <m/>
    <m/>
    <m/>
    <m/>
    <m/>
    <m/>
    <m/>
    <m/>
    <m/>
    <n v="0"/>
    <n v="0"/>
    <m/>
    <m/>
    <m/>
    <m/>
    <m/>
    <m/>
    <m/>
    <m/>
    <m/>
    <m/>
    <m/>
    <m/>
    <n v="0"/>
    <m/>
    <m/>
    <m/>
    <m/>
    <m/>
    <m/>
    <m/>
    <m/>
    <m/>
    <n v="71500"/>
    <n v="56992"/>
    <m/>
    <m/>
    <m/>
  </r>
  <r>
    <x v="1167"/>
    <n v="257373.372413793"/>
    <n v="4.4275862068965504"/>
    <n v="3.59175632183908"/>
    <n v="0.81122222222222196"/>
    <n v="0.99"/>
    <m/>
    <m/>
    <m/>
    <m/>
    <m/>
    <n v="0"/>
    <m/>
    <n v="0"/>
    <n v="0"/>
    <n v="0"/>
    <n v="0"/>
    <n v="0"/>
    <m/>
    <m/>
    <m/>
    <m/>
    <m/>
    <m/>
    <m/>
    <m/>
    <m/>
    <m/>
    <n v="0"/>
    <n v="0"/>
    <m/>
    <m/>
    <m/>
    <m/>
    <m/>
    <m/>
    <m/>
    <m/>
    <m/>
    <m/>
    <m/>
    <m/>
    <n v="0"/>
    <m/>
    <m/>
    <m/>
    <m/>
    <m/>
    <m/>
    <m/>
    <m/>
    <m/>
    <n v="71500"/>
    <n v="56992"/>
    <m/>
    <m/>
    <m/>
  </r>
  <r>
    <x v="1168"/>
    <n v="257373.372413793"/>
    <n v="4.4275862068965504"/>
    <n v="3.5917071264367801"/>
    <n v="0.81121111111111099"/>
    <n v="0.99"/>
    <m/>
    <m/>
    <m/>
    <m/>
    <m/>
    <n v="0"/>
    <m/>
    <n v="0"/>
    <n v="0"/>
    <n v="0"/>
    <n v="0"/>
    <n v="0"/>
    <m/>
    <m/>
    <m/>
    <m/>
    <m/>
    <m/>
    <m/>
    <m/>
    <m/>
    <m/>
    <n v="0"/>
    <n v="0"/>
    <m/>
    <m/>
    <m/>
    <m/>
    <m/>
    <m/>
    <m/>
    <m/>
    <m/>
    <m/>
    <m/>
    <m/>
    <n v="0"/>
    <m/>
    <m/>
    <m/>
    <m/>
    <m/>
    <m/>
    <m/>
    <m/>
    <m/>
    <n v="71500"/>
    <n v="56992"/>
    <m/>
    <m/>
    <m/>
  </r>
  <r>
    <x v="1169"/>
    <n v="257373.372413793"/>
    <n v="4.4275862068965504"/>
    <n v="3.5916579310344798"/>
    <n v="0.81120000000000003"/>
    <n v="0.99"/>
    <m/>
    <m/>
    <m/>
    <m/>
    <m/>
    <n v="0"/>
    <m/>
    <n v="0"/>
    <n v="0"/>
    <n v="0"/>
    <n v="0"/>
    <n v="0"/>
    <m/>
    <m/>
    <m/>
    <m/>
    <m/>
    <m/>
    <m/>
    <m/>
    <m/>
    <m/>
    <n v="0"/>
    <n v="0"/>
    <m/>
    <m/>
    <m/>
    <m/>
    <m/>
    <m/>
    <m/>
    <m/>
    <m/>
    <m/>
    <m/>
    <m/>
    <n v="0"/>
    <m/>
    <m/>
    <m/>
    <m/>
    <m/>
    <m/>
    <m/>
    <m/>
    <m/>
    <n v="71500"/>
    <n v="56992"/>
    <m/>
    <m/>
    <m/>
  </r>
  <r>
    <x v="1170"/>
    <n v="257373.372413793"/>
    <n v="4.4275862068965504"/>
    <n v="3.59160873563218"/>
    <n v="0.81118888888888896"/>
    <n v="0.99"/>
    <m/>
    <m/>
    <m/>
    <m/>
    <m/>
    <n v="0"/>
    <m/>
    <n v="0"/>
    <n v="0"/>
    <n v="0"/>
    <n v="0"/>
    <n v="0"/>
    <m/>
    <m/>
    <m/>
    <m/>
    <m/>
    <m/>
    <m/>
    <m/>
    <m/>
    <m/>
    <n v="0"/>
    <n v="0"/>
    <m/>
    <m/>
    <m/>
    <m/>
    <m/>
    <m/>
    <m/>
    <m/>
    <m/>
    <m/>
    <m/>
    <m/>
    <n v="0"/>
    <m/>
    <m/>
    <m/>
    <m/>
    <m/>
    <m/>
    <m/>
    <m/>
    <m/>
    <n v="71500"/>
    <n v="56992"/>
    <m/>
    <m/>
    <m/>
  </r>
  <r>
    <x v="1171"/>
    <n v="257373.372413793"/>
    <n v="4.4275862068965504"/>
    <n v="3.5915595402298899"/>
    <n v="0.811177777777778"/>
    <n v="0.99"/>
    <m/>
    <m/>
    <m/>
    <m/>
    <m/>
    <n v="0"/>
    <m/>
    <n v="0"/>
    <n v="0"/>
    <n v="0"/>
    <n v="0"/>
    <n v="0"/>
    <m/>
    <m/>
    <m/>
    <m/>
    <m/>
    <m/>
    <m/>
    <m/>
    <m/>
    <m/>
    <n v="0"/>
    <n v="0"/>
    <m/>
    <m/>
    <m/>
    <m/>
    <m/>
    <m/>
    <m/>
    <m/>
    <m/>
    <m/>
    <m/>
    <m/>
    <n v="0"/>
    <m/>
    <m/>
    <m/>
    <m/>
    <m/>
    <m/>
    <m/>
    <m/>
    <m/>
    <n v="71500"/>
    <n v="56992"/>
    <m/>
    <m/>
    <m/>
  </r>
  <r>
    <x v="1172"/>
    <n v="257373.372413793"/>
    <n v="4.4275862068965504"/>
    <n v="3.59151034482759"/>
    <n v="0.81116666666666704"/>
    <n v="0.99"/>
    <m/>
    <m/>
    <m/>
    <m/>
    <m/>
    <n v="0"/>
    <m/>
    <n v="0"/>
    <n v="0"/>
    <n v="0"/>
    <n v="0"/>
    <n v="0"/>
    <m/>
    <m/>
    <m/>
    <m/>
    <m/>
    <m/>
    <m/>
    <m/>
    <m/>
    <m/>
    <n v="0"/>
    <n v="0"/>
    <m/>
    <m/>
    <m/>
    <m/>
    <m/>
    <m/>
    <m/>
    <m/>
    <m/>
    <m/>
    <m/>
    <m/>
    <n v="0"/>
    <m/>
    <m/>
    <m/>
    <m/>
    <m/>
    <m/>
    <m/>
    <m/>
    <m/>
    <n v="71500"/>
    <n v="56992"/>
    <m/>
    <m/>
    <m/>
  </r>
  <r>
    <x v="1173"/>
    <n v="257373.372413793"/>
    <n v="4.4275862068965504"/>
    <n v="3.5914611494252902"/>
    <n v="0.81115555555555596"/>
    <n v="0.99"/>
    <m/>
    <m/>
    <m/>
    <m/>
    <m/>
    <n v="0"/>
    <m/>
    <n v="0"/>
    <n v="0"/>
    <n v="0"/>
    <n v="0"/>
    <n v="0"/>
    <m/>
    <m/>
    <m/>
    <m/>
    <m/>
    <m/>
    <m/>
    <m/>
    <m/>
    <m/>
    <n v="0"/>
    <n v="0"/>
    <m/>
    <m/>
    <m/>
    <m/>
    <m/>
    <m/>
    <m/>
    <m/>
    <m/>
    <m/>
    <m/>
    <m/>
    <n v="0"/>
    <m/>
    <m/>
    <m/>
    <m/>
    <m/>
    <m/>
    <m/>
    <m/>
    <m/>
    <n v="71500"/>
    <n v="56992"/>
    <m/>
    <m/>
    <m/>
  </r>
  <r>
    <x v="1174"/>
    <n v="257373.372413793"/>
    <n v="4.4275862068965504"/>
    <n v="3.5914119540229898"/>
    <n v="0.811144444444444"/>
    <n v="0.99"/>
    <m/>
    <m/>
    <m/>
    <m/>
    <m/>
    <n v="0"/>
    <m/>
    <n v="0"/>
    <n v="0"/>
    <n v="0"/>
    <n v="0"/>
    <n v="0"/>
    <m/>
    <m/>
    <m/>
    <m/>
    <m/>
    <m/>
    <m/>
    <m/>
    <m/>
    <m/>
    <n v="0"/>
    <n v="0"/>
    <m/>
    <m/>
    <m/>
    <m/>
    <m/>
    <m/>
    <m/>
    <m/>
    <m/>
    <m/>
    <m/>
    <m/>
    <n v="0"/>
    <m/>
    <m/>
    <m/>
    <m/>
    <m/>
    <m/>
    <m/>
    <m/>
    <m/>
    <n v="71500"/>
    <n v="56992"/>
    <m/>
    <m/>
    <m/>
  </r>
  <r>
    <x v="1175"/>
    <n v="257373.372413793"/>
    <n v="4.4275862068965504"/>
    <n v="3.59136275862069"/>
    <n v="0.81113333333333304"/>
    <n v="0.99"/>
    <m/>
    <m/>
    <m/>
    <m/>
    <m/>
    <n v="0"/>
    <m/>
    <n v="0"/>
    <n v="0"/>
    <n v="0"/>
    <n v="0"/>
    <n v="0"/>
    <m/>
    <m/>
    <m/>
    <m/>
    <m/>
    <m/>
    <m/>
    <m/>
    <m/>
    <m/>
    <n v="0"/>
    <n v="0"/>
    <m/>
    <m/>
    <m/>
    <m/>
    <m/>
    <m/>
    <m/>
    <m/>
    <m/>
    <m/>
    <m/>
    <m/>
    <n v="0"/>
    <m/>
    <m/>
    <m/>
    <m/>
    <m/>
    <m/>
    <m/>
    <m/>
    <m/>
    <n v="71500"/>
    <n v="56992"/>
    <m/>
    <m/>
    <m/>
  </r>
  <r>
    <x v="1176"/>
    <n v="257373.372413793"/>
    <n v="4.4275862068965504"/>
    <n v="3.5913135632183901"/>
    <n v="0.81112222222222197"/>
    <n v="0.99"/>
    <m/>
    <m/>
    <m/>
    <m/>
    <m/>
    <n v="0"/>
    <m/>
    <n v="0"/>
    <n v="0"/>
    <n v="0"/>
    <n v="0"/>
    <n v="0"/>
    <m/>
    <m/>
    <m/>
    <m/>
    <m/>
    <m/>
    <m/>
    <m/>
    <m/>
    <m/>
    <n v="0"/>
    <n v="0"/>
    <m/>
    <m/>
    <m/>
    <m/>
    <m/>
    <m/>
    <m/>
    <m/>
    <m/>
    <m/>
    <m/>
    <m/>
    <n v="0"/>
    <m/>
    <m/>
    <m/>
    <m/>
    <m/>
    <m/>
    <m/>
    <m/>
    <m/>
    <n v="71500"/>
    <n v="56992"/>
    <m/>
    <m/>
    <m/>
  </r>
  <r>
    <x v="1177"/>
    <n v="257373.372413793"/>
    <n v="4.4275862068965504"/>
    <n v="3.5912643678160898"/>
    <n v="0.81111111111111101"/>
    <n v="0.99"/>
    <m/>
    <m/>
    <m/>
    <m/>
    <m/>
    <n v="0"/>
    <m/>
    <n v="0"/>
    <n v="0"/>
    <n v="0"/>
    <n v="0"/>
    <n v="0"/>
    <m/>
    <m/>
    <m/>
    <m/>
    <m/>
    <m/>
    <m/>
    <m/>
    <m/>
    <m/>
    <n v="0"/>
    <n v="0"/>
    <m/>
    <m/>
    <m/>
    <m/>
    <m/>
    <m/>
    <m/>
    <m/>
    <m/>
    <m/>
    <m/>
    <m/>
    <n v="0"/>
    <m/>
    <m/>
    <m/>
    <m/>
    <m/>
    <m/>
    <m/>
    <m/>
    <m/>
    <n v="71500"/>
    <n v="56992"/>
    <m/>
    <m/>
    <m/>
  </r>
  <r>
    <x v="1178"/>
    <n v="257373.372413793"/>
    <n v="4.4275862068965504"/>
    <n v="3.59121517241379"/>
    <n v="0.81110000000000004"/>
    <n v="0.99"/>
    <m/>
    <m/>
    <m/>
    <m/>
    <m/>
    <n v="0"/>
    <m/>
    <n v="0"/>
    <n v="0"/>
    <n v="0"/>
    <n v="0"/>
    <n v="0"/>
    <m/>
    <m/>
    <m/>
    <m/>
    <m/>
    <m/>
    <m/>
    <m/>
    <m/>
    <m/>
    <n v="0"/>
    <n v="0"/>
    <m/>
    <m/>
    <m/>
    <m/>
    <m/>
    <m/>
    <m/>
    <m/>
    <m/>
    <m/>
    <m/>
    <m/>
    <n v="0"/>
    <m/>
    <m/>
    <m/>
    <m/>
    <m/>
    <m/>
    <m/>
    <m/>
    <m/>
    <n v="71500"/>
    <n v="56992"/>
    <m/>
    <m/>
    <m/>
  </r>
  <r>
    <x v="1179"/>
    <n v="257373.372413793"/>
    <n v="4.4275862068965504"/>
    <n v="3.5911659770114901"/>
    <n v="0.81108888888888897"/>
    <n v="0.99"/>
    <m/>
    <m/>
    <m/>
    <m/>
    <m/>
    <n v="0"/>
    <m/>
    <n v="0"/>
    <n v="0"/>
    <n v="0"/>
    <n v="0"/>
    <n v="0"/>
    <m/>
    <m/>
    <m/>
    <m/>
    <m/>
    <m/>
    <m/>
    <m/>
    <m/>
    <m/>
    <n v="0"/>
    <n v="0"/>
    <m/>
    <m/>
    <m/>
    <m/>
    <m/>
    <m/>
    <m/>
    <m/>
    <m/>
    <m/>
    <m/>
    <m/>
    <n v="0"/>
    <m/>
    <m/>
    <m/>
    <m/>
    <m/>
    <m/>
    <m/>
    <m/>
    <m/>
    <n v="71500"/>
    <n v="56992"/>
    <m/>
    <m/>
    <m/>
  </r>
  <r>
    <x v="1180"/>
    <n v="257373.372413793"/>
    <n v="4.4275862068965504"/>
    <n v="3.5911167816092"/>
    <n v="0.81107777777777801"/>
    <n v="0.99"/>
    <m/>
    <m/>
    <m/>
    <m/>
    <m/>
    <n v="0"/>
    <m/>
    <n v="0"/>
    <n v="0"/>
    <n v="0"/>
    <n v="0"/>
    <n v="0"/>
    <m/>
    <m/>
    <m/>
    <m/>
    <m/>
    <m/>
    <m/>
    <m/>
    <m/>
    <m/>
    <n v="0"/>
    <n v="0"/>
    <m/>
    <m/>
    <m/>
    <m/>
    <m/>
    <m/>
    <m/>
    <m/>
    <m/>
    <m/>
    <m/>
    <m/>
    <n v="0"/>
    <m/>
    <m/>
    <m/>
    <m/>
    <m/>
    <m/>
    <m/>
    <m/>
    <m/>
    <n v="71500"/>
    <n v="56992"/>
    <m/>
    <m/>
    <m/>
  </r>
  <r>
    <x v="1181"/>
    <n v="257373.372413793"/>
    <n v="4.4275862068965504"/>
    <n v="3.5910675862069001"/>
    <n v="0.81106666666666705"/>
    <n v="0.99"/>
    <m/>
    <m/>
    <m/>
    <m/>
    <m/>
    <n v="0"/>
    <m/>
    <n v="0"/>
    <n v="0"/>
    <n v="0"/>
    <n v="0"/>
    <n v="0"/>
    <m/>
    <m/>
    <m/>
    <m/>
    <m/>
    <m/>
    <m/>
    <m/>
    <m/>
    <m/>
    <n v="0"/>
    <n v="0"/>
    <m/>
    <m/>
    <m/>
    <m/>
    <m/>
    <m/>
    <m/>
    <m/>
    <m/>
    <m/>
    <m/>
    <m/>
    <n v="0"/>
    <m/>
    <m/>
    <m/>
    <m/>
    <m/>
    <m/>
    <m/>
    <m/>
    <m/>
    <n v="71500"/>
    <n v="56992"/>
    <m/>
    <m/>
    <m/>
  </r>
  <r>
    <x v="1182"/>
    <n v="257373.372413793"/>
    <n v="4.4275862068965504"/>
    <n v="3.5910183908045998"/>
    <n v="0.81105555555555597"/>
    <n v="0.99"/>
    <m/>
    <m/>
    <m/>
    <m/>
    <m/>
    <n v="0"/>
    <m/>
    <n v="0"/>
    <n v="0"/>
    <n v="0"/>
    <n v="0"/>
    <n v="0"/>
    <m/>
    <m/>
    <m/>
    <m/>
    <m/>
    <m/>
    <m/>
    <m/>
    <m/>
    <m/>
    <n v="0"/>
    <n v="0"/>
    <m/>
    <m/>
    <m/>
    <m/>
    <m/>
    <m/>
    <m/>
    <m/>
    <m/>
    <m/>
    <m/>
    <m/>
    <n v="0"/>
    <m/>
    <m/>
    <m/>
    <m/>
    <m/>
    <m/>
    <m/>
    <m/>
    <m/>
    <n v="71500"/>
    <n v="56992"/>
    <m/>
    <m/>
    <m/>
  </r>
  <r>
    <x v="1183"/>
    <n v="257373.372413793"/>
    <n v="4.4275862068965504"/>
    <n v="3.5909691954023"/>
    <n v="0.81104444444444401"/>
    <n v="0.99"/>
    <m/>
    <m/>
    <m/>
    <m/>
    <m/>
    <n v="0"/>
    <m/>
    <n v="0"/>
    <n v="0"/>
    <n v="0"/>
    <n v="0"/>
    <n v="0"/>
    <m/>
    <m/>
    <m/>
    <m/>
    <m/>
    <m/>
    <m/>
    <m/>
    <m/>
    <m/>
    <n v="0"/>
    <n v="0"/>
    <m/>
    <m/>
    <m/>
    <m/>
    <m/>
    <m/>
    <m/>
    <m/>
    <m/>
    <m/>
    <m/>
    <m/>
    <n v="0"/>
    <m/>
    <m/>
    <m/>
    <m/>
    <m/>
    <m/>
    <m/>
    <m/>
    <m/>
    <n v="71500"/>
    <n v="56992"/>
    <m/>
    <m/>
    <m/>
  </r>
  <r>
    <x v="1184"/>
    <n v="257373.372413793"/>
    <n v="4.4275862068965504"/>
    <n v="3.5909200000000001"/>
    <n v="0.81103333333333305"/>
    <n v="0.99"/>
    <m/>
    <m/>
    <m/>
    <m/>
    <m/>
    <n v="0"/>
    <m/>
    <n v="0"/>
    <n v="0"/>
    <n v="0"/>
    <n v="0"/>
    <n v="0"/>
    <m/>
    <m/>
    <m/>
    <m/>
    <m/>
    <m/>
    <m/>
    <m/>
    <m/>
    <m/>
    <n v="0"/>
    <n v="0"/>
    <m/>
    <m/>
    <m/>
    <m/>
    <m/>
    <m/>
    <m/>
    <m/>
    <m/>
    <m/>
    <m/>
    <m/>
    <n v="0"/>
    <m/>
    <m/>
    <m/>
    <m/>
    <m/>
    <m/>
    <m/>
    <m/>
    <m/>
    <n v="71500"/>
    <n v="56992"/>
    <m/>
    <m/>
    <m/>
  </r>
  <r>
    <x v="1185"/>
    <n v="257373.372413793"/>
    <n v="4.4275862068965504"/>
    <n v="3.5908708045976998"/>
    <n v="0.81102222222222198"/>
    <n v="0.99"/>
    <m/>
    <m/>
    <m/>
    <m/>
    <m/>
    <n v="0"/>
    <m/>
    <n v="0"/>
    <n v="0"/>
    <n v="0"/>
    <n v="0"/>
    <n v="0"/>
    <m/>
    <m/>
    <m/>
    <m/>
    <m/>
    <m/>
    <m/>
    <m/>
    <m/>
    <m/>
    <n v="0"/>
    <n v="0"/>
    <m/>
    <m/>
    <m/>
    <m/>
    <m/>
    <m/>
    <m/>
    <m/>
    <m/>
    <m/>
    <m/>
    <m/>
    <n v="0"/>
    <m/>
    <m/>
    <m/>
    <m/>
    <m/>
    <m/>
    <m/>
    <m/>
    <m/>
    <n v="71500"/>
    <n v="56992"/>
    <m/>
    <m/>
    <m/>
  </r>
  <r>
    <x v="1186"/>
    <n v="269369.09999999998"/>
    <n v="4.5999999999999996"/>
    <n v="3.7305999999999999"/>
    <n v="0.81100000000000005"/>
    <n v="0.99"/>
    <m/>
    <m/>
    <m/>
    <m/>
    <m/>
    <n v="0"/>
    <m/>
    <n v="0"/>
    <n v="0"/>
    <n v="0"/>
    <n v="0"/>
    <n v="0"/>
    <m/>
    <m/>
    <m/>
    <m/>
    <m/>
    <m/>
    <m/>
    <m/>
    <m/>
    <m/>
    <n v="0"/>
    <n v="0"/>
    <m/>
    <m/>
    <m/>
    <m/>
    <m/>
    <m/>
    <m/>
    <m/>
    <m/>
    <m/>
    <m/>
    <m/>
    <n v="0"/>
    <m/>
    <m/>
    <m/>
    <m/>
    <m/>
    <m/>
    <m/>
    <m/>
    <m/>
    <n v="71500"/>
    <n v="56992"/>
    <m/>
    <m/>
    <m/>
  </r>
  <r>
    <x v="1187"/>
    <n v="269369.09999999998"/>
    <n v="4.5999999999999996"/>
    <n v="3.7305488888888898"/>
    <n v="0.81098888888888898"/>
    <n v="0.99"/>
    <m/>
    <m/>
    <m/>
    <m/>
    <m/>
    <n v="0"/>
    <m/>
    <n v="0"/>
    <n v="0"/>
    <n v="0"/>
    <n v="0"/>
    <n v="0"/>
    <m/>
    <m/>
    <m/>
    <m/>
    <m/>
    <m/>
    <m/>
    <m/>
    <m/>
    <m/>
    <n v="0"/>
    <n v="0"/>
    <m/>
    <m/>
    <m/>
    <m/>
    <m/>
    <m/>
    <m/>
    <m/>
    <m/>
    <m/>
    <m/>
    <m/>
    <n v="0"/>
    <m/>
    <m/>
    <m/>
    <m/>
    <m/>
    <m/>
    <m/>
    <m/>
    <m/>
    <n v="71500"/>
    <n v="56992"/>
    <m/>
    <m/>
    <m/>
  </r>
  <r>
    <x v="1188"/>
    <n v="269369.09999999998"/>
    <n v="4.5999999999999996"/>
    <n v="3.7304977777777801"/>
    <n v="0.81097777777777802"/>
    <n v="0.99"/>
    <m/>
    <m/>
    <m/>
    <m/>
    <m/>
    <n v="0"/>
    <m/>
    <n v="0"/>
    <n v="0"/>
    <n v="0"/>
    <n v="0"/>
    <n v="0"/>
    <m/>
    <m/>
    <m/>
    <m/>
    <m/>
    <m/>
    <m/>
    <m/>
    <m/>
    <m/>
    <n v="0"/>
    <n v="0"/>
    <m/>
    <m/>
    <m/>
    <m/>
    <m/>
    <m/>
    <m/>
    <m/>
    <m/>
    <m/>
    <m/>
    <m/>
    <n v="0"/>
    <m/>
    <m/>
    <m/>
    <m/>
    <m/>
    <m/>
    <m/>
    <m/>
    <m/>
    <n v="71500"/>
    <n v="56992"/>
    <m/>
    <m/>
    <m/>
  </r>
  <r>
    <x v="1189"/>
    <n v="269369.09999999998"/>
    <n v="4.5999999999999996"/>
    <n v="3.73044666666667"/>
    <n v="0.81096666666666695"/>
    <n v="0.99"/>
    <m/>
    <m/>
    <m/>
    <m/>
    <m/>
    <n v="0"/>
    <m/>
    <n v="0"/>
    <n v="0"/>
    <n v="0"/>
    <n v="0"/>
    <n v="0"/>
    <m/>
    <m/>
    <m/>
    <m/>
    <m/>
    <m/>
    <m/>
    <m/>
    <m/>
    <m/>
    <n v="0"/>
    <n v="0"/>
    <m/>
    <m/>
    <m/>
    <m/>
    <m/>
    <m/>
    <m/>
    <m/>
    <m/>
    <m/>
    <m/>
    <m/>
    <n v="0"/>
    <m/>
    <m/>
    <m/>
    <m/>
    <m/>
    <m/>
    <m/>
    <m/>
    <m/>
    <n v="71500"/>
    <n v="56992"/>
    <m/>
    <m/>
    <m/>
  </r>
  <r>
    <x v="1190"/>
    <n v="269369.09999999998"/>
    <n v="4.5999999999999996"/>
    <n v="3.7303955555555599"/>
    <n v="0.81095555555555598"/>
    <n v="0.99"/>
    <m/>
    <m/>
    <m/>
    <m/>
    <m/>
    <n v="0"/>
    <m/>
    <n v="0"/>
    <n v="0"/>
    <n v="0"/>
    <n v="0"/>
    <n v="0"/>
    <m/>
    <m/>
    <m/>
    <m/>
    <m/>
    <m/>
    <m/>
    <m/>
    <m/>
    <m/>
    <n v="0"/>
    <n v="0"/>
    <m/>
    <m/>
    <m/>
    <m/>
    <m/>
    <m/>
    <m/>
    <m/>
    <m/>
    <m/>
    <m/>
    <m/>
    <n v="0"/>
    <m/>
    <m/>
    <m/>
    <m/>
    <m/>
    <m/>
    <m/>
    <m/>
    <m/>
    <n v="71500"/>
    <n v="56992"/>
    <m/>
    <m/>
    <m/>
  </r>
  <r>
    <x v="1191"/>
    <n v="269369.09999999998"/>
    <n v="4.5999999999999996"/>
    <n v="3.73034444444444"/>
    <n v="0.81094444444444402"/>
    <n v="0.99"/>
    <m/>
    <m/>
    <m/>
    <m/>
    <m/>
    <n v="0"/>
    <m/>
    <n v="0"/>
    <n v="0"/>
    <n v="0"/>
    <n v="0"/>
    <n v="0"/>
    <m/>
    <m/>
    <m/>
    <m/>
    <m/>
    <m/>
    <m/>
    <m/>
    <m/>
    <m/>
    <n v="0"/>
    <n v="0"/>
    <m/>
    <m/>
    <m/>
    <m/>
    <m/>
    <m/>
    <m/>
    <m/>
    <m/>
    <m/>
    <m/>
    <m/>
    <n v="0"/>
    <m/>
    <m/>
    <m/>
    <m/>
    <m/>
    <m/>
    <m/>
    <m/>
    <m/>
    <n v="71500"/>
    <n v="56992"/>
    <m/>
    <m/>
    <m/>
  </r>
  <r>
    <x v="1192"/>
    <n v="269369.09999999998"/>
    <n v="4.5999999999999996"/>
    <n v="3.7302933333333299"/>
    <n v="0.81093333333333295"/>
    <n v="0.99"/>
    <m/>
    <m/>
    <m/>
    <m/>
    <m/>
    <n v="0"/>
    <m/>
    <n v="0"/>
    <n v="0"/>
    <n v="0"/>
    <n v="0"/>
    <n v="0"/>
    <m/>
    <m/>
    <m/>
    <m/>
    <m/>
    <m/>
    <m/>
    <m/>
    <m/>
    <m/>
    <n v="0"/>
    <n v="0"/>
    <m/>
    <m/>
    <m/>
    <m/>
    <m/>
    <m/>
    <m/>
    <m/>
    <m/>
    <m/>
    <m/>
    <m/>
    <n v="0"/>
    <m/>
    <m/>
    <m/>
    <m/>
    <m/>
    <m/>
    <m/>
    <m/>
    <m/>
    <n v="71500"/>
    <n v="56992"/>
    <m/>
    <m/>
    <m/>
  </r>
  <r>
    <x v="1193"/>
    <n v="269369.09999999998"/>
    <n v="4.5999999999999996"/>
    <n v="3.7302422222222198"/>
    <n v="0.81092222222222199"/>
    <n v="0.99"/>
    <m/>
    <m/>
    <m/>
    <m/>
    <m/>
    <n v="0"/>
    <m/>
    <n v="0"/>
    <n v="0"/>
    <n v="0"/>
    <n v="0"/>
    <n v="0"/>
    <m/>
    <m/>
    <m/>
    <m/>
    <m/>
    <m/>
    <m/>
    <m/>
    <m/>
    <m/>
    <n v="0"/>
    <n v="0"/>
    <m/>
    <m/>
    <m/>
    <m/>
    <m/>
    <m/>
    <m/>
    <m/>
    <m/>
    <m/>
    <m/>
    <m/>
    <n v="0"/>
    <m/>
    <m/>
    <m/>
    <m/>
    <m/>
    <m/>
    <m/>
    <m/>
    <m/>
    <n v="71500"/>
    <n v="56992"/>
    <m/>
    <m/>
    <m/>
  </r>
  <r>
    <x v="1194"/>
    <n v="269369.09999999998"/>
    <n v="4.5999999999999996"/>
    <n v="3.7301911111111101"/>
    <n v="0.81091111111111103"/>
    <n v="0.99"/>
    <m/>
    <m/>
    <m/>
    <m/>
    <m/>
    <n v="0"/>
    <m/>
    <n v="0"/>
    <n v="0"/>
    <n v="0"/>
    <n v="0"/>
    <n v="0"/>
    <m/>
    <m/>
    <m/>
    <m/>
    <m/>
    <m/>
    <m/>
    <m/>
    <m/>
    <m/>
    <n v="0"/>
    <n v="0"/>
    <m/>
    <m/>
    <m/>
    <m/>
    <m/>
    <m/>
    <m/>
    <m/>
    <m/>
    <m/>
    <m/>
    <m/>
    <n v="0"/>
    <m/>
    <m/>
    <m/>
    <m/>
    <m/>
    <m/>
    <m/>
    <m/>
    <m/>
    <n v="71500"/>
    <n v="56992"/>
    <m/>
    <m/>
    <m/>
  </r>
  <r>
    <x v="1195"/>
    <n v="269369.09999999998"/>
    <n v="4.5999999999999996"/>
    <n v="3.73014"/>
    <n v="0.81089999999999995"/>
    <n v="0.99"/>
    <m/>
    <m/>
    <m/>
    <m/>
    <m/>
    <n v="0"/>
    <m/>
    <n v="0"/>
    <n v="0"/>
    <n v="0"/>
    <n v="0"/>
    <n v="0"/>
    <m/>
    <m/>
    <m/>
    <m/>
    <m/>
    <m/>
    <m/>
    <m/>
    <m/>
    <m/>
    <n v="0"/>
    <n v="0"/>
    <m/>
    <m/>
    <m/>
    <m/>
    <m/>
    <m/>
    <m/>
    <m/>
    <m/>
    <m/>
    <m/>
    <m/>
    <n v="0"/>
    <m/>
    <m/>
    <m/>
    <m/>
    <m/>
    <m/>
    <m/>
    <m/>
    <m/>
    <n v="71500"/>
    <n v="56992"/>
    <m/>
    <m/>
    <m/>
  </r>
  <r>
    <x v="1196"/>
    <n v="269369.09999999998"/>
    <n v="4.5999999999999996"/>
    <n v="3.7300888888888899"/>
    <n v="0.81088888888888899"/>
    <n v="0.99"/>
    <m/>
    <m/>
    <m/>
    <m/>
    <m/>
    <n v="0"/>
    <m/>
    <n v="0"/>
    <n v="0"/>
    <n v="0"/>
    <n v="0"/>
    <n v="0"/>
    <m/>
    <m/>
    <m/>
    <m/>
    <m/>
    <m/>
    <m/>
    <m/>
    <m/>
    <m/>
    <n v="0"/>
    <n v="0"/>
    <m/>
    <m/>
    <m/>
    <m/>
    <m/>
    <m/>
    <m/>
    <m/>
    <m/>
    <m/>
    <m/>
    <m/>
    <n v="0"/>
    <m/>
    <m/>
    <m/>
    <m/>
    <m/>
    <m/>
    <m/>
    <m/>
    <m/>
    <n v="71500"/>
    <n v="56992"/>
    <m/>
    <m/>
    <m/>
  </r>
  <r>
    <x v="1197"/>
    <n v="269369.09999999998"/>
    <n v="4.5999999999999996"/>
    <n v="3.7300377777777798"/>
    <n v="0.81087777777777803"/>
    <n v="0.99"/>
    <m/>
    <m/>
    <m/>
    <m/>
    <m/>
    <n v="0"/>
    <m/>
    <n v="0"/>
    <n v="0"/>
    <n v="0"/>
    <n v="0"/>
    <n v="0"/>
    <m/>
    <m/>
    <m/>
    <m/>
    <m/>
    <m/>
    <m/>
    <m/>
    <m/>
    <m/>
    <n v="0"/>
    <n v="0"/>
    <m/>
    <m/>
    <m/>
    <m/>
    <m/>
    <m/>
    <m/>
    <m/>
    <m/>
    <m/>
    <m/>
    <m/>
    <n v="0"/>
    <m/>
    <m/>
    <m/>
    <m/>
    <m/>
    <m/>
    <m/>
    <m/>
    <m/>
    <n v="71500"/>
    <n v="56992"/>
    <m/>
    <m/>
    <m/>
  </r>
  <r>
    <x v="1198"/>
    <n v="269369.09999999998"/>
    <n v="4.5999999999999996"/>
    <n v="3.7299866666666701"/>
    <n v="0.81086666666666696"/>
    <n v="0.99"/>
    <m/>
    <m/>
    <m/>
    <m/>
    <m/>
    <n v="0"/>
    <m/>
    <n v="0"/>
    <n v="0"/>
    <n v="0"/>
    <n v="0"/>
    <n v="0"/>
    <m/>
    <m/>
    <m/>
    <m/>
    <m/>
    <m/>
    <m/>
    <m/>
    <m/>
    <m/>
    <n v="0"/>
    <n v="0"/>
    <m/>
    <m/>
    <m/>
    <m/>
    <m/>
    <m/>
    <m/>
    <m/>
    <m/>
    <m/>
    <m/>
    <m/>
    <n v="0"/>
    <m/>
    <m/>
    <m/>
    <m/>
    <m/>
    <m/>
    <m/>
    <m/>
    <m/>
    <n v="71500"/>
    <n v="56992"/>
    <m/>
    <m/>
    <m/>
  </r>
  <r>
    <x v="1199"/>
    <n v="269369.09999999998"/>
    <n v="4.5999999999999996"/>
    <n v="3.72993555555556"/>
    <n v="0.810855555555556"/>
    <n v="0.99"/>
    <m/>
    <m/>
    <m/>
    <m/>
    <m/>
    <n v="0"/>
    <m/>
    <n v="0"/>
    <n v="0"/>
    <n v="0"/>
    <n v="0"/>
    <n v="0"/>
    <m/>
    <m/>
    <m/>
    <m/>
    <m/>
    <m/>
    <m/>
    <m/>
    <m/>
    <m/>
    <n v="0"/>
    <n v="0"/>
    <m/>
    <m/>
    <m/>
    <m/>
    <m/>
    <m/>
    <m/>
    <m/>
    <m/>
    <m/>
    <m/>
    <m/>
    <n v="0"/>
    <m/>
    <m/>
    <m/>
    <m/>
    <m/>
    <m/>
    <m/>
    <m/>
    <m/>
    <n v="71500"/>
    <n v="56992"/>
    <m/>
    <m/>
    <m/>
  </r>
  <r>
    <x v="1200"/>
    <n v="269369.09999999998"/>
    <n v="4.5999999999999996"/>
    <n v="3.7298844444444401"/>
    <n v="0.81084444444444403"/>
    <n v="0.99"/>
    <m/>
    <m/>
    <m/>
    <m/>
    <m/>
    <n v="0"/>
    <m/>
    <n v="0"/>
    <n v="0"/>
    <n v="0"/>
    <n v="0"/>
    <n v="0"/>
    <m/>
    <m/>
    <m/>
    <m/>
    <m/>
    <m/>
    <m/>
    <m/>
    <m/>
    <m/>
    <n v="0"/>
    <n v="0"/>
    <m/>
    <m/>
    <m/>
    <m/>
    <m/>
    <m/>
    <m/>
    <m/>
    <m/>
    <m/>
    <m/>
    <m/>
    <n v="0"/>
    <m/>
    <m/>
    <m/>
    <m/>
    <m/>
    <m/>
    <m/>
    <m/>
    <m/>
    <n v="71500"/>
    <n v="56992"/>
    <m/>
    <m/>
    <m/>
  </r>
  <r>
    <x v="1201"/>
    <n v="269369.09999999998"/>
    <n v="4.5999999999999996"/>
    <n v="3.72983333333333"/>
    <n v="0.81083333333333296"/>
    <n v="0.99"/>
    <m/>
    <m/>
    <m/>
    <m/>
    <m/>
    <n v="0"/>
    <m/>
    <n v="0"/>
    <n v="0"/>
    <n v="0"/>
    <n v="0"/>
    <n v="0"/>
    <m/>
    <m/>
    <m/>
    <m/>
    <m/>
    <m/>
    <m/>
    <m/>
    <m/>
    <m/>
    <n v="0"/>
    <n v="0"/>
    <m/>
    <m/>
    <m/>
    <m/>
    <m/>
    <m/>
    <m/>
    <m/>
    <m/>
    <m/>
    <m/>
    <m/>
    <n v="0"/>
    <m/>
    <m/>
    <m/>
    <m/>
    <m/>
    <m/>
    <m/>
    <m/>
    <m/>
    <n v="71500"/>
    <n v="56992"/>
    <m/>
    <m/>
    <m/>
  </r>
  <r>
    <x v="1202"/>
    <n v="269369.09999999998"/>
    <n v="4.5999999999999996"/>
    <n v="3.7297822222222199"/>
    <n v="0.810822222222222"/>
    <n v="0.99"/>
    <m/>
    <m/>
    <m/>
    <m/>
    <m/>
    <n v="0"/>
    <m/>
    <n v="0"/>
    <n v="0"/>
    <n v="0"/>
    <n v="0"/>
    <n v="0"/>
    <m/>
    <m/>
    <m/>
    <m/>
    <m/>
    <m/>
    <m/>
    <m/>
    <m/>
    <m/>
    <n v="0"/>
    <n v="0"/>
    <m/>
    <m/>
    <m/>
    <m/>
    <m/>
    <m/>
    <m/>
    <m/>
    <m/>
    <m/>
    <m/>
    <m/>
    <n v="0"/>
    <m/>
    <m/>
    <m/>
    <m/>
    <m/>
    <m/>
    <m/>
    <m/>
    <m/>
    <n v="71500"/>
    <n v="56992"/>
    <m/>
    <m/>
    <m/>
  </r>
  <r>
    <x v="1203"/>
    <n v="269369.09999999998"/>
    <n v="4.5999999999999996"/>
    <n v="3.7297311111111102"/>
    <n v="0.81081111111111104"/>
    <n v="0.99"/>
    <m/>
    <m/>
    <m/>
    <m/>
    <m/>
    <n v="0"/>
    <m/>
    <n v="0"/>
    <n v="0"/>
    <n v="0"/>
    <n v="0"/>
    <n v="0"/>
    <m/>
    <m/>
    <m/>
    <m/>
    <m/>
    <m/>
    <m/>
    <m/>
    <m/>
    <m/>
    <n v="0"/>
    <n v="0"/>
    <m/>
    <m/>
    <m/>
    <m/>
    <m/>
    <m/>
    <m/>
    <m/>
    <m/>
    <m/>
    <m/>
    <m/>
    <n v="0"/>
    <m/>
    <m/>
    <m/>
    <m/>
    <m/>
    <m/>
    <m/>
    <m/>
    <m/>
    <n v="71500"/>
    <n v="56992"/>
    <m/>
    <m/>
    <m/>
  </r>
  <r>
    <x v="1204"/>
    <n v="269369.09999999998"/>
    <n v="4.5999999999999996"/>
    <n v="3.7296800000000001"/>
    <n v="0.81079999999999997"/>
    <n v="0.99"/>
    <m/>
    <m/>
    <m/>
    <m/>
    <m/>
    <n v="0"/>
    <m/>
    <n v="0"/>
    <n v="0"/>
    <n v="0"/>
    <n v="0"/>
    <n v="0"/>
    <m/>
    <m/>
    <m/>
    <m/>
    <m/>
    <m/>
    <m/>
    <m/>
    <m/>
    <m/>
    <n v="0"/>
    <n v="0"/>
    <m/>
    <m/>
    <m/>
    <m/>
    <m/>
    <m/>
    <m/>
    <m/>
    <m/>
    <m/>
    <m/>
    <m/>
    <n v="0"/>
    <m/>
    <m/>
    <m/>
    <m/>
    <m/>
    <m/>
    <m/>
    <m/>
    <m/>
    <n v="71500"/>
    <n v="56992"/>
    <m/>
    <m/>
    <m/>
  </r>
  <r>
    <x v="1205"/>
    <n v="269369.09999999998"/>
    <n v="4.5999999999999996"/>
    <n v="3.72962888888889"/>
    <n v="0.810788888888889"/>
    <n v="0.99"/>
    <m/>
    <m/>
    <m/>
    <m/>
    <m/>
    <n v="0"/>
    <m/>
    <n v="0"/>
    <n v="0"/>
    <n v="0"/>
    <n v="0"/>
    <n v="0"/>
    <m/>
    <m/>
    <m/>
    <m/>
    <m/>
    <m/>
    <m/>
    <m/>
    <m/>
    <m/>
    <n v="0"/>
    <n v="0"/>
    <m/>
    <m/>
    <m/>
    <m/>
    <m/>
    <m/>
    <m/>
    <m/>
    <m/>
    <m/>
    <m/>
    <m/>
    <n v="0"/>
    <m/>
    <m/>
    <m/>
    <m/>
    <m/>
    <m/>
    <m/>
    <m/>
    <m/>
    <n v="71500"/>
    <n v="56992"/>
    <m/>
    <m/>
    <m/>
  </r>
  <r>
    <x v="1206"/>
    <n v="269369.09999999998"/>
    <n v="4.5999999999999996"/>
    <n v="3.7295777777777799"/>
    <n v="0.81077777777777804"/>
    <n v="0.99"/>
    <m/>
    <m/>
    <m/>
    <m/>
    <m/>
    <n v="0"/>
    <m/>
    <n v="0"/>
    <n v="0"/>
    <n v="0"/>
    <n v="0"/>
    <n v="0"/>
    <m/>
    <m/>
    <m/>
    <m/>
    <m/>
    <m/>
    <m/>
    <m/>
    <m/>
    <m/>
    <n v="0"/>
    <n v="0"/>
    <m/>
    <m/>
    <m/>
    <m/>
    <m/>
    <m/>
    <m/>
    <m/>
    <m/>
    <m/>
    <m/>
    <m/>
    <n v="0"/>
    <m/>
    <m/>
    <m/>
    <m/>
    <m/>
    <m/>
    <m/>
    <m/>
    <m/>
    <n v="71500"/>
    <n v="56992"/>
    <m/>
    <m/>
    <m/>
  </r>
  <r>
    <x v="1207"/>
    <n v="269369.09999999998"/>
    <n v="4.5999999999999996"/>
    <n v="3.7295266666666702"/>
    <n v="0.81076666666666697"/>
    <n v="0.99"/>
    <m/>
    <m/>
    <m/>
    <m/>
    <m/>
    <n v="0"/>
    <m/>
    <n v="0"/>
    <n v="0"/>
    <n v="0"/>
    <n v="0"/>
    <n v="0"/>
    <m/>
    <m/>
    <m/>
    <m/>
    <m/>
    <m/>
    <m/>
    <m/>
    <m/>
    <m/>
    <n v="0"/>
    <n v="0"/>
    <m/>
    <m/>
    <m/>
    <m/>
    <m/>
    <m/>
    <m/>
    <m/>
    <m/>
    <m/>
    <m/>
    <m/>
    <n v="0"/>
    <m/>
    <m/>
    <m/>
    <m/>
    <m/>
    <m/>
    <m/>
    <m/>
    <m/>
    <n v="71500"/>
    <n v="56992"/>
    <m/>
    <m/>
    <m/>
  </r>
  <r>
    <x v="1208"/>
    <n v="269369.09999999998"/>
    <n v="4.5999999999999996"/>
    <n v="3.7294755555555601"/>
    <n v="0.81075555555555601"/>
    <n v="0.99"/>
    <m/>
    <m/>
    <m/>
    <m/>
    <m/>
    <n v="0"/>
    <m/>
    <n v="0"/>
    <n v="0"/>
    <n v="0"/>
    <n v="0"/>
    <n v="0"/>
    <m/>
    <m/>
    <m/>
    <m/>
    <m/>
    <m/>
    <m/>
    <m/>
    <m/>
    <m/>
    <n v="0"/>
    <n v="0"/>
    <m/>
    <m/>
    <m/>
    <m/>
    <m/>
    <m/>
    <m/>
    <m/>
    <m/>
    <m/>
    <m/>
    <m/>
    <n v="0"/>
    <m/>
    <m/>
    <m/>
    <m/>
    <m/>
    <m/>
    <m/>
    <m/>
    <m/>
    <n v="71500"/>
    <n v="56992"/>
    <m/>
    <m/>
    <m/>
  </r>
  <r>
    <x v="1209"/>
    <n v="269369.09999999998"/>
    <n v="4.5999999999999996"/>
    <n v="3.7294244444444402"/>
    <n v="0.81074444444444405"/>
    <n v="0.99"/>
    <m/>
    <m/>
    <m/>
    <m/>
    <m/>
    <n v="0"/>
    <m/>
    <n v="0"/>
    <n v="0"/>
    <n v="0"/>
    <n v="0"/>
    <n v="0"/>
    <m/>
    <m/>
    <m/>
    <m/>
    <m/>
    <m/>
    <m/>
    <m/>
    <m/>
    <m/>
    <n v="0"/>
    <n v="0"/>
    <m/>
    <m/>
    <m/>
    <m/>
    <m/>
    <m/>
    <m/>
    <m/>
    <m/>
    <m/>
    <m/>
    <m/>
    <n v="0"/>
    <m/>
    <m/>
    <m/>
    <m/>
    <m/>
    <m/>
    <m/>
    <m/>
    <m/>
    <n v="71500"/>
    <n v="56992"/>
    <m/>
    <m/>
    <m/>
  </r>
  <r>
    <x v="1210"/>
    <n v="269369.09999999998"/>
    <n v="4.5999999999999996"/>
    <n v="3.7293733333333301"/>
    <n v="0.81073333333333297"/>
    <n v="0.99"/>
    <m/>
    <m/>
    <m/>
    <m/>
    <m/>
    <n v="0"/>
    <m/>
    <n v="0"/>
    <n v="0"/>
    <n v="0"/>
    <n v="0"/>
    <n v="0"/>
    <m/>
    <m/>
    <m/>
    <m/>
    <m/>
    <m/>
    <m/>
    <m/>
    <m/>
    <m/>
    <n v="0"/>
    <n v="0"/>
    <m/>
    <m/>
    <m/>
    <m/>
    <m/>
    <m/>
    <m/>
    <m/>
    <m/>
    <m/>
    <m/>
    <m/>
    <n v="0"/>
    <m/>
    <m/>
    <m/>
    <m/>
    <m/>
    <m/>
    <m/>
    <m/>
    <m/>
    <n v="71500"/>
    <n v="56992"/>
    <m/>
    <m/>
    <m/>
  </r>
  <r>
    <x v="1211"/>
    <n v="269369.09999999998"/>
    <n v="4.5999999999999996"/>
    <n v="3.72932222222222"/>
    <n v="0.81072222222222201"/>
    <n v="0.99"/>
    <m/>
    <m/>
    <m/>
    <m/>
    <m/>
    <n v="0"/>
    <m/>
    <n v="0"/>
    <n v="0"/>
    <n v="0"/>
    <n v="0"/>
    <n v="0"/>
    <m/>
    <m/>
    <m/>
    <m/>
    <m/>
    <m/>
    <m/>
    <m/>
    <m/>
    <m/>
    <n v="0"/>
    <n v="0"/>
    <m/>
    <m/>
    <m/>
    <m/>
    <m/>
    <m/>
    <m/>
    <m/>
    <m/>
    <m/>
    <m/>
    <m/>
    <n v="0"/>
    <m/>
    <m/>
    <m/>
    <m/>
    <m/>
    <m/>
    <m/>
    <m/>
    <m/>
    <n v="71500"/>
    <n v="56992"/>
    <m/>
    <m/>
    <m/>
  </r>
  <r>
    <x v="1212"/>
    <n v="269369.09999999998"/>
    <n v="4.5999999999999996"/>
    <n v="3.7292711111111099"/>
    <n v="0.81071111111111105"/>
    <n v="0.99"/>
    <m/>
    <m/>
    <m/>
    <m/>
    <m/>
    <n v="0"/>
    <m/>
    <n v="0"/>
    <n v="0"/>
    <n v="0"/>
    <n v="0"/>
    <n v="0"/>
    <m/>
    <m/>
    <m/>
    <m/>
    <m/>
    <m/>
    <m/>
    <m/>
    <m/>
    <m/>
    <n v="0"/>
    <n v="0"/>
    <m/>
    <m/>
    <m/>
    <m/>
    <m/>
    <m/>
    <m/>
    <m/>
    <m/>
    <m/>
    <m/>
    <m/>
    <n v="0"/>
    <m/>
    <m/>
    <m/>
    <m/>
    <m/>
    <m/>
    <m/>
    <m/>
    <m/>
    <n v="71500"/>
    <n v="56992"/>
    <m/>
    <m/>
    <m/>
  </r>
  <r>
    <x v="1213"/>
    <n v="269369.09999999998"/>
    <n v="4.5999999999999996"/>
    <n v="3.7292200000000002"/>
    <n v="0.81069999999999998"/>
    <n v="0.99"/>
    <m/>
    <m/>
    <m/>
    <m/>
    <m/>
    <n v="0"/>
    <m/>
    <n v="0"/>
    <n v="0"/>
    <n v="0"/>
    <n v="0"/>
    <n v="0"/>
    <m/>
    <m/>
    <m/>
    <m/>
    <m/>
    <m/>
    <m/>
    <m/>
    <m/>
    <m/>
    <n v="0"/>
    <n v="0"/>
    <m/>
    <m/>
    <m/>
    <m/>
    <m/>
    <m/>
    <m/>
    <m/>
    <m/>
    <m/>
    <m/>
    <m/>
    <n v="0"/>
    <m/>
    <m/>
    <m/>
    <m/>
    <m/>
    <m/>
    <m/>
    <m/>
    <m/>
    <n v="71500"/>
    <n v="56992"/>
    <m/>
    <m/>
    <m/>
  </r>
  <r>
    <x v="1214"/>
    <n v="269369.09999999998"/>
    <n v="4.5999999999999996"/>
    <n v="3.7291688888888901"/>
    <n v="0.81068888888888901"/>
    <n v="0.99"/>
    <m/>
    <m/>
    <m/>
    <m/>
    <m/>
    <n v="0"/>
    <m/>
    <n v="0"/>
    <n v="0"/>
    <n v="0"/>
    <n v="0"/>
    <n v="0"/>
    <m/>
    <m/>
    <m/>
    <m/>
    <m/>
    <m/>
    <m/>
    <m/>
    <m/>
    <m/>
    <n v="0"/>
    <n v="0"/>
    <m/>
    <m/>
    <m/>
    <m/>
    <m/>
    <m/>
    <m/>
    <m/>
    <m/>
    <m/>
    <m/>
    <m/>
    <n v="0"/>
    <m/>
    <m/>
    <m/>
    <m/>
    <m/>
    <m/>
    <m/>
    <m/>
    <m/>
    <n v="71500"/>
    <n v="56992"/>
    <m/>
    <m/>
    <m/>
  </r>
  <r>
    <x v="1215"/>
    <n v="269369.09999999998"/>
    <n v="4.5999999999999996"/>
    <n v="3.72911777777778"/>
    <n v="0.81067777777777805"/>
    <n v="0.99"/>
    <m/>
    <m/>
    <m/>
    <m/>
    <m/>
    <n v="0"/>
    <m/>
    <n v="0"/>
    <n v="0"/>
    <n v="0"/>
    <n v="0"/>
    <n v="0"/>
    <m/>
    <m/>
    <m/>
    <m/>
    <m/>
    <m/>
    <m/>
    <m/>
    <m/>
    <m/>
    <n v="0"/>
    <n v="0"/>
    <m/>
    <m/>
    <m/>
    <m/>
    <m/>
    <m/>
    <m/>
    <m/>
    <m/>
    <m/>
    <m/>
    <m/>
    <n v="0"/>
    <m/>
    <m/>
    <m/>
    <m/>
    <m/>
    <m/>
    <m/>
    <m/>
    <m/>
    <n v="71500"/>
    <n v="56992"/>
    <m/>
    <m/>
    <m/>
  </r>
  <r>
    <x v="1216"/>
    <n v="269369.09999999998"/>
    <n v="4.5999999999999996"/>
    <n v="3.7290666666666699"/>
    <n v="0.81066666666666698"/>
    <n v="0.99"/>
    <m/>
    <m/>
    <m/>
    <m/>
    <m/>
    <n v="0"/>
    <m/>
    <n v="0"/>
    <n v="0"/>
    <n v="0"/>
    <n v="0"/>
    <n v="0"/>
    <m/>
    <m/>
    <m/>
    <m/>
    <m/>
    <m/>
    <m/>
    <m/>
    <m/>
    <m/>
    <n v="0"/>
    <n v="0"/>
    <m/>
    <m/>
    <m/>
    <m/>
    <m/>
    <m/>
    <m/>
    <m/>
    <m/>
    <m/>
    <m/>
    <m/>
    <n v="0"/>
    <m/>
    <m/>
    <m/>
    <m/>
    <m/>
    <m/>
    <m/>
    <m/>
    <m/>
    <n v="71500"/>
    <n v="56992"/>
    <m/>
    <m/>
    <m/>
  </r>
  <r>
    <x v="1217"/>
    <n v="260352.47333333301"/>
    <n v="4.4733333333333301"/>
    <n v="3.6263822222222202"/>
    <n v="0.81066666666666698"/>
    <n v="0.99"/>
    <m/>
    <m/>
    <m/>
    <m/>
    <m/>
    <n v="0"/>
    <m/>
    <n v="0"/>
    <n v="0"/>
    <n v="0"/>
    <n v="0"/>
    <n v="0"/>
    <m/>
    <m/>
    <m/>
    <m/>
    <m/>
    <m/>
    <m/>
    <m/>
    <m/>
    <m/>
    <n v="0"/>
    <n v="0"/>
    <m/>
    <m/>
    <m/>
    <m/>
    <m/>
    <m/>
    <m/>
    <m/>
    <m/>
    <m/>
    <m/>
    <m/>
    <n v="0"/>
    <m/>
    <m/>
    <m/>
    <m/>
    <m/>
    <m/>
    <m/>
    <m/>
    <m/>
    <n v="71500"/>
    <n v="56992"/>
    <m/>
    <m/>
    <m/>
  </r>
  <r>
    <x v="1218"/>
    <n v="260352.47333333301"/>
    <n v="4.4733333333333301"/>
    <n v="3.6263325185185198"/>
    <n v="0.81065555555555602"/>
    <n v="0.99"/>
    <m/>
    <m/>
    <m/>
    <m/>
    <m/>
    <n v="0"/>
    <m/>
    <n v="0"/>
    <n v="0"/>
    <n v="0"/>
    <n v="0"/>
    <n v="0"/>
    <m/>
    <m/>
    <m/>
    <m/>
    <m/>
    <m/>
    <m/>
    <m/>
    <m/>
    <m/>
    <n v="0"/>
    <n v="0"/>
    <m/>
    <m/>
    <m/>
    <m/>
    <m/>
    <m/>
    <m/>
    <m/>
    <m/>
    <m/>
    <m/>
    <m/>
    <n v="0"/>
    <m/>
    <m/>
    <m/>
    <m/>
    <m/>
    <m/>
    <m/>
    <m/>
    <m/>
    <n v="71500"/>
    <n v="56992"/>
    <m/>
    <m/>
    <m/>
  </r>
  <r>
    <x v="1219"/>
    <n v="260352.47333333301"/>
    <n v="4.4733333333333301"/>
    <n v="3.6262828148148101"/>
    <n v="0.81064444444444395"/>
    <n v="0.99"/>
    <m/>
    <m/>
    <m/>
    <m/>
    <m/>
    <n v="0"/>
    <m/>
    <n v="0"/>
    <n v="0"/>
    <n v="0"/>
    <n v="0"/>
    <n v="0"/>
    <m/>
    <m/>
    <m/>
    <m/>
    <m/>
    <m/>
    <m/>
    <m/>
    <m/>
    <m/>
    <n v="0"/>
    <n v="0"/>
    <m/>
    <m/>
    <m/>
    <m/>
    <m/>
    <m/>
    <m/>
    <m/>
    <m/>
    <m/>
    <m/>
    <m/>
    <n v="0"/>
    <m/>
    <m/>
    <m/>
    <m/>
    <m/>
    <m/>
    <m/>
    <m/>
    <m/>
    <n v="71500"/>
    <n v="56992"/>
    <m/>
    <m/>
    <m/>
  </r>
  <r>
    <x v="1220"/>
    <n v="260352.47333333301"/>
    <n v="4.4733333333333301"/>
    <n v="3.6262331111111101"/>
    <n v="0.81063333333333298"/>
    <n v="0.99"/>
    <m/>
    <m/>
    <m/>
    <m/>
    <m/>
    <n v="0"/>
    <m/>
    <n v="0"/>
    <n v="0"/>
    <n v="0"/>
    <n v="0"/>
    <n v="0"/>
    <m/>
    <m/>
    <m/>
    <m/>
    <m/>
    <m/>
    <m/>
    <m/>
    <m/>
    <m/>
    <n v="0"/>
    <n v="0"/>
    <m/>
    <m/>
    <m/>
    <m/>
    <m/>
    <m/>
    <m/>
    <m/>
    <m/>
    <m/>
    <m/>
    <m/>
    <n v="0"/>
    <m/>
    <m/>
    <m/>
    <m/>
    <m/>
    <m/>
    <m/>
    <m/>
    <m/>
    <n v="71500"/>
    <n v="56992"/>
    <m/>
    <m/>
    <m/>
  </r>
  <r>
    <x v="1221"/>
    <n v="260352.47333333301"/>
    <n v="4.4733333333333301"/>
    <n v="3.6261834074074102"/>
    <n v="0.81062222222222202"/>
    <n v="0.99"/>
    <m/>
    <m/>
    <m/>
    <m/>
    <m/>
    <n v="0"/>
    <m/>
    <n v="0"/>
    <n v="0"/>
    <n v="0"/>
    <n v="0"/>
    <n v="0"/>
    <m/>
    <m/>
    <m/>
    <m/>
    <m/>
    <m/>
    <m/>
    <m/>
    <m/>
    <m/>
    <n v="0"/>
    <n v="0"/>
    <m/>
    <m/>
    <m/>
    <m/>
    <m/>
    <m/>
    <m/>
    <m/>
    <m/>
    <m/>
    <m/>
    <m/>
    <n v="0"/>
    <m/>
    <m/>
    <m/>
    <m/>
    <m/>
    <m/>
    <m/>
    <m/>
    <m/>
    <n v="71500"/>
    <n v="56992"/>
    <m/>
    <m/>
    <m/>
  </r>
  <r>
    <x v="1222"/>
    <n v="260352.47333333301"/>
    <n v="4.4733333333333301"/>
    <n v="3.6261337037037"/>
    <n v="0.81061111111111095"/>
    <n v="0.99"/>
    <m/>
    <m/>
    <m/>
    <m/>
    <m/>
    <n v="0"/>
    <m/>
    <n v="0"/>
    <n v="0"/>
    <n v="0"/>
    <n v="0"/>
    <n v="0"/>
    <m/>
    <m/>
    <m/>
    <m/>
    <m/>
    <m/>
    <m/>
    <m/>
    <m/>
    <m/>
    <n v="0"/>
    <n v="0"/>
    <m/>
    <m/>
    <m/>
    <m/>
    <m/>
    <m/>
    <m/>
    <m/>
    <m/>
    <m/>
    <m/>
    <m/>
    <n v="0"/>
    <m/>
    <m/>
    <m/>
    <m/>
    <m/>
    <m/>
    <m/>
    <m/>
    <m/>
    <n v="71500"/>
    <n v="56992"/>
    <m/>
    <m/>
    <m/>
  </r>
  <r>
    <x v="1223"/>
    <n v="260352.47333333301"/>
    <n v="4.4733333333333301"/>
    <n v="3.6260840000000001"/>
    <n v="0.81059999999999999"/>
    <n v="0.99"/>
    <m/>
    <m/>
    <m/>
    <m/>
    <m/>
    <n v="0"/>
    <m/>
    <n v="0"/>
    <n v="0"/>
    <n v="0"/>
    <n v="0"/>
    <n v="0"/>
    <m/>
    <m/>
    <m/>
    <m/>
    <m/>
    <m/>
    <m/>
    <m/>
    <m/>
    <m/>
    <n v="0"/>
    <n v="0"/>
    <m/>
    <m/>
    <m/>
    <m/>
    <m/>
    <m/>
    <m/>
    <m/>
    <m/>
    <m/>
    <m/>
    <m/>
    <n v="0"/>
    <m/>
    <m/>
    <m/>
    <m/>
    <m/>
    <m/>
    <m/>
    <m/>
    <m/>
    <n v="71500"/>
    <n v="56992"/>
    <m/>
    <m/>
    <m/>
  </r>
  <r>
    <x v="1224"/>
    <n v="260352.47333333301"/>
    <n v="4.4733333333333301"/>
    <n v="3.6260342962963001"/>
    <n v="0.81058888888888903"/>
    <n v="0.99"/>
    <m/>
    <m/>
    <m/>
    <m/>
    <m/>
    <n v="0"/>
    <m/>
    <n v="0"/>
    <n v="0"/>
    <n v="0"/>
    <n v="0"/>
    <n v="0"/>
    <m/>
    <m/>
    <m/>
    <m/>
    <m/>
    <m/>
    <m/>
    <m/>
    <m/>
    <m/>
    <n v="0"/>
    <n v="0"/>
    <m/>
    <m/>
    <m/>
    <m/>
    <m/>
    <m/>
    <m/>
    <m/>
    <m/>
    <m/>
    <m/>
    <m/>
    <n v="0"/>
    <m/>
    <m/>
    <m/>
    <m/>
    <m/>
    <m/>
    <m/>
    <m/>
    <m/>
    <n v="71500"/>
    <n v="56992"/>
    <m/>
    <m/>
    <m/>
  </r>
  <r>
    <x v="1225"/>
    <n v="260352.47333333301"/>
    <n v="4.4733333333333301"/>
    <n v="3.62598459259259"/>
    <n v="0.81057777777777795"/>
    <n v="0.99"/>
    <m/>
    <m/>
    <m/>
    <m/>
    <m/>
    <n v="0"/>
    <m/>
    <n v="0"/>
    <n v="0"/>
    <n v="0"/>
    <n v="0"/>
    <n v="0"/>
    <m/>
    <m/>
    <m/>
    <m/>
    <m/>
    <m/>
    <m/>
    <m/>
    <m/>
    <m/>
    <n v="0"/>
    <n v="0"/>
    <m/>
    <m/>
    <m/>
    <m/>
    <m/>
    <m/>
    <m/>
    <m/>
    <m/>
    <m/>
    <m/>
    <m/>
    <n v="0"/>
    <m/>
    <m/>
    <m/>
    <m/>
    <m/>
    <m/>
    <m/>
    <m/>
    <m/>
    <n v="71500"/>
    <n v="56992"/>
    <m/>
    <m/>
    <m/>
  </r>
  <r>
    <x v="1226"/>
    <n v="260352.47333333301"/>
    <n v="4.4733333333333301"/>
    <n v="3.62593488888889"/>
    <n v="0.81056666666666699"/>
    <n v="0.99"/>
    <m/>
    <m/>
    <m/>
    <m/>
    <m/>
    <n v="0"/>
    <m/>
    <n v="0"/>
    <n v="0"/>
    <n v="0"/>
    <n v="0"/>
    <n v="0"/>
    <m/>
    <m/>
    <m/>
    <m/>
    <m/>
    <m/>
    <m/>
    <m/>
    <m/>
    <m/>
    <n v="0"/>
    <n v="0"/>
    <m/>
    <m/>
    <m/>
    <m/>
    <m/>
    <m/>
    <m/>
    <m/>
    <m/>
    <m/>
    <m/>
    <m/>
    <n v="0"/>
    <m/>
    <m/>
    <m/>
    <m/>
    <m/>
    <m/>
    <m/>
    <m/>
    <m/>
    <n v="71500"/>
    <n v="56992"/>
    <m/>
    <m/>
    <m/>
  </r>
  <r>
    <x v="1227"/>
    <n v="260352.47333333301"/>
    <n v="4.4733333333333301"/>
    <n v="3.6258851851851799"/>
    <n v="0.81055555555555603"/>
    <n v="0.99"/>
    <m/>
    <m/>
    <m/>
    <m/>
    <m/>
    <n v="0"/>
    <m/>
    <n v="0"/>
    <n v="0"/>
    <n v="0"/>
    <n v="0"/>
    <n v="0"/>
    <m/>
    <m/>
    <m/>
    <m/>
    <m/>
    <m/>
    <m/>
    <m/>
    <m/>
    <m/>
    <n v="0"/>
    <n v="0"/>
    <m/>
    <m/>
    <m/>
    <m/>
    <m/>
    <m/>
    <m/>
    <m/>
    <m/>
    <m/>
    <m/>
    <m/>
    <n v="0"/>
    <m/>
    <m/>
    <m/>
    <m/>
    <m/>
    <m/>
    <m/>
    <m/>
    <m/>
    <n v="71500"/>
    <n v="56992"/>
    <m/>
    <m/>
    <m/>
  </r>
  <r>
    <x v="1228"/>
    <n v="260352.47333333301"/>
    <n v="4.4733333333333301"/>
    <n v="3.6258354814814799"/>
    <n v="0.81054444444444396"/>
    <n v="0.99"/>
    <m/>
    <m/>
    <m/>
    <m/>
    <m/>
    <n v="0"/>
    <m/>
    <n v="0"/>
    <n v="0"/>
    <n v="0"/>
    <n v="0"/>
    <n v="0"/>
    <m/>
    <m/>
    <m/>
    <m/>
    <m/>
    <m/>
    <m/>
    <m/>
    <m/>
    <m/>
    <n v="0"/>
    <n v="0"/>
    <m/>
    <m/>
    <m/>
    <m/>
    <m/>
    <m/>
    <m/>
    <m/>
    <m/>
    <m/>
    <m/>
    <m/>
    <n v="0"/>
    <m/>
    <m/>
    <m/>
    <m/>
    <m/>
    <m/>
    <m/>
    <m/>
    <m/>
    <n v="71500"/>
    <n v="56992"/>
    <m/>
    <m/>
    <m/>
  </r>
  <r>
    <x v="1229"/>
    <n v="260352.47333333301"/>
    <n v="4.4733333333333301"/>
    <n v="3.62578577777778"/>
    <n v="0.81053333333333299"/>
    <n v="0.99"/>
    <m/>
    <m/>
    <m/>
    <m/>
    <m/>
    <n v="0"/>
    <m/>
    <n v="0"/>
    <n v="0"/>
    <n v="0"/>
    <n v="0"/>
    <n v="0"/>
    <m/>
    <m/>
    <m/>
    <m/>
    <m/>
    <m/>
    <m/>
    <m/>
    <m/>
    <m/>
    <n v="0"/>
    <n v="0"/>
    <m/>
    <m/>
    <m/>
    <m/>
    <m/>
    <m/>
    <m/>
    <m/>
    <m/>
    <m/>
    <m/>
    <m/>
    <n v="0"/>
    <m/>
    <m/>
    <m/>
    <m/>
    <m/>
    <m/>
    <m/>
    <m/>
    <m/>
    <n v="71500"/>
    <n v="56992"/>
    <m/>
    <m/>
    <m/>
  </r>
  <r>
    <x v="1230"/>
    <n v="260352.47333333301"/>
    <n v="4.4733333333333301"/>
    <n v="3.6257360740740698"/>
    <n v="0.81052222222222203"/>
    <n v="0.99"/>
    <m/>
    <m/>
    <m/>
    <m/>
    <m/>
    <n v="0"/>
    <m/>
    <n v="0"/>
    <n v="0"/>
    <n v="0"/>
    <n v="0"/>
    <n v="0"/>
    <m/>
    <m/>
    <m/>
    <m/>
    <m/>
    <m/>
    <m/>
    <m/>
    <m/>
    <m/>
    <n v="0"/>
    <n v="0"/>
    <m/>
    <m/>
    <m/>
    <m/>
    <m/>
    <m/>
    <m/>
    <m/>
    <m/>
    <m/>
    <m/>
    <m/>
    <n v="0"/>
    <m/>
    <m/>
    <m/>
    <m/>
    <m/>
    <m/>
    <m/>
    <m/>
    <m/>
    <n v="71500"/>
    <n v="56992"/>
    <m/>
    <m/>
    <m/>
  </r>
  <r>
    <x v="1231"/>
    <n v="260352.47333333301"/>
    <n v="4.4733333333333301"/>
    <n v="3.6256863703703699"/>
    <n v="0.81051111111111096"/>
    <n v="0.99"/>
    <m/>
    <m/>
    <m/>
    <m/>
    <m/>
    <n v="0"/>
    <m/>
    <n v="0"/>
    <n v="0"/>
    <n v="0"/>
    <n v="0"/>
    <n v="0"/>
    <m/>
    <m/>
    <m/>
    <m/>
    <m/>
    <m/>
    <m/>
    <m/>
    <m/>
    <m/>
    <n v="0"/>
    <n v="0"/>
    <m/>
    <m/>
    <m/>
    <m/>
    <m/>
    <m/>
    <m/>
    <m/>
    <m/>
    <m/>
    <m/>
    <m/>
    <n v="0"/>
    <m/>
    <m/>
    <m/>
    <m/>
    <m/>
    <m/>
    <m/>
    <m/>
    <m/>
    <n v="71500"/>
    <n v="56992"/>
    <m/>
    <m/>
    <m/>
  </r>
  <r>
    <x v="1232"/>
    <n v="260352.47333333301"/>
    <n v="4.4733333333333301"/>
    <n v="3.6256366666666699"/>
    <n v="0.8105"/>
    <n v="0.99"/>
    <m/>
    <m/>
    <m/>
    <m/>
    <m/>
    <n v="0"/>
    <m/>
    <n v="0"/>
    <n v="0"/>
    <n v="0"/>
    <n v="0"/>
    <n v="0"/>
    <m/>
    <m/>
    <m/>
    <m/>
    <m/>
    <m/>
    <m/>
    <m/>
    <m/>
    <m/>
    <n v="0"/>
    <n v="0"/>
    <m/>
    <m/>
    <m/>
    <m/>
    <m/>
    <m/>
    <m/>
    <m/>
    <m/>
    <m/>
    <m/>
    <m/>
    <n v="0"/>
    <m/>
    <m/>
    <m/>
    <m/>
    <m/>
    <m/>
    <m/>
    <m/>
    <m/>
    <n v="71500"/>
    <n v="56992"/>
    <m/>
    <m/>
    <m/>
  </r>
  <r>
    <x v="1233"/>
    <n v="260352.47333333301"/>
    <n v="4.4733333333333301"/>
    <n v="3.6255869629629598"/>
    <n v="0.81048888888888904"/>
    <n v="0.99"/>
    <m/>
    <m/>
    <m/>
    <m/>
    <m/>
    <n v="0"/>
    <m/>
    <n v="0"/>
    <n v="0"/>
    <n v="0"/>
    <n v="0"/>
    <n v="0"/>
    <m/>
    <m/>
    <m/>
    <m/>
    <m/>
    <m/>
    <m/>
    <m/>
    <m/>
    <m/>
    <n v="0"/>
    <n v="0"/>
    <m/>
    <m/>
    <m/>
    <m/>
    <m/>
    <m/>
    <m/>
    <m/>
    <m/>
    <m/>
    <m/>
    <m/>
    <n v="0"/>
    <m/>
    <m/>
    <m/>
    <m/>
    <m/>
    <m/>
    <m/>
    <m/>
    <m/>
    <n v="71500"/>
    <n v="56992"/>
    <m/>
    <m/>
    <m/>
  </r>
  <r>
    <x v="1234"/>
    <n v="260352.47333333301"/>
    <n v="4.4733333333333301"/>
    <n v="3.6255372592592598"/>
    <n v="0.81047777777777796"/>
    <n v="0.99"/>
    <m/>
    <m/>
    <m/>
    <m/>
    <m/>
    <n v="0"/>
    <m/>
    <n v="0"/>
    <n v="0"/>
    <n v="0"/>
    <n v="0"/>
    <n v="0"/>
    <m/>
    <m/>
    <m/>
    <m/>
    <m/>
    <m/>
    <m/>
    <m/>
    <m/>
    <m/>
    <n v="0"/>
    <n v="0"/>
    <m/>
    <m/>
    <m/>
    <m/>
    <m/>
    <m/>
    <m/>
    <m/>
    <m/>
    <m/>
    <m/>
    <m/>
    <n v="0"/>
    <m/>
    <m/>
    <m/>
    <m/>
    <m/>
    <m/>
    <m/>
    <m/>
    <m/>
    <n v="71500"/>
    <n v="56992"/>
    <m/>
    <m/>
    <m/>
  </r>
  <r>
    <x v="1235"/>
    <n v="260352.47333333301"/>
    <n v="4.4733333333333301"/>
    <n v="3.6254875555555599"/>
    <n v="0.810466666666667"/>
    <n v="0.99"/>
    <m/>
    <m/>
    <m/>
    <m/>
    <m/>
    <n v="0"/>
    <m/>
    <n v="0"/>
    <n v="0"/>
    <n v="0"/>
    <n v="0"/>
    <n v="0"/>
    <m/>
    <m/>
    <m/>
    <m/>
    <m/>
    <m/>
    <m/>
    <m/>
    <m/>
    <m/>
    <n v="0"/>
    <n v="0"/>
    <m/>
    <m/>
    <m/>
    <m/>
    <m/>
    <m/>
    <m/>
    <m/>
    <m/>
    <m/>
    <m/>
    <m/>
    <n v="0"/>
    <m/>
    <m/>
    <m/>
    <m/>
    <m/>
    <m/>
    <m/>
    <m/>
    <m/>
    <n v="71500"/>
    <n v="56992"/>
    <m/>
    <m/>
    <m/>
  </r>
  <r>
    <x v="1236"/>
    <n v="260352.47333333301"/>
    <n v="4.4733333333333301"/>
    <n v="3.6254378518518502"/>
    <n v="0.81045555555555504"/>
    <n v="0.99"/>
    <m/>
    <m/>
    <m/>
    <m/>
    <m/>
    <n v="0"/>
    <m/>
    <n v="0"/>
    <n v="0"/>
    <n v="0"/>
    <n v="0"/>
    <n v="0"/>
    <m/>
    <m/>
    <m/>
    <m/>
    <m/>
    <m/>
    <m/>
    <m/>
    <m/>
    <m/>
    <n v="0"/>
    <n v="0"/>
    <m/>
    <m/>
    <m/>
    <m/>
    <m/>
    <m/>
    <m/>
    <m/>
    <m/>
    <m/>
    <m/>
    <m/>
    <n v="0"/>
    <m/>
    <m/>
    <m/>
    <m/>
    <m/>
    <m/>
    <m/>
    <m/>
    <m/>
    <n v="71500"/>
    <n v="56992"/>
    <m/>
    <m/>
    <m/>
  </r>
  <r>
    <x v="1237"/>
    <n v="260352.47333333301"/>
    <n v="4.4733333333333301"/>
    <n v="3.6253881481481498"/>
    <n v="0.81044444444444397"/>
    <n v="0.99"/>
    <m/>
    <m/>
    <m/>
    <m/>
    <m/>
    <n v="0"/>
    <m/>
    <n v="0"/>
    <n v="0"/>
    <n v="0"/>
    <n v="0"/>
    <n v="0"/>
    <m/>
    <m/>
    <m/>
    <m/>
    <m/>
    <m/>
    <m/>
    <m/>
    <m/>
    <m/>
    <n v="0"/>
    <n v="0"/>
    <m/>
    <m/>
    <m/>
    <m/>
    <m/>
    <m/>
    <m/>
    <m/>
    <m/>
    <m/>
    <m/>
    <m/>
    <n v="0"/>
    <m/>
    <m/>
    <m/>
    <m/>
    <m/>
    <m/>
    <m/>
    <m/>
    <m/>
    <n v="71500"/>
    <n v="56992"/>
    <m/>
    <m/>
    <m/>
  </r>
  <r>
    <x v="1238"/>
    <n v="260352.47333333301"/>
    <n v="4.4733333333333301"/>
    <n v="3.6253384444444401"/>
    <n v="0.81043333333333301"/>
    <n v="0.99"/>
    <m/>
    <m/>
    <m/>
    <m/>
    <m/>
    <n v="0"/>
    <m/>
    <n v="0"/>
    <n v="0"/>
    <n v="0"/>
    <n v="0"/>
    <n v="0"/>
    <m/>
    <m/>
    <m/>
    <m/>
    <m/>
    <m/>
    <m/>
    <m/>
    <m/>
    <m/>
    <n v="0"/>
    <n v="0"/>
    <m/>
    <m/>
    <m/>
    <m/>
    <m/>
    <m/>
    <m/>
    <m/>
    <m/>
    <m/>
    <m/>
    <m/>
    <n v="0"/>
    <m/>
    <m/>
    <m/>
    <m/>
    <m/>
    <m/>
    <m/>
    <m/>
    <m/>
    <n v="71500"/>
    <n v="56992"/>
    <m/>
    <m/>
    <m/>
  </r>
  <r>
    <x v="1239"/>
    <n v="260352.47333333301"/>
    <n v="4.4733333333333301"/>
    <n v="3.6252887407407401"/>
    <n v="0.81042222222222204"/>
    <n v="0.99"/>
    <m/>
    <m/>
    <m/>
    <m/>
    <m/>
    <n v="0"/>
    <m/>
    <n v="0"/>
    <n v="0"/>
    <n v="0"/>
    <n v="0"/>
    <n v="0"/>
    <m/>
    <m/>
    <m/>
    <m/>
    <m/>
    <m/>
    <m/>
    <m/>
    <m/>
    <m/>
    <n v="0"/>
    <n v="0"/>
    <m/>
    <m/>
    <m/>
    <m/>
    <m/>
    <m/>
    <m/>
    <m/>
    <m/>
    <m/>
    <m/>
    <m/>
    <n v="0"/>
    <m/>
    <m/>
    <m/>
    <m/>
    <m/>
    <m/>
    <m/>
    <m/>
    <m/>
    <n v="71500"/>
    <n v="56992"/>
    <m/>
    <m/>
    <m/>
  </r>
  <r>
    <x v="1240"/>
    <n v="260352.47333333301"/>
    <n v="4.4733333333333301"/>
    <n v="3.6252390370370402"/>
    <n v="0.81041111111111097"/>
    <n v="0.99"/>
    <m/>
    <m/>
    <m/>
    <m/>
    <m/>
    <n v="0"/>
    <m/>
    <n v="0"/>
    <n v="0"/>
    <n v="0"/>
    <n v="0"/>
    <n v="0"/>
    <m/>
    <m/>
    <m/>
    <m/>
    <m/>
    <m/>
    <m/>
    <m/>
    <m/>
    <m/>
    <n v="0"/>
    <n v="0"/>
    <m/>
    <m/>
    <m/>
    <m/>
    <m/>
    <m/>
    <m/>
    <m/>
    <m/>
    <m/>
    <m/>
    <m/>
    <n v="0"/>
    <m/>
    <m/>
    <m/>
    <m/>
    <m/>
    <m/>
    <m/>
    <m/>
    <m/>
    <n v="71500"/>
    <n v="56992"/>
    <m/>
    <m/>
    <m/>
  </r>
  <r>
    <x v="1241"/>
    <n v="260352.47333333301"/>
    <n v="4.4733333333333301"/>
    <n v="3.62518933333333"/>
    <n v="0.81040000000000001"/>
    <n v="0.99"/>
    <m/>
    <m/>
    <m/>
    <m/>
    <m/>
    <n v="0"/>
    <m/>
    <n v="0"/>
    <n v="0"/>
    <n v="0"/>
    <n v="0"/>
    <n v="0"/>
    <m/>
    <m/>
    <m/>
    <m/>
    <m/>
    <m/>
    <m/>
    <m/>
    <m/>
    <m/>
    <n v="0"/>
    <n v="0"/>
    <m/>
    <m/>
    <m/>
    <m/>
    <m/>
    <m/>
    <m/>
    <m/>
    <m/>
    <m/>
    <m/>
    <m/>
    <n v="0"/>
    <m/>
    <m/>
    <m/>
    <m/>
    <m/>
    <m/>
    <m/>
    <m/>
    <m/>
    <n v="71500"/>
    <n v="56992"/>
    <m/>
    <m/>
    <m/>
  </r>
  <r>
    <x v="1242"/>
    <n v="260352.47333333301"/>
    <n v="4.4733333333333301"/>
    <n v="3.6251396296296301"/>
    <n v="0.81038888888888905"/>
    <n v="0.99"/>
    <m/>
    <m/>
    <m/>
    <m/>
    <m/>
    <n v="0"/>
    <m/>
    <n v="0"/>
    <n v="0"/>
    <n v="0"/>
    <n v="0"/>
    <n v="0"/>
    <m/>
    <m/>
    <m/>
    <m/>
    <m/>
    <m/>
    <m/>
    <m/>
    <m/>
    <m/>
    <n v="0"/>
    <n v="0"/>
    <m/>
    <m/>
    <m/>
    <m/>
    <m/>
    <m/>
    <m/>
    <m/>
    <m/>
    <m/>
    <m/>
    <m/>
    <n v="0"/>
    <m/>
    <m/>
    <m/>
    <m/>
    <m/>
    <m/>
    <m/>
    <m/>
    <m/>
    <n v="71500"/>
    <n v="56992"/>
    <m/>
    <m/>
    <m/>
  </r>
  <r>
    <x v="1243"/>
    <n v="260352.47333333301"/>
    <n v="4.4733333333333301"/>
    <n v="3.6250899259259302"/>
    <n v="0.81037777777777797"/>
    <n v="0.99"/>
    <m/>
    <m/>
    <m/>
    <m/>
    <m/>
    <n v="0"/>
    <m/>
    <n v="0"/>
    <n v="0"/>
    <n v="0"/>
    <n v="0"/>
    <n v="0"/>
    <m/>
    <m/>
    <m/>
    <m/>
    <m/>
    <m/>
    <m/>
    <m/>
    <m/>
    <m/>
    <n v="0"/>
    <n v="0"/>
    <m/>
    <m/>
    <m/>
    <m/>
    <m/>
    <m/>
    <m/>
    <m/>
    <m/>
    <m/>
    <m/>
    <m/>
    <n v="0"/>
    <m/>
    <m/>
    <m/>
    <m/>
    <m/>
    <m/>
    <m/>
    <m/>
    <m/>
    <n v="71500"/>
    <n v="56992"/>
    <m/>
    <m/>
    <m/>
  </r>
  <r>
    <x v="1244"/>
    <n v="260352.47333333301"/>
    <n v="4.4733333333333301"/>
    <n v="3.62504022222222"/>
    <n v="0.81036666666666701"/>
    <n v="0.99"/>
    <m/>
    <m/>
    <m/>
    <m/>
    <m/>
    <n v="0"/>
    <m/>
    <n v="0"/>
    <n v="0"/>
    <n v="0"/>
    <n v="0"/>
    <n v="0"/>
    <m/>
    <m/>
    <m/>
    <m/>
    <m/>
    <m/>
    <m/>
    <m/>
    <m/>
    <m/>
    <n v="0"/>
    <n v="0"/>
    <m/>
    <m/>
    <m/>
    <m/>
    <m/>
    <m/>
    <m/>
    <m/>
    <m/>
    <m/>
    <m/>
    <m/>
    <n v="0"/>
    <m/>
    <m/>
    <m/>
    <m/>
    <m/>
    <m/>
    <m/>
    <m/>
    <m/>
    <n v="71500"/>
    <n v="56992"/>
    <m/>
    <m/>
    <m/>
  </r>
  <r>
    <x v="1245"/>
    <n v="260352.47333333301"/>
    <n v="4.4733333333333301"/>
    <n v="3.6249905185185201"/>
    <n v="0.81035555555555505"/>
    <n v="0.99"/>
    <m/>
    <m/>
    <m/>
    <m/>
    <m/>
    <n v="0"/>
    <m/>
    <n v="0"/>
    <n v="0"/>
    <n v="0"/>
    <n v="0"/>
    <n v="0"/>
    <m/>
    <m/>
    <m/>
    <m/>
    <m/>
    <m/>
    <m/>
    <m/>
    <m/>
    <m/>
    <n v="0"/>
    <n v="0"/>
    <m/>
    <m/>
    <m/>
    <m/>
    <m/>
    <m/>
    <m/>
    <m/>
    <m/>
    <m/>
    <m/>
    <m/>
    <n v="0"/>
    <m/>
    <m/>
    <m/>
    <m/>
    <m/>
    <m/>
    <m/>
    <m/>
    <m/>
    <n v="71500"/>
    <n v="56992"/>
    <m/>
    <m/>
    <m/>
  </r>
  <r>
    <x v="1246"/>
    <n v="260352.47333333301"/>
    <n v="4.4733333333333301"/>
    <n v="3.6249408148148099"/>
    <n v="0.81034444444444398"/>
    <n v="0.99"/>
    <m/>
    <m/>
    <m/>
    <m/>
    <m/>
    <n v="0"/>
    <m/>
    <n v="0"/>
    <n v="0"/>
    <n v="0"/>
    <n v="0"/>
    <n v="0"/>
    <m/>
    <m/>
    <m/>
    <m/>
    <m/>
    <m/>
    <m/>
    <m/>
    <m/>
    <m/>
    <n v="0"/>
    <n v="0"/>
    <m/>
    <m/>
    <m/>
    <m/>
    <m/>
    <m/>
    <m/>
    <m/>
    <m/>
    <m/>
    <m/>
    <m/>
    <n v="0"/>
    <m/>
    <m/>
    <m/>
    <m/>
    <m/>
    <m/>
    <m/>
    <m/>
    <m/>
    <n v="71500"/>
    <n v="56992"/>
    <m/>
    <m/>
    <m/>
  </r>
  <r>
    <x v="1247"/>
    <n v="255977.841935484"/>
    <n v="4.3290322580645197"/>
    <n v="3.5079591397849499"/>
    <n v="0.81033333333333302"/>
    <n v="0.99"/>
    <m/>
    <m/>
    <m/>
    <m/>
    <m/>
    <n v="0"/>
    <m/>
    <n v="0"/>
    <n v="0"/>
    <n v="0"/>
    <n v="0"/>
    <n v="0"/>
    <m/>
    <m/>
    <m/>
    <m/>
    <m/>
    <m/>
    <m/>
    <m/>
    <m/>
    <m/>
    <n v="0"/>
    <n v="0"/>
    <m/>
    <m/>
    <m/>
    <m/>
    <m/>
    <m/>
    <m/>
    <m/>
    <m/>
    <m/>
    <m/>
    <m/>
    <n v="0"/>
    <m/>
    <m/>
    <m/>
    <m/>
    <m/>
    <m/>
    <m/>
    <m/>
    <m/>
    <n v="71500"/>
    <n v="56992"/>
    <m/>
    <m/>
    <m/>
  </r>
  <r>
    <x v="1248"/>
    <n v="255977.841935484"/>
    <n v="4.3290322580645197"/>
    <n v="3.5079110394265198"/>
    <n v="0.81032222222222205"/>
    <n v="0.99"/>
    <m/>
    <m/>
    <m/>
    <m/>
    <m/>
    <n v="0"/>
    <m/>
    <n v="0"/>
    <n v="0"/>
    <n v="0"/>
    <n v="0"/>
    <n v="0"/>
    <m/>
    <m/>
    <m/>
    <m/>
    <m/>
    <m/>
    <m/>
    <m/>
    <m/>
    <m/>
    <n v="0"/>
    <n v="0"/>
    <m/>
    <m/>
    <m/>
    <m/>
    <m/>
    <m/>
    <m/>
    <m/>
    <m/>
    <m/>
    <m/>
    <m/>
    <n v="0"/>
    <m/>
    <m/>
    <m/>
    <m/>
    <m/>
    <m/>
    <m/>
    <m/>
    <m/>
    <n v="71500"/>
    <n v="56992"/>
    <m/>
    <m/>
    <m/>
  </r>
  <r>
    <x v="1249"/>
    <n v="255977.841935484"/>
    <n v="4.3290322580645197"/>
    <n v="3.5078629390681"/>
    <n v="0.81031111111111098"/>
    <n v="0.99"/>
    <m/>
    <m/>
    <m/>
    <m/>
    <m/>
    <n v="0"/>
    <m/>
    <n v="0"/>
    <n v="0"/>
    <n v="0"/>
    <n v="0"/>
    <n v="0"/>
    <m/>
    <m/>
    <m/>
    <m/>
    <m/>
    <m/>
    <m/>
    <m/>
    <m/>
    <m/>
    <n v="0"/>
    <n v="0"/>
    <m/>
    <m/>
    <m/>
    <m/>
    <m/>
    <m/>
    <m/>
    <m/>
    <m/>
    <m/>
    <m/>
    <m/>
    <n v="0"/>
    <m/>
    <m/>
    <m/>
    <m/>
    <m/>
    <m/>
    <m/>
    <m/>
    <m/>
    <n v="71500"/>
    <n v="56992"/>
    <m/>
    <m/>
    <m/>
  </r>
  <r>
    <x v="1250"/>
    <n v="255977.841935484"/>
    <n v="4.3290322580645197"/>
    <n v="3.5078148387096801"/>
    <n v="0.81030000000000002"/>
    <n v="0.99"/>
    <m/>
    <m/>
    <m/>
    <m/>
    <m/>
    <n v="0"/>
    <m/>
    <n v="0"/>
    <n v="0"/>
    <n v="0"/>
    <n v="0"/>
    <n v="0"/>
    <m/>
    <m/>
    <m/>
    <m/>
    <m/>
    <m/>
    <m/>
    <m/>
    <m/>
    <m/>
    <n v="0"/>
    <n v="0"/>
    <m/>
    <m/>
    <m/>
    <m/>
    <m/>
    <m/>
    <m/>
    <m/>
    <m/>
    <m/>
    <m/>
    <m/>
    <n v="0"/>
    <m/>
    <m/>
    <m/>
    <m/>
    <m/>
    <m/>
    <m/>
    <m/>
    <m/>
    <n v="71500"/>
    <n v="56992"/>
    <m/>
    <m/>
    <m/>
  </r>
  <r>
    <x v="1251"/>
    <n v="255977.841935484"/>
    <n v="4.3290322580645197"/>
    <n v="3.5077667383512501"/>
    <n v="0.81028888888888895"/>
    <n v="0.99"/>
    <m/>
    <m/>
    <m/>
    <m/>
    <m/>
    <n v="0"/>
    <m/>
    <n v="0"/>
    <n v="0"/>
    <n v="0"/>
    <n v="0"/>
    <n v="0"/>
    <m/>
    <m/>
    <m/>
    <m/>
    <m/>
    <m/>
    <m/>
    <m/>
    <m/>
    <m/>
    <n v="0"/>
    <n v="0"/>
    <m/>
    <m/>
    <m/>
    <m/>
    <m/>
    <m/>
    <m/>
    <m/>
    <m/>
    <m/>
    <m/>
    <m/>
    <n v="0"/>
    <m/>
    <m/>
    <m/>
    <m/>
    <m/>
    <m/>
    <m/>
    <m/>
    <m/>
    <n v="71500"/>
    <n v="56992"/>
    <m/>
    <m/>
    <m/>
  </r>
  <r>
    <x v="1252"/>
    <n v="255977.841935484"/>
    <n v="4.3290322580645197"/>
    <n v="3.5077186379928298"/>
    <n v="0.81027777777777799"/>
    <n v="0.99"/>
    <m/>
    <m/>
    <m/>
    <m/>
    <m/>
    <n v="0"/>
    <m/>
    <n v="0"/>
    <n v="0"/>
    <n v="0"/>
    <n v="0"/>
    <n v="0"/>
    <m/>
    <m/>
    <m/>
    <m/>
    <m/>
    <m/>
    <m/>
    <m/>
    <m/>
    <m/>
    <n v="0"/>
    <n v="0"/>
    <m/>
    <m/>
    <m/>
    <m/>
    <m/>
    <m/>
    <m/>
    <m/>
    <m/>
    <m/>
    <m/>
    <m/>
    <n v="0"/>
    <m/>
    <m/>
    <m/>
    <m/>
    <m/>
    <m/>
    <m/>
    <m/>
    <m/>
    <n v="71500"/>
    <n v="56992"/>
    <m/>
    <m/>
    <m/>
  </r>
  <r>
    <x v="1253"/>
    <n v="255977.841935484"/>
    <n v="4.3290322580645197"/>
    <n v="3.5076705376344099"/>
    <n v="0.81026666666666702"/>
    <n v="0.99"/>
    <m/>
    <m/>
    <m/>
    <m/>
    <m/>
    <n v="0"/>
    <m/>
    <n v="0"/>
    <n v="0"/>
    <n v="0"/>
    <n v="0"/>
    <n v="0"/>
    <m/>
    <m/>
    <m/>
    <m/>
    <m/>
    <m/>
    <m/>
    <m/>
    <m/>
    <m/>
    <n v="0"/>
    <n v="0"/>
    <m/>
    <m/>
    <m/>
    <m/>
    <m/>
    <m/>
    <m/>
    <m/>
    <m/>
    <m/>
    <m/>
    <m/>
    <n v="0"/>
    <m/>
    <m/>
    <m/>
    <m/>
    <m/>
    <m/>
    <m/>
    <m/>
    <m/>
    <n v="71500"/>
    <n v="56992"/>
    <m/>
    <m/>
    <m/>
  </r>
  <r>
    <x v="1254"/>
    <n v="255977.841935484"/>
    <n v="4.3290322580645197"/>
    <n v="3.5076224372759901"/>
    <n v="0.81025555555555595"/>
    <n v="0.99"/>
    <m/>
    <m/>
    <m/>
    <m/>
    <m/>
    <n v="0"/>
    <m/>
    <n v="0"/>
    <n v="0"/>
    <n v="0"/>
    <n v="0"/>
    <n v="0"/>
    <m/>
    <m/>
    <m/>
    <m/>
    <m/>
    <m/>
    <m/>
    <m/>
    <m/>
    <m/>
    <n v="0"/>
    <n v="0"/>
    <m/>
    <m/>
    <m/>
    <m/>
    <m/>
    <m/>
    <m/>
    <m/>
    <m/>
    <m/>
    <m/>
    <m/>
    <n v="0"/>
    <m/>
    <m/>
    <m/>
    <m/>
    <m/>
    <m/>
    <m/>
    <m/>
    <m/>
    <n v="71500"/>
    <n v="56992"/>
    <m/>
    <m/>
    <m/>
  </r>
  <r>
    <x v="1255"/>
    <n v="255977.841935484"/>
    <n v="4.3290322580645197"/>
    <n v="3.50757433691756"/>
    <n v="0.81024444444444399"/>
    <n v="0.99"/>
    <m/>
    <m/>
    <m/>
    <m/>
    <m/>
    <n v="0"/>
    <m/>
    <n v="0"/>
    <n v="0"/>
    <n v="0"/>
    <n v="0"/>
    <n v="0"/>
    <m/>
    <m/>
    <m/>
    <m/>
    <m/>
    <m/>
    <m/>
    <m/>
    <m/>
    <m/>
    <n v="0"/>
    <n v="0"/>
    <m/>
    <m/>
    <m/>
    <m/>
    <m/>
    <m/>
    <m/>
    <m/>
    <m/>
    <m/>
    <m/>
    <m/>
    <n v="0"/>
    <m/>
    <m/>
    <m/>
    <m/>
    <m/>
    <m/>
    <m/>
    <m/>
    <m/>
    <n v="71500"/>
    <n v="56992"/>
    <m/>
    <m/>
    <m/>
  </r>
  <r>
    <x v="1256"/>
    <n v="255977.841935484"/>
    <n v="4.3290322580645197"/>
    <n v="3.5075262365591402"/>
    <n v="0.81023333333333303"/>
    <n v="0.99"/>
    <m/>
    <m/>
    <m/>
    <m/>
    <m/>
    <n v="0"/>
    <m/>
    <n v="0"/>
    <n v="0"/>
    <n v="0"/>
    <n v="0"/>
    <n v="0"/>
    <m/>
    <m/>
    <m/>
    <m/>
    <m/>
    <m/>
    <m/>
    <m/>
    <m/>
    <m/>
    <n v="0"/>
    <n v="0"/>
    <m/>
    <m/>
    <m/>
    <m/>
    <m/>
    <m/>
    <m/>
    <m/>
    <m/>
    <m/>
    <m/>
    <m/>
    <n v="0"/>
    <m/>
    <m/>
    <m/>
    <m/>
    <m/>
    <m/>
    <m/>
    <m/>
    <m/>
    <n v="71500"/>
    <n v="56992"/>
    <m/>
    <m/>
    <m/>
  </r>
  <r>
    <x v="1257"/>
    <n v="255977.841935484"/>
    <n v="4.3290322580645197"/>
    <n v="3.5074781362007199"/>
    <n v="0.81022222222222195"/>
    <n v="0.99"/>
    <m/>
    <m/>
    <m/>
    <m/>
    <m/>
    <n v="0"/>
    <m/>
    <n v="0"/>
    <n v="0"/>
    <n v="0"/>
    <n v="0"/>
    <n v="0"/>
    <m/>
    <m/>
    <m/>
    <m/>
    <m/>
    <m/>
    <m/>
    <m/>
    <m/>
    <m/>
    <n v="0"/>
    <n v="0"/>
    <m/>
    <m/>
    <m/>
    <m/>
    <m/>
    <m/>
    <m/>
    <m/>
    <m/>
    <m/>
    <m/>
    <m/>
    <n v="0"/>
    <m/>
    <m/>
    <m/>
    <m/>
    <m/>
    <m/>
    <m/>
    <m/>
    <m/>
    <n v="71500"/>
    <n v="56992"/>
    <m/>
    <m/>
    <m/>
  </r>
  <r>
    <x v="1258"/>
    <n v="255977.841935484"/>
    <n v="4.3290322580645197"/>
    <n v="3.5074300358422899"/>
    <n v="0.81021111111111099"/>
    <n v="0.99"/>
    <m/>
    <m/>
    <m/>
    <m/>
    <m/>
    <n v="0"/>
    <m/>
    <n v="0"/>
    <n v="0"/>
    <n v="0"/>
    <n v="0"/>
    <n v="0"/>
    <m/>
    <m/>
    <m/>
    <m/>
    <m/>
    <m/>
    <m/>
    <m/>
    <m/>
    <m/>
    <n v="0"/>
    <n v="0"/>
    <m/>
    <m/>
    <m/>
    <m/>
    <m/>
    <m/>
    <m/>
    <m/>
    <m/>
    <m/>
    <m/>
    <m/>
    <n v="0"/>
    <m/>
    <m/>
    <m/>
    <m/>
    <m/>
    <m/>
    <m/>
    <m/>
    <m/>
    <n v="71500"/>
    <n v="56992"/>
    <m/>
    <m/>
    <m/>
  </r>
  <r>
    <x v="1259"/>
    <n v="255977.841935484"/>
    <n v="4.3290322580645197"/>
    <n v="3.50738193548387"/>
    <n v="0.81020000000000003"/>
    <n v="0.99"/>
    <m/>
    <m/>
    <m/>
    <m/>
    <m/>
    <n v="0"/>
    <m/>
    <n v="0"/>
    <n v="0"/>
    <n v="0"/>
    <n v="0"/>
    <n v="0"/>
    <m/>
    <m/>
    <m/>
    <m/>
    <m/>
    <m/>
    <m/>
    <m/>
    <m/>
    <m/>
    <n v="0"/>
    <n v="0"/>
    <m/>
    <m/>
    <m/>
    <m/>
    <m/>
    <m/>
    <m/>
    <m/>
    <m/>
    <m/>
    <m/>
    <m/>
    <n v="0"/>
    <m/>
    <m/>
    <m/>
    <m/>
    <m/>
    <m/>
    <m/>
    <m/>
    <m/>
    <n v="71500"/>
    <n v="56992"/>
    <m/>
    <m/>
    <m/>
  </r>
  <r>
    <x v="1260"/>
    <n v="255977.841935484"/>
    <n v="4.3290322580645197"/>
    <n v="3.5073338351254502"/>
    <n v="0.81018888888888896"/>
    <n v="0.99"/>
    <m/>
    <m/>
    <m/>
    <m/>
    <m/>
    <n v="0"/>
    <m/>
    <n v="0"/>
    <n v="0"/>
    <n v="0"/>
    <n v="0"/>
    <n v="0"/>
    <m/>
    <m/>
    <m/>
    <m/>
    <m/>
    <m/>
    <m/>
    <m/>
    <m/>
    <m/>
    <n v="0"/>
    <n v="0"/>
    <m/>
    <m/>
    <m/>
    <m/>
    <m/>
    <m/>
    <m/>
    <m/>
    <m/>
    <m/>
    <m/>
    <m/>
    <n v="0"/>
    <m/>
    <m/>
    <m/>
    <m/>
    <m/>
    <m/>
    <m/>
    <m/>
    <m/>
    <n v="71500"/>
    <n v="56992"/>
    <m/>
    <m/>
    <m/>
  </r>
  <r>
    <x v="1261"/>
    <n v="255977.841935484"/>
    <n v="4.3290322580645197"/>
    <n v="3.5072857347670201"/>
    <n v="0.810177777777778"/>
    <n v="0.99"/>
    <m/>
    <m/>
    <m/>
    <m/>
    <m/>
    <n v="0"/>
    <m/>
    <n v="0"/>
    <n v="0"/>
    <n v="0"/>
    <n v="0"/>
    <n v="0"/>
    <m/>
    <m/>
    <m/>
    <m/>
    <m/>
    <m/>
    <m/>
    <m/>
    <m/>
    <m/>
    <n v="0"/>
    <n v="0"/>
    <m/>
    <m/>
    <m/>
    <m/>
    <m/>
    <m/>
    <m/>
    <m/>
    <m/>
    <m/>
    <m/>
    <m/>
    <n v="0"/>
    <m/>
    <m/>
    <m/>
    <m/>
    <m/>
    <m/>
    <m/>
    <m/>
    <m/>
    <n v="71500"/>
    <n v="56992"/>
    <m/>
    <m/>
    <m/>
  </r>
  <r>
    <x v="1262"/>
    <n v="255977.841935484"/>
    <n v="4.3290322580645197"/>
    <n v="3.5072376344085998"/>
    <n v="0.81016666666666703"/>
    <n v="0.99"/>
    <m/>
    <m/>
    <m/>
    <m/>
    <m/>
    <n v="0"/>
    <m/>
    <n v="0"/>
    <n v="0"/>
    <n v="0"/>
    <n v="0"/>
    <n v="0"/>
    <m/>
    <m/>
    <m/>
    <m/>
    <m/>
    <m/>
    <m/>
    <m/>
    <m/>
    <m/>
    <n v="0"/>
    <n v="0"/>
    <m/>
    <m/>
    <m/>
    <m/>
    <m/>
    <m/>
    <m/>
    <m/>
    <m/>
    <m/>
    <m/>
    <m/>
    <n v="0"/>
    <m/>
    <m/>
    <m/>
    <m/>
    <m/>
    <m/>
    <m/>
    <m/>
    <m/>
    <n v="71500"/>
    <n v="56992"/>
    <m/>
    <m/>
    <m/>
  </r>
  <r>
    <x v="1263"/>
    <n v="255977.841935484"/>
    <n v="4.3290322580645197"/>
    <n v="3.50718953405018"/>
    <n v="0.81015555555555596"/>
    <n v="0.99"/>
    <m/>
    <m/>
    <m/>
    <m/>
    <m/>
    <n v="0"/>
    <m/>
    <n v="0"/>
    <n v="0"/>
    <n v="0"/>
    <n v="0"/>
    <n v="0"/>
    <m/>
    <m/>
    <m/>
    <m/>
    <m/>
    <m/>
    <m/>
    <m/>
    <m/>
    <m/>
    <n v="0"/>
    <n v="0"/>
    <m/>
    <m/>
    <m/>
    <m/>
    <m/>
    <m/>
    <m/>
    <m/>
    <m/>
    <m/>
    <m/>
    <m/>
    <n v="0"/>
    <m/>
    <m/>
    <m/>
    <m/>
    <m/>
    <m/>
    <m/>
    <m/>
    <m/>
    <n v="71500"/>
    <n v="56992"/>
    <m/>
    <m/>
    <m/>
  </r>
  <r>
    <x v="1264"/>
    <n v="255977.841935484"/>
    <n v="4.3290322580645197"/>
    <n v="3.5071414336917601"/>
    <n v="0.810144444444444"/>
    <n v="0.99"/>
    <m/>
    <m/>
    <m/>
    <m/>
    <m/>
    <n v="0"/>
    <m/>
    <n v="0"/>
    <n v="0"/>
    <n v="0"/>
    <n v="0"/>
    <n v="0"/>
    <m/>
    <m/>
    <m/>
    <m/>
    <m/>
    <m/>
    <m/>
    <m/>
    <m/>
    <m/>
    <n v="0"/>
    <n v="0"/>
    <m/>
    <m/>
    <m/>
    <m/>
    <m/>
    <m/>
    <m/>
    <m/>
    <m/>
    <m/>
    <m/>
    <m/>
    <n v="0"/>
    <m/>
    <m/>
    <m/>
    <m/>
    <m/>
    <m/>
    <m/>
    <m/>
    <m/>
    <n v="71500"/>
    <n v="56992"/>
    <m/>
    <m/>
    <m/>
  </r>
  <r>
    <x v="1265"/>
    <n v="255977.841935484"/>
    <n v="4.3290322580645197"/>
    <n v="3.5070933333333301"/>
    <n v="0.81013333333333304"/>
    <n v="0.99"/>
    <m/>
    <m/>
    <m/>
    <m/>
    <m/>
    <n v="0"/>
    <m/>
    <n v="0"/>
    <n v="0"/>
    <n v="0"/>
    <n v="0"/>
    <n v="0"/>
    <m/>
    <m/>
    <m/>
    <m/>
    <m/>
    <m/>
    <m/>
    <m/>
    <m/>
    <m/>
    <n v="0"/>
    <n v="0"/>
    <m/>
    <m/>
    <m/>
    <m/>
    <m/>
    <m/>
    <m/>
    <m/>
    <m/>
    <m/>
    <m/>
    <m/>
    <n v="0"/>
    <m/>
    <m/>
    <m/>
    <m/>
    <m/>
    <m/>
    <m/>
    <m/>
    <m/>
    <n v="71500"/>
    <n v="56992"/>
    <m/>
    <m/>
    <m/>
  </r>
  <r>
    <x v="1266"/>
    <n v="255977.841935484"/>
    <n v="4.3290322580645197"/>
    <n v="3.5070452329749102"/>
    <n v="0.81012222222222197"/>
    <n v="0.99"/>
    <m/>
    <m/>
    <m/>
    <m/>
    <m/>
    <n v="0"/>
    <m/>
    <n v="0"/>
    <n v="0"/>
    <n v="0"/>
    <n v="0"/>
    <n v="0"/>
    <m/>
    <m/>
    <m/>
    <m/>
    <m/>
    <m/>
    <m/>
    <m/>
    <m/>
    <m/>
    <n v="0"/>
    <n v="0"/>
    <m/>
    <m/>
    <m/>
    <m/>
    <m/>
    <m/>
    <m/>
    <m/>
    <m/>
    <m/>
    <m/>
    <m/>
    <n v="0"/>
    <m/>
    <m/>
    <m/>
    <m/>
    <m/>
    <m/>
    <m/>
    <m/>
    <m/>
    <n v="71500"/>
    <n v="56992"/>
    <m/>
    <m/>
    <m/>
  </r>
  <r>
    <x v="1267"/>
    <n v="255977.841935484"/>
    <n v="4.3290322580645197"/>
    <n v="3.5069971326164899"/>
    <n v="0.810111111111111"/>
    <n v="0.99"/>
    <m/>
    <m/>
    <m/>
    <m/>
    <m/>
    <n v="0"/>
    <m/>
    <n v="0"/>
    <n v="0"/>
    <n v="0"/>
    <n v="0"/>
    <n v="0"/>
    <m/>
    <m/>
    <m/>
    <m/>
    <m/>
    <m/>
    <m/>
    <m/>
    <m/>
    <m/>
    <n v="0"/>
    <n v="0"/>
    <m/>
    <m/>
    <m/>
    <m/>
    <m/>
    <m/>
    <m/>
    <m/>
    <m/>
    <m/>
    <m/>
    <m/>
    <n v="0"/>
    <m/>
    <m/>
    <m/>
    <m/>
    <m/>
    <m/>
    <m/>
    <m/>
    <m/>
    <n v="71500"/>
    <n v="56992"/>
    <m/>
    <m/>
    <m/>
  </r>
  <r>
    <x v="1268"/>
    <n v="255977.841935484"/>
    <n v="4.3290322580645197"/>
    <n v="3.5069490322580599"/>
    <n v="0.81010000000000004"/>
    <n v="0.99"/>
    <m/>
    <m/>
    <m/>
    <m/>
    <m/>
    <n v="0"/>
    <m/>
    <n v="0"/>
    <n v="0"/>
    <n v="0"/>
    <n v="0"/>
    <n v="0"/>
    <m/>
    <m/>
    <m/>
    <m/>
    <m/>
    <m/>
    <m/>
    <m/>
    <m/>
    <m/>
    <n v="0"/>
    <n v="0"/>
    <m/>
    <m/>
    <m/>
    <m/>
    <m/>
    <m/>
    <m/>
    <m/>
    <m/>
    <m/>
    <m/>
    <m/>
    <n v="0"/>
    <m/>
    <m/>
    <m/>
    <m/>
    <m/>
    <m/>
    <m/>
    <m/>
    <m/>
    <n v="71500"/>
    <n v="56992"/>
    <m/>
    <m/>
    <m/>
  </r>
  <r>
    <x v="1269"/>
    <n v="255977.841935484"/>
    <n v="4.3290322580645197"/>
    <n v="3.50690093189964"/>
    <n v="0.81008888888888897"/>
    <n v="0.99"/>
    <m/>
    <m/>
    <m/>
    <m/>
    <m/>
    <n v="0"/>
    <m/>
    <n v="0"/>
    <n v="0"/>
    <n v="0"/>
    <n v="0"/>
    <n v="0"/>
    <m/>
    <m/>
    <m/>
    <m/>
    <m/>
    <m/>
    <m/>
    <m/>
    <m/>
    <m/>
    <n v="0"/>
    <n v="0"/>
    <m/>
    <m/>
    <m/>
    <m/>
    <m/>
    <m/>
    <m/>
    <m/>
    <m/>
    <m/>
    <m/>
    <m/>
    <n v="0"/>
    <m/>
    <m/>
    <m/>
    <m/>
    <m/>
    <m/>
    <m/>
    <m/>
    <m/>
    <n v="71500"/>
    <n v="56992"/>
    <m/>
    <m/>
    <m/>
  </r>
  <r>
    <x v="1270"/>
    <n v="255977.841935484"/>
    <n v="4.3290322580645197"/>
    <n v="3.5068528315412202"/>
    <n v="0.81007777777777801"/>
    <n v="0.99"/>
    <m/>
    <m/>
    <m/>
    <m/>
    <m/>
    <n v="0"/>
    <m/>
    <n v="0"/>
    <n v="0"/>
    <n v="0"/>
    <n v="0"/>
    <n v="0"/>
    <m/>
    <m/>
    <m/>
    <m/>
    <m/>
    <m/>
    <m/>
    <m/>
    <m/>
    <m/>
    <n v="0"/>
    <n v="0"/>
    <m/>
    <m/>
    <m/>
    <m/>
    <m/>
    <m/>
    <m/>
    <m/>
    <m/>
    <m/>
    <m/>
    <m/>
    <n v="0"/>
    <m/>
    <m/>
    <m/>
    <m/>
    <m/>
    <m/>
    <m/>
    <m/>
    <m/>
    <n v="71500"/>
    <n v="56992"/>
    <m/>
    <m/>
    <m/>
  </r>
  <r>
    <x v="1271"/>
    <n v="255977.841935484"/>
    <n v="4.3290322580645197"/>
    <n v="3.5068047311827999"/>
    <n v="0.81006666666666705"/>
    <n v="0.99"/>
    <m/>
    <m/>
    <m/>
    <m/>
    <m/>
    <n v="0"/>
    <m/>
    <n v="0"/>
    <n v="0"/>
    <n v="0"/>
    <n v="0"/>
    <n v="0"/>
    <m/>
    <m/>
    <m/>
    <m/>
    <m/>
    <m/>
    <m/>
    <m/>
    <m/>
    <m/>
    <n v="0"/>
    <n v="0"/>
    <m/>
    <m/>
    <m/>
    <m/>
    <m/>
    <m/>
    <m/>
    <m/>
    <m/>
    <m/>
    <m/>
    <m/>
    <n v="0"/>
    <m/>
    <m/>
    <m/>
    <m/>
    <m/>
    <m/>
    <m/>
    <m/>
    <m/>
    <n v="71500"/>
    <n v="56992"/>
    <m/>
    <m/>
    <m/>
  </r>
  <r>
    <x v="1272"/>
    <n v="255977.841935484"/>
    <n v="4.3290322580645197"/>
    <n v="3.5067566308243698"/>
    <n v="0.81005555555555597"/>
    <n v="0.99"/>
    <m/>
    <m/>
    <m/>
    <m/>
    <m/>
    <n v="0"/>
    <m/>
    <n v="0"/>
    <n v="0"/>
    <n v="0"/>
    <n v="0"/>
    <n v="0"/>
    <m/>
    <m/>
    <m/>
    <m/>
    <m/>
    <m/>
    <m/>
    <m/>
    <m/>
    <m/>
    <n v="0"/>
    <n v="0"/>
    <m/>
    <m/>
    <m/>
    <m/>
    <m/>
    <m/>
    <m/>
    <m/>
    <m/>
    <m/>
    <m/>
    <m/>
    <n v="0"/>
    <m/>
    <m/>
    <m/>
    <m/>
    <m/>
    <m/>
    <m/>
    <m/>
    <m/>
    <n v="71500"/>
    <n v="56992"/>
    <m/>
    <m/>
    <m/>
  </r>
  <r>
    <x v="1273"/>
    <n v="255977.841935484"/>
    <n v="4.3290322580645197"/>
    <n v="3.50670853046595"/>
    <n v="0.81004444444444401"/>
    <n v="0.99"/>
    <m/>
    <m/>
    <m/>
    <m/>
    <m/>
    <n v="0"/>
    <m/>
    <n v="0"/>
    <n v="0"/>
    <n v="0"/>
    <n v="0"/>
    <n v="0"/>
    <m/>
    <m/>
    <m/>
    <m/>
    <m/>
    <m/>
    <m/>
    <m/>
    <m/>
    <m/>
    <n v="0"/>
    <n v="0"/>
    <m/>
    <m/>
    <m/>
    <m/>
    <m/>
    <m/>
    <m/>
    <m/>
    <m/>
    <m/>
    <m/>
    <m/>
    <n v="0"/>
    <m/>
    <m/>
    <m/>
    <m/>
    <m/>
    <m/>
    <m/>
    <m/>
    <m/>
    <n v="71500"/>
    <n v="56992"/>
    <m/>
    <m/>
    <m/>
  </r>
  <r>
    <x v="1274"/>
    <n v="255977.841935484"/>
    <n v="4.3290322580645197"/>
    <n v="3.5066604301075301"/>
    <n v="0.81003333333333305"/>
    <n v="0.99"/>
    <m/>
    <m/>
    <m/>
    <m/>
    <m/>
    <n v="0"/>
    <m/>
    <n v="0"/>
    <n v="0"/>
    <n v="0"/>
    <n v="0"/>
    <n v="0"/>
    <m/>
    <m/>
    <m/>
    <m/>
    <m/>
    <m/>
    <m/>
    <m/>
    <m/>
    <m/>
    <n v="0"/>
    <n v="0"/>
    <m/>
    <m/>
    <m/>
    <m/>
    <m/>
    <m/>
    <m/>
    <m/>
    <m/>
    <m/>
    <m/>
    <m/>
    <n v="0"/>
    <m/>
    <m/>
    <m/>
    <m/>
    <m/>
    <m/>
    <m/>
    <m/>
    <m/>
    <n v="71500"/>
    <n v="56992"/>
    <m/>
    <m/>
    <m/>
  </r>
  <r>
    <x v="1275"/>
    <n v="255977.841935484"/>
    <n v="4.3290322580645197"/>
    <n v="3.5066123297491001"/>
    <n v="0.81002222222222198"/>
    <n v="0.99"/>
    <m/>
    <m/>
    <m/>
    <m/>
    <m/>
    <n v="0"/>
    <m/>
    <n v="0"/>
    <n v="0"/>
    <n v="0"/>
    <n v="0"/>
    <n v="0"/>
    <m/>
    <m/>
    <m/>
    <m/>
    <m/>
    <m/>
    <m/>
    <m/>
    <m/>
    <m/>
    <n v="0"/>
    <n v="0"/>
    <m/>
    <m/>
    <m/>
    <m/>
    <m/>
    <m/>
    <m/>
    <m/>
    <m/>
    <m/>
    <m/>
    <m/>
    <n v="0"/>
    <m/>
    <m/>
    <m/>
    <m/>
    <m/>
    <m/>
    <m/>
    <m/>
    <m/>
    <n v="71500"/>
    <n v="56992"/>
    <m/>
    <m/>
    <m/>
  </r>
  <r>
    <x v="1276"/>
    <n v="255977.841935484"/>
    <n v="4.3290322580645197"/>
    <n v="3.5065642293906798"/>
    <n v="0.81001111111111102"/>
    <n v="0.99"/>
    <m/>
    <m/>
    <m/>
    <m/>
    <m/>
    <n v="0"/>
    <m/>
    <n v="0"/>
    <n v="0"/>
    <n v="0"/>
    <n v="0"/>
    <n v="0"/>
    <m/>
    <m/>
    <m/>
    <m/>
    <m/>
    <m/>
    <m/>
    <m/>
    <m/>
    <m/>
    <n v="0"/>
    <n v="0"/>
    <m/>
    <m/>
    <m/>
    <m/>
    <m/>
    <m/>
    <m/>
    <m/>
    <m/>
    <m/>
    <m/>
    <m/>
    <n v="0"/>
    <m/>
    <m/>
    <m/>
    <m/>
    <m/>
    <m/>
    <m/>
    <m/>
    <m/>
    <n v="71500"/>
    <n v="56992"/>
    <m/>
    <m/>
    <m/>
  </r>
  <r>
    <x v="1277"/>
    <n v="255977.841935484"/>
    <n v="4.3290322580645197"/>
    <n v="3.50651612903226"/>
    <n v="0.81"/>
    <n v="0.99"/>
    <m/>
    <m/>
    <m/>
    <m/>
    <m/>
    <n v="0"/>
    <m/>
    <n v="0"/>
    <n v="0"/>
    <n v="0"/>
    <n v="0"/>
    <n v="0"/>
    <m/>
    <m/>
    <m/>
    <m/>
    <m/>
    <m/>
    <m/>
    <m/>
    <m/>
    <m/>
    <n v="0"/>
    <n v="0"/>
    <m/>
    <m/>
    <m/>
    <m/>
    <m/>
    <m/>
    <m/>
    <m/>
    <m/>
    <m/>
    <m/>
    <m/>
    <n v="0"/>
    <m/>
    <m/>
    <m/>
    <m/>
    <m/>
    <m/>
    <m/>
    <m/>
    <m/>
    <n v="71500"/>
    <n v="56992"/>
    <m/>
    <m/>
    <m/>
  </r>
  <r>
    <x v="1278"/>
    <n v="236808"/>
    <n v="4.1399999999999997"/>
    <n v="3.3534000000000002"/>
    <n v="0.81"/>
    <n v="0.99"/>
    <m/>
    <m/>
    <m/>
    <m/>
    <m/>
    <n v="0"/>
    <m/>
    <n v="0"/>
    <n v="0"/>
    <n v="0"/>
    <n v="0"/>
    <n v="0"/>
    <m/>
    <m/>
    <m/>
    <m/>
    <m/>
    <m/>
    <m/>
    <m/>
    <m/>
    <m/>
    <n v="0"/>
    <n v="0"/>
    <m/>
    <m/>
    <m/>
    <m/>
    <m/>
    <m/>
    <m/>
    <m/>
    <m/>
    <m/>
    <m/>
    <m/>
    <n v="0"/>
    <m/>
    <m/>
    <m/>
    <m/>
    <m/>
    <m/>
    <m/>
    <m/>
    <m/>
    <n v="71500"/>
    <n v="56992"/>
    <m/>
    <m/>
    <m/>
  </r>
  <r>
    <x v="1279"/>
    <n v="236808"/>
    <n v="4.1399999999999997"/>
    <n v="3.3533539999999999"/>
    <n v="0.80998888888888898"/>
    <n v="0.99"/>
    <m/>
    <m/>
    <m/>
    <m/>
    <m/>
    <n v="0"/>
    <m/>
    <n v="0"/>
    <n v="0"/>
    <n v="0"/>
    <n v="0"/>
    <n v="0"/>
    <m/>
    <m/>
    <m/>
    <m/>
    <m/>
    <m/>
    <m/>
    <m/>
    <m/>
    <m/>
    <n v="0"/>
    <n v="0"/>
    <m/>
    <m/>
    <m/>
    <m/>
    <m/>
    <m/>
    <m/>
    <m/>
    <m/>
    <m/>
    <m/>
    <m/>
    <n v="0"/>
    <m/>
    <m/>
    <m/>
    <m/>
    <m/>
    <m/>
    <m/>
    <m/>
    <m/>
    <n v="71500"/>
    <n v="56992"/>
    <m/>
    <m/>
    <m/>
  </r>
  <r>
    <x v="1280"/>
    <n v="236808"/>
    <n v="4.1399999999999997"/>
    <n v="3.3533080000000002"/>
    <n v="0.80997777777777802"/>
    <n v="0.99"/>
    <m/>
    <m/>
    <m/>
    <m/>
    <m/>
    <n v="0"/>
    <m/>
    <n v="0"/>
    <n v="0"/>
    <n v="0"/>
    <n v="0"/>
    <n v="0"/>
    <m/>
    <m/>
    <m/>
    <m/>
    <m/>
    <m/>
    <m/>
    <m/>
    <m/>
    <m/>
    <n v="0"/>
    <n v="0"/>
    <m/>
    <m/>
    <m/>
    <m/>
    <m/>
    <m/>
    <m/>
    <m/>
    <m/>
    <m/>
    <m/>
    <m/>
    <n v="0"/>
    <m/>
    <m/>
    <m/>
    <m/>
    <m/>
    <m/>
    <m/>
    <m/>
    <m/>
    <n v="71500"/>
    <n v="56992"/>
    <m/>
    <m/>
    <m/>
  </r>
  <r>
    <x v="1281"/>
    <n v="236808"/>
    <n v="4.1399999999999997"/>
    <n v="3.353262"/>
    <n v="0.80996666666666695"/>
    <n v="0.99"/>
    <m/>
    <m/>
    <m/>
    <m/>
    <m/>
    <n v="0"/>
    <m/>
    <n v="0"/>
    <n v="0"/>
    <n v="0"/>
    <n v="0"/>
    <n v="0"/>
    <m/>
    <m/>
    <m/>
    <m/>
    <m/>
    <m/>
    <m/>
    <m/>
    <m/>
    <m/>
    <n v="0"/>
    <n v="0"/>
    <m/>
    <m/>
    <m/>
    <m/>
    <m/>
    <m/>
    <m/>
    <m/>
    <m/>
    <m/>
    <m/>
    <m/>
    <n v="0"/>
    <m/>
    <m/>
    <m/>
    <m/>
    <m/>
    <m/>
    <m/>
    <m/>
    <m/>
    <n v="71500"/>
    <n v="56992"/>
    <m/>
    <m/>
    <m/>
  </r>
  <r>
    <x v="1282"/>
    <n v="236808"/>
    <n v="4.1399999999999997"/>
    <n v="3.3532160000000002"/>
    <n v="0.80995555555555598"/>
    <n v="0.99"/>
    <m/>
    <m/>
    <m/>
    <m/>
    <m/>
    <n v="0"/>
    <m/>
    <n v="0"/>
    <n v="0"/>
    <n v="0"/>
    <n v="0"/>
    <n v="0"/>
    <m/>
    <m/>
    <m/>
    <m/>
    <m/>
    <m/>
    <m/>
    <m/>
    <m/>
    <m/>
    <n v="0"/>
    <n v="0"/>
    <m/>
    <m/>
    <m/>
    <m/>
    <m/>
    <m/>
    <m/>
    <m/>
    <m/>
    <m/>
    <m/>
    <m/>
    <n v="0"/>
    <m/>
    <m/>
    <m/>
    <m/>
    <m/>
    <m/>
    <m/>
    <m/>
    <m/>
    <n v="71500"/>
    <n v="56992"/>
    <m/>
    <m/>
    <m/>
  </r>
  <r>
    <x v="1283"/>
    <n v="236808"/>
    <n v="4.1399999999999997"/>
    <n v="3.35317"/>
    <n v="0.80994444444444402"/>
    <n v="0.99"/>
    <m/>
    <m/>
    <m/>
    <m/>
    <m/>
    <n v="0"/>
    <m/>
    <n v="0"/>
    <n v="0"/>
    <n v="0"/>
    <n v="0"/>
    <n v="0"/>
    <m/>
    <m/>
    <m/>
    <m/>
    <m/>
    <m/>
    <m/>
    <m/>
    <m/>
    <m/>
    <n v="0"/>
    <n v="0"/>
    <m/>
    <m/>
    <m/>
    <m/>
    <m/>
    <m/>
    <m/>
    <m/>
    <m/>
    <m/>
    <m/>
    <m/>
    <n v="0"/>
    <m/>
    <m/>
    <m/>
    <m/>
    <m/>
    <m/>
    <m/>
    <m/>
    <m/>
    <n v="71500"/>
    <n v="56992"/>
    <m/>
    <m/>
    <m/>
  </r>
  <r>
    <x v="1284"/>
    <n v="236808"/>
    <n v="4.1399999999999997"/>
    <n v="3.3531240000000002"/>
    <n v="0.80993333333333295"/>
    <n v="0.99"/>
    <m/>
    <m/>
    <m/>
    <m/>
    <m/>
    <n v="0"/>
    <m/>
    <n v="0"/>
    <n v="0"/>
    <n v="0"/>
    <n v="0"/>
    <n v="0"/>
    <m/>
    <m/>
    <m/>
    <m/>
    <m/>
    <m/>
    <m/>
    <m/>
    <m/>
    <m/>
    <n v="0"/>
    <n v="0"/>
    <m/>
    <m/>
    <m/>
    <m/>
    <m/>
    <m/>
    <m/>
    <m/>
    <m/>
    <m/>
    <m/>
    <m/>
    <n v="0"/>
    <m/>
    <m/>
    <m/>
    <m/>
    <m/>
    <m/>
    <m/>
    <m/>
    <m/>
    <n v="71500"/>
    <n v="56992"/>
    <m/>
    <m/>
    <m/>
  </r>
  <r>
    <x v="1285"/>
    <n v="236808"/>
    <n v="4.1399999999999997"/>
    <n v="3.353078"/>
    <n v="0.80992222222222199"/>
    <n v="0.99"/>
    <m/>
    <m/>
    <m/>
    <m/>
    <m/>
    <n v="0"/>
    <m/>
    <n v="0"/>
    <n v="0"/>
    <n v="0"/>
    <n v="0"/>
    <n v="0"/>
    <m/>
    <m/>
    <m/>
    <m/>
    <m/>
    <m/>
    <m/>
    <m/>
    <m/>
    <m/>
    <n v="0"/>
    <n v="0"/>
    <m/>
    <m/>
    <m/>
    <m/>
    <m/>
    <m/>
    <m/>
    <m/>
    <m/>
    <m/>
    <m/>
    <m/>
    <n v="0"/>
    <m/>
    <m/>
    <m/>
    <m/>
    <m/>
    <m/>
    <m/>
    <m/>
    <m/>
    <n v="71500"/>
    <n v="56992"/>
    <m/>
    <m/>
    <m/>
  </r>
  <r>
    <x v="1286"/>
    <n v="236808"/>
    <n v="4.1399999999999997"/>
    <n v="3.3530319999999998"/>
    <n v="0.80991111111111103"/>
    <n v="0.99"/>
    <m/>
    <m/>
    <m/>
    <m/>
    <m/>
    <n v="0"/>
    <m/>
    <n v="0"/>
    <n v="0"/>
    <n v="0"/>
    <n v="0"/>
    <n v="0"/>
    <m/>
    <m/>
    <m/>
    <m/>
    <m/>
    <m/>
    <m/>
    <m/>
    <m/>
    <m/>
    <n v="0"/>
    <n v="0"/>
    <m/>
    <m/>
    <m/>
    <m/>
    <m/>
    <m/>
    <m/>
    <m/>
    <m/>
    <m/>
    <m/>
    <m/>
    <n v="0"/>
    <m/>
    <m/>
    <m/>
    <m/>
    <m/>
    <m/>
    <m/>
    <m/>
    <m/>
    <n v="71500"/>
    <n v="56992"/>
    <m/>
    <m/>
    <m/>
  </r>
  <r>
    <x v="1287"/>
    <n v="236808"/>
    <n v="4.1399999999999997"/>
    <n v="3.352986"/>
    <n v="0.80989999999999995"/>
    <n v="0.99"/>
    <m/>
    <m/>
    <m/>
    <m/>
    <m/>
    <n v="0"/>
    <m/>
    <n v="0"/>
    <n v="0"/>
    <n v="0"/>
    <n v="0"/>
    <n v="0"/>
    <m/>
    <m/>
    <m/>
    <m/>
    <m/>
    <m/>
    <m/>
    <m/>
    <m/>
    <m/>
    <n v="0"/>
    <n v="0"/>
    <m/>
    <m/>
    <m/>
    <m/>
    <m/>
    <m/>
    <m/>
    <m/>
    <m/>
    <m/>
    <m/>
    <m/>
    <n v="0"/>
    <m/>
    <m/>
    <m/>
    <m/>
    <m/>
    <m/>
    <m/>
    <m/>
    <m/>
    <n v="71500"/>
    <n v="56992"/>
    <m/>
    <m/>
    <m/>
  </r>
  <r>
    <x v="1288"/>
    <n v="236808"/>
    <n v="4.1399999999999997"/>
    <n v="3.3529399999999998"/>
    <n v="0.80988888888888899"/>
    <n v="0.99"/>
    <m/>
    <m/>
    <m/>
    <m/>
    <m/>
    <n v="0"/>
    <m/>
    <n v="0"/>
    <n v="0"/>
    <n v="0"/>
    <n v="0"/>
    <n v="0"/>
    <m/>
    <m/>
    <m/>
    <m/>
    <m/>
    <m/>
    <m/>
    <m/>
    <m/>
    <m/>
    <n v="0"/>
    <n v="0"/>
    <m/>
    <m/>
    <m/>
    <m/>
    <m/>
    <m/>
    <m/>
    <m/>
    <m/>
    <m/>
    <m/>
    <m/>
    <n v="0"/>
    <m/>
    <m/>
    <m/>
    <m/>
    <m/>
    <m/>
    <m/>
    <m/>
    <m/>
    <n v="71500"/>
    <n v="56992"/>
    <m/>
    <m/>
    <m/>
  </r>
  <r>
    <x v="1289"/>
    <n v="236808"/>
    <n v="4.1399999999999997"/>
    <n v="3.352894"/>
    <n v="0.80987777777777803"/>
    <n v="0.99"/>
    <m/>
    <m/>
    <m/>
    <m/>
    <m/>
    <n v="0"/>
    <m/>
    <n v="0"/>
    <n v="0"/>
    <n v="0"/>
    <n v="0"/>
    <n v="0"/>
    <m/>
    <m/>
    <m/>
    <m/>
    <m/>
    <m/>
    <m/>
    <m/>
    <m/>
    <m/>
    <n v="0"/>
    <n v="0"/>
    <m/>
    <m/>
    <m/>
    <m/>
    <m/>
    <m/>
    <m/>
    <m/>
    <m/>
    <m/>
    <m/>
    <m/>
    <n v="0"/>
    <m/>
    <m/>
    <m/>
    <m/>
    <m/>
    <m/>
    <m/>
    <m/>
    <m/>
    <n v="71500"/>
    <n v="56992"/>
    <m/>
    <m/>
    <m/>
  </r>
  <r>
    <x v="1290"/>
    <n v="236808"/>
    <n v="4.1399999999999997"/>
    <n v="3.3528479999999998"/>
    <n v="0.80986666666666696"/>
    <n v="0.99"/>
    <m/>
    <m/>
    <m/>
    <m/>
    <m/>
    <n v="0"/>
    <m/>
    <n v="0"/>
    <n v="0"/>
    <n v="0"/>
    <n v="0"/>
    <n v="0"/>
    <m/>
    <m/>
    <m/>
    <m/>
    <m/>
    <m/>
    <m/>
    <m/>
    <m/>
    <m/>
    <n v="0"/>
    <n v="0"/>
    <m/>
    <m/>
    <m/>
    <m/>
    <m/>
    <m/>
    <m/>
    <m/>
    <m/>
    <m/>
    <m/>
    <m/>
    <n v="0"/>
    <m/>
    <m/>
    <m/>
    <m/>
    <m/>
    <m/>
    <m/>
    <m/>
    <m/>
    <n v="71500"/>
    <n v="56992"/>
    <m/>
    <m/>
    <m/>
  </r>
  <r>
    <x v="1291"/>
    <n v="236808"/>
    <n v="4.1399999999999997"/>
    <n v="3.3528020000000001"/>
    <n v="0.80985555555555599"/>
    <n v="0.99"/>
    <m/>
    <m/>
    <m/>
    <m/>
    <m/>
    <n v="0"/>
    <m/>
    <n v="0"/>
    <n v="0"/>
    <n v="0"/>
    <n v="0"/>
    <n v="0"/>
    <m/>
    <m/>
    <m/>
    <m/>
    <m/>
    <m/>
    <m/>
    <m/>
    <m/>
    <m/>
    <n v="0"/>
    <n v="0"/>
    <m/>
    <m/>
    <m/>
    <m/>
    <m/>
    <m/>
    <m/>
    <m/>
    <m/>
    <m/>
    <m/>
    <m/>
    <n v="0"/>
    <m/>
    <m/>
    <m/>
    <m/>
    <m/>
    <m/>
    <m/>
    <m/>
    <m/>
    <n v="71500"/>
    <n v="56992"/>
    <m/>
    <m/>
    <m/>
  </r>
  <r>
    <x v="1292"/>
    <n v="236808"/>
    <n v="4.1399999999999997"/>
    <n v="3.3527559999999998"/>
    <n v="0.80984444444444403"/>
    <n v="0.99"/>
    <m/>
    <m/>
    <m/>
    <m/>
    <m/>
    <n v="0"/>
    <m/>
    <n v="0"/>
    <n v="0"/>
    <n v="0"/>
    <n v="0"/>
    <n v="0"/>
    <m/>
    <m/>
    <m/>
    <m/>
    <m/>
    <m/>
    <m/>
    <m/>
    <m/>
    <m/>
    <n v="0"/>
    <n v="0"/>
    <m/>
    <m/>
    <m/>
    <m/>
    <m/>
    <m/>
    <m/>
    <m/>
    <m/>
    <m/>
    <m/>
    <m/>
    <n v="0"/>
    <m/>
    <m/>
    <m/>
    <m/>
    <m/>
    <m/>
    <m/>
    <m/>
    <m/>
    <n v="71500"/>
    <n v="56992"/>
    <m/>
    <m/>
    <m/>
  </r>
  <r>
    <x v="1293"/>
    <n v="236808"/>
    <n v="4.1399999999999997"/>
    <n v="3.3527100000000001"/>
    <n v="0.80983333333333296"/>
    <n v="0.99"/>
    <m/>
    <m/>
    <m/>
    <m/>
    <m/>
    <n v="0"/>
    <m/>
    <n v="0"/>
    <n v="0"/>
    <n v="0"/>
    <n v="0"/>
    <n v="0"/>
    <m/>
    <m/>
    <m/>
    <m/>
    <m/>
    <m/>
    <m/>
    <m/>
    <m/>
    <m/>
    <n v="0"/>
    <n v="0"/>
    <m/>
    <m/>
    <m/>
    <m/>
    <m/>
    <m/>
    <m/>
    <m/>
    <m/>
    <m/>
    <m/>
    <m/>
    <n v="0"/>
    <m/>
    <m/>
    <m/>
    <m/>
    <m/>
    <m/>
    <m/>
    <m/>
    <m/>
    <n v="71500"/>
    <n v="56992"/>
    <m/>
    <m/>
    <m/>
  </r>
  <r>
    <x v="1294"/>
    <n v="236808"/>
    <n v="4.1399999999999997"/>
    <n v="3.3526639999999999"/>
    <n v="0.809822222222222"/>
    <n v="0.99"/>
    <m/>
    <m/>
    <m/>
    <m/>
    <m/>
    <n v="0"/>
    <m/>
    <n v="0"/>
    <n v="0"/>
    <n v="0"/>
    <n v="0"/>
    <n v="0"/>
    <m/>
    <m/>
    <m/>
    <m/>
    <m/>
    <m/>
    <m/>
    <m/>
    <m/>
    <m/>
    <n v="0"/>
    <n v="0"/>
    <m/>
    <m/>
    <m/>
    <m/>
    <m/>
    <m/>
    <m/>
    <m/>
    <m/>
    <m/>
    <m/>
    <m/>
    <n v="0"/>
    <m/>
    <m/>
    <m/>
    <m/>
    <m/>
    <m/>
    <m/>
    <m/>
    <m/>
    <n v="71500"/>
    <n v="56992"/>
    <m/>
    <m/>
    <m/>
  </r>
  <r>
    <x v="1295"/>
    <n v="236808"/>
    <n v="4.1399999999999997"/>
    <n v="3.3526180000000001"/>
    <n v="0.80981111111111104"/>
    <n v="0.99"/>
    <m/>
    <m/>
    <m/>
    <m/>
    <m/>
    <n v="0"/>
    <m/>
    <n v="0"/>
    <n v="0"/>
    <n v="0"/>
    <n v="0"/>
    <n v="0"/>
    <m/>
    <m/>
    <m/>
    <m/>
    <m/>
    <m/>
    <m/>
    <m/>
    <m/>
    <m/>
    <n v="0"/>
    <n v="0"/>
    <m/>
    <m/>
    <m/>
    <m/>
    <m/>
    <m/>
    <m/>
    <m/>
    <m/>
    <m/>
    <m/>
    <m/>
    <n v="0"/>
    <m/>
    <m/>
    <m/>
    <m/>
    <m/>
    <m/>
    <m/>
    <m/>
    <m/>
    <n v="71500"/>
    <n v="56992"/>
    <m/>
    <m/>
    <m/>
  </r>
  <r>
    <x v="1296"/>
    <n v="236808"/>
    <n v="4.1399999999999997"/>
    <n v="3.3525719999999999"/>
    <n v="0.80979999999999996"/>
    <n v="0.99"/>
    <m/>
    <m/>
    <m/>
    <m/>
    <m/>
    <n v="0"/>
    <m/>
    <n v="0"/>
    <n v="0"/>
    <n v="0"/>
    <n v="0"/>
    <n v="0"/>
    <m/>
    <m/>
    <m/>
    <m/>
    <m/>
    <m/>
    <m/>
    <m/>
    <m/>
    <m/>
    <n v="0"/>
    <n v="0"/>
    <m/>
    <m/>
    <m/>
    <m/>
    <m/>
    <m/>
    <m/>
    <m/>
    <m/>
    <m/>
    <m/>
    <m/>
    <n v="0"/>
    <m/>
    <m/>
    <m/>
    <m/>
    <m/>
    <m/>
    <m/>
    <m/>
    <m/>
    <n v="71500"/>
    <n v="56992"/>
    <m/>
    <m/>
    <m/>
  </r>
  <r>
    <x v="1297"/>
    <n v="236808"/>
    <n v="4.1399999999999997"/>
    <n v="3.3525260000000001"/>
    <n v="0.809788888888889"/>
    <n v="0.99"/>
    <m/>
    <m/>
    <m/>
    <m/>
    <m/>
    <n v="0"/>
    <m/>
    <n v="0"/>
    <n v="0"/>
    <n v="0"/>
    <n v="0"/>
    <n v="0"/>
    <m/>
    <m/>
    <m/>
    <m/>
    <m/>
    <m/>
    <m/>
    <m/>
    <m/>
    <m/>
    <n v="0"/>
    <n v="0"/>
    <m/>
    <m/>
    <m/>
    <m/>
    <m/>
    <m/>
    <m/>
    <m/>
    <m/>
    <m/>
    <m/>
    <m/>
    <n v="0"/>
    <m/>
    <m/>
    <m/>
    <m/>
    <m/>
    <m/>
    <m/>
    <m/>
    <m/>
    <n v="71500"/>
    <n v="56992"/>
    <m/>
    <m/>
    <m/>
  </r>
  <r>
    <x v="1298"/>
    <n v="236808"/>
    <n v="4.1399999999999997"/>
    <n v="3.3524799999999999"/>
    <n v="0.80977777777777804"/>
    <n v="0.99"/>
    <m/>
    <m/>
    <m/>
    <m/>
    <m/>
    <n v="0"/>
    <m/>
    <n v="0"/>
    <n v="0"/>
    <n v="0"/>
    <n v="0"/>
    <n v="0"/>
    <m/>
    <m/>
    <m/>
    <m/>
    <m/>
    <m/>
    <m/>
    <m/>
    <m/>
    <m/>
    <n v="0"/>
    <n v="0"/>
    <m/>
    <m/>
    <m/>
    <m/>
    <m/>
    <m/>
    <m/>
    <m/>
    <m/>
    <m/>
    <m/>
    <m/>
    <n v="0"/>
    <m/>
    <m/>
    <m/>
    <m/>
    <m/>
    <m/>
    <m/>
    <m/>
    <m/>
    <n v="71500"/>
    <n v="56992"/>
    <m/>
    <m/>
    <m/>
  </r>
  <r>
    <x v="1299"/>
    <n v="236808"/>
    <n v="4.1399999999999997"/>
    <n v="3.3524340000000001"/>
    <n v="0.80976666666666697"/>
    <n v="0.99"/>
    <m/>
    <m/>
    <m/>
    <m/>
    <m/>
    <n v="0"/>
    <m/>
    <n v="0"/>
    <n v="0"/>
    <n v="0"/>
    <n v="0"/>
    <n v="0"/>
    <m/>
    <m/>
    <m/>
    <m/>
    <m/>
    <m/>
    <m/>
    <m/>
    <m/>
    <m/>
    <n v="0"/>
    <n v="0"/>
    <m/>
    <m/>
    <m/>
    <m/>
    <m/>
    <m/>
    <m/>
    <m/>
    <m/>
    <m/>
    <m/>
    <m/>
    <n v="0"/>
    <m/>
    <m/>
    <m/>
    <m/>
    <m/>
    <m/>
    <m/>
    <m/>
    <m/>
    <n v="71500"/>
    <n v="56992"/>
    <m/>
    <m/>
    <m/>
  </r>
  <r>
    <x v="1300"/>
    <n v="236808"/>
    <n v="4.1399999999999997"/>
    <n v="3.3523879999999999"/>
    <n v="0.80975555555555601"/>
    <n v="0.99"/>
    <m/>
    <m/>
    <m/>
    <m/>
    <m/>
    <n v="0"/>
    <m/>
    <n v="0"/>
    <n v="0"/>
    <n v="0"/>
    <n v="0"/>
    <n v="0"/>
    <m/>
    <m/>
    <m/>
    <m/>
    <m/>
    <m/>
    <m/>
    <m/>
    <m/>
    <m/>
    <n v="0"/>
    <n v="0"/>
    <m/>
    <m/>
    <m/>
    <m/>
    <m/>
    <m/>
    <m/>
    <m/>
    <m/>
    <m/>
    <m/>
    <m/>
    <n v="0"/>
    <m/>
    <m/>
    <m/>
    <m/>
    <m/>
    <m/>
    <m/>
    <m/>
    <m/>
    <n v="71500"/>
    <n v="56992"/>
    <m/>
    <m/>
    <m/>
  </r>
  <r>
    <x v="1301"/>
    <n v="236808"/>
    <n v="4.1399999999999997"/>
    <n v="3.3523420000000002"/>
    <n v="0.80974444444444404"/>
    <n v="0.99"/>
    <m/>
    <m/>
    <m/>
    <m/>
    <m/>
    <n v="0"/>
    <m/>
    <n v="0"/>
    <n v="0"/>
    <n v="0"/>
    <n v="0"/>
    <n v="0"/>
    <m/>
    <m/>
    <m/>
    <m/>
    <m/>
    <m/>
    <m/>
    <m/>
    <m/>
    <m/>
    <n v="0"/>
    <n v="0"/>
    <m/>
    <m/>
    <m/>
    <m/>
    <m/>
    <m/>
    <m/>
    <m/>
    <m/>
    <m/>
    <m/>
    <m/>
    <n v="0"/>
    <m/>
    <m/>
    <m/>
    <m/>
    <m/>
    <m/>
    <m/>
    <m/>
    <m/>
    <n v="71500"/>
    <n v="56992"/>
    <m/>
    <m/>
    <m/>
  </r>
  <r>
    <x v="1302"/>
    <n v="236808"/>
    <n v="4.1399999999999997"/>
    <n v="3.3522959999999999"/>
    <n v="0.80973333333333297"/>
    <n v="0.99"/>
    <m/>
    <m/>
    <m/>
    <m/>
    <m/>
    <n v="0"/>
    <m/>
    <n v="0"/>
    <n v="0"/>
    <n v="0"/>
    <n v="0"/>
    <n v="0"/>
    <m/>
    <m/>
    <m/>
    <m/>
    <m/>
    <m/>
    <m/>
    <m/>
    <m/>
    <m/>
    <n v="0"/>
    <n v="0"/>
    <m/>
    <m/>
    <m/>
    <m/>
    <m/>
    <m/>
    <m/>
    <m/>
    <m/>
    <m/>
    <m/>
    <m/>
    <n v="0"/>
    <m/>
    <m/>
    <m/>
    <m/>
    <m/>
    <m/>
    <m/>
    <m/>
    <m/>
    <n v="71500"/>
    <n v="56992"/>
    <m/>
    <m/>
    <m/>
  </r>
  <r>
    <x v="1303"/>
    <n v="236808"/>
    <n v="4.1399999999999997"/>
    <n v="3.3522500000000002"/>
    <n v="0.80972222222222201"/>
    <n v="0.99"/>
    <m/>
    <m/>
    <m/>
    <m/>
    <m/>
    <n v="0"/>
    <m/>
    <n v="0"/>
    <n v="0"/>
    <n v="0"/>
    <n v="0"/>
    <n v="0"/>
    <m/>
    <m/>
    <m/>
    <m/>
    <m/>
    <m/>
    <m/>
    <m/>
    <m/>
    <m/>
    <n v="0"/>
    <n v="0"/>
    <m/>
    <m/>
    <m/>
    <m/>
    <m/>
    <m/>
    <m/>
    <m/>
    <m/>
    <m/>
    <m/>
    <m/>
    <n v="0"/>
    <m/>
    <m/>
    <m/>
    <m/>
    <m/>
    <m/>
    <m/>
    <m/>
    <m/>
    <n v="71500"/>
    <n v="56992"/>
    <m/>
    <m/>
    <m/>
  </r>
  <r>
    <x v="1304"/>
    <n v="236808"/>
    <n v="4.1399999999999997"/>
    <n v="3.352204"/>
    <n v="0.80971111111111105"/>
    <n v="0.99"/>
    <m/>
    <m/>
    <m/>
    <m/>
    <m/>
    <n v="0"/>
    <m/>
    <n v="0"/>
    <n v="0"/>
    <n v="0"/>
    <n v="0"/>
    <n v="0"/>
    <m/>
    <m/>
    <m/>
    <m/>
    <m/>
    <m/>
    <m/>
    <m/>
    <m/>
    <m/>
    <n v="0"/>
    <n v="0"/>
    <m/>
    <m/>
    <m/>
    <m/>
    <m/>
    <m/>
    <m/>
    <m/>
    <m/>
    <m/>
    <m/>
    <m/>
    <n v="0"/>
    <m/>
    <m/>
    <m/>
    <m/>
    <m/>
    <m/>
    <m/>
    <m/>
    <m/>
    <n v="71500"/>
    <n v="56992"/>
    <m/>
    <m/>
    <m/>
  </r>
  <r>
    <x v="1305"/>
    <n v="236808"/>
    <n v="4.1399999999999997"/>
    <n v="3.3521580000000002"/>
    <n v="0.80969999999999998"/>
    <n v="0.99"/>
    <m/>
    <m/>
    <m/>
    <m/>
    <m/>
    <n v="0"/>
    <m/>
    <n v="0"/>
    <n v="0"/>
    <n v="0"/>
    <n v="0"/>
    <n v="0"/>
    <m/>
    <m/>
    <m/>
    <m/>
    <m/>
    <m/>
    <m/>
    <m/>
    <m/>
    <m/>
    <n v="0"/>
    <n v="0"/>
    <m/>
    <m/>
    <m/>
    <m/>
    <m/>
    <m/>
    <m/>
    <m/>
    <m/>
    <m/>
    <m/>
    <m/>
    <n v="0"/>
    <m/>
    <m/>
    <m/>
    <m/>
    <m/>
    <m/>
    <m/>
    <m/>
    <m/>
    <n v="71500"/>
    <n v="56992"/>
    <m/>
    <m/>
    <m/>
  </r>
  <r>
    <x v="1306"/>
    <n v="236808"/>
    <n v="4.1399999999999997"/>
    <n v="3.352112"/>
    <n v="0.80968888888888901"/>
    <n v="0.99"/>
    <m/>
    <m/>
    <m/>
    <m/>
    <m/>
    <n v="0"/>
    <m/>
    <n v="0"/>
    <n v="0"/>
    <n v="0"/>
    <n v="0"/>
    <n v="0"/>
    <m/>
    <m/>
    <m/>
    <m/>
    <m/>
    <m/>
    <m/>
    <m/>
    <m/>
    <m/>
    <n v="0"/>
    <n v="0"/>
    <m/>
    <m/>
    <m/>
    <m/>
    <m/>
    <m/>
    <m/>
    <m/>
    <m/>
    <m/>
    <m/>
    <m/>
    <n v="0"/>
    <m/>
    <m/>
    <m/>
    <m/>
    <m/>
    <m/>
    <m/>
    <m/>
    <m/>
    <n v="71500"/>
    <n v="56992"/>
    <m/>
    <m/>
    <m/>
  </r>
  <r>
    <x v="1307"/>
    <n v="236808"/>
    <n v="4.1399999999999997"/>
    <n v="3.3520660000000002"/>
    <n v="0.80967777777777805"/>
    <n v="0.99"/>
    <m/>
    <m/>
    <m/>
    <m/>
    <m/>
    <n v="0"/>
    <m/>
    <n v="0"/>
    <n v="0"/>
    <n v="0"/>
    <n v="0"/>
    <n v="0"/>
    <m/>
    <m/>
    <m/>
    <m/>
    <m/>
    <m/>
    <m/>
    <m/>
    <m/>
    <m/>
    <n v="0"/>
    <n v="0"/>
    <m/>
    <m/>
    <m/>
    <m/>
    <m/>
    <m/>
    <m/>
    <m/>
    <m/>
    <m/>
    <m/>
    <m/>
    <n v="0"/>
    <m/>
    <m/>
    <m/>
    <m/>
    <m/>
    <m/>
    <m/>
    <m/>
    <m/>
    <n v="71500"/>
    <n v="56992"/>
    <m/>
    <m/>
    <m/>
  </r>
  <r>
    <x v="1308"/>
    <n v="249932.632258064"/>
    <n v="4.2064516129032299"/>
    <n v="3.4058236559139798"/>
    <n v="0.80966666666666698"/>
    <n v="0.99"/>
    <m/>
    <m/>
    <m/>
    <m/>
    <m/>
    <n v="0"/>
    <m/>
    <n v="0"/>
    <n v="0"/>
    <n v="0"/>
    <n v="0"/>
    <n v="0"/>
    <m/>
    <m/>
    <m/>
    <m/>
    <m/>
    <m/>
    <m/>
    <m/>
    <m/>
    <m/>
    <n v="0"/>
    <n v="0"/>
    <m/>
    <m/>
    <m/>
    <m/>
    <m/>
    <m/>
    <m/>
    <m/>
    <m/>
    <m/>
    <m/>
    <m/>
    <n v="0"/>
    <m/>
    <m/>
    <m/>
    <m/>
    <m/>
    <m/>
    <m/>
    <m/>
    <m/>
    <n v="71500"/>
    <n v="56992"/>
    <m/>
    <m/>
    <m/>
  </r>
  <r>
    <x v="1309"/>
    <n v="249932.632258064"/>
    <n v="4.2064516129032299"/>
    <n v="3.4057769175627199"/>
    <n v="0.80965555555555602"/>
    <n v="0.99"/>
    <m/>
    <m/>
    <m/>
    <m/>
    <m/>
    <n v="0"/>
    <m/>
    <n v="0"/>
    <n v="0"/>
    <n v="0"/>
    <n v="0"/>
    <n v="0"/>
    <m/>
    <m/>
    <m/>
    <m/>
    <m/>
    <m/>
    <m/>
    <m/>
    <m/>
    <m/>
    <n v="0"/>
    <n v="0"/>
    <m/>
    <m/>
    <m/>
    <m/>
    <m/>
    <m/>
    <m/>
    <m/>
    <m/>
    <m/>
    <m/>
    <m/>
    <n v="0"/>
    <m/>
    <m/>
    <m/>
    <m/>
    <m/>
    <m/>
    <m/>
    <m/>
    <m/>
    <n v="71500"/>
    <n v="56992"/>
    <m/>
    <m/>
    <m/>
  </r>
  <r>
    <x v="1310"/>
    <n v="249932.632258064"/>
    <n v="4.2064516129032299"/>
    <n v="3.4057301792114698"/>
    <n v="0.80964444444444394"/>
    <n v="0.99"/>
    <m/>
    <m/>
    <m/>
    <m/>
    <m/>
    <n v="0"/>
    <m/>
    <n v="0"/>
    <n v="0"/>
    <n v="0"/>
    <n v="0"/>
    <n v="0"/>
    <m/>
    <m/>
    <m/>
    <m/>
    <m/>
    <m/>
    <m/>
    <m/>
    <m/>
    <m/>
    <n v="0"/>
    <n v="0"/>
    <m/>
    <m/>
    <m/>
    <m/>
    <m/>
    <m/>
    <m/>
    <m/>
    <m/>
    <m/>
    <m/>
    <m/>
    <n v="0"/>
    <m/>
    <m/>
    <m/>
    <m/>
    <m/>
    <m/>
    <m/>
    <m/>
    <m/>
    <n v="71500"/>
    <n v="56992"/>
    <m/>
    <m/>
    <m/>
  </r>
  <r>
    <x v="1311"/>
    <n v="249932.632258064"/>
    <n v="4.2064516129032299"/>
    <n v="3.4056834408602201"/>
    <n v="0.80963333333333298"/>
    <n v="0.99"/>
    <m/>
    <m/>
    <m/>
    <m/>
    <m/>
    <n v="0"/>
    <m/>
    <n v="0"/>
    <n v="0"/>
    <n v="0"/>
    <n v="0"/>
    <n v="0"/>
    <m/>
    <m/>
    <m/>
    <m/>
    <m/>
    <m/>
    <m/>
    <m/>
    <m/>
    <m/>
    <n v="0"/>
    <n v="0"/>
    <m/>
    <m/>
    <m/>
    <m/>
    <m/>
    <m/>
    <m/>
    <m/>
    <m/>
    <m/>
    <m/>
    <m/>
    <n v="0"/>
    <m/>
    <m/>
    <m/>
    <m/>
    <m/>
    <m/>
    <m/>
    <m/>
    <m/>
    <n v="71500"/>
    <n v="56992"/>
    <m/>
    <m/>
    <m/>
  </r>
  <r>
    <x v="1312"/>
    <n v="249932.632258064"/>
    <n v="4.2064516129032299"/>
    <n v="3.4056367025089598"/>
    <n v="0.80962222222222202"/>
    <n v="0.99"/>
    <m/>
    <m/>
    <m/>
    <m/>
    <m/>
    <n v="0"/>
    <m/>
    <n v="0"/>
    <n v="0"/>
    <n v="0"/>
    <n v="0"/>
    <n v="0"/>
    <m/>
    <m/>
    <m/>
    <m/>
    <m/>
    <m/>
    <m/>
    <m/>
    <m/>
    <m/>
    <n v="0"/>
    <n v="0"/>
    <m/>
    <m/>
    <m/>
    <m/>
    <m/>
    <m/>
    <m/>
    <m/>
    <m/>
    <m/>
    <m/>
    <m/>
    <n v="0"/>
    <m/>
    <m/>
    <m/>
    <m/>
    <m/>
    <m/>
    <m/>
    <m/>
    <m/>
    <n v="71500"/>
    <n v="56992"/>
    <m/>
    <m/>
    <m/>
  </r>
  <r>
    <x v="1313"/>
    <n v="249932.632258064"/>
    <n v="4.2064516129032299"/>
    <n v="3.4055899641577101"/>
    <n v="0.80961111111111095"/>
    <n v="0.99"/>
    <m/>
    <m/>
    <m/>
    <m/>
    <m/>
    <n v="0"/>
    <m/>
    <n v="0"/>
    <n v="0"/>
    <n v="0"/>
    <n v="0"/>
    <n v="0"/>
    <m/>
    <m/>
    <m/>
    <m/>
    <m/>
    <m/>
    <m/>
    <m/>
    <m/>
    <m/>
    <n v="0"/>
    <n v="0"/>
    <m/>
    <m/>
    <m/>
    <m/>
    <m/>
    <m/>
    <m/>
    <m/>
    <m/>
    <m/>
    <m/>
    <m/>
    <n v="0"/>
    <m/>
    <m/>
    <m/>
    <m/>
    <m/>
    <m/>
    <m/>
    <m/>
    <m/>
    <n v="71500"/>
    <n v="56992"/>
    <m/>
    <m/>
    <m/>
  </r>
  <r>
    <x v="1314"/>
    <n v="249932.632258064"/>
    <n v="4.2064516129032299"/>
    <n v="3.4055432258064502"/>
    <n v="0.80959999999999999"/>
    <n v="0.99"/>
    <m/>
    <m/>
    <m/>
    <m/>
    <m/>
    <n v="0"/>
    <m/>
    <n v="0"/>
    <n v="0"/>
    <n v="0"/>
    <n v="0"/>
    <n v="0"/>
    <m/>
    <m/>
    <m/>
    <m/>
    <m/>
    <m/>
    <m/>
    <m/>
    <m/>
    <m/>
    <n v="0"/>
    <n v="0"/>
    <m/>
    <m/>
    <m/>
    <m/>
    <m/>
    <m/>
    <m/>
    <m/>
    <m/>
    <m/>
    <m/>
    <m/>
    <n v="0"/>
    <m/>
    <m/>
    <m/>
    <m/>
    <m/>
    <m/>
    <m/>
    <m/>
    <m/>
    <n v="71500"/>
    <n v="56992"/>
    <m/>
    <m/>
    <m/>
  </r>
  <r>
    <x v="1315"/>
    <n v="249932.632258064"/>
    <n v="4.2064516129032299"/>
    <n v="3.4054964874552001"/>
    <n v="0.80958888888888902"/>
    <n v="0.99"/>
    <m/>
    <m/>
    <m/>
    <m/>
    <m/>
    <n v="0"/>
    <m/>
    <n v="0"/>
    <n v="0"/>
    <n v="0"/>
    <n v="0"/>
    <n v="0"/>
    <m/>
    <m/>
    <m/>
    <m/>
    <m/>
    <m/>
    <m/>
    <m/>
    <m/>
    <m/>
    <n v="0"/>
    <n v="0"/>
    <m/>
    <m/>
    <m/>
    <m/>
    <m/>
    <m/>
    <m/>
    <m/>
    <m/>
    <m/>
    <m/>
    <m/>
    <n v="0"/>
    <m/>
    <m/>
    <m/>
    <m/>
    <m/>
    <m/>
    <m/>
    <m/>
    <m/>
    <n v="71500"/>
    <n v="56992"/>
    <m/>
    <m/>
    <m/>
  </r>
  <r>
    <x v="1316"/>
    <n v="249932.632258064"/>
    <n v="4.2064516129032299"/>
    <n v="3.4054497491039402"/>
    <n v="0.80957777777777795"/>
    <n v="0.99"/>
    <m/>
    <m/>
    <m/>
    <m/>
    <m/>
    <n v="0"/>
    <m/>
    <n v="0"/>
    <n v="0"/>
    <n v="0"/>
    <n v="0"/>
    <n v="0"/>
    <m/>
    <m/>
    <m/>
    <m/>
    <m/>
    <m/>
    <m/>
    <m/>
    <m/>
    <m/>
    <n v="0"/>
    <n v="0"/>
    <m/>
    <m/>
    <m/>
    <m/>
    <m/>
    <m/>
    <m/>
    <m/>
    <m/>
    <m/>
    <m/>
    <m/>
    <n v="0"/>
    <m/>
    <m/>
    <m/>
    <m/>
    <m/>
    <m/>
    <m/>
    <m/>
    <m/>
    <n v="71500"/>
    <n v="56992"/>
    <m/>
    <m/>
    <m/>
  </r>
  <r>
    <x v="1317"/>
    <n v="249932.632258064"/>
    <n v="4.2064516129032299"/>
    <n v="3.40540301075269"/>
    <n v="0.80956666666666699"/>
    <n v="0.99"/>
    <m/>
    <m/>
    <m/>
    <m/>
    <m/>
    <n v="0"/>
    <m/>
    <n v="0"/>
    <n v="0"/>
    <n v="0"/>
    <n v="0"/>
    <n v="0"/>
    <m/>
    <m/>
    <m/>
    <m/>
    <m/>
    <m/>
    <m/>
    <m/>
    <m/>
    <m/>
    <n v="0"/>
    <n v="0"/>
    <m/>
    <m/>
    <m/>
    <m/>
    <m/>
    <m/>
    <m/>
    <m/>
    <m/>
    <m/>
    <m/>
    <m/>
    <n v="0"/>
    <m/>
    <m/>
    <m/>
    <m/>
    <m/>
    <m/>
    <m/>
    <m/>
    <m/>
    <n v="71500"/>
    <n v="56992"/>
    <m/>
    <m/>
    <m/>
  </r>
  <r>
    <x v="1318"/>
    <n v="249932.632258064"/>
    <n v="4.2064516129032299"/>
    <n v="3.4053562724014301"/>
    <n v="0.80955555555555603"/>
    <n v="0.99"/>
    <m/>
    <m/>
    <m/>
    <m/>
    <m/>
    <n v="0"/>
    <m/>
    <n v="0"/>
    <n v="0"/>
    <n v="0"/>
    <n v="0"/>
    <n v="0"/>
    <m/>
    <m/>
    <m/>
    <m/>
    <m/>
    <m/>
    <m/>
    <m/>
    <m/>
    <m/>
    <n v="0"/>
    <n v="0"/>
    <m/>
    <m/>
    <m/>
    <m/>
    <m/>
    <m/>
    <m/>
    <m/>
    <m/>
    <m/>
    <m/>
    <m/>
    <n v="0"/>
    <m/>
    <m/>
    <m/>
    <m/>
    <m/>
    <m/>
    <m/>
    <m/>
    <m/>
    <n v="71500"/>
    <n v="56992"/>
    <m/>
    <m/>
    <m/>
  </r>
  <r>
    <x v="1319"/>
    <n v="249932.632258064"/>
    <n v="4.2064516129032299"/>
    <n v="3.40530953405018"/>
    <n v="0.80954444444444396"/>
    <n v="0.99"/>
    <m/>
    <m/>
    <m/>
    <m/>
    <m/>
    <n v="0"/>
    <m/>
    <n v="0"/>
    <n v="0"/>
    <n v="0"/>
    <n v="0"/>
    <n v="0"/>
    <m/>
    <m/>
    <m/>
    <m/>
    <m/>
    <m/>
    <m/>
    <m/>
    <m/>
    <m/>
    <n v="0"/>
    <n v="0"/>
    <m/>
    <m/>
    <m/>
    <m/>
    <m/>
    <m/>
    <m/>
    <m/>
    <m/>
    <m/>
    <m/>
    <m/>
    <n v="0"/>
    <m/>
    <m/>
    <m/>
    <m/>
    <m/>
    <m/>
    <m/>
    <m/>
    <m/>
    <n v="71500"/>
    <n v="56992"/>
    <m/>
    <m/>
    <m/>
  </r>
  <r>
    <x v="1320"/>
    <n v="249932.632258064"/>
    <n v="4.2064516129032299"/>
    <n v="3.4052627956989201"/>
    <n v="0.80953333333333299"/>
    <n v="0.99"/>
    <m/>
    <m/>
    <m/>
    <m/>
    <m/>
    <n v="0"/>
    <m/>
    <n v="0"/>
    <n v="0"/>
    <n v="0"/>
    <n v="0"/>
    <n v="0"/>
    <m/>
    <m/>
    <m/>
    <m/>
    <m/>
    <m/>
    <m/>
    <m/>
    <m/>
    <m/>
    <n v="0"/>
    <n v="0"/>
    <m/>
    <m/>
    <m/>
    <m/>
    <m/>
    <m/>
    <m/>
    <m/>
    <m/>
    <m/>
    <m/>
    <m/>
    <n v="0"/>
    <m/>
    <m/>
    <m/>
    <m/>
    <m/>
    <m/>
    <m/>
    <m/>
    <m/>
    <n v="71500"/>
    <n v="56992"/>
    <m/>
    <m/>
    <m/>
  </r>
  <r>
    <x v="1321"/>
    <n v="249932.632258064"/>
    <n v="4.2064516129032299"/>
    <n v="3.40521605734767"/>
    <n v="0.80952222222222203"/>
    <n v="0.99"/>
    <m/>
    <m/>
    <m/>
    <m/>
    <m/>
    <n v="0"/>
    <m/>
    <n v="0"/>
    <n v="0"/>
    <n v="0"/>
    <n v="0"/>
    <n v="0"/>
    <m/>
    <m/>
    <m/>
    <m/>
    <m/>
    <m/>
    <m/>
    <m/>
    <m/>
    <m/>
    <n v="0"/>
    <n v="0"/>
    <m/>
    <m/>
    <m/>
    <m/>
    <m/>
    <m/>
    <m/>
    <m/>
    <m/>
    <m/>
    <m/>
    <m/>
    <n v="0"/>
    <m/>
    <m/>
    <m/>
    <m/>
    <m/>
    <m/>
    <m/>
    <m/>
    <m/>
    <n v="71500"/>
    <n v="56992"/>
    <m/>
    <m/>
    <m/>
  </r>
  <r>
    <x v="1322"/>
    <n v="249932.632258064"/>
    <n v="4.2064516129032299"/>
    <n v="3.4051693189964198"/>
    <n v="0.80951111111111096"/>
    <n v="0.99"/>
    <m/>
    <m/>
    <m/>
    <m/>
    <m/>
    <n v="0"/>
    <m/>
    <n v="0"/>
    <n v="0"/>
    <n v="0"/>
    <n v="0"/>
    <n v="0"/>
    <m/>
    <m/>
    <m/>
    <m/>
    <m/>
    <m/>
    <m/>
    <m/>
    <m/>
    <m/>
    <n v="0"/>
    <n v="0"/>
    <m/>
    <m/>
    <m/>
    <m/>
    <m/>
    <m/>
    <m/>
    <m/>
    <m/>
    <m/>
    <m/>
    <m/>
    <n v="0"/>
    <m/>
    <m/>
    <m/>
    <m/>
    <m/>
    <m/>
    <m/>
    <m/>
    <m/>
    <n v="71500"/>
    <n v="56992"/>
    <m/>
    <m/>
    <m/>
  </r>
  <r>
    <x v="1323"/>
    <n v="249932.632258064"/>
    <n v="4.2064516129032299"/>
    <n v="3.4051225806451599"/>
    <n v="0.8095"/>
    <n v="0.99"/>
    <m/>
    <m/>
    <m/>
    <m/>
    <m/>
    <n v="0"/>
    <m/>
    <n v="0"/>
    <n v="0"/>
    <n v="0"/>
    <n v="0"/>
    <n v="0"/>
    <m/>
    <m/>
    <m/>
    <m/>
    <m/>
    <m/>
    <m/>
    <m/>
    <m/>
    <m/>
    <n v="0"/>
    <n v="0"/>
    <m/>
    <m/>
    <m/>
    <m/>
    <m/>
    <m/>
    <m/>
    <m/>
    <m/>
    <m/>
    <m/>
    <m/>
    <n v="0"/>
    <m/>
    <m/>
    <m/>
    <m/>
    <m/>
    <m/>
    <m/>
    <m/>
    <m/>
    <n v="71500"/>
    <n v="56992"/>
    <m/>
    <m/>
    <m/>
  </r>
  <r>
    <x v="1324"/>
    <n v="249932.632258064"/>
    <n v="4.2064516129032299"/>
    <n v="3.4050758422939098"/>
    <n v="0.80948888888888904"/>
    <n v="0.99"/>
    <m/>
    <m/>
    <m/>
    <m/>
    <m/>
    <n v="0"/>
    <m/>
    <n v="0"/>
    <n v="0"/>
    <n v="0"/>
    <n v="0"/>
    <n v="0"/>
    <m/>
    <m/>
    <m/>
    <m/>
    <m/>
    <m/>
    <m/>
    <m/>
    <m/>
    <m/>
    <n v="0"/>
    <n v="0"/>
    <m/>
    <m/>
    <m/>
    <m/>
    <m/>
    <m/>
    <m/>
    <m/>
    <m/>
    <m/>
    <m/>
    <m/>
    <n v="0"/>
    <m/>
    <m/>
    <m/>
    <m/>
    <m/>
    <m/>
    <m/>
    <m/>
    <m/>
    <n v="71500"/>
    <n v="56992"/>
    <m/>
    <m/>
    <m/>
  </r>
  <r>
    <x v="1325"/>
    <n v="249932.632258064"/>
    <n v="4.2064516129032299"/>
    <n v="3.4050291039426499"/>
    <n v="0.80947777777777796"/>
    <n v="0.99"/>
    <m/>
    <m/>
    <m/>
    <m/>
    <m/>
    <n v="0"/>
    <m/>
    <n v="0"/>
    <n v="0"/>
    <n v="0"/>
    <n v="0"/>
    <n v="0"/>
    <m/>
    <m/>
    <m/>
    <m/>
    <m/>
    <m/>
    <m/>
    <m/>
    <m/>
    <m/>
    <n v="0"/>
    <n v="0"/>
    <m/>
    <m/>
    <m/>
    <m/>
    <m/>
    <m/>
    <m/>
    <m/>
    <m/>
    <m/>
    <m/>
    <m/>
    <n v="0"/>
    <m/>
    <m/>
    <m/>
    <m/>
    <m/>
    <m/>
    <m/>
    <m/>
    <m/>
    <n v="71500"/>
    <n v="56992"/>
    <m/>
    <m/>
    <m/>
  </r>
  <r>
    <x v="1326"/>
    <n v="249932.632258064"/>
    <n v="4.2064516129032299"/>
    <n v="3.4049823655914002"/>
    <n v="0.809466666666667"/>
    <n v="0.99"/>
    <m/>
    <m/>
    <m/>
    <m/>
    <m/>
    <n v="0"/>
    <m/>
    <n v="0"/>
    <n v="0"/>
    <n v="0"/>
    <n v="0"/>
    <n v="0"/>
    <m/>
    <m/>
    <m/>
    <m/>
    <m/>
    <m/>
    <m/>
    <m/>
    <m/>
    <m/>
    <n v="0"/>
    <n v="0"/>
    <m/>
    <m/>
    <m/>
    <m/>
    <m/>
    <m/>
    <m/>
    <m/>
    <m/>
    <m/>
    <m/>
    <m/>
    <n v="0"/>
    <m/>
    <m/>
    <m/>
    <m/>
    <m/>
    <m/>
    <m/>
    <m/>
    <m/>
    <n v="71500"/>
    <n v="56992"/>
    <m/>
    <m/>
    <m/>
  </r>
  <r>
    <x v="1327"/>
    <n v="249932.632258064"/>
    <n v="4.2064516129032299"/>
    <n v="3.4049356272401399"/>
    <n v="0.80945555555555604"/>
    <n v="0.99"/>
    <m/>
    <m/>
    <m/>
    <m/>
    <m/>
    <n v="0"/>
    <m/>
    <n v="0"/>
    <n v="0"/>
    <n v="0"/>
    <n v="0"/>
    <n v="0"/>
    <m/>
    <m/>
    <m/>
    <m/>
    <m/>
    <m/>
    <m/>
    <m/>
    <m/>
    <m/>
    <n v="0"/>
    <n v="0"/>
    <m/>
    <m/>
    <m/>
    <m/>
    <m/>
    <m/>
    <m/>
    <m/>
    <m/>
    <m/>
    <m/>
    <m/>
    <n v="0"/>
    <m/>
    <m/>
    <m/>
    <m/>
    <m/>
    <m/>
    <m/>
    <m/>
    <m/>
    <n v="71500"/>
    <n v="56992"/>
    <m/>
    <m/>
    <m/>
  </r>
  <r>
    <x v="1328"/>
    <n v="249932.632258064"/>
    <n v="4.2064516129032299"/>
    <n v="3.4048888888888902"/>
    <n v="0.80944444444444397"/>
    <n v="0.99"/>
    <m/>
    <m/>
    <m/>
    <m/>
    <m/>
    <n v="0"/>
    <m/>
    <n v="0"/>
    <n v="0"/>
    <n v="0"/>
    <n v="0"/>
    <n v="0"/>
    <m/>
    <m/>
    <m/>
    <m/>
    <m/>
    <m/>
    <m/>
    <m/>
    <m/>
    <m/>
    <n v="0"/>
    <n v="0"/>
    <m/>
    <m/>
    <m/>
    <m/>
    <m/>
    <m/>
    <m/>
    <m/>
    <m/>
    <m/>
    <m/>
    <m/>
    <n v="0"/>
    <m/>
    <m/>
    <m/>
    <m/>
    <m/>
    <m/>
    <m/>
    <m/>
    <m/>
    <n v="71500"/>
    <n v="56992"/>
    <m/>
    <m/>
    <m/>
  </r>
  <r>
    <x v="1329"/>
    <n v="249932.632258064"/>
    <n v="4.2064516129032299"/>
    <n v="3.4048421505376298"/>
    <n v="0.809433333333333"/>
    <n v="0.99"/>
    <m/>
    <m/>
    <m/>
    <m/>
    <m/>
    <n v="0"/>
    <m/>
    <n v="0"/>
    <n v="0"/>
    <n v="0"/>
    <n v="0"/>
    <n v="0"/>
    <m/>
    <m/>
    <m/>
    <m/>
    <m/>
    <m/>
    <m/>
    <m/>
    <m/>
    <m/>
    <n v="0"/>
    <n v="0"/>
    <m/>
    <m/>
    <m/>
    <m/>
    <m/>
    <m/>
    <m/>
    <m/>
    <m/>
    <m/>
    <m/>
    <m/>
    <n v="0"/>
    <m/>
    <m/>
    <m/>
    <m/>
    <m/>
    <m/>
    <m/>
    <m/>
    <m/>
    <n v="71500"/>
    <n v="56992"/>
    <m/>
    <m/>
    <m/>
  </r>
  <r>
    <x v="1330"/>
    <n v="249932.632258064"/>
    <n v="4.2064516129032299"/>
    <n v="3.4047954121863802"/>
    <n v="0.80942222222222204"/>
    <n v="0.99"/>
    <m/>
    <m/>
    <m/>
    <m/>
    <m/>
    <n v="0"/>
    <m/>
    <n v="0"/>
    <n v="0"/>
    <n v="0"/>
    <n v="0"/>
    <n v="0"/>
    <m/>
    <m/>
    <m/>
    <m/>
    <m/>
    <m/>
    <m/>
    <m/>
    <m/>
    <m/>
    <n v="0"/>
    <n v="0"/>
    <m/>
    <m/>
    <m/>
    <m/>
    <m/>
    <m/>
    <m/>
    <m/>
    <m/>
    <m/>
    <m/>
    <m/>
    <n v="0"/>
    <m/>
    <m/>
    <m/>
    <m/>
    <m/>
    <m/>
    <m/>
    <m/>
    <m/>
    <n v="71500"/>
    <n v="56992"/>
    <m/>
    <m/>
    <m/>
  </r>
  <r>
    <x v="1331"/>
    <n v="249932.632258064"/>
    <n v="4.2064516129032299"/>
    <n v="3.40474867383513"/>
    <n v="0.80941111111111097"/>
    <n v="0.99"/>
    <m/>
    <m/>
    <m/>
    <m/>
    <m/>
    <n v="0"/>
    <m/>
    <n v="0"/>
    <n v="0"/>
    <n v="0"/>
    <n v="0"/>
    <n v="0"/>
    <m/>
    <m/>
    <m/>
    <m/>
    <m/>
    <m/>
    <m/>
    <m/>
    <m/>
    <m/>
    <n v="0"/>
    <n v="0"/>
    <m/>
    <m/>
    <m/>
    <m/>
    <m/>
    <m/>
    <m/>
    <m/>
    <m/>
    <m/>
    <m/>
    <m/>
    <n v="0"/>
    <m/>
    <m/>
    <m/>
    <m/>
    <m/>
    <m/>
    <m/>
    <m/>
    <m/>
    <n v="71500"/>
    <n v="56992"/>
    <m/>
    <m/>
    <m/>
  </r>
  <r>
    <x v="1332"/>
    <n v="249932.632258064"/>
    <n v="4.2064516129032299"/>
    <n v="3.4047019354838701"/>
    <n v="0.80940000000000001"/>
    <n v="0.99"/>
    <m/>
    <m/>
    <m/>
    <m/>
    <m/>
    <n v="0"/>
    <m/>
    <n v="0"/>
    <n v="0"/>
    <n v="0"/>
    <n v="0"/>
    <n v="0"/>
    <m/>
    <m/>
    <m/>
    <m/>
    <m/>
    <m/>
    <m/>
    <m/>
    <m/>
    <m/>
    <n v="0"/>
    <n v="0"/>
    <m/>
    <m/>
    <m/>
    <m/>
    <m/>
    <m/>
    <m/>
    <m/>
    <m/>
    <m/>
    <m/>
    <m/>
    <n v="0"/>
    <m/>
    <m/>
    <m/>
    <m/>
    <m/>
    <m/>
    <m/>
    <m/>
    <m/>
    <n v="71500"/>
    <n v="56992"/>
    <m/>
    <m/>
    <m/>
  </r>
  <r>
    <x v="1333"/>
    <n v="249932.632258064"/>
    <n v="4.2064516129032299"/>
    <n v="3.40465519713262"/>
    <n v="0.80938888888888905"/>
    <n v="0.99"/>
    <m/>
    <m/>
    <m/>
    <m/>
    <m/>
    <n v="0"/>
    <m/>
    <n v="0"/>
    <n v="0"/>
    <n v="0"/>
    <n v="0"/>
    <n v="0"/>
    <m/>
    <m/>
    <m/>
    <m/>
    <m/>
    <m/>
    <m/>
    <m/>
    <m/>
    <m/>
    <n v="0"/>
    <n v="0"/>
    <m/>
    <m/>
    <m/>
    <m/>
    <m/>
    <m/>
    <m/>
    <m/>
    <m/>
    <m/>
    <m/>
    <m/>
    <n v="0"/>
    <m/>
    <m/>
    <m/>
    <m/>
    <m/>
    <m/>
    <m/>
    <m/>
    <m/>
    <n v="71500"/>
    <n v="56992"/>
    <m/>
    <m/>
    <m/>
  </r>
  <r>
    <x v="1334"/>
    <n v="249932.632258064"/>
    <n v="4.2064516129032299"/>
    <n v="3.4046084587813601"/>
    <n v="0.80937777777777797"/>
    <n v="0.99"/>
    <m/>
    <m/>
    <m/>
    <m/>
    <m/>
    <n v="0"/>
    <m/>
    <n v="0"/>
    <n v="0"/>
    <n v="0"/>
    <n v="0"/>
    <n v="0"/>
    <m/>
    <m/>
    <m/>
    <m/>
    <m/>
    <m/>
    <m/>
    <m/>
    <m/>
    <m/>
    <n v="0"/>
    <n v="0"/>
    <m/>
    <m/>
    <m/>
    <m/>
    <m/>
    <m/>
    <m/>
    <m/>
    <m/>
    <m/>
    <m/>
    <m/>
    <n v="0"/>
    <m/>
    <m/>
    <m/>
    <m/>
    <m/>
    <m/>
    <m/>
    <m/>
    <m/>
    <n v="71500"/>
    <n v="56992"/>
    <m/>
    <m/>
    <m/>
  </r>
  <r>
    <x v="1335"/>
    <n v="249932.632258064"/>
    <n v="4.2064516129032299"/>
    <n v="3.40456172043011"/>
    <n v="0.80936666666666701"/>
    <n v="0.99"/>
    <m/>
    <m/>
    <m/>
    <m/>
    <m/>
    <n v="0"/>
    <m/>
    <n v="0"/>
    <n v="0"/>
    <n v="0"/>
    <n v="0"/>
    <n v="0"/>
    <m/>
    <m/>
    <m/>
    <m/>
    <m/>
    <m/>
    <m/>
    <m/>
    <m/>
    <m/>
    <n v="0"/>
    <n v="0"/>
    <m/>
    <m/>
    <m/>
    <m/>
    <m/>
    <m/>
    <m/>
    <m/>
    <m/>
    <m/>
    <m/>
    <m/>
    <n v="0"/>
    <m/>
    <m/>
    <m/>
    <m/>
    <m/>
    <m/>
    <m/>
    <m/>
    <m/>
    <n v="71500"/>
    <n v="56992"/>
    <m/>
    <m/>
    <m/>
  </r>
  <r>
    <x v="1336"/>
    <n v="249932.632258064"/>
    <n v="4.2064516129032299"/>
    <n v="3.4045149820788501"/>
    <n v="0.80935555555555505"/>
    <n v="0.99"/>
    <m/>
    <m/>
    <m/>
    <m/>
    <m/>
    <n v="0"/>
    <m/>
    <n v="0"/>
    <n v="0"/>
    <n v="0"/>
    <n v="0"/>
    <n v="0"/>
    <m/>
    <m/>
    <m/>
    <m/>
    <m/>
    <m/>
    <m/>
    <m/>
    <m/>
    <m/>
    <n v="0"/>
    <n v="0"/>
    <m/>
    <m/>
    <m/>
    <m/>
    <m/>
    <m/>
    <m/>
    <m/>
    <m/>
    <m/>
    <m/>
    <m/>
    <n v="0"/>
    <m/>
    <m/>
    <m/>
    <m/>
    <m/>
    <m/>
    <m/>
    <m/>
    <m/>
    <n v="71500"/>
    <n v="56992"/>
    <m/>
    <m/>
    <m/>
  </r>
  <r>
    <x v="1337"/>
    <n v="249932.632258064"/>
    <n v="4.2064516129032299"/>
    <n v="3.4044682437275999"/>
    <n v="0.80934444444444398"/>
    <n v="0.99"/>
    <m/>
    <m/>
    <m/>
    <m/>
    <m/>
    <n v="0"/>
    <m/>
    <n v="0"/>
    <n v="0"/>
    <n v="0"/>
    <n v="0"/>
    <n v="0"/>
    <m/>
    <m/>
    <m/>
    <m/>
    <m/>
    <m/>
    <m/>
    <m/>
    <m/>
    <m/>
    <n v="0"/>
    <n v="0"/>
    <m/>
    <m/>
    <m/>
    <m/>
    <m/>
    <m/>
    <m/>
    <m/>
    <m/>
    <m/>
    <m/>
    <m/>
    <n v="0"/>
    <m/>
    <m/>
    <m/>
    <m/>
    <m/>
    <m/>
    <m/>
    <m/>
    <m/>
    <n v="71500"/>
    <n v="56992"/>
    <m/>
    <m/>
    <m/>
  </r>
  <r>
    <x v="1338"/>
    <n v="249932.632258064"/>
    <n v="4.2064516129032299"/>
    <n v="3.40442150537634"/>
    <n v="0.80933333333333302"/>
    <n v="0.99"/>
    <m/>
    <m/>
    <m/>
    <m/>
    <m/>
    <n v="0"/>
    <m/>
    <n v="0"/>
    <n v="0"/>
    <n v="0"/>
    <n v="0"/>
    <n v="0"/>
    <m/>
    <m/>
    <m/>
    <m/>
    <m/>
    <m/>
    <m/>
    <m/>
    <m/>
    <m/>
    <n v="0"/>
    <n v="0"/>
    <m/>
    <m/>
    <m/>
    <m/>
    <m/>
    <m/>
    <m/>
    <m/>
    <m/>
    <m/>
    <m/>
    <m/>
    <n v="0"/>
    <m/>
    <m/>
    <m/>
    <m/>
    <m/>
    <m/>
    <m/>
    <m/>
    <m/>
    <n v="71500"/>
    <n v="56992"/>
    <m/>
    <m/>
    <m/>
  </r>
  <r>
    <x v="1339"/>
    <n v="261950.629032258"/>
    <n v="4.4193548387096797"/>
    <n v="3.5767311827957"/>
    <n v="0.80933333333333302"/>
    <n v="0.99"/>
    <m/>
    <m/>
    <m/>
    <m/>
    <m/>
    <n v="0"/>
    <m/>
    <n v="0"/>
    <n v="0"/>
    <n v="0"/>
    <n v="0"/>
    <n v="0"/>
    <m/>
    <m/>
    <m/>
    <m/>
    <m/>
    <m/>
    <m/>
    <m/>
    <m/>
    <m/>
    <n v="0"/>
    <n v="0"/>
    <m/>
    <m/>
    <m/>
    <m/>
    <m/>
    <m/>
    <m/>
    <m/>
    <m/>
    <m/>
    <m/>
    <m/>
    <n v="0"/>
    <m/>
    <m/>
    <m/>
    <m/>
    <m/>
    <m/>
    <m/>
    <m/>
    <m/>
    <n v="71500"/>
    <n v="56992"/>
    <m/>
    <m/>
    <m/>
  </r>
  <r>
    <x v="1340"/>
    <n v="261950.629032258"/>
    <n v="4.4193548387096797"/>
    <n v="3.5766820788530498"/>
    <n v="0.80932222222222205"/>
    <n v="0.99"/>
    <m/>
    <m/>
    <m/>
    <m/>
    <m/>
    <n v="0"/>
    <m/>
    <n v="0"/>
    <n v="0"/>
    <n v="0"/>
    <n v="0"/>
    <n v="0"/>
    <m/>
    <m/>
    <m/>
    <m/>
    <m/>
    <m/>
    <m/>
    <m/>
    <m/>
    <m/>
    <n v="0"/>
    <n v="0"/>
    <m/>
    <m/>
    <m/>
    <m/>
    <m/>
    <m/>
    <m/>
    <m/>
    <m/>
    <m/>
    <m/>
    <m/>
    <n v="0"/>
    <m/>
    <m/>
    <m/>
    <m/>
    <m/>
    <m/>
    <m/>
    <m/>
    <m/>
    <n v="71500"/>
    <n v="56992"/>
    <m/>
    <m/>
    <m/>
  </r>
  <r>
    <x v="1341"/>
    <n v="261950.629032258"/>
    <n v="4.4193548387096797"/>
    <n v="3.5766329749103898"/>
    <n v="0.80931111111111098"/>
    <n v="0.99"/>
    <m/>
    <m/>
    <m/>
    <m/>
    <m/>
    <n v="0"/>
    <m/>
    <n v="0"/>
    <n v="0"/>
    <n v="0"/>
    <n v="0"/>
    <n v="0"/>
    <m/>
    <m/>
    <m/>
    <m/>
    <m/>
    <m/>
    <m/>
    <m/>
    <m/>
    <m/>
    <n v="0"/>
    <n v="0"/>
    <m/>
    <m/>
    <m/>
    <m/>
    <m/>
    <m/>
    <m/>
    <m/>
    <m/>
    <m/>
    <m/>
    <m/>
    <n v="0"/>
    <m/>
    <m/>
    <m/>
    <m/>
    <m/>
    <m/>
    <m/>
    <m/>
    <m/>
    <n v="71500"/>
    <n v="56992"/>
    <m/>
    <m/>
    <m/>
  </r>
  <r>
    <x v="1342"/>
    <n v="261950.629032258"/>
    <n v="4.4193548387096797"/>
    <n v="3.57658387096774"/>
    <n v="0.80930000000000002"/>
    <n v="0.99"/>
    <m/>
    <m/>
    <m/>
    <m/>
    <m/>
    <n v="0"/>
    <m/>
    <n v="0"/>
    <n v="0"/>
    <n v="0"/>
    <n v="0"/>
    <n v="0"/>
    <m/>
    <m/>
    <m/>
    <m/>
    <m/>
    <m/>
    <m/>
    <m/>
    <m/>
    <m/>
    <n v="0"/>
    <n v="0"/>
    <m/>
    <m/>
    <m/>
    <m/>
    <m/>
    <m/>
    <m/>
    <m/>
    <m/>
    <m/>
    <m/>
    <m/>
    <n v="0"/>
    <m/>
    <m/>
    <m/>
    <m/>
    <m/>
    <m/>
    <m/>
    <m/>
    <m/>
    <n v="71500"/>
    <n v="56992"/>
    <m/>
    <m/>
    <m/>
  </r>
  <r>
    <x v="1343"/>
    <n v="261950.629032258"/>
    <n v="4.4193548387096797"/>
    <n v="3.5765347670250902"/>
    <n v="0.80928888888888895"/>
    <n v="0.99"/>
    <m/>
    <m/>
    <m/>
    <m/>
    <m/>
    <n v="0"/>
    <m/>
    <n v="0"/>
    <n v="0"/>
    <n v="0"/>
    <n v="0"/>
    <n v="0"/>
    <m/>
    <m/>
    <m/>
    <m/>
    <m/>
    <m/>
    <m/>
    <m/>
    <m/>
    <m/>
    <n v="0"/>
    <n v="0"/>
    <m/>
    <m/>
    <m/>
    <m/>
    <m/>
    <m/>
    <m/>
    <m/>
    <m/>
    <m/>
    <m/>
    <m/>
    <n v="0"/>
    <m/>
    <m/>
    <m/>
    <m/>
    <m/>
    <m/>
    <m/>
    <m/>
    <m/>
    <n v="71500"/>
    <n v="56992"/>
    <m/>
    <m/>
    <m/>
  </r>
  <r>
    <x v="1344"/>
    <n v="261950.629032258"/>
    <n v="4.4193548387096797"/>
    <n v="3.57648566308244"/>
    <n v="0.80927777777777798"/>
    <n v="0.99"/>
    <m/>
    <m/>
    <m/>
    <m/>
    <m/>
    <n v="0"/>
    <m/>
    <n v="0"/>
    <n v="0"/>
    <n v="0"/>
    <n v="0"/>
    <n v="0"/>
    <m/>
    <m/>
    <m/>
    <m/>
    <m/>
    <m/>
    <m/>
    <m/>
    <m/>
    <m/>
    <n v="0"/>
    <n v="0"/>
    <m/>
    <m/>
    <m/>
    <m/>
    <m/>
    <m/>
    <m/>
    <m/>
    <m/>
    <m/>
    <m/>
    <m/>
    <n v="0"/>
    <m/>
    <m/>
    <m/>
    <m/>
    <m/>
    <m/>
    <m/>
    <m/>
    <m/>
    <n v="71500"/>
    <n v="56992"/>
    <m/>
    <m/>
    <m/>
  </r>
  <r>
    <x v="1345"/>
    <n v="261950.629032258"/>
    <n v="4.4193548387096797"/>
    <n v="3.57643655913978"/>
    <n v="0.80926666666666702"/>
    <n v="0.99"/>
    <m/>
    <m/>
    <m/>
    <m/>
    <m/>
    <n v="0"/>
    <m/>
    <n v="0"/>
    <n v="0"/>
    <n v="0"/>
    <n v="0"/>
    <n v="0"/>
    <m/>
    <m/>
    <m/>
    <m/>
    <m/>
    <m/>
    <m/>
    <m/>
    <m/>
    <m/>
    <n v="0"/>
    <n v="0"/>
    <m/>
    <m/>
    <m/>
    <m/>
    <m/>
    <m/>
    <m/>
    <m/>
    <m/>
    <m/>
    <m/>
    <m/>
    <n v="0"/>
    <m/>
    <m/>
    <m/>
    <m/>
    <m/>
    <m/>
    <m/>
    <m/>
    <m/>
    <n v="71500"/>
    <n v="56992"/>
    <m/>
    <m/>
    <m/>
  </r>
  <r>
    <x v="1346"/>
    <n v="261950.629032258"/>
    <n v="4.4193548387096797"/>
    <n v="3.5763874551971302"/>
    <n v="0.80925555555555595"/>
    <n v="0.99"/>
    <m/>
    <m/>
    <m/>
    <m/>
    <m/>
    <n v="0"/>
    <m/>
    <n v="0"/>
    <n v="0"/>
    <n v="0"/>
    <n v="0"/>
    <n v="0"/>
    <m/>
    <m/>
    <m/>
    <m/>
    <m/>
    <m/>
    <m/>
    <m/>
    <m/>
    <m/>
    <n v="0"/>
    <n v="0"/>
    <m/>
    <m/>
    <m/>
    <m/>
    <m/>
    <m/>
    <m/>
    <m/>
    <m/>
    <m/>
    <m/>
    <m/>
    <n v="0"/>
    <m/>
    <m/>
    <m/>
    <m/>
    <m/>
    <m/>
    <m/>
    <m/>
    <m/>
    <n v="71500"/>
    <n v="56992"/>
    <m/>
    <m/>
    <m/>
  </r>
  <r>
    <x v="1347"/>
    <n v="261950.629032258"/>
    <n v="4.4193548387096797"/>
    <n v="3.57633835125448"/>
    <n v="0.80924444444444399"/>
    <n v="0.99"/>
    <m/>
    <m/>
    <m/>
    <m/>
    <m/>
    <n v="0"/>
    <m/>
    <n v="0"/>
    <n v="0"/>
    <n v="0"/>
    <n v="0"/>
    <n v="0"/>
    <m/>
    <m/>
    <m/>
    <m/>
    <m/>
    <m/>
    <m/>
    <m/>
    <m/>
    <m/>
    <n v="0"/>
    <n v="0"/>
    <m/>
    <m/>
    <m/>
    <m/>
    <m/>
    <m/>
    <m/>
    <m/>
    <m/>
    <m/>
    <m/>
    <m/>
    <n v="0"/>
    <m/>
    <m/>
    <m/>
    <m/>
    <m/>
    <m/>
    <m/>
    <m/>
    <m/>
    <n v="71500"/>
    <n v="56992"/>
    <m/>
    <m/>
    <m/>
  </r>
  <r>
    <x v="1348"/>
    <n v="261950.629032258"/>
    <n v="4.4193548387096797"/>
    <n v="3.5762892473118302"/>
    <n v="0.80923333333333303"/>
    <n v="0.99"/>
    <m/>
    <m/>
    <m/>
    <m/>
    <m/>
    <n v="0"/>
    <m/>
    <n v="0"/>
    <n v="0"/>
    <n v="0"/>
    <n v="0"/>
    <n v="0"/>
    <m/>
    <m/>
    <m/>
    <m/>
    <m/>
    <m/>
    <m/>
    <m/>
    <m/>
    <m/>
    <n v="0"/>
    <n v="0"/>
    <m/>
    <m/>
    <m/>
    <m/>
    <m/>
    <m/>
    <m/>
    <m/>
    <m/>
    <m/>
    <m/>
    <m/>
    <n v="0"/>
    <m/>
    <m/>
    <m/>
    <m/>
    <m/>
    <m/>
    <m/>
    <m/>
    <m/>
    <n v="71500"/>
    <n v="56992"/>
    <m/>
    <m/>
    <m/>
  </r>
  <r>
    <x v="1349"/>
    <n v="261950.629032258"/>
    <n v="4.4193548387096797"/>
    <n v="3.5762401433691799"/>
    <n v="0.80922222222222195"/>
    <n v="0.99"/>
    <m/>
    <m/>
    <m/>
    <m/>
    <m/>
    <n v="0"/>
    <m/>
    <n v="0"/>
    <n v="0"/>
    <n v="0"/>
    <n v="0"/>
    <n v="0"/>
    <m/>
    <m/>
    <m/>
    <m/>
    <m/>
    <m/>
    <m/>
    <m/>
    <m/>
    <m/>
    <n v="0"/>
    <n v="0"/>
    <m/>
    <m/>
    <m/>
    <m/>
    <m/>
    <m/>
    <m/>
    <m/>
    <m/>
    <m/>
    <m/>
    <m/>
    <n v="0"/>
    <m/>
    <m/>
    <m/>
    <m/>
    <m/>
    <m/>
    <m/>
    <m/>
    <m/>
    <n v="71500"/>
    <n v="56992"/>
    <m/>
    <m/>
    <m/>
  </r>
  <r>
    <x v="1350"/>
    <n v="261950.629032258"/>
    <n v="4.4193548387096797"/>
    <n v="3.5761910394265199"/>
    <n v="0.80921111111111099"/>
    <n v="0.99"/>
    <m/>
    <m/>
    <m/>
    <m/>
    <m/>
    <n v="0"/>
    <m/>
    <n v="0"/>
    <n v="0"/>
    <n v="0"/>
    <n v="0"/>
    <n v="0"/>
    <m/>
    <m/>
    <m/>
    <m/>
    <m/>
    <m/>
    <m/>
    <m/>
    <m/>
    <m/>
    <n v="0"/>
    <n v="0"/>
    <m/>
    <m/>
    <m/>
    <m/>
    <m/>
    <m/>
    <m/>
    <m/>
    <m/>
    <m/>
    <m/>
    <m/>
    <n v="0"/>
    <m/>
    <m/>
    <m/>
    <m/>
    <m/>
    <m/>
    <m/>
    <m/>
    <m/>
    <n v="71500"/>
    <n v="56992"/>
    <m/>
    <m/>
    <m/>
  </r>
  <r>
    <x v="1351"/>
    <n v="261950.629032258"/>
    <n v="4.4193548387096797"/>
    <n v="3.5761419354838702"/>
    <n v="0.80920000000000003"/>
    <n v="0.99"/>
    <m/>
    <m/>
    <m/>
    <m/>
    <m/>
    <n v="0"/>
    <m/>
    <n v="0"/>
    <n v="0"/>
    <n v="0"/>
    <n v="0"/>
    <n v="0"/>
    <m/>
    <m/>
    <m/>
    <m/>
    <m/>
    <m/>
    <m/>
    <m/>
    <m/>
    <m/>
    <n v="0"/>
    <n v="0"/>
    <m/>
    <m/>
    <m/>
    <m/>
    <m/>
    <m/>
    <m/>
    <m/>
    <m/>
    <m/>
    <m/>
    <m/>
    <n v="0"/>
    <m/>
    <m/>
    <m/>
    <m/>
    <m/>
    <m/>
    <m/>
    <m/>
    <m/>
    <n v="71500"/>
    <n v="56992"/>
    <m/>
    <m/>
    <m/>
  </r>
  <r>
    <x v="1352"/>
    <n v="261950.629032258"/>
    <n v="4.4193548387096797"/>
    <n v="3.5760928315412199"/>
    <n v="0.80918888888888896"/>
    <n v="0.99"/>
    <m/>
    <m/>
    <m/>
    <m/>
    <m/>
    <n v="0"/>
    <m/>
    <n v="0"/>
    <n v="0"/>
    <n v="0"/>
    <n v="0"/>
    <n v="0"/>
    <m/>
    <m/>
    <m/>
    <m/>
    <m/>
    <m/>
    <m/>
    <m/>
    <m/>
    <m/>
    <n v="0"/>
    <n v="0"/>
    <m/>
    <m/>
    <m/>
    <m/>
    <m/>
    <m/>
    <m/>
    <m/>
    <m/>
    <m/>
    <m/>
    <m/>
    <n v="0"/>
    <m/>
    <m/>
    <m/>
    <m/>
    <m/>
    <m/>
    <m/>
    <m/>
    <m/>
    <n v="71500"/>
    <n v="56992"/>
    <m/>
    <m/>
    <m/>
  </r>
  <r>
    <x v="1353"/>
    <n v="261950.629032258"/>
    <n v="4.4193548387096797"/>
    <n v="3.5760437275985701"/>
    <n v="0.809177777777778"/>
    <n v="0.99"/>
    <m/>
    <m/>
    <m/>
    <m/>
    <m/>
    <n v="0"/>
    <m/>
    <n v="0"/>
    <n v="0"/>
    <n v="0"/>
    <n v="0"/>
    <n v="0"/>
    <m/>
    <m/>
    <m/>
    <m/>
    <m/>
    <m/>
    <m/>
    <m/>
    <m/>
    <m/>
    <n v="0"/>
    <n v="0"/>
    <m/>
    <m/>
    <m/>
    <m/>
    <m/>
    <m/>
    <m/>
    <m/>
    <m/>
    <m/>
    <m/>
    <m/>
    <n v="0"/>
    <m/>
    <m/>
    <m/>
    <m/>
    <m/>
    <m/>
    <m/>
    <m/>
    <m/>
    <n v="71500"/>
    <n v="56992"/>
    <m/>
    <m/>
    <m/>
  </r>
  <r>
    <x v="1354"/>
    <n v="261950.629032258"/>
    <n v="4.4193548387096797"/>
    <n v="3.5759946236559101"/>
    <n v="0.80916666666666703"/>
    <n v="0.99"/>
    <m/>
    <m/>
    <m/>
    <m/>
    <m/>
    <n v="0"/>
    <m/>
    <n v="0"/>
    <n v="0"/>
    <n v="0"/>
    <n v="0"/>
    <n v="0"/>
    <m/>
    <m/>
    <m/>
    <m/>
    <m/>
    <m/>
    <m/>
    <m/>
    <m/>
    <m/>
    <n v="0"/>
    <n v="0"/>
    <m/>
    <m/>
    <m/>
    <m/>
    <m/>
    <m/>
    <m/>
    <m/>
    <m/>
    <m/>
    <m/>
    <m/>
    <n v="0"/>
    <m/>
    <m/>
    <m/>
    <m/>
    <m/>
    <m/>
    <m/>
    <m/>
    <m/>
    <n v="71500"/>
    <n v="56992"/>
    <m/>
    <m/>
    <m/>
  </r>
  <r>
    <x v="1355"/>
    <n v="261950.629032258"/>
    <n v="4.4193548387096797"/>
    <n v="3.5759455197132599"/>
    <n v="0.80915555555555596"/>
    <n v="0.99"/>
    <m/>
    <m/>
    <m/>
    <m/>
    <m/>
    <n v="0"/>
    <m/>
    <n v="0"/>
    <n v="0"/>
    <n v="0"/>
    <n v="0"/>
    <n v="0"/>
    <m/>
    <m/>
    <m/>
    <m/>
    <m/>
    <m/>
    <m/>
    <m/>
    <m/>
    <m/>
    <n v="0"/>
    <n v="0"/>
    <m/>
    <m/>
    <m/>
    <m/>
    <m/>
    <m/>
    <m/>
    <m/>
    <m/>
    <m/>
    <m/>
    <m/>
    <n v="0"/>
    <m/>
    <m/>
    <m/>
    <m/>
    <m/>
    <m/>
    <m/>
    <m/>
    <m/>
    <n v="71500"/>
    <n v="56992"/>
    <m/>
    <m/>
    <m/>
  </r>
  <r>
    <x v="1356"/>
    <n v="261950.629032258"/>
    <n v="4.4193548387096797"/>
    <n v="3.5758964157706101"/>
    <n v="0.809144444444444"/>
    <n v="0.99"/>
    <m/>
    <m/>
    <m/>
    <m/>
    <m/>
    <n v="0"/>
    <m/>
    <n v="0"/>
    <n v="0"/>
    <n v="0"/>
    <n v="0"/>
    <n v="0"/>
    <m/>
    <m/>
    <m/>
    <m/>
    <m/>
    <m/>
    <m/>
    <m/>
    <m/>
    <m/>
    <n v="0"/>
    <n v="0"/>
    <m/>
    <m/>
    <m/>
    <m/>
    <m/>
    <m/>
    <m/>
    <m/>
    <m/>
    <m/>
    <m/>
    <m/>
    <n v="0"/>
    <m/>
    <m/>
    <m/>
    <m/>
    <m/>
    <m/>
    <m/>
    <m/>
    <m/>
    <n v="71500"/>
    <n v="56992"/>
    <m/>
    <m/>
    <m/>
  </r>
  <r>
    <x v="1357"/>
    <n v="261950.629032258"/>
    <n v="4.4193548387096797"/>
    <n v="3.5758473118279599"/>
    <n v="0.80913333333333304"/>
    <n v="0.99"/>
    <m/>
    <m/>
    <m/>
    <m/>
    <m/>
    <n v="0"/>
    <m/>
    <n v="0"/>
    <n v="0"/>
    <n v="0"/>
    <n v="0"/>
    <n v="0"/>
    <m/>
    <m/>
    <m/>
    <m/>
    <m/>
    <m/>
    <m/>
    <m/>
    <m/>
    <m/>
    <n v="0"/>
    <n v="0"/>
    <m/>
    <m/>
    <m/>
    <m/>
    <m/>
    <m/>
    <m/>
    <m/>
    <m/>
    <m/>
    <m/>
    <m/>
    <n v="0"/>
    <m/>
    <m/>
    <m/>
    <m/>
    <m/>
    <m/>
    <m/>
    <m/>
    <m/>
    <n v="71500"/>
    <n v="56992"/>
    <m/>
    <m/>
    <m/>
  </r>
  <r>
    <x v="1358"/>
    <n v="261950.629032258"/>
    <n v="4.4193548387096797"/>
    <n v="3.5757982078852999"/>
    <n v="0.80912222222222197"/>
    <n v="0.99"/>
    <m/>
    <m/>
    <m/>
    <m/>
    <m/>
    <n v="0"/>
    <m/>
    <n v="0"/>
    <n v="0"/>
    <n v="0"/>
    <n v="0"/>
    <n v="0"/>
    <m/>
    <m/>
    <m/>
    <m/>
    <m/>
    <m/>
    <m/>
    <m/>
    <m/>
    <m/>
    <n v="0"/>
    <n v="0"/>
    <m/>
    <m/>
    <m/>
    <m/>
    <m/>
    <m/>
    <m/>
    <m/>
    <m/>
    <m/>
    <m/>
    <m/>
    <n v="0"/>
    <m/>
    <m/>
    <m/>
    <m/>
    <m/>
    <m/>
    <m/>
    <m/>
    <m/>
    <n v="71500"/>
    <n v="56992"/>
    <m/>
    <m/>
    <m/>
  </r>
  <r>
    <x v="1359"/>
    <n v="261950.629032258"/>
    <n v="4.4193548387096797"/>
    <n v="3.5757491039426501"/>
    <n v="0.809111111111111"/>
    <n v="0.99"/>
    <m/>
    <m/>
    <m/>
    <m/>
    <m/>
    <n v="0"/>
    <m/>
    <n v="0"/>
    <n v="0"/>
    <n v="0"/>
    <n v="0"/>
    <n v="0"/>
    <m/>
    <m/>
    <m/>
    <m/>
    <m/>
    <m/>
    <m/>
    <m/>
    <m/>
    <m/>
    <n v="0"/>
    <n v="0"/>
    <m/>
    <m/>
    <m/>
    <m/>
    <m/>
    <m/>
    <m/>
    <m/>
    <m/>
    <m/>
    <m/>
    <m/>
    <n v="0"/>
    <m/>
    <m/>
    <m/>
    <m/>
    <m/>
    <m/>
    <m/>
    <m/>
    <m/>
    <n v="71500"/>
    <n v="56992"/>
    <m/>
    <m/>
    <m/>
  </r>
  <r>
    <x v="1360"/>
    <n v="261950.629032258"/>
    <n v="4.4193548387096797"/>
    <n v="3.5756999999999999"/>
    <n v="0.80910000000000004"/>
    <n v="0.99"/>
    <m/>
    <m/>
    <m/>
    <m/>
    <m/>
    <n v="0"/>
    <m/>
    <n v="0"/>
    <n v="0"/>
    <n v="0"/>
    <n v="0"/>
    <n v="0"/>
    <m/>
    <m/>
    <m/>
    <m/>
    <m/>
    <m/>
    <m/>
    <m/>
    <m/>
    <m/>
    <n v="0"/>
    <n v="0"/>
    <m/>
    <m/>
    <m/>
    <m/>
    <m/>
    <m/>
    <m/>
    <m/>
    <m/>
    <m/>
    <m/>
    <m/>
    <n v="0"/>
    <m/>
    <m/>
    <m/>
    <m/>
    <m/>
    <m/>
    <m/>
    <m/>
    <m/>
    <n v="71500"/>
    <n v="56992"/>
    <m/>
    <m/>
    <m/>
  </r>
  <r>
    <x v="1361"/>
    <n v="261950.629032258"/>
    <n v="4.4193548387096797"/>
    <n v="3.5756508960573501"/>
    <n v="0.80908888888888897"/>
    <n v="0.99"/>
    <m/>
    <m/>
    <m/>
    <m/>
    <m/>
    <n v="0"/>
    <m/>
    <n v="0"/>
    <n v="0"/>
    <n v="0"/>
    <n v="0"/>
    <n v="0"/>
    <m/>
    <m/>
    <m/>
    <m/>
    <m/>
    <m/>
    <m/>
    <m/>
    <m/>
    <m/>
    <n v="0"/>
    <n v="0"/>
    <m/>
    <m/>
    <m/>
    <m/>
    <m/>
    <m/>
    <m/>
    <m/>
    <m/>
    <m/>
    <m/>
    <m/>
    <n v="0"/>
    <m/>
    <m/>
    <m/>
    <m/>
    <m/>
    <m/>
    <m/>
    <m/>
    <m/>
    <n v="71500"/>
    <n v="56992"/>
    <m/>
    <m/>
    <m/>
  </r>
  <r>
    <x v="1362"/>
    <n v="261950.629032258"/>
    <n v="4.4193548387096797"/>
    <n v="3.5756017921146901"/>
    <n v="0.80907777777777801"/>
    <n v="0.99"/>
    <m/>
    <m/>
    <m/>
    <m/>
    <m/>
    <n v="0"/>
    <m/>
    <n v="0"/>
    <n v="0"/>
    <n v="0"/>
    <n v="0"/>
    <n v="0"/>
    <m/>
    <m/>
    <m/>
    <m/>
    <m/>
    <m/>
    <m/>
    <m/>
    <m/>
    <m/>
    <n v="0"/>
    <n v="0"/>
    <m/>
    <m/>
    <m/>
    <m/>
    <m/>
    <m/>
    <m/>
    <m/>
    <m/>
    <m/>
    <m/>
    <m/>
    <n v="0"/>
    <m/>
    <m/>
    <m/>
    <m/>
    <m/>
    <m/>
    <m/>
    <m/>
    <m/>
    <n v="71500"/>
    <n v="56992"/>
    <m/>
    <m/>
    <m/>
  </r>
  <r>
    <x v="1363"/>
    <n v="261950.629032258"/>
    <n v="4.4193548387096797"/>
    <n v="3.5755526881720399"/>
    <n v="0.80906666666666704"/>
    <n v="0.99"/>
    <m/>
    <m/>
    <m/>
    <m/>
    <m/>
    <n v="0"/>
    <m/>
    <n v="0"/>
    <n v="0"/>
    <n v="0"/>
    <n v="0"/>
    <n v="0"/>
    <m/>
    <m/>
    <m/>
    <m/>
    <m/>
    <m/>
    <m/>
    <m/>
    <m/>
    <m/>
    <n v="0"/>
    <n v="0"/>
    <m/>
    <m/>
    <m/>
    <m/>
    <m/>
    <m/>
    <m/>
    <m/>
    <m/>
    <m/>
    <m/>
    <m/>
    <n v="0"/>
    <m/>
    <m/>
    <m/>
    <m/>
    <m/>
    <m/>
    <m/>
    <m/>
    <m/>
    <n v="71500"/>
    <n v="56992"/>
    <m/>
    <m/>
    <m/>
  </r>
  <r>
    <x v="1364"/>
    <n v="261950.629032258"/>
    <n v="4.4193548387096797"/>
    <n v="3.5755035842293901"/>
    <n v="0.80905555555555597"/>
    <n v="0.99"/>
    <m/>
    <m/>
    <m/>
    <m/>
    <m/>
    <n v="0"/>
    <m/>
    <n v="0"/>
    <n v="0"/>
    <n v="0"/>
    <n v="0"/>
    <n v="0"/>
    <m/>
    <m/>
    <m/>
    <m/>
    <m/>
    <m/>
    <m/>
    <m/>
    <m/>
    <m/>
    <n v="0"/>
    <n v="0"/>
    <m/>
    <m/>
    <m/>
    <m/>
    <m/>
    <m/>
    <m/>
    <m/>
    <m/>
    <m/>
    <m/>
    <m/>
    <n v="0"/>
    <m/>
    <m/>
    <m/>
    <m/>
    <m/>
    <m/>
    <m/>
    <m/>
    <m/>
    <n v="71500"/>
    <n v="56992"/>
    <m/>
    <m/>
    <m/>
  </r>
  <r>
    <x v="1365"/>
    <n v="261950.629032258"/>
    <n v="4.4193548387096797"/>
    <n v="3.5754544802867398"/>
    <n v="0.80904444444444401"/>
    <n v="0.99"/>
    <m/>
    <m/>
    <m/>
    <m/>
    <m/>
    <n v="0"/>
    <m/>
    <n v="0"/>
    <n v="0"/>
    <n v="0"/>
    <n v="0"/>
    <n v="0"/>
    <m/>
    <m/>
    <m/>
    <m/>
    <m/>
    <m/>
    <m/>
    <m/>
    <m/>
    <m/>
    <n v="0"/>
    <n v="0"/>
    <m/>
    <m/>
    <m/>
    <m/>
    <m/>
    <m/>
    <m/>
    <m/>
    <m/>
    <m/>
    <m/>
    <m/>
    <n v="0"/>
    <m/>
    <m/>
    <m/>
    <m/>
    <m/>
    <m/>
    <m/>
    <m/>
    <m/>
    <n v="71500"/>
    <n v="56992"/>
    <m/>
    <m/>
    <m/>
  </r>
  <r>
    <x v="1366"/>
    <n v="261950.629032258"/>
    <n v="4.4193548387096797"/>
    <n v="3.5754053763440901"/>
    <n v="0.80903333333333305"/>
    <n v="0.99"/>
    <m/>
    <m/>
    <m/>
    <m/>
    <m/>
    <n v="0"/>
    <m/>
    <n v="0"/>
    <n v="0"/>
    <n v="0"/>
    <n v="0"/>
    <n v="0"/>
    <m/>
    <m/>
    <m/>
    <m/>
    <m/>
    <m/>
    <m/>
    <m/>
    <m/>
    <m/>
    <n v="0"/>
    <n v="0"/>
    <m/>
    <m/>
    <m/>
    <m/>
    <m/>
    <m/>
    <m/>
    <m/>
    <m/>
    <m/>
    <m/>
    <m/>
    <n v="0"/>
    <m/>
    <m/>
    <m/>
    <m/>
    <m/>
    <m/>
    <m/>
    <m/>
    <m/>
    <n v="71500"/>
    <n v="56992"/>
    <m/>
    <m/>
    <m/>
  </r>
  <r>
    <x v="1367"/>
    <n v="261950.629032258"/>
    <n v="4.4193548387096797"/>
    <n v="3.5753562724014301"/>
    <n v="0.80902222222222198"/>
    <n v="0.99"/>
    <m/>
    <m/>
    <m/>
    <m/>
    <m/>
    <n v="0"/>
    <m/>
    <n v="0"/>
    <n v="0"/>
    <n v="0"/>
    <n v="0"/>
    <n v="0"/>
    <m/>
    <m/>
    <m/>
    <m/>
    <m/>
    <m/>
    <m/>
    <m/>
    <m/>
    <m/>
    <n v="0"/>
    <n v="0"/>
    <m/>
    <m/>
    <m/>
    <m/>
    <m/>
    <m/>
    <m/>
    <m/>
    <m/>
    <m/>
    <m/>
    <m/>
    <n v="0"/>
    <m/>
    <m/>
    <m/>
    <m/>
    <m/>
    <m/>
    <m/>
    <m/>
    <m/>
    <n v="71500"/>
    <n v="56992"/>
    <m/>
    <m/>
    <m/>
  </r>
  <r>
    <x v="1368"/>
    <n v="261950.629032258"/>
    <n v="4.4193548387096797"/>
    <n v="3.5753071684587798"/>
    <n v="0.80901111111111101"/>
    <n v="0.99"/>
    <m/>
    <m/>
    <m/>
    <m/>
    <m/>
    <n v="0"/>
    <m/>
    <n v="0"/>
    <n v="0"/>
    <n v="0"/>
    <n v="0"/>
    <n v="0"/>
    <m/>
    <m/>
    <m/>
    <m/>
    <m/>
    <m/>
    <m/>
    <m/>
    <m/>
    <m/>
    <n v="0"/>
    <n v="0"/>
    <m/>
    <m/>
    <m/>
    <m/>
    <m/>
    <m/>
    <m/>
    <m/>
    <m/>
    <m/>
    <m/>
    <m/>
    <n v="0"/>
    <m/>
    <m/>
    <m/>
    <m/>
    <m/>
    <m/>
    <m/>
    <m/>
    <m/>
    <n v="71500"/>
    <n v="56992"/>
    <m/>
    <m/>
    <m/>
  </r>
  <r>
    <x v="1369"/>
    <n v="261950.629032258"/>
    <n v="4.4193548387096797"/>
    <n v="3.57525806451613"/>
    <n v="0.80900000000000005"/>
    <n v="0.99"/>
    <m/>
    <m/>
    <m/>
    <m/>
    <m/>
    <n v="0"/>
    <m/>
    <n v="0"/>
    <n v="0"/>
    <n v="0"/>
    <n v="0"/>
    <n v="0"/>
    <m/>
    <m/>
    <m/>
    <m/>
    <m/>
    <m/>
    <m/>
    <m/>
    <m/>
    <m/>
    <n v="0"/>
    <n v="0"/>
    <m/>
    <m/>
    <m/>
    <m/>
    <m/>
    <m/>
    <m/>
    <m/>
    <m/>
    <m/>
    <m/>
    <m/>
    <n v="0"/>
    <m/>
    <m/>
    <m/>
    <m/>
    <m/>
    <m/>
    <m/>
    <m/>
    <m/>
    <n v="71500"/>
    <n v="56992"/>
    <m/>
    <m/>
    <m/>
  </r>
  <r>
    <x v="1370"/>
    <n v="280814.82"/>
    <n v="4.7433333333333296"/>
    <n v="3.8373566666666701"/>
    <n v="0.80900000000000005"/>
    <n v="0.99"/>
    <m/>
    <m/>
    <m/>
    <m/>
    <m/>
    <n v="0"/>
    <m/>
    <n v="0"/>
    <n v="0"/>
    <n v="0"/>
    <n v="0"/>
    <n v="0"/>
    <m/>
    <m/>
    <m/>
    <m/>
    <m/>
    <m/>
    <m/>
    <m/>
    <m/>
    <m/>
    <n v="0"/>
    <n v="0"/>
    <m/>
    <m/>
    <m/>
    <m/>
    <m/>
    <m/>
    <m/>
    <m/>
    <m/>
    <m/>
    <m/>
    <m/>
    <n v="0"/>
    <m/>
    <m/>
    <m/>
    <m/>
    <m/>
    <m/>
    <m/>
    <m/>
    <m/>
    <n v="71500"/>
    <n v="56992"/>
    <m/>
    <m/>
    <m/>
  </r>
  <r>
    <x v="1371"/>
    <n v="280814.82"/>
    <n v="4.7433333333333296"/>
    <n v="3.8373039629629599"/>
    <n v="0.80898888888888898"/>
    <n v="0.99"/>
    <m/>
    <m/>
    <m/>
    <m/>
    <m/>
    <n v="0"/>
    <m/>
    <n v="0"/>
    <n v="0"/>
    <n v="0"/>
    <n v="0"/>
    <n v="0"/>
    <m/>
    <m/>
    <m/>
    <m/>
    <m/>
    <m/>
    <m/>
    <m/>
    <m/>
    <m/>
    <n v="0"/>
    <n v="0"/>
    <m/>
    <m/>
    <m/>
    <m/>
    <m/>
    <m/>
    <m/>
    <m/>
    <m/>
    <m/>
    <m/>
    <m/>
    <n v="0"/>
    <m/>
    <m/>
    <m/>
    <m/>
    <m/>
    <m/>
    <m/>
    <m/>
    <m/>
    <n v="71500"/>
    <n v="56992"/>
    <m/>
    <m/>
    <m/>
  </r>
  <r>
    <x v="1372"/>
    <n v="280814.82"/>
    <n v="4.7433333333333296"/>
    <n v="3.83725125925926"/>
    <n v="0.80897777777777802"/>
    <n v="0.99"/>
    <m/>
    <m/>
    <m/>
    <m/>
    <m/>
    <n v="0"/>
    <m/>
    <n v="0"/>
    <n v="0"/>
    <n v="0"/>
    <n v="0"/>
    <n v="0"/>
    <m/>
    <m/>
    <m/>
    <m/>
    <m/>
    <m/>
    <m/>
    <m/>
    <m/>
    <m/>
    <n v="0"/>
    <n v="0"/>
    <m/>
    <m/>
    <m/>
    <m/>
    <m/>
    <m/>
    <m/>
    <m/>
    <m/>
    <m/>
    <m/>
    <m/>
    <n v="0"/>
    <m/>
    <m/>
    <m/>
    <m/>
    <m/>
    <m/>
    <m/>
    <m/>
    <m/>
    <n v="71500"/>
    <n v="56992"/>
    <m/>
    <m/>
    <m/>
  </r>
  <r>
    <x v="1373"/>
    <n v="280814.82"/>
    <n v="4.7433333333333296"/>
    <n v="3.8371985555555601"/>
    <n v="0.80896666666666694"/>
    <n v="0.99"/>
    <m/>
    <m/>
    <m/>
    <m/>
    <m/>
    <n v="0"/>
    <m/>
    <n v="0"/>
    <n v="0"/>
    <n v="0"/>
    <n v="0"/>
    <n v="0"/>
    <m/>
    <m/>
    <m/>
    <m/>
    <m/>
    <m/>
    <m/>
    <m/>
    <m/>
    <m/>
    <n v="0"/>
    <n v="0"/>
    <m/>
    <m/>
    <m/>
    <m/>
    <m/>
    <m/>
    <m/>
    <m/>
    <m/>
    <m/>
    <m/>
    <m/>
    <n v="0"/>
    <m/>
    <m/>
    <m/>
    <m/>
    <m/>
    <m/>
    <m/>
    <m/>
    <m/>
    <n v="71500"/>
    <n v="56992"/>
    <m/>
    <m/>
    <m/>
  </r>
  <r>
    <x v="1374"/>
    <n v="280814.82"/>
    <n v="4.7433333333333296"/>
    <n v="3.83714585185185"/>
    <n v="0.80895555555555598"/>
    <n v="0.99"/>
    <m/>
    <m/>
    <m/>
    <m/>
    <m/>
    <n v="0"/>
    <m/>
    <n v="0"/>
    <n v="0"/>
    <n v="0"/>
    <n v="0"/>
    <n v="0"/>
    <m/>
    <m/>
    <m/>
    <m/>
    <m/>
    <m/>
    <m/>
    <m/>
    <m/>
    <m/>
    <n v="0"/>
    <n v="0"/>
    <m/>
    <m/>
    <m/>
    <m/>
    <m/>
    <m/>
    <m/>
    <m/>
    <m/>
    <m/>
    <m/>
    <m/>
    <n v="0"/>
    <m/>
    <m/>
    <m/>
    <m/>
    <m/>
    <m/>
    <m/>
    <m/>
    <m/>
    <n v="71500"/>
    <n v="56992"/>
    <m/>
    <m/>
    <m/>
  </r>
  <r>
    <x v="1375"/>
    <n v="280814.82"/>
    <n v="4.7433333333333296"/>
    <n v="3.8370931481481501"/>
    <n v="0.80894444444444402"/>
    <n v="0.99"/>
    <m/>
    <m/>
    <m/>
    <m/>
    <m/>
    <n v="0"/>
    <m/>
    <n v="0"/>
    <n v="0"/>
    <n v="0"/>
    <n v="0"/>
    <n v="0"/>
    <m/>
    <m/>
    <m/>
    <m/>
    <m/>
    <m/>
    <m/>
    <m/>
    <m/>
    <m/>
    <n v="0"/>
    <n v="0"/>
    <m/>
    <m/>
    <m/>
    <m/>
    <m/>
    <m/>
    <m/>
    <m/>
    <m/>
    <m/>
    <m/>
    <m/>
    <n v="0"/>
    <m/>
    <m/>
    <m/>
    <m/>
    <m/>
    <m/>
    <m/>
    <m/>
    <m/>
    <n v="71500"/>
    <n v="56992"/>
    <m/>
    <m/>
    <m/>
  </r>
  <r>
    <x v="1376"/>
    <n v="280814.82"/>
    <n v="4.7433333333333296"/>
    <n v="3.8370404444444399"/>
    <n v="0.80893333333333295"/>
    <n v="0.99"/>
    <m/>
    <m/>
    <m/>
    <m/>
    <m/>
    <n v="0"/>
    <m/>
    <n v="0"/>
    <n v="0"/>
    <n v="0"/>
    <n v="0"/>
    <n v="0"/>
    <m/>
    <m/>
    <m/>
    <m/>
    <m/>
    <m/>
    <m/>
    <m/>
    <m/>
    <m/>
    <n v="0"/>
    <n v="0"/>
    <m/>
    <m/>
    <m/>
    <m/>
    <m/>
    <m/>
    <m/>
    <m/>
    <m/>
    <m/>
    <m/>
    <m/>
    <n v="0"/>
    <m/>
    <m/>
    <m/>
    <m/>
    <m/>
    <m/>
    <m/>
    <m/>
    <m/>
    <n v="71500"/>
    <n v="56992"/>
    <m/>
    <m/>
    <m/>
  </r>
  <r>
    <x v="1377"/>
    <n v="280814.82"/>
    <n v="4.7433333333333296"/>
    <n v="3.83698774074074"/>
    <n v="0.80892222222222199"/>
    <n v="0.99"/>
    <m/>
    <m/>
    <m/>
    <m/>
    <m/>
    <n v="0"/>
    <m/>
    <n v="0"/>
    <n v="0"/>
    <n v="0"/>
    <n v="0"/>
    <n v="0"/>
    <m/>
    <m/>
    <m/>
    <m/>
    <m/>
    <m/>
    <m/>
    <m/>
    <m/>
    <m/>
    <n v="0"/>
    <n v="0"/>
    <m/>
    <m/>
    <m/>
    <m/>
    <m/>
    <m/>
    <m/>
    <m/>
    <m/>
    <m/>
    <m/>
    <m/>
    <n v="0"/>
    <m/>
    <m/>
    <m/>
    <m/>
    <m/>
    <m/>
    <m/>
    <m/>
    <m/>
    <n v="71500"/>
    <n v="56992"/>
    <m/>
    <m/>
    <m/>
  </r>
  <r>
    <x v="1378"/>
    <n v="280814.82"/>
    <n v="4.7433333333333296"/>
    <n v="3.8369350370370401"/>
    <n v="0.80891111111111103"/>
    <n v="0.99"/>
    <m/>
    <m/>
    <m/>
    <m/>
    <m/>
    <n v="0"/>
    <m/>
    <n v="0"/>
    <n v="0"/>
    <n v="0"/>
    <n v="0"/>
    <n v="0"/>
    <m/>
    <m/>
    <m/>
    <m/>
    <m/>
    <m/>
    <m/>
    <m/>
    <m/>
    <m/>
    <n v="0"/>
    <n v="0"/>
    <m/>
    <m/>
    <m/>
    <m/>
    <m/>
    <m/>
    <m/>
    <m/>
    <m/>
    <m/>
    <m/>
    <m/>
    <n v="0"/>
    <m/>
    <m/>
    <m/>
    <m/>
    <m/>
    <m/>
    <m/>
    <m/>
    <m/>
    <n v="71500"/>
    <n v="56992"/>
    <m/>
    <m/>
    <m/>
  </r>
  <r>
    <x v="1379"/>
    <n v="280814.82"/>
    <n v="4.7433333333333296"/>
    <n v="3.83688233333333"/>
    <n v="0.80889999999999995"/>
    <n v="0.99"/>
    <m/>
    <m/>
    <m/>
    <m/>
    <m/>
    <n v="0"/>
    <m/>
    <n v="0"/>
    <n v="0"/>
    <n v="0"/>
    <n v="0"/>
    <n v="0"/>
    <m/>
    <m/>
    <m/>
    <m/>
    <m/>
    <m/>
    <m/>
    <m/>
    <m/>
    <m/>
    <n v="0"/>
    <n v="0"/>
    <m/>
    <m/>
    <m/>
    <m/>
    <m/>
    <m/>
    <m/>
    <m/>
    <m/>
    <m/>
    <m/>
    <m/>
    <n v="0"/>
    <m/>
    <m/>
    <m/>
    <m/>
    <m/>
    <m/>
    <m/>
    <m/>
    <m/>
    <n v="71500"/>
    <n v="56992"/>
    <m/>
    <m/>
    <m/>
  </r>
  <r>
    <x v="1380"/>
    <n v="280814.82"/>
    <n v="4.7433333333333296"/>
    <n v="3.83682962962963"/>
    <n v="0.80888888888888899"/>
    <n v="0.99"/>
    <m/>
    <m/>
    <m/>
    <m/>
    <m/>
    <n v="0"/>
    <m/>
    <n v="0"/>
    <n v="0"/>
    <n v="0"/>
    <n v="0"/>
    <n v="0"/>
    <m/>
    <m/>
    <m/>
    <m/>
    <m/>
    <m/>
    <m/>
    <m/>
    <m/>
    <m/>
    <n v="0"/>
    <n v="0"/>
    <m/>
    <m/>
    <m/>
    <m/>
    <m/>
    <m/>
    <m/>
    <m/>
    <m/>
    <m/>
    <m/>
    <m/>
    <n v="0"/>
    <m/>
    <m/>
    <m/>
    <m/>
    <m/>
    <m/>
    <m/>
    <m/>
    <m/>
    <n v="71500"/>
    <n v="56992"/>
    <m/>
    <m/>
    <m/>
  </r>
  <r>
    <x v="1381"/>
    <n v="280814.82"/>
    <n v="4.7433333333333296"/>
    <n v="3.8367769259259301"/>
    <n v="0.80887777777777803"/>
    <n v="0.99"/>
    <m/>
    <m/>
    <m/>
    <m/>
    <m/>
    <n v="0"/>
    <m/>
    <n v="0"/>
    <n v="0"/>
    <n v="0"/>
    <n v="0"/>
    <n v="0"/>
    <m/>
    <m/>
    <m/>
    <m/>
    <m/>
    <m/>
    <m/>
    <m/>
    <m/>
    <m/>
    <n v="0"/>
    <n v="0"/>
    <m/>
    <m/>
    <m/>
    <m/>
    <m/>
    <m/>
    <m/>
    <m/>
    <m/>
    <m/>
    <m/>
    <m/>
    <n v="0"/>
    <m/>
    <m/>
    <m/>
    <m/>
    <m/>
    <m/>
    <m/>
    <m/>
    <m/>
    <n v="71500"/>
    <n v="56992"/>
    <m/>
    <m/>
    <m/>
  </r>
  <r>
    <x v="1382"/>
    <n v="280814.82"/>
    <n v="4.7433333333333296"/>
    <n v="3.83672422222222"/>
    <n v="0.80886666666666696"/>
    <n v="0.99"/>
    <m/>
    <m/>
    <m/>
    <m/>
    <m/>
    <n v="0"/>
    <m/>
    <n v="0"/>
    <n v="0"/>
    <n v="0"/>
    <n v="0"/>
    <n v="0"/>
    <m/>
    <m/>
    <m/>
    <m/>
    <m/>
    <m/>
    <m/>
    <m/>
    <m/>
    <m/>
    <n v="0"/>
    <n v="0"/>
    <m/>
    <m/>
    <m/>
    <m/>
    <m/>
    <m/>
    <m/>
    <m/>
    <m/>
    <m/>
    <m/>
    <m/>
    <n v="0"/>
    <m/>
    <m/>
    <m/>
    <m/>
    <m/>
    <m/>
    <m/>
    <m/>
    <m/>
    <n v="71500"/>
    <n v="56992"/>
    <m/>
    <m/>
    <m/>
  </r>
  <r>
    <x v="1383"/>
    <n v="280814.82"/>
    <n v="4.7433333333333296"/>
    <n v="3.8366715185185201"/>
    <n v="0.80885555555555599"/>
    <n v="0.99"/>
    <m/>
    <m/>
    <m/>
    <m/>
    <m/>
    <n v="0"/>
    <m/>
    <n v="0"/>
    <n v="0"/>
    <n v="0"/>
    <n v="0"/>
    <n v="0"/>
    <m/>
    <m/>
    <m/>
    <m/>
    <m/>
    <m/>
    <m/>
    <m/>
    <m/>
    <m/>
    <n v="0"/>
    <n v="0"/>
    <m/>
    <m/>
    <m/>
    <m/>
    <m/>
    <m/>
    <m/>
    <m/>
    <m/>
    <m/>
    <m/>
    <m/>
    <n v="0"/>
    <m/>
    <m/>
    <m/>
    <m/>
    <m/>
    <m/>
    <m/>
    <m/>
    <m/>
    <n v="71500"/>
    <n v="56992"/>
    <m/>
    <m/>
    <m/>
  </r>
  <r>
    <x v="1384"/>
    <n v="280814.82"/>
    <n v="4.7433333333333296"/>
    <n v="3.8366188148148201"/>
    <n v="0.80884444444444403"/>
    <n v="0.99"/>
    <m/>
    <m/>
    <m/>
    <m/>
    <m/>
    <n v="0"/>
    <m/>
    <n v="0"/>
    <n v="0"/>
    <n v="0"/>
    <n v="0"/>
    <n v="0"/>
    <m/>
    <m/>
    <m/>
    <m/>
    <m/>
    <m/>
    <m/>
    <m/>
    <m/>
    <m/>
    <n v="0"/>
    <n v="0"/>
    <m/>
    <m/>
    <m/>
    <m/>
    <m/>
    <m/>
    <m/>
    <m/>
    <m/>
    <m/>
    <m/>
    <m/>
    <n v="0"/>
    <m/>
    <m/>
    <m/>
    <m/>
    <m/>
    <m/>
    <m/>
    <m/>
    <m/>
    <n v="71500"/>
    <n v="56992"/>
    <m/>
    <m/>
    <m/>
  </r>
  <r>
    <x v="1385"/>
    <n v="280814.82"/>
    <n v="4.7433333333333296"/>
    <n v="3.83656611111111"/>
    <n v="0.80883333333333296"/>
    <n v="0.99"/>
    <m/>
    <m/>
    <m/>
    <m/>
    <m/>
    <n v="0"/>
    <m/>
    <n v="0"/>
    <n v="0"/>
    <n v="0"/>
    <n v="0"/>
    <n v="0"/>
    <m/>
    <m/>
    <m/>
    <m/>
    <m/>
    <m/>
    <m/>
    <m/>
    <m/>
    <m/>
    <n v="0"/>
    <n v="0"/>
    <m/>
    <m/>
    <m/>
    <m/>
    <m/>
    <m/>
    <m/>
    <m/>
    <m/>
    <m/>
    <m/>
    <m/>
    <n v="0"/>
    <m/>
    <m/>
    <m/>
    <m/>
    <m/>
    <m/>
    <m/>
    <m/>
    <m/>
    <n v="71500"/>
    <n v="56992"/>
    <m/>
    <m/>
    <m/>
  </r>
  <r>
    <x v="1386"/>
    <n v="280814.82"/>
    <n v="4.7433333333333296"/>
    <n v="3.8365134074074101"/>
    <n v="0.808822222222222"/>
    <n v="0.99"/>
    <m/>
    <m/>
    <m/>
    <m/>
    <m/>
    <n v="0"/>
    <m/>
    <n v="0"/>
    <n v="0"/>
    <n v="0"/>
    <n v="0"/>
    <n v="0"/>
    <m/>
    <m/>
    <m/>
    <m/>
    <m/>
    <m/>
    <m/>
    <m/>
    <m/>
    <m/>
    <n v="0"/>
    <n v="0"/>
    <m/>
    <m/>
    <m/>
    <m/>
    <m/>
    <m/>
    <m/>
    <m/>
    <m/>
    <m/>
    <m/>
    <m/>
    <n v="0"/>
    <m/>
    <m/>
    <m/>
    <m/>
    <m/>
    <m/>
    <m/>
    <m/>
    <m/>
    <n v="71500"/>
    <n v="56992"/>
    <m/>
    <m/>
    <m/>
  </r>
  <r>
    <x v="1387"/>
    <n v="280814.82"/>
    <n v="4.7433333333333296"/>
    <n v="3.8364607037037"/>
    <n v="0.80881111111111104"/>
    <n v="0.99"/>
    <m/>
    <m/>
    <m/>
    <m/>
    <m/>
    <n v="0"/>
    <m/>
    <n v="0"/>
    <n v="0"/>
    <n v="0"/>
    <n v="0"/>
    <n v="0"/>
    <m/>
    <m/>
    <m/>
    <m/>
    <m/>
    <m/>
    <m/>
    <m/>
    <m/>
    <m/>
    <n v="0"/>
    <n v="0"/>
    <m/>
    <m/>
    <m/>
    <m/>
    <m/>
    <m/>
    <m/>
    <m/>
    <m/>
    <m/>
    <m/>
    <m/>
    <n v="0"/>
    <m/>
    <m/>
    <m/>
    <m/>
    <m/>
    <m/>
    <m/>
    <m/>
    <m/>
    <n v="71500"/>
    <n v="56992"/>
    <m/>
    <m/>
    <m/>
  </r>
  <r>
    <x v="1388"/>
    <n v="280814.82"/>
    <n v="4.7433333333333296"/>
    <n v="3.836408"/>
    <n v="0.80879999999999996"/>
    <n v="0.99"/>
    <m/>
    <m/>
    <m/>
    <m/>
    <m/>
    <n v="0"/>
    <m/>
    <n v="0"/>
    <n v="0"/>
    <n v="0"/>
    <n v="0"/>
    <n v="0"/>
    <m/>
    <m/>
    <m/>
    <m/>
    <m/>
    <m/>
    <m/>
    <m/>
    <m/>
    <m/>
    <n v="0"/>
    <n v="0"/>
    <m/>
    <m/>
    <m/>
    <m/>
    <m/>
    <m/>
    <m/>
    <m/>
    <m/>
    <m/>
    <m/>
    <m/>
    <n v="0"/>
    <m/>
    <m/>
    <m/>
    <m/>
    <m/>
    <m/>
    <m/>
    <m/>
    <m/>
    <n v="71500"/>
    <n v="56992"/>
    <m/>
    <m/>
    <m/>
  </r>
  <r>
    <x v="1389"/>
    <n v="280814.82"/>
    <n v="4.7433333333333296"/>
    <n v="3.8363552962963001"/>
    <n v="0.808788888888889"/>
    <n v="0.99"/>
    <m/>
    <m/>
    <m/>
    <m/>
    <m/>
    <n v="0"/>
    <m/>
    <n v="0"/>
    <n v="0"/>
    <n v="0"/>
    <n v="0"/>
    <n v="0"/>
    <m/>
    <m/>
    <m/>
    <m/>
    <m/>
    <m/>
    <m/>
    <m/>
    <m/>
    <m/>
    <n v="0"/>
    <n v="0"/>
    <m/>
    <m/>
    <m/>
    <m/>
    <m/>
    <m/>
    <m/>
    <m/>
    <m/>
    <m/>
    <m/>
    <m/>
    <n v="0"/>
    <m/>
    <m/>
    <m/>
    <m/>
    <m/>
    <m/>
    <m/>
    <m/>
    <m/>
    <n v="71500"/>
    <n v="56992"/>
    <m/>
    <m/>
    <m/>
  </r>
  <r>
    <x v="1390"/>
    <n v="280814.82"/>
    <n v="4.7433333333333296"/>
    <n v="3.83630259259259"/>
    <n v="0.80877777777777804"/>
    <n v="0.99"/>
    <m/>
    <m/>
    <m/>
    <m/>
    <m/>
    <n v="0"/>
    <m/>
    <n v="0"/>
    <n v="0"/>
    <n v="0"/>
    <n v="0"/>
    <n v="0"/>
    <m/>
    <m/>
    <m/>
    <m/>
    <m/>
    <m/>
    <m/>
    <m/>
    <m/>
    <m/>
    <n v="0"/>
    <n v="0"/>
    <m/>
    <m/>
    <m/>
    <m/>
    <m/>
    <m/>
    <m/>
    <m/>
    <m/>
    <m/>
    <m/>
    <m/>
    <n v="0"/>
    <m/>
    <m/>
    <m/>
    <m/>
    <m/>
    <m/>
    <m/>
    <m/>
    <m/>
    <n v="71500"/>
    <n v="56992"/>
    <m/>
    <m/>
    <m/>
  </r>
  <r>
    <x v="1391"/>
    <n v="280814.82"/>
    <n v="4.7433333333333296"/>
    <n v="3.8362498888888901"/>
    <n v="0.80876666666666697"/>
    <n v="0.99"/>
    <m/>
    <m/>
    <m/>
    <m/>
    <m/>
    <n v="0"/>
    <m/>
    <n v="0"/>
    <n v="0"/>
    <n v="0"/>
    <n v="0"/>
    <n v="0"/>
    <m/>
    <m/>
    <m/>
    <m/>
    <m/>
    <m/>
    <m/>
    <m/>
    <m/>
    <m/>
    <n v="0"/>
    <n v="0"/>
    <m/>
    <m/>
    <m/>
    <m/>
    <m/>
    <m/>
    <m/>
    <m/>
    <m/>
    <m/>
    <m/>
    <m/>
    <n v="0"/>
    <m/>
    <m/>
    <m/>
    <m/>
    <m/>
    <m/>
    <m/>
    <m/>
    <m/>
    <n v="71500"/>
    <n v="56992"/>
    <m/>
    <m/>
    <m/>
  </r>
  <r>
    <x v="1392"/>
    <n v="280814.82"/>
    <n v="4.7433333333333296"/>
    <n v="3.8361971851851902"/>
    <n v="0.808755555555556"/>
    <n v="0.99"/>
    <m/>
    <m/>
    <m/>
    <m/>
    <m/>
    <n v="0"/>
    <m/>
    <n v="0"/>
    <n v="0"/>
    <n v="0"/>
    <n v="0"/>
    <n v="0"/>
    <m/>
    <m/>
    <m/>
    <m/>
    <m/>
    <m/>
    <m/>
    <m/>
    <m/>
    <m/>
    <n v="0"/>
    <n v="0"/>
    <m/>
    <m/>
    <m/>
    <m/>
    <m/>
    <m/>
    <m/>
    <m/>
    <m/>
    <m/>
    <m/>
    <m/>
    <n v="0"/>
    <m/>
    <m/>
    <m/>
    <m/>
    <m/>
    <m/>
    <m/>
    <m/>
    <m/>
    <n v="71500"/>
    <n v="56992"/>
    <m/>
    <m/>
    <m/>
  </r>
  <r>
    <x v="1393"/>
    <n v="280814.82"/>
    <n v="4.7433333333333296"/>
    <n v="3.83614448148148"/>
    <n v="0.80874444444444404"/>
    <n v="0.99"/>
    <m/>
    <m/>
    <m/>
    <m/>
    <m/>
    <n v="0"/>
    <m/>
    <n v="0"/>
    <n v="0"/>
    <n v="0"/>
    <n v="0"/>
    <n v="0"/>
    <m/>
    <m/>
    <m/>
    <m/>
    <m/>
    <m/>
    <m/>
    <m/>
    <m/>
    <m/>
    <n v="0"/>
    <n v="0"/>
    <m/>
    <m/>
    <m/>
    <m/>
    <m/>
    <m/>
    <m/>
    <m/>
    <m/>
    <m/>
    <m/>
    <m/>
    <n v="0"/>
    <m/>
    <m/>
    <m/>
    <m/>
    <m/>
    <m/>
    <m/>
    <m/>
    <m/>
    <n v="71500"/>
    <n v="56992"/>
    <m/>
    <m/>
    <m/>
  </r>
  <r>
    <x v="1394"/>
    <n v="280814.82"/>
    <n v="4.7433333333333296"/>
    <n v="3.8360917777777801"/>
    <n v="0.80873333333333297"/>
    <n v="0.99"/>
    <m/>
    <m/>
    <m/>
    <m/>
    <m/>
    <n v="0"/>
    <m/>
    <n v="0"/>
    <n v="0"/>
    <n v="0"/>
    <n v="0"/>
    <n v="0"/>
    <m/>
    <m/>
    <m/>
    <m/>
    <m/>
    <m/>
    <m/>
    <m/>
    <m/>
    <m/>
    <n v="0"/>
    <n v="0"/>
    <m/>
    <m/>
    <m/>
    <m/>
    <m/>
    <m/>
    <m/>
    <m/>
    <m/>
    <m/>
    <m/>
    <m/>
    <n v="0"/>
    <m/>
    <m/>
    <m/>
    <m/>
    <m/>
    <m/>
    <m/>
    <m/>
    <m/>
    <n v="71500"/>
    <n v="56992"/>
    <m/>
    <m/>
    <m/>
  </r>
  <r>
    <x v="1395"/>
    <n v="280814.82"/>
    <n v="4.7433333333333296"/>
    <n v="3.83603907407407"/>
    <n v="0.80872222222222201"/>
    <n v="0.99"/>
    <m/>
    <m/>
    <m/>
    <m/>
    <m/>
    <n v="0"/>
    <m/>
    <n v="0"/>
    <n v="0"/>
    <n v="0"/>
    <n v="0"/>
    <n v="0"/>
    <m/>
    <m/>
    <m/>
    <m/>
    <m/>
    <m/>
    <m/>
    <m/>
    <m/>
    <m/>
    <n v="0"/>
    <n v="0"/>
    <m/>
    <m/>
    <m/>
    <m/>
    <m/>
    <m/>
    <m/>
    <m/>
    <m/>
    <m/>
    <m/>
    <m/>
    <n v="0"/>
    <m/>
    <m/>
    <m/>
    <m/>
    <m/>
    <m/>
    <m/>
    <m/>
    <m/>
    <n v="71500"/>
    <n v="56992"/>
    <m/>
    <m/>
    <m/>
  </r>
  <r>
    <x v="1396"/>
    <n v="280814.82"/>
    <n v="4.7433333333333296"/>
    <n v="3.83598637037037"/>
    <n v="0.80871111111111105"/>
    <n v="0.99"/>
    <m/>
    <m/>
    <m/>
    <m/>
    <m/>
    <n v="0"/>
    <m/>
    <n v="0"/>
    <n v="0"/>
    <n v="0"/>
    <n v="0"/>
    <n v="0"/>
    <m/>
    <m/>
    <m/>
    <m/>
    <m/>
    <m/>
    <m/>
    <m/>
    <m/>
    <m/>
    <n v="0"/>
    <n v="0"/>
    <m/>
    <m/>
    <m/>
    <m/>
    <m/>
    <m/>
    <m/>
    <m/>
    <m/>
    <m/>
    <m/>
    <m/>
    <n v="0"/>
    <m/>
    <m/>
    <m/>
    <m/>
    <m/>
    <m/>
    <m/>
    <m/>
    <m/>
    <n v="71500"/>
    <n v="56992"/>
    <m/>
    <m/>
    <m/>
  </r>
  <r>
    <x v="1397"/>
    <n v="280814.82"/>
    <n v="4.7433333333333296"/>
    <n v="3.8359336666666701"/>
    <n v="0.80869999999999997"/>
    <n v="0.99"/>
    <m/>
    <m/>
    <m/>
    <m/>
    <m/>
    <n v="0"/>
    <m/>
    <n v="0"/>
    <n v="0"/>
    <n v="0"/>
    <n v="0"/>
    <n v="0"/>
    <m/>
    <m/>
    <m/>
    <m/>
    <m/>
    <m/>
    <m/>
    <m/>
    <m/>
    <m/>
    <n v="0"/>
    <n v="0"/>
    <m/>
    <m/>
    <m/>
    <m/>
    <m/>
    <m/>
    <m/>
    <m/>
    <m/>
    <m/>
    <m/>
    <m/>
    <n v="0"/>
    <m/>
    <m/>
    <m/>
    <m/>
    <m/>
    <m/>
    <m/>
    <m/>
    <m/>
    <n v="71500"/>
    <n v="56992"/>
    <m/>
    <m/>
    <m/>
  </r>
  <r>
    <x v="1398"/>
    <n v="280814.82"/>
    <n v="4.7433333333333296"/>
    <n v="3.83588096296296"/>
    <n v="0.80868888888888901"/>
    <n v="0.99"/>
    <m/>
    <m/>
    <m/>
    <m/>
    <m/>
    <n v="0"/>
    <m/>
    <n v="0"/>
    <n v="0"/>
    <n v="0"/>
    <n v="0"/>
    <n v="0"/>
    <m/>
    <m/>
    <m/>
    <m/>
    <m/>
    <m/>
    <m/>
    <m/>
    <m/>
    <m/>
    <n v="0"/>
    <n v="0"/>
    <m/>
    <m/>
    <m/>
    <m/>
    <m/>
    <m/>
    <m/>
    <m/>
    <m/>
    <m/>
    <m/>
    <m/>
    <n v="0"/>
    <m/>
    <m/>
    <m/>
    <m/>
    <m/>
    <m/>
    <m/>
    <m/>
    <m/>
    <n v="71500"/>
    <n v="56992"/>
    <m/>
    <m/>
    <m/>
  </r>
  <r>
    <x v="1399"/>
    <n v="280814.82"/>
    <n v="4.7433333333333296"/>
    <n v="3.8358282592592601"/>
    <n v="0.80867777777777805"/>
    <n v="0.99"/>
    <m/>
    <m/>
    <m/>
    <m/>
    <m/>
    <n v="0"/>
    <m/>
    <n v="0"/>
    <n v="0"/>
    <n v="0"/>
    <n v="0"/>
    <n v="0"/>
    <m/>
    <m/>
    <m/>
    <m/>
    <m/>
    <m/>
    <m/>
    <m/>
    <m/>
    <m/>
    <n v="0"/>
    <n v="0"/>
    <m/>
    <m/>
    <m/>
    <m/>
    <m/>
    <m/>
    <m/>
    <m/>
    <m/>
    <m/>
    <m/>
    <m/>
    <n v="0"/>
    <m/>
    <m/>
    <m/>
    <m/>
    <m/>
    <m/>
    <m/>
    <m/>
    <m/>
    <n v="71500"/>
    <n v="56992"/>
    <m/>
    <m/>
    <m/>
  </r>
  <r>
    <x v="1400"/>
    <n v="267120.30967741902"/>
    <n v="4.4903225806451603"/>
    <n v="3.6311741935483899"/>
    <n v="0.80866666666666698"/>
    <n v="0.99"/>
    <m/>
    <m/>
    <m/>
    <m/>
    <m/>
    <n v="0"/>
    <m/>
    <n v="0"/>
    <n v="0"/>
    <n v="0"/>
    <n v="0"/>
    <n v="0"/>
    <m/>
    <m/>
    <m/>
    <m/>
    <m/>
    <m/>
    <m/>
    <m/>
    <m/>
    <m/>
    <n v="0"/>
    <n v="0"/>
    <m/>
    <m/>
    <m/>
    <m/>
    <m/>
    <m/>
    <m/>
    <m/>
    <m/>
    <m/>
    <m/>
    <m/>
    <n v="0"/>
    <m/>
    <m/>
    <m/>
    <m/>
    <m/>
    <m/>
    <m/>
    <m/>
    <m/>
    <n v="71500"/>
    <n v="56992"/>
    <m/>
    <m/>
    <m/>
  </r>
  <r>
    <x v="1401"/>
    <n v="267120.30967741902"/>
    <n v="4.4903225806451603"/>
    <n v="3.6311243010752698"/>
    <n v="0.80865555555555602"/>
    <n v="0.99"/>
    <m/>
    <m/>
    <m/>
    <m/>
    <m/>
    <n v="0"/>
    <m/>
    <n v="0"/>
    <n v="0"/>
    <n v="0"/>
    <n v="0"/>
    <n v="0"/>
    <m/>
    <m/>
    <m/>
    <m/>
    <m/>
    <m/>
    <m/>
    <m/>
    <m/>
    <m/>
    <n v="0"/>
    <n v="0"/>
    <m/>
    <m/>
    <m/>
    <m/>
    <m/>
    <m/>
    <m/>
    <m/>
    <m/>
    <m/>
    <m/>
    <m/>
    <n v="0"/>
    <m/>
    <m/>
    <m/>
    <m/>
    <m/>
    <m/>
    <m/>
    <m/>
    <m/>
    <n v="71500"/>
    <n v="56992"/>
    <m/>
    <m/>
    <m/>
  </r>
  <r>
    <x v="1402"/>
    <n v="267120.30967741902"/>
    <n v="4.4903225806451603"/>
    <n v="3.6310744086021498"/>
    <n v="0.80864444444444405"/>
    <n v="0.99"/>
    <m/>
    <m/>
    <m/>
    <m/>
    <m/>
    <n v="0"/>
    <m/>
    <n v="0"/>
    <n v="0"/>
    <n v="0"/>
    <n v="0"/>
    <n v="0"/>
    <m/>
    <m/>
    <m/>
    <m/>
    <m/>
    <m/>
    <m/>
    <m/>
    <m/>
    <m/>
    <n v="0"/>
    <n v="0"/>
    <m/>
    <m/>
    <m/>
    <m/>
    <m/>
    <m/>
    <m/>
    <m/>
    <m/>
    <m/>
    <m/>
    <m/>
    <n v="0"/>
    <m/>
    <m/>
    <m/>
    <m/>
    <m/>
    <m/>
    <m/>
    <m/>
    <m/>
    <n v="71500"/>
    <n v="56992"/>
    <m/>
    <m/>
    <m/>
  </r>
  <r>
    <x v="1403"/>
    <n v="267120.30967741902"/>
    <n v="4.4903225806451603"/>
    <n v="3.6310245161290302"/>
    <n v="0.80863333333333298"/>
    <n v="0.99"/>
    <m/>
    <m/>
    <m/>
    <m/>
    <m/>
    <n v="0"/>
    <m/>
    <n v="0"/>
    <n v="0"/>
    <n v="0"/>
    <n v="0"/>
    <n v="0"/>
    <m/>
    <m/>
    <m/>
    <m/>
    <m/>
    <m/>
    <m/>
    <m/>
    <m/>
    <m/>
    <n v="0"/>
    <n v="0"/>
    <m/>
    <m/>
    <m/>
    <m/>
    <m/>
    <m/>
    <m/>
    <m/>
    <m/>
    <m/>
    <m/>
    <m/>
    <n v="0"/>
    <m/>
    <m/>
    <m/>
    <m/>
    <m/>
    <m/>
    <m/>
    <m/>
    <m/>
    <n v="71500"/>
    <n v="56992"/>
    <m/>
    <m/>
    <m/>
  </r>
  <r>
    <x v="1404"/>
    <n v="267120.30967741902"/>
    <n v="4.4903225806451603"/>
    <n v="3.6309746236559102"/>
    <n v="0.80862222222222202"/>
    <n v="0.99"/>
    <m/>
    <m/>
    <m/>
    <m/>
    <m/>
    <n v="0"/>
    <m/>
    <n v="0"/>
    <n v="0"/>
    <n v="0"/>
    <n v="0"/>
    <n v="0"/>
    <m/>
    <m/>
    <m/>
    <m/>
    <m/>
    <m/>
    <m/>
    <m/>
    <m/>
    <m/>
    <n v="0"/>
    <n v="0"/>
    <m/>
    <m/>
    <m/>
    <m/>
    <m/>
    <m/>
    <m/>
    <m/>
    <m/>
    <m/>
    <m/>
    <m/>
    <n v="0"/>
    <m/>
    <m/>
    <m/>
    <m/>
    <m/>
    <m/>
    <m/>
    <m/>
    <m/>
    <n v="71500"/>
    <n v="56992"/>
    <m/>
    <m/>
    <m/>
  </r>
  <r>
    <x v="1405"/>
    <n v="267120.30967741902"/>
    <n v="4.4903225806451603"/>
    <n v="3.6309247311827999"/>
    <n v="0.80861111111111095"/>
    <n v="0.99"/>
    <m/>
    <m/>
    <m/>
    <m/>
    <m/>
    <n v="0"/>
    <m/>
    <n v="0"/>
    <n v="0"/>
    <n v="0"/>
    <n v="0"/>
    <n v="0"/>
    <m/>
    <m/>
    <m/>
    <m/>
    <m/>
    <m/>
    <m/>
    <m/>
    <m/>
    <m/>
    <n v="0"/>
    <n v="0"/>
    <m/>
    <m/>
    <m/>
    <m/>
    <m/>
    <m/>
    <m/>
    <m/>
    <m/>
    <m/>
    <m/>
    <m/>
    <n v="0"/>
    <m/>
    <m/>
    <m/>
    <m/>
    <m/>
    <m/>
    <m/>
    <m/>
    <m/>
    <n v="71500"/>
    <n v="56992"/>
    <m/>
    <m/>
    <m/>
  </r>
  <r>
    <x v="1406"/>
    <n v="267120.30967741902"/>
    <n v="4.4903225806451603"/>
    <n v="3.6308748387096799"/>
    <n v="0.80859999999999999"/>
    <n v="0.99"/>
    <m/>
    <m/>
    <m/>
    <m/>
    <m/>
    <n v="0"/>
    <m/>
    <n v="0"/>
    <n v="0"/>
    <n v="0"/>
    <n v="0"/>
    <n v="0"/>
    <m/>
    <m/>
    <m/>
    <m/>
    <m/>
    <m/>
    <m/>
    <m/>
    <m/>
    <m/>
    <n v="0"/>
    <n v="0"/>
    <m/>
    <m/>
    <m/>
    <m/>
    <m/>
    <m/>
    <m/>
    <m/>
    <m/>
    <m/>
    <m/>
    <m/>
    <n v="0"/>
    <m/>
    <m/>
    <m/>
    <m/>
    <m/>
    <m/>
    <m/>
    <m/>
    <m/>
    <n v="71500"/>
    <n v="56992"/>
    <m/>
    <m/>
    <m/>
  </r>
  <r>
    <x v="1407"/>
    <n v="267120.30967741902"/>
    <n v="4.4903225806451603"/>
    <n v="3.6308249462365598"/>
    <n v="0.80858888888888902"/>
    <n v="0.99"/>
    <m/>
    <m/>
    <m/>
    <m/>
    <m/>
    <n v="0"/>
    <m/>
    <n v="0"/>
    <n v="0"/>
    <n v="0"/>
    <n v="0"/>
    <n v="0"/>
    <m/>
    <m/>
    <m/>
    <m/>
    <m/>
    <m/>
    <m/>
    <m/>
    <m/>
    <m/>
    <n v="0"/>
    <n v="0"/>
    <m/>
    <m/>
    <m/>
    <m/>
    <m/>
    <m/>
    <m/>
    <m/>
    <m/>
    <m/>
    <m/>
    <m/>
    <n v="0"/>
    <m/>
    <m/>
    <m/>
    <m/>
    <m/>
    <m/>
    <m/>
    <m/>
    <m/>
    <n v="71500"/>
    <n v="56992"/>
    <m/>
    <m/>
    <m/>
  </r>
  <r>
    <x v="1408"/>
    <n v="267120.30967741902"/>
    <n v="4.4903225806451603"/>
    <n v="3.6307750537634398"/>
    <n v="0.80857777777777795"/>
    <n v="0.99"/>
    <m/>
    <m/>
    <m/>
    <m/>
    <m/>
    <n v="0"/>
    <m/>
    <n v="0"/>
    <n v="0"/>
    <n v="0"/>
    <n v="0"/>
    <n v="0"/>
    <m/>
    <m/>
    <m/>
    <m/>
    <m/>
    <m/>
    <m/>
    <m/>
    <m/>
    <m/>
    <n v="0"/>
    <n v="0"/>
    <m/>
    <m/>
    <m/>
    <m/>
    <m/>
    <m/>
    <m/>
    <m/>
    <m/>
    <m/>
    <m/>
    <m/>
    <n v="0"/>
    <m/>
    <m/>
    <m/>
    <m/>
    <m/>
    <m/>
    <m/>
    <m/>
    <m/>
    <n v="71500"/>
    <n v="56992"/>
    <m/>
    <m/>
    <m/>
  </r>
  <r>
    <x v="1409"/>
    <n v="267120.30967741902"/>
    <n v="4.4903225806451603"/>
    <n v="3.6307251612903202"/>
    <n v="0.80856666666666699"/>
    <n v="0.99"/>
    <m/>
    <m/>
    <m/>
    <m/>
    <m/>
    <n v="0"/>
    <m/>
    <n v="0"/>
    <n v="0"/>
    <n v="0"/>
    <n v="0"/>
    <n v="0"/>
    <m/>
    <m/>
    <m/>
    <m/>
    <m/>
    <m/>
    <m/>
    <m/>
    <m/>
    <m/>
    <n v="0"/>
    <n v="0"/>
    <m/>
    <m/>
    <m/>
    <m/>
    <m/>
    <m/>
    <m/>
    <m/>
    <m/>
    <m/>
    <m/>
    <m/>
    <n v="0"/>
    <m/>
    <m/>
    <m/>
    <m/>
    <m/>
    <m/>
    <m/>
    <m/>
    <m/>
    <n v="71500"/>
    <n v="56992"/>
    <m/>
    <m/>
    <m/>
  </r>
  <r>
    <x v="1410"/>
    <n v="267120.30967741902"/>
    <n v="4.4903225806451603"/>
    <n v="3.6306752688172002"/>
    <n v="0.80855555555555603"/>
    <n v="0.99"/>
    <m/>
    <m/>
    <m/>
    <m/>
    <m/>
    <n v="0"/>
    <m/>
    <n v="0"/>
    <n v="0"/>
    <n v="0"/>
    <n v="0"/>
    <n v="0"/>
    <m/>
    <m/>
    <m/>
    <m/>
    <m/>
    <m/>
    <m/>
    <m/>
    <m/>
    <m/>
    <n v="0"/>
    <n v="0"/>
    <m/>
    <m/>
    <m/>
    <m/>
    <m/>
    <m/>
    <m/>
    <m/>
    <m/>
    <m/>
    <m/>
    <m/>
    <n v="0"/>
    <m/>
    <m/>
    <m/>
    <m/>
    <m/>
    <m/>
    <m/>
    <m/>
    <m/>
    <n v="71500"/>
    <n v="56992"/>
    <m/>
    <m/>
    <m/>
  </r>
  <r>
    <x v="1411"/>
    <n v="267120.30967741902"/>
    <n v="4.4903225806451603"/>
    <n v="3.6306253763440899"/>
    <n v="0.80854444444444395"/>
    <n v="0.99"/>
    <m/>
    <m/>
    <m/>
    <m/>
    <m/>
    <n v="0"/>
    <m/>
    <n v="0"/>
    <n v="0"/>
    <n v="0"/>
    <n v="0"/>
    <n v="0"/>
    <m/>
    <m/>
    <m/>
    <m/>
    <m/>
    <m/>
    <m/>
    <m/>
    <m/>
    <m/>
    <n v="0"/>
    <n v="0"/>
    <m/>
    <m/>
    <m/>
    <m/>
    <m/>
    <m/>
    <m/>
    <m/>
    <m/>
    <m/>
    <m/>
    <m/>
    <n v="0"/>
    <m/>
    <m/>
    <m/>
    <m/>
    <m/>
    <m/>
    <m/>
    <m/>
    <m/>
    <n v="71500"/>
    <n v="56992"/>
    <m/>
    <m/>
    <m/>
  </r>
  <r>
    <x v="1412"/>
    <n v="267120.30967741902"/>
    <n v="4.4903225806451603"/>
    <n v="3.6305754838709698"/>
    <n v="0.80853333333333299"/>
    <n v="0.99"/>
    <m/>
    <m/>
    <m/>
    <m/>
    <m/>
    <n v="0"/>
    <m/>
    <n v="0"/>
    <n v="0"/>
    <n v="0"/>
    <n v="0"/>
    <n v="0"/>
    <m/>
    <m/>
    <m/>
    <m/>
    <m/>
    <m/>
    <m/>
    <m/>
    <m/>
    <m/>
    <n v="0"/>
    <n v="0"/>
    <m/>
    <m/>
    <m/>
    <m/>
    <m/>
    <m/>
    <m/>
    <m/>
    <m/>
    <m/>
    <m/>
    <m/>
    <n v="0"/>
    <m/>
    <m/>
    <m/>
    <m/>
    <m/>
    <m/>
    <m/>
    <m/>
    <m/>
    <n v="71500"/>
    <n v="56992"/>
    <m/>
    <m/>
    <m/>
  </r>
  <r>
    <x v="1413"/>
    <n v="267120.30967741902"/>
    <n v="4.4903225806451603"/>
    <n v="3.6305255913978498"/>
    <n v="0.80852222222222203"/>
    <n v="0.99"/>
    <m/>
    <m/>
    <m/>
    <m/>
    <m/>
    <n v="0"/>
    <m/>
    <n v="0"/>
    <n v="0"/>
    <n v="0"/>
    <n v="0"/>
    <n v="0"/>
    <m/>
    <m/>
    <m/>
    <m/>
    <m/>
    <m/>
    <m/>
    <m/>
    <m/>
    <m/>
    <n v="0"/>
    <n v="0"/>
    <m/>
    <m/>
    <m/>
    <m/>
    <m/>
    <m/>
    <m/>
    <m/>
    <m/>
    <m/>
    <m/>
    <m/>
    <n v="0"/>
    <m/>
    <m/>
    <m/>
    <m/>
    <m/>
    <m/>
    <m/>
    <m/>
    <m/>
    <n v="71500"/>
    <n v="56992"/>
    <m/>
    <m/>
    <m/>
  </r>
  <r>
    <x v="1414"/>
    <n v="267120.30967741902"/>
    <n v="4.4903225806451603"/>
    <n v="3.6304756989247302"/>
    <n v="0.80851111111111096"/>
    <n v="0.99"/>
    <m/>
    <m/>
    <m/>
    <m/>
    <m/>
    <n v="0"/>
    <m/>
    <n v="0"/>
    <n v="0"/>
    <n v="0"/>
    <n v="0"/>
    <n v="0"/>
    <m/>
    <m/>
    <m/>
    <m/>
    <m/>
    <m/>
    <m/>
    <m/>
    <m/>
    <m/>
    <n v="0"/>
    <n v="0"/>
    <m/>
    <m/>
    <m/>
    <m/>
    <m/>
    <m/>
    <m/>
    <m/>
    <m/>
    <m/>
    <m/>
    <m/>
    <n v="0"/>
    <m/>
    <m/>
    <m/>
    <m/>
    <m/>
    <m/>
    <m/>
    <m/>
    <m/>
    <n v="71500"/>
    <n v="56992"/>
    <m/>
    <m/>
    <m/>
  </r>
  <r>
    <x v="1415"/>
    <n v="267120.30967741902"/>
    <n v="4.4903225806451603"/>
    <n v="3.6304258064516102"/>
    <n v="0.8085"/>
    <n v="0.99"/>
    <m/>
    <m/>
    <m/>
    <m/>
    <m/>
    <n v="0"/>
    <m/>
    <n v="0"/>
    <n v="0"/>
    <n v="0"/>
    <n v="0"/>
    <n v="0"/>
    <m/>
    <m/>
    <m/>
    <m/>
    <m/>
    <m/>
    <m/>
    <m/>
    <m/>
    <m/>
    <n v="0"/>
    <n v="0"/>
    <m/>
    <m/>
    <m/>
    <m/>
    <m/>
    <m/>
    <m/>
    <m/>
    <m/>
    <m/>
    <m/>
    <m/>
    <n v="0"/>
    <m/>
    <m/>
    <m/>
    <m/>
    <m/>
    <m/>
    <m/>
    <m/>
    <m/>
    <n v="71500"/>
    <n v="56992"/>
    <m/>
    <m/>
    <m/>
  </r>
  <r>
    <x v="1416"/>
    <n v="267120.30967741902"/>
    <n v="4.4903225806451603"/>
    <n v="3.6303759139784901"/>
    <n v="0.80848888888888903"/>
    <n v="0.99"/>
    <m/>
    <m/>
    <m/>
    <m/>
    <m/>
    <n v="0"/>
    <m/>
    <n v="0"/>
    <n v="0"/>
    <n v="0"/>
    <n v="0"/>
    <n v="0"/>
    <m/>
    <m/>
    <m/>
    <m/>
    <m/>
    <m/>
    <m/>
    <m/>
    <m/>
    <m/>
    <n v="0"/>
    <n v="0"/>
    <m/>
    <m/>
    <m/>
    <m/>
    <m/>
    <m/>
    <m/>
    <m/>
    <m/>
    <m/>
    <m/>
    <m/>
    <n v="0"/>
    <m/>
    <m/>
    <m/>
    <m/>
    <m/>
    <m/>
    <m/>
    <m/>
    <m/>
    <n v="71500"/>
    <n v="56992"/>
    <m/>
    <m/>
    <m/>
  </r>
  <r>
    <x v="1417"/>
    <n v="267120.30967741902"/>
    <n v="4.4903225806451603"/>
    <n v="3.6303260215053799"/>
    <n v="0.80847777777777796"/>
    <n v="0.99"/>
    <m/>
    <m/>
    <m/>
    <m/>
    <m/>
    <n v="0"/>
    <m/>
    <n v="0"/>
    <n v="0"/>
    <n v="0"/>
    <n v="0"/>
    <n v="0"/>
    <m/>
    <m/>
    <m/>
    <m/>
    <m/>
    <m/>
    <m/>
    <m/>
    <m/>
    <m/>
    <n v="0"/>
    <n v="0"/>
    <m/>
    <m/>
    <m/>
    <m/>
    <m/>
    <m/>
    <m/>
    <m/>
    <m/>
    <m/>
    <m/>
    <m/>
    <n v="0"/>
    <m/>
    <m/>
    <m/>
    <m/>
    <m/>
    <m/>
    <m/>
    <m/>
    <m/>
    <n v="71500"/>
    <n v="56992"/>
    <m/>
    <m/>
    <m/>
  </r>
  <r>
    <x v="1418"/>
    <n v="267120.30967741902"/>
    <n v="4.4903225806451603"/>
    <n v="3.6302761290322598"/>
    <n v="0.808466666666667"/>
    <n v="0.99"/>
    <m/>
    <m/>
    <m/>
    <m/>
    <m/>
    <n v="0"/>
    <m/>
    <n v="0"/>
    <n v="0"/>
    <n v="0"/>
    <n v="0"/>
    <n v="0"/>
    <m/>
    <m/>
    <m/>
    <m/>
    <m/>
    <m/>
    <m/>
    <m/>
    <m/>
    <m/>
    <n v="0"/>
    <n v="0"/>
    <m/>
    <m/>
    <m/>
    <m/>
    <m/>
    <m/>
    <m/>
    <m/>
    <m/>
    <m/>
    <m/>
    <m/>
    <n v="0"/>
    <m/>
    <m/>
    <m/>
    <m/>
    <m/>
    <m/>
    <m/>
    <m/>
    <m/>
    <n v="71500"/>
    <n v="56992"/>
    <m/>
    <m/>
    <m/>
  </r>
  <r>
    <x v="1419"/>
    <n v="267120.30967741902"/>
    <n v="4.4903225806451603"/>
    <n v="3.6302262365591398"/>
    <n v="0.80845555555555604"/>
    <n v="0.99"/>
    <m/>
    <m/>
    <m/>
    <m/>
    <m/>
    <n v="0"/>
    <m/>
    <n v="0"/>
    <n v="0"/>
    <n v="0"/>
    <n v="0"/>
    <n v="0"/>
    <m/>
    <m/>
    <m/>
    <m/>
    <m/>
    <m/>
    <m/>
    <m/>
    <m/>
    <m/>
    <n v="0"/>
    <n v="0"/>
    <m/>
    <m/>
    <m/>
    <m/>
    <m/>
    <m/>
    <m/>
    <m/>
    <m/>
    <m/>
    <m/>
    <m/>
    <n v="0"/>
    <m/>
    <m/>
    <m/>
    <m/>
    <m/>
    <m/>
    <m/>
    <m/>
    <m/>
    <n v="71500"/>
    <n v="56992"/>
    <m/>
    <m/>
    <m/>
  </r>
  <r>
    <x v="1420"/>
    <n v="267120.30967741902"/>
    <n v="4.4903225806451603"/>
    <n v="3.6301763440860202"/>
    <n v="0.80844444444444397"/>
    <n v="0.99"/>
    <m/>
    <m/>
    <m/>
    <m/>
    <m/>
    <n v="0"/>
    <m/>
    <n v="0"/>
    <n v="0"/>
    <n v="0"/>
    <n v="0"/>
    <n v="0"/>
    <m/>
    <m/>
    <m/>
    <m/>
    <m/>
    <m/>
    <m/>
    <m/>
    <m/>
    <m/>
    <n v="0"/>
    <n v="0"/>
    <m/>
    <m/>
    <m/>
    <m/>
    <m/>
    <m/>
    <m/>
    <m/>
    <m/>
    <m/>
    <m/>
    <m/>
    <n v="0"/>
    <m/>
    <m/>
    <m/>
    <m/>
    <m/>
    <m/>
    <m/>
    <m/>
    <m/>
    <n v="71500"/>
    <n v="56992"/>
    <m/>
    <m/>
    <m/>
  </r>
  <r>
    <x v="1421"/>
    <n v="267120.30967741902"/>
    <n v="4.4903225806451603"/>
    <n v="3.6301264516129002"/>
    <n v="0.808433333333333"/>
    <n v="0.99"/>
    <m/>
    <m/>
    <m/>
    <m/>
    <m/>
    <n v="0"/>
    <m/>
    <n v="0"/>
    <n v="0"/>
    <n v="0"/>
    <n v="0"/>
    <n v="0"/>
    <m/>
    <m/>
    <m/>
    <m/>
    <m/>
    <m/>
    <m/>
    <m/>
    <m/>
    <m/>
    <n v="0"/>
    <n v="0"/>
    <m/>
    <m/>
    <m/>
    <m/>
    <m/>
    <m/>
    <m/>
    <m/>
    <m/>
    <m/>
    <m/>
    <m/>
    <n v="0"/>
    <m/>
    <m/>
    <m/>
    <m/>
    <m/>
    <m/>
    <m/>
    <m/>
    <m/>
    <n v="71500"/>
    <n v="56992"/>
    <m/>
    <m/>
    <m/>
  </r>
  <r>
    <x v="1422"/>
    <n v="267120.30967741902"/>
    <n v="4.4903225806451603"/>
    <n v="3.6300765591397801"/>
    <n v="0.80842222222222204"/>
    <n v="0.99"/>
    <m/>
    <m/>
    <m/>
    <m/>
    <m/>
    <n v="0"/>
    <m/>
    <n v="0"/>
    <n v="0"/>
    <n v="0"/>
    <n v="0"/>
    <n v="0"/>
    <m/>
    <m/>
    <m/>
    <m/>
    <m/>
    <m/>
    <m/>
    <m/>
    <m/>
    <m/>
    <n v="0"/>
    <n v="0"/>
    <m/>
    <m/>
    <m/>
    <m/>
    <m/>
    <m/>
    <m/>
    <m/>
    <m/>
    <m/>
    <m/>
    <m/>
    <n v="0"/>
    <m/>
    <m/>
    <m/>
    <m/>
    <m/>
    <m/>
    <m/>
    <m/>
    <m/>
    <n v="71500"/>
    <n v="56992"/>
    <m/>
    <m/>
    <m/>
  </r>
  <r>
    <x v="1423"/>
    <n v="267120.30967741902"/>
    <n v="4.4903225806451603"/>
    <n v="3.6300266666666698"/>
    <n v="0.80841111111111097"/>
    <n v="0.99"/>
    <m/>
    <m/>
    <m/>
    <m/>
    <m/>
    <n v="0"/>
    <m/>
    <n v="0"/>
    <n v="0"/>
    <n v="0"/>
    <n v="0"/>
    <n v="0"/>
    <m/>
    <m/>
    <m/>
    <m/>
    <m/>
    <m/>
    <m/>
    <m/>
    <m/>
    <m/>
    <n v="0"/>
    <n v="0"/>
    <m/>
    <m/>
    <m/>
    <m/>
    <m/>
    <m/>
    <m/>
    <m/>
    <m/>
    <m/>
    <m/>
    <m/>
    <n v="0"/>
    <m/>
    <m/>
    <m/>
    <m/>
    <m/>
    <m/>
    <m/>
    <m/>
    <m/>
    <n v="71500"/>
    <n v="56992"/>
    <m/>
    <m/>
    <m/>
  </r>
  <r>
    <x v="1424"/>
    <n v="267120.30967741902"/>
    <n v="4.4903225806451603"/>
    <n v="3.6299767741935498"/>
    <n v="0.80840000000000001"/>
    <n v="0.99"/>
    <m/>
    <m/>
    <m/>
    <m/>
    <m/>
    <n v="0"/>
    <m/>
    <n v="0"/>
    <n v="0"/>
    <n v="0"/>
    <n v="0"/>
    <n v="0"/>
    <m/>
    <m/>
    <m/>
    <m/>
    <m/>
    <m/>
    <m/>
    <m/>
    <m/>
    <m/>
    <n v="0"/>
    <n v="0"/>
    <m/>
    <m/>
    <m/>
    <m/>
    <m/>
    <m/>
    <m/>
    <m/>
    <m/>
    <m/>
    <m/>
    <m/>
    <n v="0"/>
    <m/>
    <m/>
    <m/>
    <m/>
    <m/>
    <m/>
    <m/>
    <m/>
    <m/>
    <n v="71500"/>
    <n v="56992"/>
    <m/>
    <m/>
    <m/>
  </r>
  <r>
    <x v="1425"/>
    <n v="267120.30967741902"/>
    <n v="4.4903225806451603"/>
    <n v="3.6299268817204302"/>
    <n v="0.80838888888888905"/>
    <n v="0.99"/>
    <m/>
    <m/>
    <m/>
    <m/>
    <m/>
    <n v="0"/>
    <m/>
    <n v="0"/>
    <n v="0"/>
    <n v="0"/>
    <n v="0"/>
    <n v="0"/>
    <m/>
    <m/>
    <m/>
    <m/>
    <m/>
    <m/>
    <m/>
    <m/>
    <m/>
    <m/>
    <n v="0"/>
    <n v="0"/>
    <m/>
    <m/>
    <m/>
    <m/>
    <m/>
    <m/>
    <m/>
    <m/>
    <m/>
    <m/>
    <m/>
    <m/>
    <n v="0"/>
    <m/>
    <m/>
    <m/>
    <m/>
    <m/>
    <m/>
    <m/>
    <m/>
    <m/>
    <n v="71500"/>
    <n v="56992"/>
    <m/>
    <m/>
    <m/>
  </r>
  <r>
    <x v="1426"/>
    <n v="267120.30967741902"/>
    <n v="4.4903225806451603"/>
    <n v="3.6298769892473102"/>
    <n v="0.80837777777777797"/>
    <n v="0.99"/>
    <m/>
    <m/>
    <m/>
    <m/>
    <m/>
    <n v="0"/>
    <m/>
    <n v="0"/>
    <n v="0"/>
    <n v="0"/>
    <n v="0"/>
    <n v="0"/>
    <m/>
    <m/>
    <m/>
    <m/>
    <m/>
    <m/>
    <m/>
    <m/>
    <m/>
    <m/>
    <n v="0"/>
    <n v="0"/>
    <m/>
    <m/>
    <m/>
    <m/>
    <m/>
    <m/>
    <m/>
    <m/>
    <m/>
    <m/>
    <m/>
    <m/>
    <n v="0"/>
    <m/>
    <m/>
    <m/>
    <m/>
    <m/>
    <m/>
    <m/>
    <m/>
    <m/>
    <n v="71500"/>
    <n v="56992"/>
    <m/>
    <m/>
    <m/>
  </r>
  <r>
    <x v="1427"/>
    <n v="267120.30967741902"/>
    <n v="4.4903225806451603"/>
    <n v="3.6298270967741901"/>
    <n v="0.80836666666666701"/>
    <n v="0.99"/>
    <m/>
    <m/>
    <m/>
    <m/>
    <m/>
    <n v="0"/>
    <m/>
    <n v="0"/>
    <n v="0"/>
    <n v="0"/>
    <n v="0"/>
    <n v="0"/>
    <m/>
    <m/>
    <m/>
    <m/>
    <m/>
    <m/>
    <m/>
    <m/>
    <m/>
    <m/>
    <n v="0"/>
    <n v="0"/>
    <m/>
    <m/>
    <m/>
    <m/>
    <m/>
    <m/>
    <m/>
    <m/>
    <m/>
    <m/>
    <m/>
    <m/>
    <n v="0"/>
    <m/>
    <m/>
    <m/>
    <m/>
    <m/>
    <m/>
    <m/>
    <m/>
    <m/>
    <n v="71500"/>
    <n v="56992"/>
    <m/>
    <m/>
    <m/>
  </r>
  <r>
    <x v="1428"/>
    <n v="267120.30967741902"/>
    <n v="4.4903225806451603"/>
    <n v="3.6297772043010701"/>
    <n v="0.80835555555555505"/>
    <n v="0.99"/>
    <m/>
    <m/>
    <m/>
    <m/>
    <m/>
    <n v="0"/>
    <m/>
    <n v="0"/>
    <n v="0"/>
    <n v="0"/>
    <n v="0"/>
    <n v="0"/>
    <m/>
    <m/>
    <m/>
    <m/>
    <m/>
    <m/>
    <m/>
    <m/>
    <m/>
    <m/>
    <n v="0"/>
    <n v="0"/>
    <m/>
    <m/>
    <m/>
    <m/>
    <m/>
    <m/>
    <m/>
    <m/>
    <m/>
    <m/>
    <m/>
    <m/>
    <n v="0"/>
    <m/>
    <m/>
    <m/>
    <m/>
    <m/>
    <m/>
    <m/>
    <m/>
    <m/>
    <n v="71500"/>
    <n v="56992"/>
    <m/>
    <m/>
    <m/>
  </r>
  <r>
    <x v="1429"/>
    <n v="267120.30967741902"/>
    <n v="4.4903225806451603"/>
    <n v="3.6297273118279598"/>
    <n v="0.80834444444444398"/>
    <n v="0.99"/>
    <m/>
    <m/>
    <m/>
    <m/>
    <m/>
    <n v="0"/>
    <m/>
    <n v="0"/>
    <n v="0"/>
    <n v="0"/>
    <n v="0"/>
    <n v="0"/>
    <m/>
    <m/>
    <m/>
    <m/>
    <m/>
    <m/>
    <m/>
    <m/>
    <m/>
    <m/>
    <n v="0"/>
    <n v="0"/>
    <m/>
    <m/>
    <m/>
    <m/>
    <m/>
    <m/>
    <m/>
    <m/>
    <m/>
    <m/>
    <m/>
    <m/>
    <n v="0"/>
    <m/>
    <m/>
    <m/>
    <m/>
    <m/>
    <m/>
    <m/>
    <m/>
    <m/>
    <n v="71500"/>
    <n v="56992"/>
    <m/>
    <m/>
    <m/>
  </r>
  <r>
    <x v="1430"/>
    <n v="267120.30967741902"/>
    <n v="4.4903225806451603"/>
    <n v="3.6296774193548398"/>
    <n v="0.80833333333333302"/>
    <n v="0.99"/>
    <m/>
    <m/>
    <m/>
    <m/>
    <m/>
    <n v="0"/>
    <m/>
    <n v="0"/>
    <n v="0"/>
    <n v="0"/>
    <n v="0"/>
    <n v="0"/>
    <m/>
    <m/>
    <m/>
    <m/>
    <m/>
    <m/>
    <m/>
    <m/>
    <m/>
    <m/>
    <n v="0"/>
    <n v="0"/>
    <m/>
    <m/>
    <m/>
    <m/>
    <m/>
    <m/>
    <m/>
    <m/>
    <m/>
    <m/>
    <m/>
    <m/>
    <n v="0"/>
    <m/>
    <m/>
    <m/>
    <m/>
    <m/>
    <m/>
    <m/>
    <m/>
    <m/>
    <n v="71500"/>
    <n v="56992"/>
    <m/>
    <m/>
    <m/>
  </r>
  <r>
    <x v="1431"/>
    <n v="247960.808333333"/>
    <n v="4.18333333333333"/>
    <n v="3.3815277777777801"/>
    <n v="0.80833333333333302"/>
    <n v="0.99"/>
    <m/>
    <m/>
    <m/>
    <m/>
    <m/>
    <n v="0"/>
    <m/>
    <n v="0"/>
    <n v="0"/>
    <n v="0"/>
    <n v="0"/>
    <n v="0"/>
    <m/>
    <m/>
    <m/>
    <m/>
    <m/>
    <m/>
    <m/>
    <m/>
    <m/>
    <m/>
    <n v="0"/>
    <n v="0"/>
    <m/>
    <m/>
    <m/>
    <m/>
    <m/>
    <m/>
    <m/>
    <m/>
    <m/>
    <m/>
    <m/>
    <m/>
    <n v="0"/>
    <m/>
    <m/>
    <m/>
    <m/>
    <m/>
    <m/>
    <m/>
    <m/>
    <m/>
    <n v="71500"/>
    <n v="56992"/>
    <m/>
    <m/>
    <m/>
  </r>
  <r>
    <x v="1432"/>
    <n v="247960.808333333"/>
    <n v="4.18333333333333"/>
    <n v="3.3814812962962999"/>
    <n v="0.80832222222222205"/>
    <n v="0.99"/>
    <m/>
    <m/>
    <m/>
    <m/>
    <m/>
    <n v="0"/>
    <m/>
    <n v="0"/>
    <n v="0"/>
    <n v="0"/>
    <n v="0"/>
    <n v="0"/>
    <m/>
    <m/>
    <m/>
    <m/>
    <m/>
    <m/>
    <m/>
    <m/>
    <m/>
    <m/>
    <n v="0"/>
    <n v="0"/>
    <m/>
    <m/>
    <m/>
    <m/>
    <m/>
    <m/>
    <m/>
    <m/>
    <m/>
    <m/>
    <m/>
    <m/>
    <n v="0"/>
    <m/>
    <m/>
    <m/>
    <m/>
    <m/>
    <m/>
    <m/>
    <m/>
    <m/>
    <n v="71500"/>
    <n v="56992"/>
    <m/>
    <m/>
    <m/>
  </r>
  <r>
    <x v="1433"/>
    <n v="247960.808333333"/>
    <n v="4.18333333333333"/>
    <n v="3.3814348148148099"/>
    <n v="0.80831111111111098"/>
    <n v="0.99"/>
    <m/>
    <m/>
    <m/>
    <m/>
    <m/>
    <n v="0"/>
    <m/>
    <n v="0"/>
    <n v="0"/>
    <n v="0"/>
    <n v="0"/>
    <n v="0"/>
    <m/>
    <m/>
    <m/>
    <m/>
    <m/>
    <m/>
    <m/>
    <m/>
    <m/>
    <m/>
    <n v="0"/>
    <n v="0"/>
    <m/>
    <m/>
    <m/>
    <m/>
    <m/>
    <m/>
    <m/>
    <m/>
    <m/>
    <m/>
    <m/>
    <m/>
    <n v="0"/>
    <m/>
    <m/>
    <m/>
    <m/>
    <m/>
    <m/>
    <m/>
    <m/>
    <m/>
    <n v="71500"/>
    <n v="56992"/>
    <m/>
    <m/>
    <m/>
  </r>
  <r>
    <x v="1434"/>
    <n v="247960.808333333"/>
    <n v="4.18333333333333"/>
    <n v="3.3813883333333301"/>
    <n v="0.80830000000000002"/>
    <n v="0.99"/>
    <m/>
    <m/>
    <m/>
    <m/>
    <m/>
    <n v="0"/>
    <m/>
    <n v="0"/>
    <n v="0"/>
    <n v="0"/>
    <n v="0"/>
    <n v="0"/>
    <m/>
    <m/>
    <m/>
    <m/>
    <m/>
    <m/>
    <m/>
    <m/>
    <m/>
    <m/>
    <n v="0"/>
    <n v="0"/>
    <m/>
    <m/>
    <m/>
    <m/>
    <m/>
    <m/>
    <m/>
    <m/>
    <m/>
    <m/>
    <m/>
    <m/>
    <n v="0"/>
    <m/>
    <m/>
    <m/>
    <m/>
    <m/>
    <m/>
    <m/>
    <m/>
    <m/>
    <n v="71500"/>
    <n v="56992"/>
    <m/>
    <m/>
    <m/>
  </r>
  <r>
    <x v="1435"/>
    <n v="247960.808333333"/>
    <n v="4.18333333333333"/>
    <n v="3.3813418518518499"/>
    <n v="0.80828888888888895"/>
    <n v="0.99"/>
    <m/>
    <m/>
    <m/>
    <m/>
    <m/>
    <n v="0"/>
    <m/>
    <n v="0"/>
    <n v="0"/>
    <n v="0"/>
    <n v="0"/>
    <n v="0"/>
    <m/>
    <m/>
    <m/>
    <m/>
    <m/>
    <m/>
    <m/>
    <m/>
    <m/>
    <m/>
    <n v="0"/>
    <n v="0"/>
    <m/>
    <m/>
    <m/>
    <m/>
    <m/>
    <m/>
    <m/>
    <m/>
    <m/>
    <m/>
    <m/>
    <m/>
    <n v="0"/>
    <m/>
    <m/>
    <m/>
    <m/>
    <m/>
    <m/>
    <m/>
    <m/>
    <m/>
    <n v="71500"/>
    <n v="56992"/>
    <m/>
    <m/>
    <m/>
  </r>
  <r>
    <x v="1436"/>
    <n v="247960.808333333"/>
    <n v="4.18333333333333"/>
    <n v="3.3812953703703701"/>
    <n v="0.80827777777777798"/>
    <n v="0.99"/>
    <m/>
    <m/>
    <m/>
    <m/>
    <m/>
    <n v="0"/>
    <m/>
    <n v="0"/>
    <n v="0"/>
    <n v="0"/>
    <n v="0"/>
    <n v="0"/>
    <m/>
    <m/>
    <m/>
    <m/>
    <m/>
    <m/>
    <m/>
    <m/>
    <m/>
    <m/>
    <n v="0"/>
    <n v="0"/>
    <m/>
    <m/>
    <m/>
    <m/>
    <m/>
    <m/>
    <m/>
    <m/>
    <m/>
    <m/>
    <m/>
    <m/>
    <n v="0"/>
    <m/>
    <m/>
    <m/>
    <m/>
    <m/>
    <m/>
    <m/>
    <m/>
    <m/>
    <n v="71500"/>
    <n v="56992"/>
    <m/>
    <m/>
    <m/>
  </r>
  <r>
    <x v="1437"/>
    <n v="247960.808333333"/>
    <n v="4.18333333333333"/>
    <n v="3.3812488888888899"/>
    <n v="0.80826666666666702"/>
    <n v="0.99"/>
    <m/>
    <m/>
    <m/>
    <m/>
    <m/>
    <n v="0"/>
    <m/>
    <n v="0"/>
    <n v="0"/>
    <n v="0"/>
    <n v="0"/>
    <n v="0"/>
    <m/>
    <m/>
    <m/>
    <m/>
    <m/>
    <m/>
    <m/>
    <m/>
    <m/>
    <m/>
    <n v="0"/>
    <n v="0"/>
    <m/>
    <m/>
    <m/>
    <m/>
    <m/>
    <m/>
    <m/>
    <m/>
    <m/>
    <m/>
    <m/>
    <m/>
    <n v="0"/>
    <m/>
    <m/>
    <m/>
    <m/>
    <m/>
    <m/>
    <m/>
    <m/>
    <m/>
    <n v="71500"/>
    <n v="56992"/>
    <m/>
    <m/>
    <m/>
  </r>
  <r>
    <x v="1438"/>
    <n v="247960.808333333"/>
    <n v="4.18333333333333"/>
    <n v="3.3812024074074101"/>
    <n v="0.80825555555555595"/>
    <n v="0.99"/>
    <m/>
    <m/>
    <m/>
    <m/>
    <m/>
    <n v="0"/>
    <m/>
    <n v="0"/>
    <n v="0"/>
    <n v="0"/>
    <n v="0"/>
    <n v="0"/>
    <m/>
    <m/>
    <m/>
    <m/>
    <m/>
    <m/>
    <m/>
    <m/>
    <m/>
    <m/>
    <n v="0"/>
    <n v="0"/>
    <m/>
    <m/>
    <m/>
    <m/>
    <m/>
    <m/>
    <m/>
    <m/>
    <m/>
    <m/>
    <m/>
    <m/>
    <n v="0"/>
    <m/>
    <m/>
    <m/>
    <m/>
    <m/>
    <m/>
    <m/>
    <m/>
    <m/>
    <n v="71500"/>
    <n v="56992"/>
    <m/>
    <m/>
    <m/>
  </r>
  <r>
    <x v="1439"/>
    <n v="247960.808333333"/>
    <n v="4.18333333333333"/>
    <n v="3.3811559259259298"/>
    <n v="0.80824444444444399"/>
    <n v="0.99"/>
    <m/>
    <m/>
    <m/>
    <m/>
    <m/>
    <n v="0"/>
    <m/>
    <n v="0"/>
    <n v="0"/>
    <n v="0"/>
    <n v="0"/>
    <n v="0"/>
    <m/>
    <m/>
    <m/>
    <m/>
    <m/>
    <m/>
    <m/>
    <m/>
    <m/>
    <m/>
    <n v="0"/>
    <n v="0"/>
    <m/>
    <m/>
    <m/>
    <m/>
    <m/>
    <m/>
    <m/>
    <m/>
    <m/>
    <m/>
    <m/>
    <m/>
    <n v="0"/>
    <m/>
    <m/>
    <m/>
    <m/>
    <m/>
    <m/>
    <m/>
    <m/>
    <m/>
    <n v="71500"/>
    <n v="56992"/>
    <m/>
    <m/>
    <m/>
  </r>
  <r>
    <x v="1440"/>
    <n v="247960.808333333"/>
    <n v="4.18333333333333"/>
    <n v="3.3811094444444398"/>
    <n v="0.80823333333333303"/>
    <n v="0.99"/>
    <m/>
    <m/>
    <m/>
    <m/>
    <m/>
    <n v="0"/>
    <m/>
    <n v="0"/>
    <n v="0"/>
    <n v="0"/>
    <n v="0"/>
    <n v="0"/>
    <m/>
    <m/>
    <m/>
    <m/>
    <m/>
    <m/>
    <m/>
    <m/>
    <m/>
    <m/>
    <n v="0"/>
    <n v="0"/>
    <m/>
    <m/>
    <m/>
    <m/>
    <m/>
    <m/>
    <m/>
    <m/>
    <m/>
    <m/>
    <m/>
    <m/>
    <n v="0"/>
    <m/>
    <m/>
    <m/>
    <m/>
    <m/>
    <m/>
    <m/>
    <m/>
    <m/>
    <n v="71500"/>
    <n v="56992"/>
    <m/>
    <m/>
    <m/>
  </r>
  <r>
    <x v="1441"/>
    <n v="247960.808333333"/>
    <n v="4.18333333333333"/>
    <n v="3.3810629629629601"/>
    <n v="0.80822222222222195"/>
    <n v="0.99"/>
    <m/>
    <m/>
    <m/>
    <m/>
    <m/>
    <n v="0"/>
    <m/>
    <n v="0"/>
    <n v="0"/>
    <n v="0"/>
    <n v="0"/>
    <n v="0"/>
    <m/>
    <m/>
    <m/>
    <m/>
    <m/>
    <m/>
    <m/>
    <m/>
    <m/>
    <m/>
    <n v="0"/>
    <n v="0"/>
    <m/>
    <m/>
    <m/>
    <m/>
    <m/>
    <m/>
    <m/>
    <m/>
    <m/>
    <m/>
    <m/>
    <m/>
    <n v="0"/>
    <m/>
    <m/>
    <m/>
    <m/>
    <m/>
    <m/>
    <m/>
    <m/>
    <m/>
    <n v="71500"/>
    <n v="56992"/>
    <m/>
    <m/>
    <m/>
  </r>
  <r>
    <x v="1442"/>
    <n v="247960.808333333"/>
    <n v="4.18333333333333"/>
    <n v="3.3810164814814798"/>
    <n v="0.80821111111111099"/>
    <n v="0.99"/>
    <m/>
    <m/>
    <m/>
    <m/>
    <m/>
    <n v="0"/>
    <m/>
    <n v="0"/>
    <n v="0"/>
    <n v="0"/>
    <n v="0"/>
    <n v="0"/>
    <m/>
    <m/>
    <m/>
    <m/>
    <m/>
    <m/>
    <m/>
    <m/>
    <m/>
    <m/>
    <n v="0"/>
    <n v="0"/>
    <m/>
    <m/>
    <m/>
    <m/>
    <m/>
    <m/>
    <m/>
    <m/>
    <m/>
    <m/>
    <m/>
    <m/>
    <n v="0"/>
    <m/>
    <m/>
    <m/>
    <m/>
    <m/>
    <m/>
    <m/>
    <m/>
    <m/>
    <n v="71500"/>
    <n v="56992"/>
    <m/>
    <m/>
    <m/>
  </r>
  <r>
    <x v="1443"/>
    <n v="247960.808333333"/>
    <n v="4.18333333333333"/>
    <n v="3.38097"/>
    <n v="0.80820000000000003"/>
    <n v="0.99"/>
    <m/>
    <m/>
    <m/>
    <m/>
    <m/>
    <n v="0"/>
    <m/>
    <n v="0"/>
    <n v="0"/>
    <n v="0"/>
    <n v="0"/>
    <n v="0"/>
    <m/>
    <m/>
    <m/>
    <m/>
    <m/>
    <m/>
    <m/>
    <m/>
    <m/>
    <m/>
    <n v="0"/>
    <n v="0"/>
    <m/>
    <m/>
    <m/>
    <m/>
    <m/>
    <m/>
    <m/>
    <m/>
    <m/>
    <m/>
    <m/>
    <m/>
    <n v="0"/>
    <m/>
    <m/>
    <m/>
    <m/>
    <m/>
    <m/>
    <m/>
    <m/>
    <m/>
    <n v="71500"/>
    <n v="56992"/>
    <m/>
    <m/>
    <m/>
  </r>
  <r>
    <x v="1444"/>
    <n v="247960.808333333"/>
    <n v="4.18333333333333"/>
    <n v="3.3809235185185198"/>
    <n v="0.80818888888888896"/>
    <n v="0.99"/>
    <m/>
    <m/>
    <m/>
    <m/>
    <m/>
    <n v="0"/>
    <m/>
    <n v="0"/>
    <n v="0"/>
    <n v="0"/>
    <n v="0"/>
    <n v="0"/>
    <m/>
    <m/>
    <m/>
    <m/>
    <m/>
    <m/>
    <m/>
    <m/>
    <m/>
    <m/>
    <n v="0"/>
    <n v="0"/>
    <m/>
    <m/>
    <m/>
    <m/>
    <m/>
    <m/>
    <m/>
    <m/>
    <m/>
    <m/>
    <m/>
    <m/>
    <n v="0"/>
    <m/>
    <m/>
    <m/>
    <m/>
    <m/>
    <m/>
    <m/>
    <m/>
    <m/>
    <n v="71500"/>
    <n v="56992"/>
    <m/>
    <m/>
    <m/>
  </r>
  <r>
    <x v="1445"/>
    <n v="247960.808333333"/>
    <n v="4.18333333333333"/>
    <n v="3.38087703703704"/>
    <n v="0.80817777777777799"/>
    <n v="0.99"/>
    <m/>
    <m/>
    <m/>
    <m/>
    <m/>
    <n v="0"/>
    <m/>
    <n v="0"/>
    <n v="0"/>
    <n v="0"/>
    <n v="0"/>
    <n v="0"/>
    <m/>
    <m/>
    <m/>
    <m/>
    <m/>
    <m/>
    <m/>
    <m/>
    <m/>
    <m/>
    <n v="0"/>
    <n v="0"/>
    <m/>
    <m/>
    <m/>
    <m/>
    <m/>
    <m/>
    <m/>
    <m/>
    <m/>
    <m/>
    <m/>
    <m/>
    <n v="0"/>
    <m/>
    <m/>
    <m/>
    <m/>
    <m/>
    <m/>
    <m/>
    <m/>
    <m/>
    <n v="71500"/>
    <n v="56992"/>
    <m/>
    <m/>
    <m/>
  </r>
  <r>
    <x v="1446"/>
    <n v="247960.808333333"/>
    <n v="4.18333333333333"/>
    <n v="3.3808305555555598"/>
    <n v="0.80816666666666703"/>
    <n v="0.99"/>
    <m/>
    <m/>
    <m/>
    <m/>
    <m/>
    <n v="0"/>
    <m/>
    <n v="0"/>
    <n v="0"/>
    <n v="0"/>
    <n v="0"/>
    <n v="0"/>
    <m/>
    <m/>
    <m/>
    <m/>
    <m/>
    <m/>
    <m/>
    <m/>
    <m/>
    <m/>
    <n v="0"/>
    <n v="0"/>
    <m/>
    <m/>
    <m/>
    <m/>
    <m/>
    <m/>
    <m/>
    <m/>
    <m/>
    <m/>
    <m/>
    <m/>
    <n v="0"/>
    <m/>
    <m/>
    <m/>
    <m/>
    <m/>
    <m/>
    <m/>
    <m/>
    <m/>
    <n v="71500"/>
    <n v="56992"/>
    <m/>
    <m/>
    <m/>
  </r>
  <r>
    <x v="1447"/>
    <n v="247960.808333333"/>
    <n v="4.18333333333333"/>
    <n v="3.3807840740740698"/>
    <n v="0.80815555555555596"/>
    <n v="0.99"/>
    <m/>
    <m/>
    <m/>
    <m/>
    <m/>
    <n v="0"/>
    <m/>
    <n v="0"/>
    <n v="0"/>
    <n v="0"/>
    <n v="0"/>
    <n v="0"/>
    <m/>
    <m/>
    <m/>
    <m/>
    <m/>
    <m/>
    <m/>
    <m/>
    <m/>
    <m/>
    <n v="0"/>
    <n v="0"/>
    <m/>
    <m/>
    <m/>
    <m/>
    <m/>
    <m/>
    <m/>
    <m/>
    <m/>
    <m/>
    <m/>
    <m/>
    <n v="0"/>
    <m/>
    <m/>
    <m/>
    <m/>
    <m/>
    <m/>
    <m/>
    <m/>
    <m/>
    <n v="71500"/>
    <n v="56992"/>
    <m/>
    <m/>
    <m/>
  </r>
  <r>
    <x v="1448"/>
    <n v="247960.808333333"/>
    <n v="4.18333333333333"/>
    <n v="3.38073759259259"/>
    <n v="0.808144444444444"/>
    <n v="0.99"/>
    <m/>
    <m/>
    <m/>
    <m/>
    <m/>
    <n v="0"/>
    <m/>
    <n v="0"/>
    <n v="0"/>
    <n v="0"/>
    <n v="0"/>
    <n v="0"/>
    <m/>
    <m/>
    <m/>
    <m/>
    <m/>
    <m/>
    <m/>
    <m/>
    <m/>
    <m/>
    <n v="0"/>
    <n v="0"/>
    <m/>
    <m/>
    <m/>
    <m/>
    <m/>
    <m/>
    <m/>
    <m/>
    <m/>
    <m/>
    <m/>
    <m/>
    <n v="0"/>
    <m/>
    <m/>
    <m/>
    <m/>
    <m/>
    <m/>
    <m/>
    <m/>
    <m/>
    <n v="71500"/>
    <n v="56992"/>
    <m/>
    <m/>
    <m/>
  </r>
  <r>
    <x v="1449"/>
    <n v="247960.808333333"/>
    <n v="4.18333333333333"/>
    <n v="3.3806911111111102"/>
    <n v="0.80813333333333304"/>
    <n v="0.99"/>
    <m/>
    <m/>
    <m/>
    <m/>
    <m/>
    <n v="0"/>
    <m/>
    <n v="0"/>
    <n v="0"/>
    <n v="0"/>
    <n v="0"/>
    <n v="0"/>
    <m/>
    <m/>
    <m/>
    <m/>
    <m/>
    <m/>
    <m/>
    <m/>
    <m/>
    <m/>
    <n v="0"/>
    <n v="0"/>
    <m/>
    <m/>
    <m/>
    <m/>
    <m/>
    <m/>
    <m/>
    <m/>
    <m/>
    <m/>
    <m/>
    <m/>
    <n v="0"/>
    <m/>
    <m/>
    <m/>
    <m/>
    <m/>
    <m/>
    <m/>
    <m/>
    <m/>
    <n v="71500"/>
    <n v="56992"/>
    <m/>
    <m/>
    <m/>
  </r>
  <r>
    <x v="1450"/>
    <n v="247960.808333333"/>
    <n v="4.18333333333333"/>
    <n v="3.38064462962963"/>
    <n v="0.80812222222222196"/>
    <n v="0.99"/>
    <m/>
    <m/>
    <m/>
    <m/>
    <m/>
    <n v="0"/>
    <m/>
    <n v="0"/>
    <n v="0"/>
    <n v="0"/>
    <n v="0"/>
    <n v="0"/>
    <m/>
    <m/>
    <m/>
    <m/>
    <m/>
    <m/>
    <m/>
    <m/>
    <m/>
    <m/>
    <n v="0"/>
    <n v="0"/>
    <m/>
    <m/>
    <m/>
    <m/>
    <m/>
    <m/>
    <m/>
    <m/>
    <m/>
    <m/>
    <m/>
    <m/>
    <n v="0"/>
    <m/>
    <m/>
    <m/>
    <m/>
    <m/>
    <m/>
    <m/>
    <m/>
    <m/>
    <n v="71500"/>
    <n v="56992"/>
    <m/>
    <m/>
    <m/>
  </r>
  <r>
    <x v="1451"/>
    <n v="247960.808333333"/>
    <n v="4.18333333333333"/>
    <n v="3.3805981481481502"/>
    <n v="0.808111111111111"/>
    <n v="0.99"/>
    <m/>
    <m/>
    <m/>
    <m/>
    <m/>
    <n v="0"/>
    <m/>
    <n v="0"/>
    <n v="0"/>
    <n v="0"/>
    <n v="0"/>
    <n v="0"/>
    <m/>
    <m/>
    <m/>
    <m/>
    <m/>
    <m/>
    <m/>
    <m/>
    <m/>
    <m/>
    <n v="0"/>
    <n v="0"/>
    <m/>
    <m/>
    <m/>
    <m/>
    <m/>
    <m/>
    <m/>
    <m/>
    <m/>
    <m/>
    <m/>
    <m/>
    <n v="0"/>
    <m/>
    <m/>
    <m/>
    <m/>
    <m/>
    <m/>
    <m/>
    <m/>
    <m/>
    <n v="71500"/>
    <n v="56992"/>
    <m/>
    <m/>
    <m/>
  </r>
  <r>
    <x v="1452"/>
    <n v="247960.808333333"/>
    <n v="4.18333333333333"/>
    <n v="3.38055166666667"/>
    <n v="0.80810000000000004"/>
    <n v="0.99"/>
    <m/>
    <m/>
    <m/>
    <m/>
    <m/>
    <n v="0"/>
    <m/>
    <n v="0"/>
    <n v="0"/>
    <n v="0"/>
    <n v="0"/>
    <n v="0"/>
    <m/>
    <m/>
    <m/>
    <m/>
    <m/>
    <m/>
    <m/>
    <m/>
    <m/>
    <m/>
    <n v="0"/>
    <n v="0"/>
    <m/>
    <m/>
    <m/>
    <m/>
    <m/>
    <m/>
    <m/>
    <m/>
    <m/>
    <m/>
    <m/>
    <m/>
    <n v="0"/>
    <m/>
    <m/>
    <m/>
    <m/>
    <m/>
    <m/>
    <m/>
    <m/>
    <m/>
    <n v="71500"/>
    <n v="56992"/>
    <m/>
    <m/>
    <m/>
  </r>
  <r>
    <x v="1453"/>
    <n v="247960.808333333"/>
    <n v="4.18333333333333"/>
    <n v="3.3805051851851902"/>
    <n v="0.80808888888888897"/>
    <n v="0.99"/>
    <m/>
    <m/>
    <m/>
    <m/>
    <m/>
    <n v="0"/>
    <m/>
    <n v="0"/>
    <n v="0"/>
    <n v="0"/>
    <n v="0"/>
    <n v="0"/>
    <m/>
    <m/>
    <m/>
    <m/>
    <m/>
    <m/>
    <m/>
    <m/>
    <m/>
    <m/>
    <n v="0"/>
    <n v="0"/>
    <m/>
    <m/>
    <m/>
    <m/>
    <m/>
    <m/>
    <m/>
    <m/>
    <m/>
    <m/>
    <m/>
    <m/>
    <n v="0"/>
    <m/>
    <m/>
    <m/>
    <m/>
    <m/>
    <m/>
    <m/>
    <m/>
    <m/>
    <n v="71500"/>
    <n v="56992"/>
    <m/>
    <m/>
    <m/>
  </r>
  <r>
    <x v="1454"/>
    <n v="247960.808333333"/>
    <n v="4.18333333333333"/>
    <n v="3.3804587037037002"/>
    <n v="0.80807777777777801"/>
    <n v="0.99"/>
    <m/>
    <m/>
    <m/>
    <m/>
    <m/>
    <n v="0"/>
    <m/>
    <n v="0"/>
    <n v="0"/>
    <n v="0"/>
    <n v="0"/>
    <n v="0"/>
    <m/>
    <m/>
    <m/>
    <m/>
    <m/>
    <m/>
    <m/>
    <m/>
    <m/>
    <m/>
    <n v="0"/>
    <n v="0"/>
    <m/>
    <m/>
    <m/>
    <m/>
    <m/>
    <m/>
    <m/>
    <m/>
    <m/>
    <m/>
    <m/>
    <m/>
    <n v="0"/>
    <m/>
    <m/>
    <m/>
    <m/>
    <m/>
    <m/>
    <m/>
    <m/>
    <m/>
    <n v="71500"/>
    <n v="56992"/>
    <m/>
    <m/>
    <m/>
  </r>
  <r>
    <x v="1455"/>
    <n v="247960.808333333"/>
    <n v="4.18333333333333"/>
    <n v="3.3804122222222199"/>
    <n v="0.80806666666666704"/>
    <n v="0.99"/>
    <m/>
    <m/>
    <m/>
    <m/>
    <m/>
    <n v="0"/>
    <m/>
    <n v="0"/>
    <n v="0"/>
    <n v="0"/>
    <n v="0"/>
    <n v="0"/>
    <m/>
    <m/>
    <m/>
    <m/>
    <m/>
    <m/>
    <m/>
    <m/>
    <m/>
    <m/>
    <n v="0"/>
    <n v="0"/>
    <m/>
    <m/>
    <m/>
    <m/>
    <m/>
    <m/>
    <m/>
    <m/>
    <m/>
    <m/>
    <m/>
    <m/>
    <n v="0"/>
    <m/>
    <m/>
    <m/>
    <m/>
    <m/>
    <m/>
    <m/>
    <m/>
    <m/>
    <n v="71500"/>
    <n v="56992"/>
    <m/>
    <m/>
    <m/>
  </r>
  <r>
    <x v="1456"/>
    <n v="247960.808333333"/>
    <n v="4.18333333333333"/>
    <n v="3.3803657407407401"/>
    <n v="0.80805555555555597"/>
    <n v="0.99"/>
    <m/>
    <m/>
    <m/>
    <m/>
    <m/>
    <n v="0"/>
    <m/>
    <n v="0"/>
    <n v="0"/>
    <n v="0"/>
    <n v="0"/>
    <n v="0"/>
    <m/>
    <m/>
    <m/>
    <m/>
    <m/>
    <m/>
    <m/>
    <m/>
    <m/>
    <m/>
    <n v="0"/>
    <n v="0"/>
    <m/>
    <m/>
    <m/>
    <m/>
    <m/>
    <m/>
    <m/>
    <m/>
    <m/>
    <m/>
    <m/>
    <m/>
    <n v="0"/>
    <m/>
    <m/>
    <m/>
    <m/>
    <m/>
    <m/>
    <m/>
    <m/>
    <m/>
    <n v="71500"/>
    <n v="56992"/>
    <m/>
    <m/>
    <m/>
  </r>
  <r>
    <x v="1457"/>
    <n v="247960.808333333"/>
    <n v="4.18333333333333"/>
    <n v="3.3803192592592599"/>
    <n v="0.80804444444444401"/>
    <n v="0.99"/>
    <m/>
    <m/>
    <m/>
    <m/>
    <m/>
    <n v="0"/>
    <m/>
    <n v="0"/>
    <n v="0"/>
    <n v="0"/>
    <n v="0"/>
    <n v="0"/>
    <m/>
    <m/>
    <m/>
    <m/>
    <m/>
    <m/>
    <m/>
    <m/>
    <m/>
    <m/>
    <n v="0"/>
    <n v="0"/>
    <m/>
    <m/>
    <m/>
    <m/>
    <m/>
    <m/>
    <m/>
    <m/>
    <m/>
    <m/>
    <m/>
    <m/>
    <n v="0"/>
    <m/>
    <m/>
    <m/>
    <m/>
    <m/>
    <m/>
    <m/>
    <m/>
    <m/>
    <n v="71500"/>
    <n v="56992"/>
    <m/>
    <m/>
    <m/>
  </r>
  <r>
    <x v="1458"/>
    <n v="247960.808333333"/>
    <n v="4.18333333333333"/>
    <n v="3.3802727777777801"/>
    <n v="0.80803333333333305"/>
    <n v="0.99"/>
    <m/>
    <m/>
    <m/>
    <m/>
    <m/>
    <n v="0"/>
    <m/>
    <n v="0"/>
    <n v="0"/>
    <n v="0"/>
    <n v="0"/>
    <n v="0"/>
    <m/>
    <m/>
    <m/>
    <m/>
    <m/>
    <m/>
    <m/>
    <m/>
    <m/>
    <m/>
    <n v="0"/>
    <n v="0"/>
    <m/>
    <m/>
    <m/>
    <m/>
    <m/>
    <m/>
    <m/>
    <m/>
    <m/>
    <m/>
    <m/>
    <m/>
    <n v="0"/>
    <m/>
    <m/>
    <m/>
    <m/>
    <m/>
    <m/>
    <m/>
    <m/>
    <m/>
    <n v="71500"/>
    <n v="56992"/>
    <m/>
    <m/>
    <m/>
  </r>
  <r>
    <x v="1459"/>
    <n v="247960.808333333"/>
    <n v="4.18333333333333"/>
    <n v="3.3802262962962999"/>
    <n v="0.80802222222222198"/>
    <n v="0.99"/>
    <m/>
    <m/>
    <m/>
    <m/>
    <m/>
    <n v="0"/>
    <m/>
    <n v="0"/>
    <n v="0"/>
    <n v="0"/>
    <n v="0"/>
    <n v="0"/>
    <m/>
    <m/>
    <m/>
    <m/>
    <m/>
    <m/>
    <m/>
    <m/>
    <m/>
    <m/>
    <n v="0"/>
    <n v="0"/>
    <m/>
    <m/>
    <m/>
    <m/>
    <m/>
    <m/>
    <m/>
    <m/>
    <m/>
    <m/>
    <m/>
    <m/>
    <n v="0"/>
    <m/>
    <m/>
    <m/>
    <m/>
    <m/>
    <m/>
    <m/>
    <m/>
    <m/>
    <n v="71500"/>
    <n v="56992"/>
    <m/>
    <m/>
    <m/>
  </r>
  <r>
    <x v="1460"/>
    <n v="247960.808333333"/>
    <n v="4.18333333333333"/>
    <n v="3.3801798148148201"/>
    <n v="0.80801111111111101"/>
    <n v="0.99"/>
    <m/>
    <m/>
    <m/>
    <m/>
    <m/>
    <n v="0"/>
    <m/>
    <n v="0"/>
    <n v="0"/>
    <n v="0"/>
    <n v="0"/>
    <n v="0"/>
    <m/>
    <m/>
    <m/>
    <m/>
    <m/>
    <m/>
    <m/>
    <m/>
    <m/>
    <m/>
    <n v="0"/>
    <n v="0"/>
    <m/>
    <m/>
    <m/>
    <m/>
    <m/>
    <m/>
    <m/>
    <m/>
    <m/>
    <m/>
    <m/>
    <m/>
    <n v="0"/>
    <m/>
    <m/>
    <m/>
    <m/>
    <m/>
    <m/>
    <m/>
    <m/>
    <m/>
    <n v="71500"/>
    <n v="56992"/>
    <m/>
    <m/>
    <m/>
  </r>
  <r>
    <x v="1461"/>
    <n v="235895.33709677399"/>
    <n v="4.1709677419354803"/>
    <n v="3.3701419354838702"/>
    <n v="0.80800000000000005"/>
    <n v="0.99"/>
    <m/>
    <m/>
    <m/>
    <m/>
    <m/>
    <n v="0"/>
    <m/>
    <n v="0"/>
    <n v="0"/>
    <n v="0"/>
    <n v="0"/>
    <n v="0"/>
    <m/>
    <m/>
    <m/>
    <m/>
    <m/>
    <m/>
    <m/>
    <m/>
    <m/>
    <m/>
    <n v="0"/>
    <n v="0"/>
    <m/>
    <m/>
    <m/>
    <m/>
    <m/>
    <m/>
    <m/>
    <m/>
    <m/>
    <m/>
    <m/>
    <m/>
    <n v="0"/>
    <m/>
    <m/>
    <m/>
    <m/>
    <m/>
    <m/>
    <m/>
    <m/>
    <m/>
    <n v="71500"/>
    <n v="56992"/>
    <m/>
    <m/>
    <m/>
  </r>
  <r>
    <x v="1462"/>
    <n v="235895.33709677399"/>
    <n v="4.1709677419354803"/>
    <n v="3.3700955913978499"/>
    <n v="0.80798888888888898"/>
    <n v="0.99"/>
    <m/>
    <m/>
    <m/>
    <m/>
    <m/>
    <n v="0"/>
    <m/>
    <n v="0"/>
    <n v="0"/>
    <n v="0"/>
    <n v="0"/>
    <n v="0"/>
    <m/>
    <m/>
    <m/>
    <m/>
    <m/>
    <m/>
    <m/>
    <m/>
    <m/>
    <m/>
    <n v="0"/>
    <n v="0"/>
    <m/>
    <m/>
    <m/>
    <m/>
    <m/>
    <m/>
    <m/>
    <m/>
    <m/>
    <m/>
    <m/>
    <m/>
    <n v="0"/>
    <m/>
    <m/>
    <m/>
    <m/>
    <m/>
    <m/>
    <m/>
    <m/>
    <m/>
    <n v="71500"/>
    <n v="56992"/>
    <m/>
    <m/>
    <m/>
  </r>
  <r>
    <x v="1463"/>
    <n v="235895.33709677399"/>
    <n v="4.1709677419354803"/>
    <n v="3.37004924731183"/>
    <n v="0.80797777777777802"/>
    <n v="0.99"/>
    <m/>
    <m/>
    <m/>
    <m/>
    <m/>
    <n v="0"/>
    <m/>
    <n v="0"/>
    <n v="0"/>
    <n v="0"/>
    <n v="0"/>
    <n v="0"/>
    <m/>
    <m/>
    <m/>
    <m/>
    <m/>
    <m/>
    <m/>
    <m/>
    <m/>
    <m/>
    <n v="0"/>
    <n v="0"/>
    <m/>
    <m/>
    <m/>
    <m/>
    <m/>
    <m/>
    <m/>
    <m/>
    <m/>
    <m/>
    <m/>
    <m/>
    <n v="0"/>
    <m/>
    <m/>
    <m/>
    <m/>
    <m/>
    <m/>
    <m/>
    <m/>
    <m/>
    <n v="71500"/>
    <n v="56992"/>
    <m/>
    <m/>
    <m/>
  </r>
  <r>
    <x v="1464"/>
    <n v="235895.33709677399"/>
    <n v="4.1709677419354803"/>
    <n v="3.3700029032258101"/>
    <n v="0.80796666666666705"/>
    <n v="0.99"/>
    <m/>
    <m/>
    <m/>
    <m/>
    <m/>
    <n v="0"/>
    <m/>
    <n v="0"/>
    <n v="0"/>
    <n v="0"/>
    <n v="0"/>
    <n v="0"/>
    <m/>
    <m/>
    <m/>
    <m/>
    <m/>
    <m/>
    <m/>
    <m/>
    <m/>
    <m/>
    <n v="0"/>
    <n v="0"/>
    <m/>
    <m/>
    <m/>
    <m/>
    <m/>
    <m/>
    <m/>
    <m/>
    <m/>
    <m/>
    <m/>
    <m/>
    <n v="0"/>
    <m/>
    <m/>
    <m/>
    <m/>
    <m/>
    <m/>
    <m/>
    <m/>
    <m/>
    <n v="71500"/>
    <n v="56992"/>
    <m/>
    <m/>
    <m/>
  </r>
  <r>
    <x v="1465"/>
    <n v="235895.33709677399"/>
    <n v="4.1709677419354803"/>
    <n v="3.36995655913978"/>
    <n v="0.80795555555555598"/>
    <n v="0.99"/>
    <m/>
    <m/>
    <m/>
    <m/>
    <m/>
    <n v="0"/>
    <m/>
    <n v="0"/>
    <n v="0"/>
    <n v="0"/>
    <n v="0"/>
    <n v="0"/>
    <m/>
    <m/>
    <m/>
    <m/>
    <m/>
    <m/>
    <m/>
    <m/>
    <m/>
    <m/>
    <n v="0"/>
    <n v="0"/>
    <m/>
    <m/>
    <m/>
    <m/>
    <m/>
    <m/>
    <m/>
    <m/>
    <m/>
    <m/>
    <m/>
    <m/>
    <n v="0"/>
    <m/>
    <m/>
    <m/>
    <m/>
    <m/>
    <m/>
    <m/>
    <m/>
    <m/>
    <n v="71500"/>
    <n v="56992"/>
    <m/>
    <m/>
    <m/>
  </r>
  <r>
    <x v="1466"/>
    <n v="235895.33709677399"/>
    <n v="4.1709677419354803"/>
    <n v="3.3699102150537601"/>
    <n v="0.80794444444444402"/>
    <n v="0.99"/>
    <m/>
    <m/>
    <m/>
    <m/>
    <m/>
    <n v="0"/>
    <m/>
    <n v="0"/>
    <n v="0"/>
    <n v="0"/>
    <n v="0"/>
    <n v="0"/>
    <m/>
    <m/>
    <m/>
    <m/>
    <m/>
    <m/>
    <m/>
    <m/>
    <m/>
    <m/>
    <n v="0"/>
    <n v="0"/>
    <m/>
    <m/>
    <m/>
    <m/>
    <m/>
    <m/>
    <m/>
    <m/>
    <m/>
    <m/>
    <m/>
    <m/>
    <n v="0"/>
    <m/>
    <m/>
    <m/>
    <m/>
    <m/>
    <m/>
    <m/>
    <m/>
    <m/>
    <n v="71500"/>
    <n v="56992"/>
    <m/>
    <m/>
    <m/>
  </r>
  <r>
    <x v="1467"/>
    <n v="235895.33709677399"/>
    <n v="4.1709677419354803"/>
    <n v="3.3698638709677402"/>
    <n v="0.80793333333333295"/>
    <n v="0.99"/>
    <m/>
    <m/>
    <m/>
    <m/>
    <m/>
    <n v="0"/>
    <m/>
    <n v="0"/>
    <n v="0"/>
    <n v="0"/>
    <n v="0"/>
    <n v="0"/>
    <m/>
    <m/>
    <m/>
    <m/>
    <m/>
    <m/>
    <m/>
    <m/>
    <m/>
    <m/>
    <n v="0"/>
    <n v="0"/>
    <m/>
    <m/>
    <m/>
    <m/>
    <m/>
    <m/>
    <m/>
    <m/>
    <m/>
    <m/>
    <m/>
    <m/>
    <n v="0"/>
    <m/>
    <m/>
    <m/>
    <m/>
    <m/>
    <m/>
    <m/>
    <m/>
    <m/>
    <n v="71500"/>
    <n v="56992"/>
    <m/>
    <m/>
    <m/>
  </r>
  <r>
    <x v="1468"/>
    <n v="235895.33709677399"/>
    <n v="4.1709677419354803"/>
    <n v="3.3698175268817199"/>
    <n v="0.80792222222222199"/>
    <n v="0.99"/>
    <m/>
    <m/>
    <m/>
    <m/>
    <m/>
    <n v="0"/>
    <m/>
    <n v="0"/>
    <n v="0"/>
    <n v="0"/>
    <n v="0"/>
    <n v="0"/>
    <m/>
    <m/>
    <m/>
    <m/>
    <m/>
    <m/>
    <m/>
    <m/>
    <m/>
    <m/>
    <n v="0"/>
    <n v="0"/>
    <m/>
    <m/>
    <m/>
    <m/>
    <m/>
    <m/>
    <m/>
    <m/>
    <m/>
    <m/>
    <m/>
    <m/>
    <n v="0"/>
    <m/>
    <m/>
    <m/>
    <m/>
    <m/>
    <m/>
    <m/>
    <m/>
    <m/>
    <n v="71500"/>
    <n v="56992"/>
    <m/>
    <m/>
    <m/>
  </r>
  <r>
    <x v="1469"/>
    <n v="235895.33709677399"/>
    <n v="4.1709677419354803"/>
    <n v="3.3697711827957"/>
    <n v="0.80791111111111102"/>
    <n v="0.99"/>
    <m/>
    <m/>
    <m/>
    <m/>
    <m/>
    <n v="0"/>
    <m/>
    <n v="0"/>
    <n v="0"/>
    <n v="0"/>
    <n v="0"/>
    <n v="0"/>
    <m/>
    <m/>
    <m/>
    <m/>
    <m/>
    <m/>
    <m/>
    <m/>
    <m/>
    <m/>
    <n v="0"/>
    <n v="0"/>
    <m/>
    <m/>
    <m/>
    <m/>
    <m/>
    <m/>
    <m/>
    <m/>
    <m/>
    <m/>
    <m/>
    <m/>
    <n v="0"/>
    <m/>
    <m/>
    <m/>
    <m/>
    <m/>
    <m/>
    <m/>
    <m/>
    <m/>
    <n v="71500"/>
    <n v="56992"/>
    <m/>
    <m/>
    <m/>
  </r>
  <r>
    <x v="1470"/>
    <n v="235895.33709677399"/>
    <n v="4.1709677419354803"/>
    <n v="3.3697248387096801"/>
    <n v="0.80789999999999995"/>
    <n v="0.99"/>
    <m/>
    <m/>
    <m/>
    <m/>
    <m/>
    <n v="0"/>
    <m/>
    <n v="0"/>
    <n v="0"/>
    <n v="0"/>
    <n v="0"/>
    <n v="0"/>
    <m/>
    <m/>
    <m/>
    <m/>
    <m/>
    <m/>
    <m/>
    <m/>
    <m/>
    <m/>
    <n v="0"/>
    <n v="0"/>
    <m/>
    <m/>
    <m/>
    <m/>
    <m/>
    <m/>
    <m/>
    <m/>
    <m/>
    <m/>
    <m/>
    <m/>
    <n v="0"/>
    <m/>
    <m/>
    <m/>
    <m/>
    <m/>
    <m/>
    <m/>
    <m/>
    <m/>
    <n v="71500"/>
    <n v="56992"/>
    <m/>
    <m/>
    <m/>
  </r>
  <r>
    <x v="1471"/>
    <n v="235895.33709677399"/>
    <n v="4.1709677419354803"/>
    <n v="3.3696784946236602"/>
    <n v="0.80788888888888899"/>
    <n v="0.99"/>
    <m/>
    <m/>
    <m/>
    <m/>
    <m/>
    <n v="0"/>
    <m/>
    <n v="0"/>
    <n v="0"/>
    <n v="0"/>
    <n v="0"/>
    <n v="0"/>
    <m/>
    <m/>
    <m/>
    <m/>
    <m/>
    <m/>
    <m/>
    <m/>
    <m/>
    <m/>
    <n v="0"/>
    <n v="0"/>
    <m/>
    <m/>
    <m/>
    <m/>
    <m/>
    <m/>
    <m/>
    <m/>
    <m/>
    <m/>
    <m/>
    <m/>
    <n v="0"/>
    <m/>
    <m/>
    <m/>
    <m/>
    <m/>
    <m/>
    <m/>
    <m/>
    <m/>
    <n v="71500"/>
    <n v="56992"/>
    <m/>
    <m/>
    <m/>
  </r>
  <r>
    <x v="1472"/>
    <n v="235895.33709677399"/>
    <n v="4.1709677419354803"/>
    <n v="3.3696321505376301"/>
    <n v="0.80787777777777803"/>
    <n v="0.99"/>
    <m/>
    <m/>
    <m/>
    <m/>
    <m/>
    <n v="0"/>
    <m/>
    <n v="0"/>
    <n v="0"/>
    <n v="0"/>
    <n v="0"/>
    <n v="0"/>
    <m/>
    <m/>
    <m/>
    <m/>
    <m/>
    <m/>
    <m/>
    <m/>
    <m/>
    <m/>
    <n v="0"/>
    <n v="0"/>
    <m/>
    <m/>
    <m/>
    <m/>
    <m/>
    <m/>
    <m/>
    <m/>
    <m/>
    <m/>
    <m/>
    <m/>
    <n v="0"/>
    <m/>
    <m/>
    <m/>
    <m/>
    <m/>
    <m/>
    <m/>
    <m/>
    <m/>
    <n v="71500"/>
    <n v="56992"/>
    <m/>
    <m/>
    <m/>
  </r>
  <r>
    <x v="1473"/>
    <n v="235895.33709677399"/>
    <n v="4.1709677419354803"/>
    <n v="3.3695858064516102"/>
    <n v="0.80786666666666695"/>
    <n v="0.99"/>
    <m/>
    <m/>
    <m/>
    <m/>
    <m/>
    <n v="0"/>
    <m/>
    <n v="0"/>
    <n v="0"/>
    <n v="0"/>
    <n v="0"/>
    <n v="0"/>
    <m/>
    <m/>
    <m/>
    <m/>
    <m/>
    <m/>
    <m/>
    <m/>
    <m/>
    <m/>
    <n v="0"/>
    <n v="0"/>
    <m/>
    <m/>
    <m/>
    <m/>
    <m/>
    <m/>
    <m/>
    <m/>
    <m/>
    <m/>
    <m/>
    <m/>
    <n v="0"/>
    <m/>
    <m/>
    <m/>
    <m/>
    <m/>
    <m/>
    <m/>
    <m/>
    <m/>
    <n v="71500"/>
    <n v="56992"/>
    <m/>
    <m/>
    <m/>
  </r>
  <r>
    <x v="1474"/>
    <n v="235895.33709677399"/>
    <n v="4.1709677419354803"/>
    <n v="3.3695394623655899"/>
    <n v="0.80785555555555599"/>
    <n v="0.99"/>
    <m/>
    <m/>
    <m/>
    <m/>
    <m/>
    <n v="0"/>
    <m/>
    <n v="0"/>
    <n v="0"/>
    <n v="0"/>
    <n v="0"/>
    <n v="0"/>
    <m/>
    <m/>
    <m/>
    <m/>
    <m/>
    <m/>
    <m/>
    <m/>
    <m/>
    <m/>
    <n v="0"/>
    <n v="0"/>
    <m/>
    <m/>
    <m/>
    <m/>
    <m/>
    <m/>
    <m/>
    <m/>
    <m/>
    <m/>
    <m/>
    <m/>
    <n v="0"/>
    <m/>
    <m/>
    <m/>
    <m/>
    <m/>
    <m/>
    <m/>
    <m/>
    <m/>
    <n v="71500"/>
    <n v="56992"/>
    <m/>
    <m/>
    <m/>
  </r>
  <r>
    <x v="1475"/>
    <n v="235895.33709677399"/>
    <n v="4.1709677419354803"/>
    <n v="3.36949311827957"/>
    <n v="0.80784444444444403"/>
    <n v="0.99"/>
    <m/>
    <m/>
    <m/>
    <m/>
    <m/>
    <n v="0"/>
    <m/>
    <n v="0"/>
    <n v="0"/>
    <n v="0"/>
    <n v="0"/>
    <n v="0"/>
    <m/>
    <m/>
    <m/>
    <m/>
    <m/>
    <m/>
    <m/>
    <m/>
    <m/>
    <m/>
    <n v="0"/>
    <n v="0"/>
    <m/>
    <m/>
    <m/>
    <m/>
    <m/>
    <m/>
    <m/>
    <m/>
    <m/>
    <m/>
    <m/>
    <m/>
    <n v="0"/>
    <m/>
    <m/>
    <m/>
    <m/>
    <m/>
    <m/>
    <m/>
    <m/>
    <m/>
    <n v="71500"/>
    <n v="56992"/>
    <m/>
    <m/>
    <m/>
  </r>
  <r>
    <x v="1476"/>
    <n v="235895.33709677399"/>
    <n v="4.1709677419354803"/>
    <n v="3.3694467741935501"/>
    <n v="0.80783333333333296"/>
    <n v="0.99"/>
    <m/>
    <m/>
    <m/>
    <m/>
    <m/>
    <n v="0"/>
    <m/>
    <n v="0"/>
    <n v="0"/>
    <n v="0"/>
    <n v="0"/>
    <n v="0"/>
    <m/>
    <m/>
    <m/>
    <m/>
    <m/>
    <m/>
    <m/>
    <m/>
    <m/>
    <m/>
    <n v="0"/>
    <n v="0"/>
    <m/>
    <m/>
    <m/>
    <m/>
    <m/>
    <m/>
    <m/>
    <m/>
    <m/>
    <m/>
    <m/>
    <m/>
    <n v="0"/>
    <m/>
    <m/>
    <m/>
    <m/>
    <m/>
    <m/>
    <m/>
    <m/>
    <m/>
    <n v="71500"/>
    <n v="56992"/>
    <m/>
    <m/>
    <m/>
  </r>
  <r>
    <x v="1477"/>
    <n v="235895.33709677399"/>
    <n v="4.1709677419354803"/>
    <n v="3.3694004301075302"/>
    <n v="0.807822222222222"/>
    <n v="0.99"/>
    <m/>
    <m/>
    <m/>
    <m/>
    <m/>
    <n v="0"/>
    <m/>
    <n v="0"/>
    <n v="0"/>
    <n v="0"/>
    <n v="0"/>
    <n v="0"/>
    <m/>
    <m/>
    <m/>
    <m/>
    <m/>
    <m/>
    <m/>
    <m/>
    <m/>
    <m/>
    <n v="0"/>
    <n v="0"/>
    <m/>
    <m/>
    <m/>
    <m/>
    <m/>
    <m/>
    <m/>
    <m/>
    <m/>
    <m/>
    <m/>
    <m/>
    <n v="0"/>
    <m/>
    <m/>
    <m/>
    <m/>
    <m/>
    <m/>
    <m/>
    <m/>
    <m/>
    <n v="71500"/>
    <n v="56992"/>
    <m/>
    <m/>
    <m/>
  </r>
  <r>
    <x v="1478"/>
    <n v="235895.33709677399"/>
    <n v="4.1709677419354803"/>
    <n v="3.3693540860215099"/>
    <n v="0.80781111111111104"/>
    <n v="0.99"/>
    <m/>
    <m/>
    <m/>
    <m/>
    <m/>
    <n v="0"/>
    <m/>
    <n v="0"/>
    <n v="0"/>
    <n v="0"/>
    <n v="0"/>
    <n v="0"/>
    <m/>
    <m/>
    <m/>
    <m/>
    <m/>
    <m/>
    <m/>
    <m/>
    <m/>
    <m/>
    <n v="0"/>
    <n v="0"/>
    <m/>
    <m/>
    <m/>
    <m/>
    <m/>
    <m/>
    <m/>
    <m/>
    <m/>
    <m/>
    <m/>
    <m/>
    <n v="0"/>
    <m/>
    <m/>
    <m/>
    <m/>
    <m/>
    <m/>
    <m/>
    <m/>
    <m/>
    <n v="71500"/>
    <n v="56992"/>
    <m/>
    <m/>
    <m/>
  </r>
  <r>
    <x v="1479"/>
    <n v="235895.33709677399"/>
    <n v="4.1709677419354803"/>
    <n v="3.3693077419354802"/>
    <n v="0.80779999999999996"/>
    <n v="0.99"/>
    <m/>
    <m/>
    <m/>
    <m/>
    <m/>
    <n v="0"/>
    <m/>
    <n v="0"/>
    <n v="0"/>
    <n v="0"/>
    <n v="0"/>
    <n v="0"/>
    <m/>
    <m/>
    <m/>
    <m/>
    <m/>
    <m/>
    <m/>
    <m/>
    <m/>
    <m/>
    <n v="0"/>
    <n v="0"/>
    <m/>
    <m/>
    <m/>
    <m/>
    <m/>
    <m/>
    <m/>
    <m/>
    <m/>
    <m/>
    <m/>
    <m/>
    <n v="0"/>
    <m/>
    <m/>
    <m/>
    <m/>
    <m/>
    <m/>
    <m/>
    <m/>
    <m/>
    <n v="71500"/>
    <n v="56992"/>
    <m/>
    <m/>
    <m/>
  </r>
  <r>
    <x v="1480"/>
    <n v="235895.33709677399"/>
    <n v="4.1709677419354803"/>
    <n v="3.3692613978494599"/>
    <n v="0.807788888888889"/>
    <n v="0.99"/>
    <m/>
    <m/>
    <m/>
    <m/>
    <m/>
    <n v="0"/>
    <m/>
    <n v="0"/>
    <n v="0"/>
    <n v="0"/>
    <n v="0"/>
    <n v="0"/>
    <m/>
    <m/>
    <m/>
    <m/>
    <m/>
    <m/>
    <m/>
    <m/>
    <m/>
    <m/>
    <n v="0"/>
    <n v="0"/>
    <m/>
    <m/>
    <m/>
    <m/>
    <m/>
    <m/>
    <m/>
    <m/>
    <m/>
    <m/>
    <m/>
    <m/>
    <n v="0"/>
    <m/>
    <m/>
    <m/>
    <m/>
    <m/>
    <m/>
    <m/>
    <m/>
    <m/>
    <n v="71500"/>
    <n v="56992"/>
    <m/>
    <m/>
    <m/>
  </r>
  <r>
    <x v="1481"/>
    <n v="235895.33709677399"/>
    <n v="4.1709677419354803"/>
    <n v="3.36921505376344"/>
    <n v="0.80777777777777804"/>
    <n v="0.99"/>
    <m/>
    <m/>
    <m/>
    <m/>
    <m/>
    <n v="0"/>
    <m/>
    <n v="0"/>
    <n v="0"/>
    <n v="0"/>
    <n v="0"/>
    <n v="0"/>
    <m/>
    <m/>
    <m/>
    <m/>
    <m/>
    <m/>
    <m/>
    <m/>
    <m/>
    <m/>
    <n v="0"/>
    <n v="0"/>
    <m/>
    <m/>
    <m/>
    <m/>
    <m/>
    <m/>
    <m/>
    <m/>
    <m/>
    <m/>
    <m/>
    <m/>
    <n v="0"/>
    <m/>
    <m/>
    <m/>
    <m/>
    <m/>
    <m/>
    <m/>
    <m/>
    <m/>
    <n v="71500"/>
    <n v="56992"/>
    <m/>
    <m/>
    <m/>
  </r>
  <r>
    <x v="1482"/>
    <n v="235895.33709677399"/>
    <n v="4.1709677419354803"/>
    <n v="3.3691687096774201"/>
    <n v="0.80776666666666697"/>
    <n v="0.99"/>
    <m/>
    <m/>
    <m/>
    <m/>
    <m/>
    <n v="0"/>
    <m/>
    <n v="0"/>
    <n v="0"/>
    <n v="0"/>
    <n v="0"/>
    <n v="0"/>
    <m/>
    <m/>
    <m/>
    <m/>
    <m/>
    <m/>
    <m/>
    <m/>
    <m/>
    <m/>
    <n v="0"/>
    <n v="0"/>
    <m/>
    <m/>
    <m/>
    <m/>
    <m/>
    <m/>
    <m/>
    <m/>
    <m/>
    <m/>
    <m/>
    <m/>
    <n v="0"/>
    <m/>
    <m/>
    <m/>
    <m/>
    <m/>
    <m/>
    <m/>
    <m/>
    <m/>
    <n v="71500"/>
    <n v="56992"/>
    <m/>
    <m/>
    <m/>
  </r>
  <r>
    <x v="1483"/>
    <n v="235895.33709677399"/>
    <n v="4.1709677419354803"/>
    <n v="3.3691223655914002"/>
    <n v="0.807755555555556"/>
    <n v="0.99"/>
    <m/>
    <m/>
    <m/>
    <m/>
    <m/>
    <n v="0"/>
    <m/>
    <n v="0"/>
    <n v="0"/>
    <n v="0"/>
    <n v="0"/>
    <n v="0"/>
    <m/>
    <m/>
    <m/>
    <m/>
    <m/>
    <m/>
    <m/>
    <m/>
    <m/>
    <m/>
    <n v="0"/>
    <n v="0"/>
    <m/>
    <m/>
    <m/>
    <m/>
    <m/>
    <m/>
    <m/>
    <m/>
    <m/>
    <m/>
    <m/>
    <m/>
    <n v="0"/>
    <m/>
    <m/>
    <m/>
    <m/>
    <m/>
    <m/>
    <m/>
    <m/>
    <m/>
    <n v="71500"/>
    <n v="56992"/>
    <m/>
    <m/>
    <m/>
  </r>
  <r>
    <x v="1484"/>
    <n v="235895.33709677399"/>
    <n v="4.1709677419354803"/>
    <n v="3.3690760215053799"/>
    <n v="0.80774444444444404"/>
    <n v="0.99"/>
    <m/>
    <m/>
    <m/>
    <m/>
    <m/>
    <n v="0"/>
    <m/>
    <n v="0"/>
    <n v="0"/>
    <n v="0"/>
    <n v="0"/>
    <n v="0"/>
    <m/>
    <m/>
    <m/>
    <m/>
    <m/>
    <m/>
    <m/>
    <m/>
    <m/>
    <m/>
    <n v="0"/>
    <n v="0"/>
    <m/>
    <m/>
    <m/>
    <m/>
    <m/>
    <m/>
    <m/>
    <m/>
    <m/>
    <m/>
    <m/>
    <m/>
    <n v="0"/>
    <m/>
    <m/>
    <m/>
    <m/>
    <m/>
    <m/>
    <m/>
    <m/>
    <m/>
    <n v="71500"/>
    <n v="56992"/>
    <m/>
    <m/>
    <m/>
  </r>
  <r>
    <x v="1485"/>
    <n v="235895.33709677399"/>
    <n v="4.1709677419354803"/>
    <n v="3.3690296774193502"/>
    <n v="0.80773333333333297"/>
    <n v="0.99"/>
    <m/>
    <m/>
    <m/>
    <m/>
    <m/>
    <n v="0"/>
    <m/>
    <n v="0"/>
    <n v="0"/>
    <n v="0"/>
    <n v="0"/>
    <n v="0"/>
    <m/>
    <m/>
    <m/>
    <m/>
    <m/>
    <m/>
    <m/>
    <m/>
    <m/>
    <m/>
    <n v="0"/>
    <n v="0"/>
    <m/>
    <m/>
    <m/>
    <m/>
    <m/>
    <m/>
    <m/>
    <m/>
    <m/>
    <m/>
    <m/>
    <m/>
    <n v="0"/>
    <m/>
    <m/>
    <m/>
    <m/>
    <m/>
    <m/>
    <m/>
    <m/>
    <m/>
    <n v="71500"/>
    <n v="56992"/>
    <m/>
    <m/>
    <m/>
  </r>
  <r>
    <x v="1486"/>
    <n v="235895.33709677399"/>
    <n v="4.1709677419354803"/>
    <n v="3.3689833333333299"/>
    <n v="0.80772222222222201"/>
    <n v="0.99"/>
    <m/>
    <m/>
    <m/>
    <m/>
    <m/>
    <n v="0"/>
    <m/>
    <n v="0"/>
    <n v="0"/>
    <n v="0"/>
    <n v="0"/>
    <n v="0"/>
    <m/>
    <m/>
    <m/>
    <m/>
    <m/>
    <m/>
    <m/>
    <m/>
    <m/>
    <m/>
    <n v="0"/>
    <n v="0"/>
    <m/>
    <m/>
    <m/>
    <m/>
    <m/>
    <m/>
    <m/>
    <m/>
    <m/>
    <m/>
    <m/>
    <m/>
    <n v="0"/>
    <m/>
    <m/>
    <m/>
    <m/>
    <m/>
    <m/>
    <m/>
    <m/>
    <m/>
    <n v="71500"/>
    <n v="56992"/>
    <m/>
    <m/>
    <m/>
  </r>
  <r>
    <x v="1487"/>
    <n v="235895.33709677399"/>
    <n v="4.1709677419354803"/>
    <n v="3.36893698924731"/>
    <n v="0.80771111111111105"/>
    <n v="0.99"/>
    <m/>
    <m/>
    <m/>
    <m/>
    <m/>
    <n v="0"/>
    <m/>
    <n v="0"/>
    <n v="0"/>
    <n v="0"/>
    <n v="0"/>
    <n v="0"/>
    <m/>
    <m/>
    <m/>
    <m/>
    <m/>
    <m/>
    <m/>
    <m/>
    <m/>
    <m/>
    <n v="0"/>
    <n v="0"/>
    <m/>
    <m/>
    <m/>
    <m/>
    <m/>
    <m/>
    <m/>
    <m/>
    <m/>
    <m/>
    <m/>
    <m/>
    <n v="0"/>
    <m/>
    <m/>
    <m/>
    <m/>
    <m/>
    <m/>
    <m/>
    <m/>
    <m/>
    <n v="71500"/>
    <n v="56992"/>
    <m/>
    <m/>
    <m/>
  </r>
  <r>
    <x v="1488"/>
    <n v="235895.33709677399"/>
    <n v="4.1709677419354803"/>
    <n v="3.3688906451612901"/>
    <n v="0.80769999999999997"/>
    <n v="0.99"/>
    <m/>
    <m/>
    <m/>
    <m/>
    <m/>
    <n v="0"/>
    <m/>
    <n v="0"/>
    <n v="0"/>
    <n v="0"/>
    <n v="0"/>
    <n v="0"/>
    <m/>
    <m/>
    <m/>
    <m/>
    <m/>
    <m/>
    <m/>
    <m/>
    <m/>
    <m/>
    <n v="0"/>
    <n v="0"/>
    <m/>
    <m/>
    <m/>
    <m/>
    <m/>
    <m/>
    <m/>
    <m/>
    <m/>
    <m/>
    <m/>
    <m/>
    <n v="0"/>
    <m/>
    <m/>
    <m/>
    <m/>
    <m/>
    <m/>
    <m/>
    <m/>
    <m/>
    <n v="71500"/>
    <n v="56992"/>
    <m/>
    <m/>
    <m/>
  </r>
  <r>
    <x v="1489"/>
    <n v="235895.33709677399"/>
    <n v="4.1709677419354803"/>
    <n v="3.3688443010752702"/>
    <n v="0.80768888888888901"/>
    <n v="0.99"/>
    <m/>
    <m/>
    <m/>
    <m/>
    <m/>
    <n v="0"/>
    <m/>
    <n v="0"/>
    <n v="0"/>
    <n v="0"/>
    <n v="0"/>
    <n v="0"/>
    <m/>
    <m/>
    <m/>
    <m/>
    <m/>
    <m/>
    <m/>
    <m/>
    <m/>
    <m/>
    <n v="0"/>
    <n v="0"/>
    <m/>
    <m/>
    <m/>
    <m/>
    <m/>
    <m/>
    <m/>
    <m/>
    <m/>
    <m/>
    <m/>
    <m/>
    <n v="0"/>
    <m/>
    <m/>
    <m/>
    <m/>
    <m/>
    <m/>
    <m/>
    <m/>
    <m/>
    <n v="71500"/>
    <n v="56992"/>
    <m/>
    <m/>
    <m/>
  </r>
  <r>
    <x v="1490"/>
    <n v="235895.33709677399"/>
    <n v="4.1709677419354803"/>
    <n v="3.3687979569892499"/>
    <n v="0.80767777777777805"/>
    <n v="0.99"/>
    <m/>
    <m/>
    <m/>
    <m/>
    <m/>
    <n v="0"/>
    <m/>
    <n v="0"/>
    <n v="0"/>
    <n v="0"/>
    <n v="0"/>
    <n v="0"/>
    <m/>
    <m/>
    <m/>
    <m/>
    <m/>
    <m/>
    <m/>
    <m/>
    <m/>
    <m/>
    <n v="0"/>
    <n v="0"/>
    <m/>
    <m/>
    <m/>
    <m/>
    <m/>
    <m/>
    <m/>
    <m/>
    <m/>
    <m/>
    <m/>
    <m/>
    <n v="0"/>
    <m/>
    <m/>
    <m/>
    <m/>
    <m/>
    <m/>
    <m/>
    <m/>
    <m/>
    <n v="71500"/>
    <n v="56992"/>
    <m/>
    <m/>
    <m/>
  </r>
  <r>
    <x v="1491"/>
    <n v="235895.33709677399"/>
    <n v="4.1709677419354803"/>
    <n v="3.36875161290323"/>
    <n v="0.80766666666666698"/>
    <n v="0.99"/>
    <m/>
    <m/>
    <m/>
    <m/>
    <m/>
    <n v="0"/>
    <m/>
    <n v="0"/>
    <n v="0"/>
    <n v="0"/>
    <n v="0"/>
    <n v="0"/>
    <m/>
    <m/>
    <m/>
    <m/>
    <m/>
    <m/>
    <m/>
    <m/>
    <m/>
    <m/>
    <n v="0"/>
    <n v="0"/>
    <m/>
    <m/>
    <m/>
    <m/>
    <m/>
    <m/>
    <m/>
    <m/>
    <m/>
    <m/>
    <m/>
    <m/>
    <n v="0"/>
    <m/>
    <m/>
    <m/>
    <m/>
    <m/>
    <m/>
    <m/>
    <m/>
    <m/>
    <n v="71500"/>
    <n v="56992"/>
    <m/>
    <m/>
    <m/>
  </r>
  <r>
    <x v="1492"/>
    <n v="249932.632258064"/>
    <n v="4.2064516129032299"/>
    <n v="3.3974107526881698"/>
    <n v="0.80766666666666698"/>
    <n v="0.99"/>
    <m/>
    <m/>
    <m/>
    <m/>
    <m/>
    <n v="0"/>
    <m/>
    <n v="0"/>
    <n v="0"/>
    <n v="0"/>
    <n v="0"/>
    <n v="0"/>
    <m/>
    <m/>
    <m/>
    <m/>
    <m/>
    <m/>
    <m/>
    <m/>
    <m/>
    <m/>
    <n v="0"/>
    <n v="0"/>
    <m/>
    <m/>
    <m/>
    <m/>
    <m/>
    <m/>
    <m/>
    <m/>
    <m/>
    <m/>
    <m/>
    <m/>
    <n v="0"/>
    <m/>
    <m/>
    <m/>
    <m/>
    <m/>
    <m/>
    <m/>
    <m/>
    <m/>
    <n v="71500"/>
    <n v="56992"/>
    <m/>
    <m/>
    <m/>
  </r>
  <r>
    <x v="1493"/>
    <n v="249932.632258064"/>
    <n v="4.2064516129032299"/>
    <n v="3.3973640143369201"/>
    <n v="0.80765555555555602"/>
    <n v="0.99"/>
    <m/>
    <m/>
    <m/>
    <m/>
    <m/>
    <n v="0"/>
    <m/>
    <n v="0"/>
    <n v="0"/>
    <n v="0"/>
    <n v="0"/>
    <n v="0"/>
    <m/>
    <m/>
    <m/>
    <m/>
    <m/>
    <m/>
    <m/>
    <m/>
    <m/>
    <m/>
    <n v="0"/>
    <n v="0"/>
    <m/>
    <m/>
    <m/>
    <m/>
    <m/>
    <m/>
    <m/>
    <m/>
    <m/>
    <m/>
    <m/>
    <m/>
    <n v="0"/>
    <m/>
    <m/>
    <m/>
    <m/>
    <m/>
    <m/>
    <m/>
    <m/>
    <m/>
    <n v="71500"/>
    <n v="56992"/>
    <m/>
    <m/>
    <m/>
  </r>
  <r>
    <x v="1494"/>
    <n v="249932.632258064"/>
    <n v="4.2064516129032299"/>
    <n v="3.3973172759856598"/>
    <n v="0.80764444444444405"/>
    <n v="0.99"/>
    <m/>
    <m/>
    <m/>
    <m/>
    <m/>
    <n v="0"/>
    <m/>
    <n v="0"/>
    <n v="0"/>
    <n v="0"/>
    <n v="0"/>
    <n v="0"/>
    <m/>
    <m/>
    <m/>
    <m/>
    <m/>
    <m/>
    <m/>
    <m/>
    <m/>
    <m/>
    <n v="0"/>
    <n v="0"/>
    <m/>
    <m/>
    <m/>
    <m/>
    <m/>
    <m/>
    <m/>
    <m/>
    <m/>
    <m/>
    <m/>
    <m/>
    <n v="0"/>
    <m/>
    <m/>
    <m/>
    <m/>
    <m/>
    <m/>
    <m/>
    <m/>
    <m/>
    <n v="71500"/>
    <n v="56992"/>
    <m/>
    <m/>
    <m/>
  </r>
  <r>
    <x v="1495"/>
    <n v="249932.632258064"/>
    <n v="4.2064516129032299"/>
    <n v="3.3972705376344101"/>
    <n v="0.80763333333333298"/>
    <n v="0.99"/>
    <m/>
    <m/>
    <m/>
    <m/>
    <m/>
    <n v="0"/>
    <m/>
    <n v="0"/>
    <n v="0"/>
    <n v="0"/>
    <n v="0"/>
    <n v="0"/>
    <m/>
    <m/>
    <m/>
    <m/>
    <m/>
    <m/>
    <m/>
    <m/>
    <m/>
    <m/>
    <n v="0"/>
    <n v="0"/>
    <m/>
    <m/>
    <m/>
    <m/>
    <m/>
    <m/>
    <m/>
    <m/>
    <m/>
    <m/>
    <m/>
    <m/>
    <n v="0"/>
    <m/>
    <m/>
    <m/>
    <m/>
    <m/>
    <m/>
    <m/>
    <m/>
    <m/>
    <n v="71500"/>
    <n v="56992"/>
    <m/>
    <m/>
    <m/>
  </r>
  <r>
    <x v="1496"/>
    <n v="249932.632258064"/>
    <n v="4.2064516129032299"/>
    <n v="3.3972237992831502"/>
    <n v="0.80762222222222202"/>
    <n v="0.99"/>
    <m/>
    <m/>
    <m/>
    <m/>
    <m/>
    <n v="0"/>
    <m/>
    <n v="0"/>
    <n v="0"/>
    <n v="0"/>
    <n v="0"/>
    <n v="0"/>
    <m/>
    <m/>
    <m/>
    <m/>
    <m/>
    <m/>
    <m/>
    <m/>
    <m/>
    <m/>
    <n v="0"/>
    <n v="0"/>
    <m/>
    <m/>
    <m/>
    <m/>
    <m/>
    <m/>
    <m/>
    <m/>
    <m/>
    <m/>
    <m/>
    <m/>
    <n v="0"/>
    <m/>
    <m/>
    <m/>
    <m/>
    <m/>
    <m/>
    <m/>
    <m/>
    <m/>
    <n v="71500"/>
    <n v="56992"/>
    <m/>
    <m/>
    <m/>
  </r>
  <r>
    <x v="1497"/>
    <n v="249932.632258064"/>
    <n v="4.2064516129032299"/>
    <n v="3.3971770609319001"/>
    <n v="0.80761111111111095"/>
    <n v="0.99"/>
    <m/>
    <m/>
    <m/>
    <m/>
    <m/>
    <n v="0"/>
    <m/>
    <n v="0"/>
    <n v="0"/>
    <n v="0"/>
    <n v="0"/>
    <n v="0"/>
    <m/>
    <m/>
    <m/>
    <m/>
    <m/>
    <m/>
    <m/>
    <m/>
    <m/>
    <m/>
    <n v="0"/>
    <n v="0"/>
    <m/>
    <m/>
    <m/>
    <m/>
    <m/>
    <m/>
    <m/>
    <m/>
    <m/>
    <m/>
    <m/>
    <m/>
    <n v="0"/>
    <m/>
    <m/>
    <m/>
    <m/>
    <m/>
    <m/>
    <m/>
    <m/>
    <m/>
    <n v="71500"/>
    <n v="56992"/>
    <m/>
    <m/>
    <m/>
  </r>
  <r>
    <x v="1498"/>
    <n v="249932.632258064"/>
    <n v="4.2064516129032299"/>
    <n v="3.39713032258065"/>
    <n v="0.80759999999999998"/>
    <n v="0.99"/>
    <m/>
    <m/>
    <m/>
    <m/>
    <m/>
    <n v="0"/>
    <m/>
    <n v="0"/>
    <n v="0"/>
    <n v="0"/>
    <n v="0"/>
    <n v="0"/>
    <m/>
    <m/>
    <m/>
    <m/>
    <m/>
    <m/>
    <m/>
    <m/>
    <m/>
    <m/>
    <n v="0"/>
    <n v="0"/>
    <m/>
    <m/>
    <m/>
    <m/>
    <m/>
    <m/>
    <m/>
    <m/>
    <m/>
    <m/>
    <m/>
    <m/>
    <n v="0"/>
    <m/>
    <m/>
    <m/>
    <m/>
    <m/>
    <m/>
    <m/>
    <m/>
    <m/>
    <n v="71500"/>
    <n v="56992"/>
    <m/>
    <m/>
    <m/>
  </r>
  <r>
    <x v="1499"/>
    <n v="249932.632258064"/>
    <n v="4.2064516129032299"/>
    <n v="3.3970835842293901"/>
    <n v="0.80758888888888902"/>
    <n v="0.99"/>
    <m/>
    <m/>
    <m/>
    <m/>
    <m/>
    <n v="0"/>
    <m/>
    <n v="0"/>
    <n v="0"/>
    <n v="0"/>
    <n v="0"/>
    <n v="0"/>
    <m/>
    <m/>
    <m/>
    <m/>
    <m/>
    <m/>
    <m/>
    <m/>
    <m/>
    <m/>
    <n v="0"/>
    <n v="0"/>
    <m/>
    <m/>
    <m/>
    <m/>
    <m/>
    <m/>
    <m/>
    <m/>
    <m/>
    <m/>
    <m/>
    <m/>
    <n v="0"/>
    <m/>
    <m/>
    <m/>
    <m/>
    <m/>
    <m/>
    <m/>
    <m/>
    <m/>
    <n v="71500"/>
    <n v="56992"/>
    <m/>
    <m/>
    <m/>
  </r>
  <r>
    <x v="1500"/>
    <n v="249932.632258064"/>
    <n v="4.2064516129032299"/>
    <n v="3.3970368458781399"/>
    <n v="0.80757777777777795"/>
    <n v="0.99"/>
    <m/>
    <m/>
    <m/>
    <m/>
    <m/>
    <n v="0"/>
    <m/>
    <n v="0"/>
    <n v="0"/>
    <n v="0"/>
    <n v="0"/>
    <n v="0"/>
    <m/>
    <m/>
    <m/>
    <m/>
    <m/>
    <m/>
    <m/>
    <m/>
    <m/>
    <m/>
    <n v="0"/>
    <n v="0"/>
    <m/>
    <m/>
    <m/>
    <m/>
    <m/>
    <m/>
    <m/>
    <m/>
    <m/>
    <m/>
    <m/>
    <m/>
    <n v="0"/>
    <m/>
    <m/>
    <m/>
    <m/>
    <m/>
    <m/>
    <m/>
    <m/>
    <m/>
    <n v="71500"/>
    <n v="56992"/>
    <m/>
    <m/>
    <m/>
  </r>
  <r>
    <x v="1501"/>
    <n v="249932.632258064"/>
    <n v="4.2064516129032299"/>
    <n v="3.39699010752688"/>
    <n v="0.80756666666666699"/>
    <n v="0.99"/>
    <m/>
    <m/>
    <m/>
    <m/>
    <m/>
    <n v="0"/>
    <m/>
    <n v="0"/>
    <n v="0"/>
    <n v="0"/>
    <n v="0"/>
    <n v="0"/>
    <m/>
    <m/>
    <m/>
    <m/>
    <m/>
    <m/>
    <m/>
    <m/>
    <m/>
    <m/>
    <n v="0"/>
    <n v="0"/>
    <m/>
    <m/>
    <m/>
    <m/>
    <m/>
    <m/>
    <m/>
    <m/>
    <m/>
    <m/>
    <m/>
    <m/>
    <n v="0"/>
    <m/>
    <m/>
    <m/>
    <m/>
    <m/>
    <m/>
    <m/>
    <m/>
    <m/>
    <n v="71500"/>
    <n v="56992"/>
    <m/>
    <m/>
    <m/>
  </r>
  <r>
    <x v="1502"/>
    <n v="249932.632258064"/>
    <n v="4.2064516129032299"/>
    <n v="3.3969433691756299"/>
    <n v="0.80755555555555603"/>
    <n v="0.99"/>
    <m/>
    <m/>
    <m/>
    <m/>
    <m/>
    <n v="0"/>
    <m/>
    <n v="0"/>
    <n v="0"/>
    <n v="0"/>
    <n v="0"/>
    <n v="0"/>
    <m/>
    <m/>
    <m/>
    <m/>
    <m/>
    <m/>
    <m/>
    <m/>
    <m/>
    <m/>
    <n v="0"/>
    <n v="0"/>
    <m/>
    <m/>
    <m/>
    <m/>
    <m/>
    <m/>
    <m/>
    <m/>
    <m/>
    <m/>
    <m/>
    <m/>
    <n v="0"/>
    <m/>
    <m/>
    <m/>
    <m/>
    <m/>
    <m/>
    <m/>
    <m/>
    <m/>
    <n v="71500"/>
    <n v="56992"/>
    <m/>
    <m/>
    <m/>
  </r>
  <r>
    <x v="1503"/>
    <n v="249932.632258064"/>
    <n v="4.2064516129032299"/>
    <n v="3.39689663082437"/>
    <n v="0.80754444444444395"/>
    <n v="0.99"/>
    <m/>
    <m/>
    <m/>
    <m/>
    <m/>
    <n v="0"/>
    <m/>
    <n v="0"/>
    <n v="0"/>
    <n v="0"/>
    <n v="0"/>
    <n v="0"/>
    <m/>
    <m/>
    <m/>
    <m/>
    <m/>
    <m/>
    <m/>
    <m/>
    <m/>
    <m/>
    <n v="0"/>
    <n v="0"/>
    <m/>
    <m/>
    <m/>
    <m/>
    <m/>
    <m/>
    <m/>
    <m/>
    <m/>
    <m/>
    <m/>
    <m/>
    <n v="0"/>
    <m/>
    <m/>
    <m/>
    <m/>
    <m/>
    <m/>
    <m/>
    <m/>
    <m/>
    <n v="71500"/>
    <n v="56992"/>
    <m/>
    <m/>
    <m/>
  </r>
  <r>
    <x v="1504"/>
    <n v="249932.632258064"/>
    <n v="4.2064516129032299"/>
    <n v="3.3968498924731199"/>
    <n v="0.80753333333333299"/>
    <n v="0.99"/>
    <m/>
    <m/>
    <m/>
    <m/>
    <m/>
    <n v="0"/>
    <m/>
    <n v="0"/>
    <n v="0"/>
    <n v="0"/>
    <n v="0"/>
    <n v="0"/>
    <m/>
    <m/>
    <m/>
    <m/>
    <m/>
    <m/>
    <m/>
    <m/>
    <m/>
    <m/>
    <n v="0"/>
    <n v="0"/>
    <m/>
    <m/>
    <m/>
    <m/>
    <m/>
    <m/>
    <m/>
    <m/>
    <m/>
    <m/>
    <m/>
    <m/>
    <n v="0"/>
    <m/>
    <m/>
    <m/>
    <m/>
    <m/>
    <m/>
    <m/>
    <m/>
    <m/>
    <n v="71500"/>
    <n v="56992"/>
    <m/>
    <m/>
    <m/>
  </r>
  <r>
    <x v="1505"/>
    <n v="249932.632258064"/>
    <n v="4.2064516129032299"/>
    <n v="3.39680315412186"/>
    <n v="0.80752222222222203"/>
    <n v="0.99"/>
    <m/>
    <m/>
    <m/>
    <m/>
    <m/>
    <n v="0"/>
    <m/>
    <n v="0"/>
    <n v="0"/>
    <n v="0"/>
    <n v="0"/>
    <n v="0"/>
    <m/>
    <m/>
    <m/>
    <m/>
    <m/>
    <m/>
    <m/>
    <m/>
    <m/>
    <m/>
    <n v="0"/>
    <n v="0"/>
    <m/>
    <m/>
    <m/>
    <m/>
    <m/>
    <m/>
    <m/>
    <m/>
    <m/>
    <m/>
    <m/>
    <m/>
    <n v="0"/>
    <m/>
    <m/>
    <m/>
    <m/>
    <m/>
    <m/>
    <m/>
    <m/>
    <m/>
    <n v="71500"/>
    <n v="56992"/>
    <m/>
    <m/>
    <m/>
  </r>
  <r>
    <x v="1506"/>
    <n v="249932.632258064"/>
    <n v="4.2064516129032299"/>
    <n v="3.3967564157706098"/>
    <n v="0.80751111111111096"/>
    <n v="0.99"/>
    <m/>
    <m/>
    <m/>
    <m/>
    <m/>
    <n v="0"/>
    <m/>
    <n v="0"/>
    <n v="0"/>
    <n v="0"/>
    <n v="0"/>
    <n v="0"/>
    <m/>
    <m/>
    <m/>
    <m/>
    <m/>
    <m/>
    <m/>
    <m/>
    <m/>
    <m/>
    <n v="0"/>
    <n v="0"/>
    <m/>
    <m/>
    <m/>
    <m/>
    <m/>
    <m/>
    <m/>
    <m/>
    <m/>
    <m/>
    <m/>
    <m/>
    <n v="0"/>
    <m/>
    <m/>
    <m/>
    <m/>
    <m/>
    <m/>
    <m/>
    <m/>
    <m/>
    <n v="71500"/>
    <n v="56992"/>
    <m/>
    <m/>
    <m/>
  </r>
  <r>
    <x v="1507"/>
    <n v="249932.632258064"/>
    <n v="4.2064516129032299"/>
    <n v="3.3967096774193601"/>
    <n v="0.8075"/>
    <n v="0.99"/>
    <m/>
    <m/>
    <m/>
    <m/>
    <m/>
    <n v="0"/>
    <m/>
    <n v="0"/>
    <n v="0"/>
    <n v="0"/>
    <n v="0"/>
    <n v="0"/>
    <m/>
    <m/>
    <m/>
    <m/>
    <m/>
    <m/>
    <m/>
    <m/>
    <m/>
    <m/>
    <n v="0"/>
    <n v="0"/>
    <m/>
    <m/>
    <m/>
    <m/>
    <m/>
    <m/>
    <m/>
    <m/>
    <m/>
    <m/>
    <m/>
    <m/>
    <n v="0"/>
    <m/>
    <m/>
    <m/>
    <m/>
    <m/>
    <m/>
    <m/>
    <m/>
    <m/>
    <n v="71500"/>
    <n v="56992"/>
    <m/>
    <m/>
    <m/>
  </r>
  <r>
    <x v="1508"/>
    <n v="249932.632258064"/>
    <n v="4.2064516129032299"/>
    <n v="3.3966629390680998"/>
    <n v="0.80748888888888903"/>
    <n v="0.99"/>
    <m/>
    <m/>
    <m/>
    <m/>
    <m/>
    <n v="0"/>
    <m/>
    <n v="0"/>
    <n v="0"/>
    <n v="0"/>
    <n v="0"/>
    <n v="0"/>
    <m/>
    <m/>
    <m/>
    <m/>
    <m/>
    <m/>
    <m/>
    <m/>
    <m/>
    <m/>
    <n v="0"/>
    <n v="0"/>
    <m/>
    <m/>
    <m/>
    <m/>
    <m/>
    <m/>
    <m/>
    <m/>
    <m/>
    <m/>
    <m/>
    <m/>
    <n v="0"/>
    <m/>
    <m/>
    <m/>
    <m/>
    <m/>
    <m/>
    <m/>
    <m/>
    <m/>
    <n v="71500"/>
    <n v="56992"/>
    <m/>
    <m/>
    <m/>
  </r>
  <r>
    <x v="1509"/>
    <n v="249932.632258064"/>
    <n v="4.2064516129032299"/>
    <n v="3.3966162007168501"/>
    <n v="0.80747777777777796"/>
    <n v="0.99"/>
    <m/>
    <m/>
    <m/>
    <m/>
    <m/>
    <n v="0"/>
    <m/>
    <n v="0"/>
    <n v="0"/>
    <n v="0"/>
    <n v="0"/>
    <n v="0"/>
    <m/>
    <m/>
    <m/>
    <m/>
    <m/>
    <m/>
    <m/>
    <m/>
    <m/>
    <m/>
    <n v="0"/>
    <n v="0"/>
    <m/>
    <m/>
    <m/>
    <m/>
    <m/>
    <m/>
    <m/>
    <m/>
    <m/>
    <m/>
    <m/>
    <m/>
    <n v="0"/>
    <m/>
    <m/>
    <m/>
    <m/>
    <m/>
    <m/>
    <m/>
    <m/>
    <m/>
    <n v="71500"/>
    <n v="56992"/>
    <m/>
    <m/>
    <m/>
  </r>
  <r>
    <x v="1510"/>
    <n v="249932.632258064"/>
    <n v="4.2064516129032299"/>
    <n v="3.3965694623655902"/>
    <n v="0.807466666666667"/>
    <n v="0.99"/>
    <m/>
    <m/>
    <m/>
    <m/>
    <m/>
    <n v="0"/>
    <m/>
    <n v="0"/>
    <n v="0"/>
    <n v="0"/>
    <n v="0"/>
    <n v="0"/>
    <m/>
    <m/>
    <m/>
    <m/>
    <m/>
    <m/>
    <m/>
    <m/>
    <m/>
    <m/>
    <n v="0"/>
    <n v="0"/>
    <m/>
    <m/>
    <m/>
    <m/>
    <m/>
    <m/>
    <m/>
    <m/>
    <m/>
    <m/>
    <m/>
    <m/>
    <n v="0"/>
    <m/>
    <m/>
    <m/>
    <m/>
    <m/>
    <m/>
    <m/>
    <m/>
    <m/>
    <n v="71500"/>
    <n v="56992"/>
    <m/>
    <m/>
    <m/>
  </r>
  <r>
    <x v="1511"/>
    <n v="249932.632258064"/>
    <n v="4.2064516129032299"/>
    <n v="3.3965227240143401"/>
    <n v="0.80745555555555604"/>
    <n v="0.99"/>
    <m/>
    <m/>
    <m/>
    <m/>
    <m/>
    <n v="0"/>
    <m/>
    <n v="0"/>
    <n v="0"/>
    <n v="0"/>
    <n v="0"/>
    <n v="0"/>
    <m/>
    <m/>
    <m/>
    <m/>
    <m/>
    <m/>
    <m/>
    <m/>
    <m/>
    <m/>
    <n v="0"/>
    <n v="0"/>
    <m/>
    <m/>
    <m/>
    <m/>
    <m/>
    <m/>
    <m/>
    <m/>
    <m/>
    <m/>
    <m/>
    <m/>
    <n v="0"/>
    <m/>
    <m/>
    <m/>
    <m/>
    <m/>
    <m/>
    <m/>
    <m/>
    <m/>
    <n v="71500"/>
    <n v="56992"/>
    <m/>
    <m/>
    <m/>
  </r>
  <r>
    <x v="1512"/>
    <n v="249932.632258064"/>
    <n v="4.2064516129032299"/>
    <n v="3.3964759856630802"/>
    <n v="0.80744444444444397"/>
    <n v="0.99"/>
    <m/>
    <m/>
    <m/>
    <m/>
    <m/>
    <n v="0"/>
    <m/>
    <n v="0"/>
    <n v="0"/>
    <n v="0"/>
    <n v="0"/>
    <n v="0"/>
    <m/>
    <m/>
    <m/>
    <m/>
    <m/>
    <m/>
    <m/>
    <m/>
    <m/>
    <m/>
    <n v="0"/>
    <n v="0"/>
    <m/>
    <m/>
    <m/>
    <m/>
    <m/>
    <m/>
    <m/>
    <m/>
    <m/>
    <m/>
    <m/>
    <m/>
    <n v="0"/>
    <m/>
    <m/>
    <m/>
    <m/>
    <m/>
    <m/>
    <m/>
    <m/>
    <m/>
    <n v="71500"/>
    <n v="56992"/>
    <m/>
    <m/>
    <m/>
  </r>
  <r>
    <x v="1513"/>
    <n v="249932.632258064"/>
    <n v="4.2064516129032299"/>
    <n v="3.39642924731183"/>
    <n v="0.807433333333333"/>
    <n v="0.99"/>
    <m/>
    <m/>
    <m/>
    <m/>
    <m/>
    <n v="0"/>
    <m/>
    <n v="0"/>
    <n v="0"/>
    <n v="0"/>
    <n v="0"/>
    <n v="0"/>
    <m/>
    <m/>
    <m/>
    <m/>
    <m/>
    <m/>
    <m/>
    <m/>
    <m/>
    <m/>
    <n v="0"/>
    <n v="0"/>
    <m/>
    <m/>
    <m/>
    <m/>
    <m/>
    <m/>
    <m/>
    <m/>
    <m/>
    <m/>
    <m/>
    <m/>
    <n v="0"/>
    <m/>
    <m/>
    <m/>
    <m/>
    <m/>
    <m/>
    <m/>
    <m/>
    <m/>
    <n v="71500"/>
    <n v="56992"/>
    <m/>
    <m/>
    <m/>
  </r>
  <r>
    <x v="1514"/>
    <n v="249932.632258064"/>
    <n v="4.2064516129032299"/>
    <n v="3.3963825089605701"/>
    <n v="0.80742222222222204"/>
    <n v="0.99"/>
    <m/>
    <m/>
    <m/>
    <m/>
    <m/>
    <n v="0"/>
    <m/>
    <n v="0"/>
    <n v="0"/>
    <n v="0"/>
    <n v="0"/>
    <n v="0"/>
    <m/>
    <m/>
    <m/>
    <m/>
    <m/>
    <m/>
    <m/>
    <m/>
    <m/>
    <m/>
    <n v="0"/>
    <n v="0"/>
    <m/>
    <m/>
    <m/>
    <m/>
    <m/>
    <m/>
    <m/>
    <m/>
    <m/>
    <m/>
    <m/>
    <m/>
    <n v="0"/>
    <m/>
    <m/>
    <m/>
    <m/>
    <m/>
    <m/>
    <m/>
    <m/>
    <m/>
    <n v="71500"/>
    <n v="56992"/>
    <m/>
    <m/>
    <m/>
  </r>
  <r>
    <x v="1515"/>
    <n v="249932.632258064"/>
    <n v="4.2064516129032299"/>
    <n v="3.39633577060932"/>
    <n v="0.80741111111111097"/>
    <n v="0.99"/>
    <m/>
    <m/>
    <m/>
    <m/>
    <m/>
    <n v="0"/>
    <m/>
    <n v="0"/>
    <n v="0"/>
    <n v="0"/>
    <n v="0"/>
    <n v="0"/>
    <m/>
    <m/>
    <m/>
    <m/>
    <m/>
    <m/>
    <m/>
    <m/>
    <m/>
    <m/>
    <n v="0"/>
    <n v="0"/>
    <m/>
    <m/>
    <m/>
    <m/>
    <m/>
    <m/>
    <m/>
    <m/>
    <m/>
    <m/>
    <m/>
    <m/>
    <n v="0"/>
    <m/>
    <m/>
    <m/>
    <m/>
    <m/>
    <m/>
    <m/>
    <m/>
    <m/>
    <n v="71500"/>
    <n v="56992"/>
    <m/>
    <m/>
    <m/>
  </r>
  <r>
    <x v="1516"/>
    <n v="249932.632258064"/>
    <n v="4.2064516129032299"/>
    <n v="3.3962890322580601"/>
    <n v="0.80740000000000001"/>
    <n v="0.99"/>
    <m/>
    <m/>
    <m/>
    <m/>
    <m/>
    <n v="0"/>
    <m/>
    <n v="0"/>
    <n v="0"/>
    <n v="0"/>
    <n v="0"/>
    <n v="0"/>
    <m/>
    <m/>
    <m/>
    <m/>
    <m/>
    <m/>
    <m/>
    <m/>
    <m/>
    <m/>
    <n v="0"/>
    <n v="0"/>
    <m/>
    <m/>
    <m/>
    <m/>
    <m/>
    <m/>
    <m/>
    <m/>
    <m/>
    <m/>
    <m/>
    <m/>
    <n v="0"/>
    <m/>
    <m/>
    <m/>
    <m/>
    <m/>
    <m/>
    <m/>
    <m/>
    <m/>
    <n v="71500"/>
    <n v="56992"/>
    <m/>
    <m/>
    <m/>
  </r>
  <r>
    <x v="1517"/>
    <n v="249932.632258064"/>
    <n v="4.2064516129032299"/>
    <n v="3.39624229390681"/>
    <n v="0.80738888888888904"/>
    <n v="0.99"/>
    <m/>
    <m/>
    <m/>
    <m/>
    <m/>
    <n v="0"/>
    <m/>
    <n v="0"/>
    <n v="0"/>
    <n v="0"/>
    <n v="0"/>
    <n v="0"/>
    <m/>
    <m/>
    <m/>
    <m/>
    <m/>
    <m/>
    <m/>
    <m/>
    <m/>
    <m/>
    <n v="0"/>
    <n v="0"/>
    <m/>
    <m/>
    <m/>
    <m/>
    <m/>
    <m/>
    <m/>
    <m/>
    <m/>
    <m/>
    <m/>
    <m/>
    <n v="0"/>
    <m/>
    <m/>
    <m/>
    <m/>
    <m/>
    <m/>
    <m/>
    <m/>
    <m/>
    <n v="71500"/>
    <n v="56992"/>
    <m/>
    <m/>
    <m/>
  </r>
  <r>
    <x v="1518"/>
    <n v="249932.632258064"/>
    <n v="4.2064516129032299"/>
    <n v="3.3961955555555599"/>
    <n v="0.80737777777777797"/>
    <n v="0.99"/>
    <m/>
    <m/>
    <m/>
    <m/>
    <m/>
    <n v="0"/>
    <m/>
    <n v="0"/>
    <n v="0"/>
    <n v="0"/>
    <n v="0"/>
    <n v="0"/>
    <m/>
    <m/>
    <m/>
    <m/>
    <m/>
    <m/>
    <m/>
    <m/>
    <m/>
    <m/>
    <n v="0"/>
    <n v="0"/>
    <m/>
    <m/>
    <m/>
    <m/>
    <m/>
    <m/>
    <m/>
    <m/>
    <m/>
    <m/>
    <m/>
    <m/>
    <n v="0"/>
    <m/>
    <m/>
    <m/>
    <m/>
    <m/>
    <m/>
    <m/>
    <m/>
    <m/>
    <n v="71500"/>
    <n v="56992"/>
    <m/>
    <m/>
    <m/>
  </r>
  <r>
    <x v="1519"/>
    <n v="249932.632258064"/>
    <n v="4.2064516129032299"/>
    <n v="3.3961488172043"/>
    <n v="0.80736666666666701"/>
    <n v="0.99"/>
    <m/>
    <m/>
    <m/>
    <m/>
    <m/>
    <n v="0"/>
    <m/>
    <n v="0"/>
    <n v="0"/>
    <n v="0"/>
    <n v="0"/>
    <n v="0"/>
    <m/>
    <m/>
    <m/>
    <m/>
    <m/>
    <m/>
    <m/>
    <m/>
    <m/>
    <m/>
    <n v="0"/>
    <n v="0"/>
    <m/>
    <m/>
    <m/>
    <m/>
    <m/>
    <m/>
    <m/>
    <m/>
    <m/>
    <m/>
    <m/>
    <m/>
    <n v="0"/>
    <m/>
    <m/>
    <m/>
    <m/>
    <m/>
    <m/>
    <m/>
    <m/>
    <m/>
    <n v="71500"/>
    <n v="56992"/>
    <m/>
    <m/>
    <m/>
  </r>
  <r>
    <x v="1520"/>
    <n v="249932.632258064"/>
    <n v="4.2064516129032299"/>
    <n v="3.3961020788530498"/>
    <n v="0.80735555555555505"/>
    <n v="0.99"/>
    <m/>
    <m/>
    <m/>
    <m/>
    <m/>
    <n v="0"/>
    <m/>
    <n v="0"/>
    <n v="0"/>
    <n v="0"/>
    <n v="0"/>
    <n v="0"/>
    <m/>
    <m/>
    <m/>
    <m/>
    <m/>
    <m/>
    <m/>
    <m/>
    <m/>
    <m/>
    <n v="0"/>
    <n v="0"/>
    <m/>
    <m/>
    <m/>
    <m/>
    <m/>
    <m/>
    <m/>
    <m/>
    <m/>
    <m/>
    <m/>
    <m/>
    <n v="0"/>
    <m/>
    <m/>
    <m/>
    <m/>
    <m/>
    <m/>
    <m/>
    <m/>
    <m/>
    <n v="71500"/>
    <n v="56992"/>
    <m/>
    <m/>
    <m/>
  </r>
  <r>
    <x v="1521"/>
    <n v="249932.632258064"/>
    <n v="4.2064516129032299"/>
    <n v="3.3960553405017899"/>
    <n v="0.80734444444444398"/>
    <n v="0.99"/>
    <m/>
    <m/>
    <m/>
    <m/>
    <m/>
    <n v="0"/>
    <m/>
    <n v="0"/>
    <n v="0"/>
    <n v="0"/>
    <n v="0"/>
    <n v="0"/>
    <m/>
    <m/>
    <m/>
    <m/>
    <m/>
    <m/>
    <m/>
    <m/>
    <m/>
    <m/>
    <n v="0"/>
    <n v="0"/>
    <m/>
    <m/>
    <m/>
    <m/>
    <m/>
    <m/>
    <m/>
    <m/>
    <m/>
    <m/>
    <m/>
    <m/>
    <n v="0"/>
    <m/>
    <m/>
    <m/>
    <m/>
    <m/>
    <m/>
    <m/>
    <m/>
    <m/>
    <n v="71500"/>
    <n v="56992"/>
    <m/>
    <m/>
    <m/>
  </r>
  <r>
    <x v="1522"/>
    <n v="249932.632258064"/>
    <n v="4.2064516129032299"/>
    <n v="3.3960086021505398"/>
    <n v="0.80733333333333301"/>
    <n v="0.99"/>
    <m/>
    <m/>
    <m/>
    <m/>
    <m/>
    <n v="0"/>
    <m/>
    <n v="0"/>
    <n v="0"/>
    <n v="0"/>
    <n v="0"/>
    <n v="0"/>
    <m/>
    <m/>
    <m/>
    <m/>
    <m/>
    <m/>
    <m/>
    <m/>
    <m/>
    <m/>
    <n v="0"/>
    <n v="0"/>
    <m/>
    <m/>
    <m/>
    <m/>
    <m/>
    <m/>
    <m/>
    <m/>
    <m/>
    <m/>
    <m/>
    <m/>
    <n v="0"/>
    <m/>
    <m/>
    <m/>
    <m/>
    <m/>
    <m/>
    <m/>
    <m/>
    <m/>
    <n v="71500"/>
    <n v="56992"/>
    <m/>
    <m/>
    <m/>
  </r>
  <r>
    <x v="1523"/>
    <n v="266565.27857142902"/>
    <n v="4.5857142857142899"/>
    <n v="3.7021999999999999"/>
    <n v="0.80733333333333301"/>
    <n v="0.99"/>
    <m/>
    <m/>
    <m/>
    <m/>
    <m/>
    <n v="0"/>
    <m/>
    <n v="0"/>
    <n v="0"/>
    <n v="0"/>
    <n v="0"/>
    <n v="0"/>
    <m/>
    <m/>
    <m/>
    <m/>
    <m/>
    <m/>
    <m/>
    <m/>
    <m/>
    <m/>
    <n v="0"/>
    <n v="0"/>
    <m/>
    <m/>
    <m/>
    <m/>
    <m/>
    <m/>
    <m/>
    <m/>
    <m/>
    <m/>
    <m/>
    <m/>
    <n v="0"/>
    <m/>
    <m/>
    <m/>
    <m/>
    <m/>
    <m/>
    <m/>
    <m/>
    <m/>
    <n v="71500"/>
    <n v="56992"/>
    <m/>
    <m/>
    <m/>
  </r>
  <r>
    <x v="1524"/>
    <n v="266565.27857142902"/>
    <n v="4.5857142857142899"/>
    <n v="3.7021490476190499"/>
    <n v="0.80732222222222205"/>
    <n v="0.99"/>
    <m/>
    <m/>
    <m/>
    <m/>
    <m/>
    <n v="0"/>
    <m/>
    <n v="0"/>
    <n v="0"/>
    <n v="0"/>
    <n v="0"/>
    <n v="0"/>
    <m/>
    <m/>
    <m/>
    <m/>
    <m/>
    <m/>
    <m/>
    <m/>
    <m/>
    <m/>
    <n v="0"/>
    <n v="0"/>
    <m/>
    <m/>
    <m/>
    <m/>
    <m/>
    <m/>
    <m/>
    <m/>
    <m/>
    <m/>
    <m/>
    <m/>
    <n v="0"/>
    <m/>
    <m/>
    <m/>
    <m/>
    <m/>
    <m/>
    <m/>
    <m/>
    <m/>
    <n v="71500"/>
    <n v="56992"/>
    <m/>
    <m/>
    <m/>
  </r>
  <r>
    <x v="1525"/>
    <n v="266565.27857142902"/>
    <n v="4.5857142857142899"/>
    <n v="3.7020980952381"/>
    <n v="0.80731111111111098"/>
    <n v="0.99"/>
    <m/>
    <m/>
    <m/>
    <m/>
    <m/>
    <n v="0"/>
    <m/>
    <n v="0"/>
    <n v="0"/>
    <n v="0"/>
    <n v="0"/>
    <n v="0"/>
    <m/>
    <m/>
    <m/>
    <m/>
    <m/>
    <m/>
    <m/>
    <m/>
    <m/>
    <m/>
    <n v="0"/>
    <n v="0"/>
    <m/>
    <m/>
    <m/>
    <m/>
    <m/>
    <m/>
    <m/>
    <m/>
    <m/>
    <m/>
    <m/>
    <m/>
    <n v="0"/>
    <m/>
    <m/>
    <m/>
    <m/>
    <m/>
    <m/>
    <m/>
    <m/>
    <m/>
    <n v="71500"/>
    <n v="56992"/>
    <m/>
    <m/>
    <m/>
  </r>
  <r>
    <x v="1526"/>
    <n v="266565.27857142902"/>
    <n v="4.5857142857142899"/>
    <n v="3.7020471428571402"/>
    <n v="0.80730000000000002"/>
    <n v="0.99"/>
    <m/>
    <m/>
    <m/>
    <m/>
    <m/>
    <n v="0"/>
    <m/>
    <n v="0"/>
    <n v="0"/>
    <n v="0"/>
    <n v="0"/>
    <n v="0"/>
    <m/>
    <m/>
    <m/>
    <m/>
    <m/>
    <m/>
    <m/>
    <m/>
    <m/>
    <m/>
    <n v="0"/>
    <n v="0"/>
    <m/>
    <m/>
    <m/>
    <m/>
    <m/>
    <m/>
    <m/>
    <m/>
    <m/>
    <m/>
    <m/>
    <m/>
    <n v="0"/>
    <m/>
    <m/>
    <m/>
    <m/>
    <m/>
    <m/>
    <m/>
    <m/>
    <m/>
    <n v="71500"/>
    <n v="56992"/>
    <m/>
    <m/>
    <m/>
  </r>
  <r>
    <x v="1527"/>
    <n v="266565.27857142902"/>
    <n v="4.5857142857142899"/>
    <n v="3.7019961904761902"/>
    <n v="0.80728888888888894"/>
    <n v="0.99"/>
    <m/>
    <m/>
    <m/>
    <m/>
    <m/>
    <n v="0"/>
    <m/>
    <n v="0"/>
    <n v="0"/>
    <n v="0"/>
    <n v="0"/>
    <n v="0"/>
    <m/>
    <m/>
    <m/>
    <m/>
    <m/>
    <m/>
    <m/>
    <m/>
    <m/>
    <m/>
    <n v="0"/>
    <n v="0"/>
    <m/>
    <m/>
    <m/>
    <m/>
    <m/>
    <m/>
    <m/>
    <m/>
    <m/>
    <m/>
    <m/>
    <m/>
    <n v="0"/>
    <m/>
    <m/>
    <m/>
    <m/>
    <m/>
    <m/>
    <m/>
    <m/>
    <m/>
    <n v="71500"/>
    <n v="56992"/>
    <m/>
    <m/>
    <m/>
  </r>
  <r>
    <x v="1528"/>
    <n v="266565.27857142902"/>
    <n v="4.5857142857142899"/>
    <n v="3.7019452380952398"/>
    <n v="0.80727777777777798"/>
    <n v="0.99"/>
    <m/>
    <m/>
    <m/>
    <m/>
    <m/>
    <n v="0"/>
    <m/>
    <n v="0"/>
    <n v="0"/>
    <n v="0"/>
    <n v="0"/>
    <n v="0"/>
    <m/>
    <m/>
    <m/>
    <m/>
    <m/>
    <m/>
    <m/>
    <m/>
    <m/>
    <m/>
    <n v="0"/>
    <n v="0"/>
    <m/>
    <m/>
    <m/>
    <m/>
    <m/>
    <m/>
    <m/>
    <m/>
    <m/>
    <m/>
    <m/>
    <m/>
    <n v="0"/>
    <m/>
    <m/>
    <m/>
    <m/>
    <m/>
    <m/>
    <m/>
    <m/>
    <m/>
    <n v="71500"/>
    <n v="56992"/>
    <m/>
    <m/>
    <m/>
  </r>
  <r>
    <x v="1529"/>
    <n v="266565.27857142902"/>
    <n v="4.5857142857142899"/>
    <n v="3.7018942857142898"/>
    <n v="0.80726666666666702"/>
    <n v="0.99"/>
    <m/>
    <m/>
    <m/>
    <m/>
    <m/>
    <n v="0"/>
    <m/>
    <n v="0"/>
    <n v="0"/>
    <n v="0"/>
    <n v="0"/>
    <n v="0"/>
    <m/>
    <m/>
    <m/>
    <m/>
    <m/>
    <m/>
    <m/>
    <m/>
    <m/>
    <m/>
    <n v="0"/>
    <n v="0"/>
    <m/>
    <m/>
    <m/>
    <m/>
    <m/>
    <m/>
    <m/>
    <m/>
    <m/>
    <m/>
    <m/>
    <m/>
    <n v="0"/>
    <m/>
    <m/>
    <m/>
    <m/>
    <m/>
    <m/>
    <m/>
    <m/>
    <m/>
    <n v="71500"/>
    <n v="56992"/>
    <m/>
    <m/>
    <m/>
  </r>
  <r>
    <x v="1530"/>
    <n v="266565.27857142902"/>
    <n v="4.5857142857142899"/>
    <n v="3.70184333333333"/>
    <n v="0.80725555555555595"/>
    <n v="0.99"/>
    <m/>
    <m/>
    <m/>
    <m/>
    <m/>
    <n v="0"/>
    <m/>
    <n v="0"/>
    <n v="0"/>
    <n v="0"/>
    <n v="0"/>
    <n v="0"/>
    <m/>
    <m/>
    <m/>
    <m/>
    <m/>
    <m/>
    <m/>
    <m/>
    <m/>
    <m/>
    <n v="0"/>
    <n v="0"/>
    <m/>
    <m/>
    <m/>
    <m/>
    <m/>
    <m/>
    <m/>
    <m/>
    <m/>
    <m/>
    <m/>
    <m/>
    <n v="0"/>
    <m/>
    <m/>
    <m/>
    <m/>
    <m/>
    <m/>
    <m/>
    <m/>
    <m/>
    <n v="71500"/>
    <n v="56992"/>
    <m/>
    <m/>
    <m/>
  </r>
  <r>
    <x v="1531"/>
    <n v="266565.27857142902"/>
    <n v="4.5857142857142899"/>
    <n v="3.7017923809523801"/>
    <n v="0.80724444444444399"/>
    <n v="0.99"/>
    <m/>
    <m/>
    <m/>
    <m/>
    <m/>
    <n v="0"/>
    <m/>
    <n v="0"/>
    <n v="0"/>
    <n v="0"/>
    <n v="0"/>
    <n v="0"/>
    <m/>
    <m/>
    <m/>
    <m/>
    <m/>
    <m/>
    <m/>
    <m/>
    <m/>
    <m/>
    <n v="0"/>
    <n v="0"/>
    <m/>
    <m/>
    <m/>
    <m/>
    <m/>
    <m/>
    <m/>
    <m/>
    <m/>
    <m/>
    <m/>
    <m/>
    <n v="0"/>
    <m/>
    <m/>
    <m/>
    <m/>
    <m/>
    <m/>
    <m/>
    <m/>
    <m/>
    <n v="71500"/>
    <n v="56992"/>
    <m/>
    <m/>
    <m/>
  </r>
  <r>
    <x v="1532"/>
    <n v="266565.27857142902"/>
    <n v="4.5857142857142899"/>
    <n v="3.7017414285714301"/>
    <n v="0.80723333333333303"/>
    <n v="0.99"/>
    <m/>
    <m/>
    <m/>
    <m/>
    <m/>
    <n v="0"/>
    <m/>
    <n v="0"/>
    <n v="0"/>
    <n v="0"/>
    <n v="0"/>
    <n v="0"/>
    <m/>
    <m/>
    <m/>
    <m/>
    <m/>
    <m/>
    <m/>
    <m/>
    <m/>
    <m/>
    <n v="0"/>
    <n v="0"/>
    <m/>
    <m/>
    <m/>
    <m/>
    <m/>
    <m/>
    <m/>
    <m/>
    <m/>
    <m/>
    <m/>
    <m/>
    <n v="0"/>
    <m/>
    <m/>
    <m/>
    <m/>
    <m/>
    <m/>
    <m/>
    <m/>
    <m/>
    <n v="71500"/>
    <n v="56992"/>
    <m/>
    <m/>
    <m/>
  </r>
  <r>
    <x v="1533"/>
    <n v="266565.27857142902"/>
    <n v="4.5857142857142899"/>
    <n v="3.7016904761904801"/>
    <n v="0.80722222222222195"/>
    <n v="0.99"/>
    <m/>
    <m/>
    <m/>
    <m/>
    <m/>
    <n v="0"/>
    <m/>
    <n v="0"/>
    <n v="0"/>
    <n v="0"/>
    <n v="0"/>
    <n v="0"/>
    <m/>
    <m/>
    <m/>
    <m/>
    <m/>
    <m/>
    <m/>
    <m/>
    <m/>
    <m/>
    <n v="0"/>
    <n v="0"/>
    <m/>
    <m/>
    <m/>
    <m/>
    <m/>
    <m/>
    <m/>
    <m/>
    <m/>
    <m/>
    <m/>
    <m/>
    <n v="0"/>
    <m/>
    <m/>
    <m/>
    <m/>
    <m/>
    <m/>
    <m/>
    <m/>
    <m/>
    <n v="71500"/>
    <n v="56992"/>
    <m/>
    <m/>
    <m/>
  </r>
  <r>
    <x v="1534"/>
    <n v="266565.27857142902"/>
    <n v="4.5857142857142899"/>
    <n v="3.7016395238095199"/>
    <n v="0.80721111111111099"/>
    <n v="0.99"/>
    <m/>
    <m/>
    <m/>
    <m/>
    <m/>
    <n v="0"/>
    <m/>
    <n v="0"/>
    <n v="0"/>
    <n v="0"/>
    <n v="0"/>
    <n v="0"/>
    <m/>
    <m/>
    <m/>
    <m/>
    <m/>
    <m/>
    <m/>
    <m/>
    <m/>
    <m/>
    <n v="0"/>
    <n v="0"/>
    <m/>
    <m/>
    <m/>
    <m/>
    <m/>
    <m/>
    <m/>
    <m/>
    <m/>
    <m/>
    <m/>
    <m/>
    <n v="0"/>
    <m/>
    <m/>
    <m/>
    <m/>
    <m/>
    <m/>
    <m/>
    <m/>
    <m/>
    <n v="71500"/>
    <n v="56992"/>
    <m/>
    <m/>
    <m/>
  </r>
  <r>
    <x v="1535"/>
    <n v="266565.27857142902"/>
    <n v="4.5857142857142899"/>
    <n v="3.7015885714285699"/>
    <n v="0.80720000000000003"/>
    <n v="0.99"/>
    <m/>
    <m/>
    <m/>
    <m/>
    <m/>
    <n v="0"/>
    <m/>
    <n v="0"/>
    <n v="0"/>
    <n v="0"/>
    <n v="0"/>
    <n v="0"/>
    <m/>
    <m/>
    <m/>
    <m/>
    <m/>
    <m/>
    <m/>
    <m/>
    <m/>
    <m/>
    <n v="0"/>
    <n v="0"/>
    <m/>
    <m/>
    <m/>
    <m/>
    <m/>
    <m/>
    <m/>
    <m/>
    <m/>
    <m/>
    <m/>
    <m/>
    <n v="0"/>
    <m/>
    <m/>
    <m/>
    <m/>
    <m/>
    <m/>
    <m/>
    <m/>
    <m/>
    <n v="71500"/>
    <n v="56992"/>
    <m/>
    <m/>
    <m/>
  </r>
  <r>
    <x v="1536"/>
    <n v="266565.27857142902"/>
    <n v="4.5857142857142899"/>
    <n v="3.7015376190476199"/>
    <n v="0.80718888888888896"/>
    <n v="0.99"/>
    <m/>
    <m/>
    <m/>
    <m/>
    <m/>
    <n v="0"/>
    <m/>
    <n v="0"/>
    <n v="0"/>
    <n v="0"/>
    <n v="0"/>
    <n v="0"/>
    <m/>
    <m/>
    <m/>
    <m/>
    <m/>
    <m/>
    <m/>
    <m/>
    <m/>
    <m/>
    <n v="0"/>
    <n v="0"/>
    <m/>
    <m/>
    <m/>
    <m/>
    <m/>
    <m/>
    <m/>
    <m/>
    <m/>
    <m/>
    <m/>
    <m/>
    <n v="0"/>
    <m/>
    <m/>
    <m/>
    <m/>
    <m/>
    <m/>
    <m/>
    <m/>
    <m/>
    <n v="71500"/>
    <n v="56992"/>
    <m/>
    <m/>
    <m/>
  </r>
  <r>
    <x v="1537"/>
    <n v="266565.27857142902"/>
    <n v="4.5857142857142899"/>
    <n v="3.7014866666666699"/>
    <n v="0.80717777777777799"/>
    <n v="0.99"/>
    <m/>
    <m/>
    <m/>
    <m/>
    <m/>
    <n v="0"/>
    <m/>
    <n v="0"/>
    <n v="0"/>
    <n v="0"/>
    <n v="0"/>
    <n v="0"/>
    <m/>
    <m/>
    <m/>
    <m/>
    <m/>
    <m/>
    <m/>
    <m/>
    <m/>
    <m/>
    <n v="0"/>
    <n v="0"/>
    <m/>
    <m/>
    <m/>
    <m/>
    <m/>
    <m/>
    <m/>
    <m/>
    <m/>
    <m/>
    <m/>
    <m/>
    <n v="0"/>
    <m/>
    <m/>
    <m/>
    <m/>
    <m/>
    <m/>
    <m/>
    <m/>
    <m/>
    <n v="71500"/>
    <n v="56992"/>
    <m/>
    <m/>
    <m/>
  </r>
  <r>
    <x v="1538"/>
    <n v="266565.27857142902"/>
    <n v="4.5857142857142899"/>
    <n v="3.7014357142857199"/>
    <n v="0.80716666666666703"/>
    <n v="0.99"/>
    <m/>
    <m/>
    <m/>
    <m/>
    <m/>
    <n v="0"/>
    <m/>
    <n v="0"/>
    <n v="0"/>
    <n v="0"/>
    <n v="0"/>
    <n v="0"/>
    <m/>
    <m/>
    <m/>
    <m/>
    <m/>
    <m/>
    <m/>
    <m/>
    <m/>
    <m/>
    <n v="0"/>
    <n v="0"/>
    <m/>
    <m/>
    <m/>
    <m/>
    <m/>
    <m/>
    <m/>
    <m/>
    <m/>
    <m/>
    <m/>
    <m/>
    <n v="0"/>
    <m/>
    <m/>
    <m/>
    <m/>
    <m/>
    <m/>
    <m/>
    <m/>
    <m/>
    <n v="71500"/>
    <n v="56992"/>
    <m/>
    <m/>
    <m/>
  </r>
  <r>
    <x v="1539"/>
    <n v="266565.27857142902"/>
    <n v="4.5857142857142899"/>
    <n v="3.7013847619047602"/>
    <n v="0.80715555555555596"/>
    <n v="0.99"/>
    <m/>
    <m/>
    <m/>
    <m/>
    <m/>
    <n v="0"/>
    <m/>
    <n v="0"/>
    <n v="0"/>
    <n v="0"/>
    <n v="0"/>
    <n v="0"/>
    <m/>
    <m/>
    <m/>
    <m/>
    <m/>
    <m/>
    <m/>
    <m/>
    <m/>
    <m/>
    <n v="0"/>
    <n v="0"/>
    <m/>
    <m/>
    <m/>
    <m/>
    <m/>
    <m/>
    <m/>
    <m/>
    <m/>
    <m/>
    <m/>
    <m/>
    <n v="0"/>
    <m/>
    <m/>
    <m/>
    <m/>
    <m/>
    <m/>
    <m/>
    <m/>
    <m/>
    <n v="71500"/>
    <n v="56992"/>
    <m/>
    <m/>
    <m/>
  </r>
  <r>
    <x v="1540"/>
    <n v="266565.27857142902"/>
    <n v="4.5857142857142899"/>
    <n v="3.7013338095238102"/>
    <n v="0.807144444444444"/>
    <n v="0.99"/>
    <m/>
    <m/>
    <m/>
    <m/>
    <m/>
    <n v="0"/>
    <m/>
    <n v="0"/>
    <n v="0"/>
    <n v="0"/>
    <n v="0"/>
    <n v="0"/>
    <m/>
    <m/>
    <m/>
    <m/>
    <m/>
    <m/>
    <m/>
    <m/>
    <m/>
    <m/>
    <n v="0"/>
    <n v="0"/>
    <m/>
    <m/>
    <m/>
    <m/>
    <m/>
    <m/>
    <m/>
    <m/>
    <m/>
    <m/>
    <m/>
    <m/>
    <n v="0"/>
    <m/>
    <m/>
    <m/>
    <m/>
    <m/>
    <m/>
    <m/>
    <m/>
    <m/>
    <n v="71500"/>
    <n v="56992"/>
    <m/>
    <m/>
    <m/>
  </r>
  <r>
    <x v="1541"/>
    <n v="266565.27857142902"/>
    <n v="4.5857142857142899"/>
    <n v="3.7012828571428602"/>
    <n v="0.80713333333333304"/>
    <n v="0.99"/>
    <m/>
    <m/>
    <m/>
    <m/>
    <m/>
    <n v="0"/>
    <m/>
    <n v="0"/>
    <n v="0"/>
    <n v="0"/>
    <n v="0"/>
    <n v="0"/>
    <m/>
    <m/>
    <m/>
    <m/>
    <m/>
    <m/>
    <m/>
    <m/>
    <m/>
    <m/>
    <n v="0"/>
    <n v="0"/>
    <m/>
    <m/>
    <m/>
    <m/>
    <m/>
    <m/>
    <m/>
    <m/>
    <m/>
    <m/>
    <m/>
    <m/>
    <n v="0"/>
    <m/>
    <m/>
    <m/>
    <m/>
    <m/>
    <m/>
    <m/>
    <m/>
    <m/>
    <n v="71500"/>
    <n v="56992"/>
    <m/>
    <m/>
    <m/>
  </r>
  <r>
    <x v="1542"/>
    <n v="266565.27857142902"/>
    <n v="4.5857142857142899"/>
    <n v="3.7012319047619"/>
    <n v="0.80712222222222196"/>
    <n v="0.99"/>
    <m/>
    <m/>
    <m/>
    <m/>
    <m/>
    <n v="0"/>
    <m/>
    <n v="0"/>
    <n v="0"/>
    <n v="0"/>
    <n v="0"/>
    <n v="0"/>
    <m/>
    <m/>
    <m/>
    <m/>
    <m/>
    <m/>
    <m/>
    <m/>
    <m/>
    <m/>
    <n v="0"/>
    <n v="0"/>
    <m/>
    <m/>
    <m/>
    <m/>
    <m/>
    <m/>
    <m/>
    <m/>
    <m/>
    <m/>
    <m/>
    <m/>
    <n v="0"/>
    <m/>
    <m/>
    <m/>
    <m/>
    <m/>
    <m/>
    <m/>
    <m/>
    <m/>
    <n v="71500"/>
    <n v="56992"/>
    <m/>
    <m/>
    <m/>
  </r>
  <r>
    <x v="1543"/>
    <n v="266565.27857142902"/>
    <n v="4.5857142857142899"/>
    <n v="3.70118095238095"/>
    <n v="0.807111111111111"/>
    <n v="0.99"/>
    <m/>
    <m/>
    <m/>
    <m/>
    <m/>
    <n v="0"/>
    <m/>
    <n v="0"/>
    <n v="0"/>
    <n v="0"/>
    <n v="0"/>
    <n v="0"/>
    <m/>
    <m/>
    <m/>
    <m/>
    <m/>
    <m/>
    <m/>
    <m/>
    <m/>
    <m/>
    <n v="0"/>
    <n v="0"/>
    <m/>
    <m/>
    <m/>
    <m/>
    <m/>
    <m/>
    <m/>
    <m/>
    <m/>
    <m/>
    <m/>
    <m/>
    <n v="0"/>
    <m/>
    <m/>
    <m/>
    <m/>
    <m/>
    <m/>
    <m/>
    <m/>
    <m/>
    <n v="71500"/>
    <n v="56992"/>
    <m/>
    <m/>
    <m/>
  </r>
  <r>
    <x v="1544"/>
    <n v="266565.27857142902"/>
    <n v="4.5857142857142899"/>
    <n v="3.70113"/>
    <n v="0.80710000000000004"/>
    <n v="0.99"/>
    <m/>
    <m/>
    <m/>
    <m/>
    <m/>
    <n v="0"/>
    <m/>
    <n v="0"/>
    <n v="0"/>
    <n v="0"/>
    <n v="0"/>
    <n v="0"/>
    <m/>
    <m/>
    <m/>
    <m/>
    <m/>
    <m/>
    <m/>
    <m/>
    <m/>
    <m/>
    <n v="0"/>
    <n v="0"/>
    <m/>
    <m/>
    <m/>
    <m/>
    <m/>
    <m/>
    <m/>
    <m/>
    <m/>
    <m/>
    <m/>
    <m/>
    <n v="0"/>
    <m/>
    <m/>
    <m/>
    <m/>
    <m/>
    <m/>
    <m/>
    <m/>
    <m/>
    <n v="71500"/>
    <n v="56992"/>
    <m/>
    <m/>
    <m/>
  </r>
  <r>
    <x v="1545"/>
    <n v="266565.27857142902"/>
    <n v="4.5857142857142899"/>
    <n v="3.70107904761905"/>
    <n v="0.80708888888888897"/>
    <n v="0.99"/>
    <m/>
    <m/>
    <m/>
    <m/>
    <m/>
    <n v="0"/>
    <m/>
    <n v="0"/>
    <n v="0"/>
    <n v="0"/>
    <n v="0"/>
    <n v="0"/>
    <m/>
    <m/>
    <m/>
    <m/>
    <m/>
    <m/>
    <m/>
    <m/>
    <m/>
    <m/>
    <n v="0"/>
    <n v="0"/>
    <m/>
    <m/>
    <m/>
    <m/>
    <m/>
    <m/>
    <m/>
    <m/>
    <m/>
    <m/>
    <m/>
    <m/>
    <n v="0"/>
    <m/>
    <m/>
    <m/>
    <m/>
    <m/>
    <m/>
    <m/>
    <m/>
    <m/>
    <n v="71500"/>
    <n v="56992"/>
    <m/>
    <m/>
    <m/>
  </r>
  <r>
    <x v="1546"/>
    <n v="266565.27857142902"/>
    <n v="4.5857142857142899"/>
    <n v="3.7010280952381001"/>
    <n v="0.807077777777778"/>
    <n v="0.99"/>
    <m/>
    <m/>
    <m/>
    <m/>
    <m/>
    <n v="0"/>
    <m/>
    <n v="0"/>
    <n v="0"/>
    <n v="0"/>
    <n v="0"/>
    <n v="0"/>
    <m/>
    <m/>
    <m/>
    <m/>
    <m/>
    <m/>
    <m/>
    <m/>
    <m/>
    <m/>
    <n v="0"/>
    <n v="0"/>
    <m/>
    <m/>
    <m/>
    <m/>
    <m/>
    <m/>
    <m/>
    <m/>
    <m/>
    <m/>
    <m/>
    <m/>
    <n v="0"/>
    <m/>
    <m/>
    <m/>
    <m/>
    <m/>
    <m/>
    <m/>
    <m/>
    <m/>
    <n v="71500"/>
    <n v="56992"/>
    <m/>
    <m/>
    <m/>
  </r>
  <r>
    <x v="1547"/>
    <n v="266565.27857142902"/>
    <n v="4.5857142857142899"/>
    <n v="3.7009771428571399"/>
    <n v="0.80706666666666704"/>
    <n v="0.99"/>
    <m/>
    <m/>
    <m/>
    <m/>
    <m/>
    <n v="0"/>
    <m/>
    <n v="0"/>
    <n v="0"/>
    <n v="0"/>
    <n v="0"/>
    <n v="0"/>
    <m/>
    <m/>
    <m/>
    <m/>
    <m/>
    <m/>
    <m/>
    <m/>
    <m/>
    <m/>
    <n v="0"/>
    <n v="0"/>
    <m/>
    <m/>
    <m/>
    <m/>
    <m/>
    <m/>
    <m/>
    <m/>
    <m/>
    <m/>
    <m/>
    <m/>
    <n v="0"/>
    <m/>
    <m/>
    <m/>
    <m/>
    <m/>
    <m/>
    <m/>
    <m/>
    <m/>
    <n v="71500"/>
    <n v="56992"/>
    <m/>
    <m/>
    <m/>
  </r>
  <r>
    <x v="1548"/>
    <n v="266565.27857142902"/>
    <n v="4.5857142857142899"/>
    <n v="3.7009261904761899"/>
    <n v="0.80705555555555597"/>
    <n v="0.99"/>
    <m/>
    <m/>
    <m/>
    <m/>
    <m/>
    <n v="0"/>
    <m/>
    <n v="0"/>
    <n v="0"/>
    <n v="0"/>
    <n v="0"/>
    <n v="0"/>
    <m/>
    <m/>
    <m/>
    <m/>
    <m/>
    <m/>
    <m/>
    <m/>
    <m/>
    <m/>
    <n v="0"/>
    <n v="0"/>
    <m/>
    <m/>
    <m/>
    <m/>
    <m/>
    <m/>
    <m/>
    <m/>
    <m/>
    <m/>
    <m/>
    <m/>
    <n v="0"/>
    <m/>
    <m/>
    <m/>
    <m/>
    <m/>
    <m/>
    <m/>
    <m/>
    <m/>
    <n v="71500"/>
    <n v="56992"/>
    <m/>
    <m/>
    <m/>
  </r>
  <r>
    <x v="1549"/>
    <n v="266565.27857142902"/>
    <n v="4.5857142857142899"/>
    <n v="3.7008752380952399"/>
    <n v="0.80704444444444401"/>
    <n v="0.99"/>
    <m/>
    <m/>
    <m/>
    <m/>
    <m/>
    <n v="0"/>
    <m/>
    <n v="0"/>
    <n v="0"/>
    <n v="0"/>
    <n v="0"/>
    <n v="0"/>
    <m/>
    <m/>
    <m/>
    <m/>
    <m/>
    <m/>
    <m/>
    <m/>
    <m/>
    <m/>
    <n v="0"/>
    <n v="0"/>
    <m/>
    <m/>
    <m/>
    <m/>
    <m/>
    <m/>
    <m/>
    <m/>
    <m/>
    <m/>
    <m/>
    <m/>
    <n v="0"/>
    <m/>
    <m/>
    <m/>
    <m/>
    <m/>
    <m/>
    <m/>
    <m/>
    <m/>
    <n v="71500"/>
    <n v="56992"/>
    <m/>
    <m/>
    <m/>
  </r>
  <r>
    <x v="1550"/>
    <n v="266565.27857142902"/>
    <n v="4.5857142857142899"/>
    <n v="3.7008242857142899"/>
    <n v="0.80703333333333305"/>
    <n v="0.99"/>
    <m/>
    <m/>
    <m/>
    <m/>
    <m/>
    <n v="0"/>
    <m/>
    <n v="0"/>
    <n v="0"/>
    <n v="0"/>
    <n v="0"/>
    <n v="0"/>
    <m/>
    <m/>
    <m/>
    <m/>
    <m/>
    <m/>
    <m/>
    <m/>
    <m/>
    <m/>
    <n v="0"/>
    <n v="0"/>
    <m/>
    <m/>
    <m/>
    <m/>
    <m/>
    <m/>
    <m/>
    <m/>
    <m/>
    <m/>
    <m/>
    <m/>
    <n v="0"/>
    <m/>
    <m/>
    <m/>
    <m/>
    <m/>
    <m/>
    <m/>
    <m/>
    <m/>
    <n v="71500"/>
    <n v="56992"/>
    <m/>
    <m/>
    <m/>
  </r>
  <r>
    <x v="1551"/>
    <n v="269369.09999999998"/>
    <n v="4.5999999999999996"/>
    <n v="3.7122000000000002"/>
    <n v="0.80700000000000005"/>
    <n v="0.99"/>
    <m/>
    <m/>
    <m/>
    <m/>
    <m/>
    <n v="0"/>
    <m/>
    <n v="0"/>
    <n v="0"/>
    <n v="0"/>
    <n v="0"/>
    <n v="0"/>
    <m/>
    <m/>
    <m/>
    <m/>
    <m/>
    <m/>
    <m/>
    <m/>
    <m/>
    <m/>
    <n v="0"/>
    <n v="0"/>
    <m/>
    <m/>
    <m/>
    <m/>
    <m/>
    <m/>
    <m/>
    <m/>
    <m/>
    <m/>
    <m/>
    <m/>
    <n v="0"/>
    <m/>
    <m/>
    <m/>
    <m/>
    <m/>
    <m/>
    <m/>
    <m/>
    <m/>
    <n v="71500"/>
    <n v="56992"/>
    <m/>
    <m/>
    <m/>
  </r>
  <r>
    <x v="1552"/>
    <n v="269369.09999999998"/>
    <n v="4.5999999999999996"/>
    <n v="3.7121488888888901"/>
    <n v="0.80698888888888898"/>
    <n v="0.99"/>
    <m/>
    <m/>
    <m/>
    <m/>
    <m/>
    <n v="0"/>
    <m/>
    <n v="0"/>
    <n v="0"/>
    <n v="0"/>
    <n v="0"/>
    <n v="0"/>
    <m/>
    <m/>
    <m/>
    <m/>
    <m/>
    <m/>
    <m/>
    <m/>
    <m/>
    <m/>
    <n v="0"/>
    <n v="0"/>
    <m/>
    <m/>
    <m/>
    <m/>
    <m/>
    <m/>
    <m/>
    <m/>
    <m/>
    <m/>
    <m/>
    <m/>
    <n v="0"/>
    <m/>
    <m/>
    <m/>
    <m/>
    <m/>
    <m/>
    <m/>
    <m/>
    <m/>
    <n v="71500"/>
    <n v="56992"/>
    <m/>
    <m/>
    <m/>
  </r>
  <r>
    <x v="1553"/>
    <n v="269369.09999999998"/>
    <n v="4.5999999999999996"/>
    <n v="3.7120977777777799"/>
    <n v="0.80697777777777802"/>
    <n v="0.99"/>
    <m/>
    <m/>
    <m/>
    <m/>
    <m/>
    <n v="0"/>
    <m/>
    <n v="0"/>
    <n v="0"/>
    <n v="0"/>
    <n v="0"/>
    <n v="0"/>
    <m/>
    <m/>
    <m/>
    <m/>
    <m/>
    <m/>
    <m/>
    <m/>
    <m/>
    <m/>
    <n v="0"/>
    <n v="0"/>
    <m/>
    <m/>
    <m/>
    <m/>
    <m/>
    <m/>
    <m/>
    <m/>
    <m/>
    <m/>
    <m/>
    <m/>
    <n v="0"/>
    <m/>
    <m/>
    <m/>
    <m/>
    <m/>
    <m/>
    <m/>
    <m/>
    <m/>
    <n v="71500"/>
    <n v="56992"/>
    <m/>
    <m/>
    <m/>
  </r>
  <r>
    <x v="1554"/>
    <n v="269369.09999999998"/>
    <n v="4.5999999999999996"/>
    <n v="3.7120466666666698"/>
    <n v="0.80696666666666705"/>
    <n v="0.99"/>
    <m/>
    <m/>
    <m/>
    <m/>
    <m/>
    <n v="0"/>
    <m/>
    <n v="0"/>
    <n v="0"/>
    <n v="0"/>
    <n v="0"/>
    <n v="0"/>
    <m/>
    <m/>
    <m/>
    <m/>
    <m/>
    <m/>
    <m/>
    <m/>
    <m/>
    <m/>
    <n v="0"/>
    <n v="0"/>
    <m/>
    <m/>
    <m/>
    <m/>
    <m/>
    <m/>
    <m/>
    <m/>
    <m/>
    <m/>
    <m/>
    <m/>
    <n v="0"/>
    <m/>
    <m/>
    <m/>
    <m/>
    <m/>
    <m/>
    <m/>
    <m/>
    <m/>
    <n v="71500"/>
    <n v="56992"/>
    <m/>
    <m/>
    <m/>
  </r>
  <r>
    <x v="1555"/>
    <n v="269369.09999999998"/>
    <n v="4.5999999999999996"/>
    <n v="3.7119955555555602"/>
    <n v="0.80695555555555598"/>
    <n v="0.99"/>
    <m/>
    <m/>
    <m/>
    <m/>
    <m/>
    <n v="0"/>
    <m/>
    <n v="0"/>
    <n v="0"/>
    <n v="0"/>
    <n v="0"/>
    <n v="0"/>
    <m/>
    <m/>
    <m/>
    <m/>
    <m/>
    <m/>
    <m/>
    <m/>
    <m/>
    <m/>
    <n v="0"/>
    <n v="0"/>
    <m/>
    <m/>
    <m/>
    <m/>
    <m/>
    <m/>
    <m/>
    <m/>
    <m/>
    <m/>
    <m/>
    <m/>
    <n v="0"/>
    <m/>
    <m/>
    <m/>
    <m/>
    <m/>
    <m/>
    <m/>
    <m/>
    <m/>
    <n v="71500"/>
    <n v="56992"/>
    <m/>
    <m/>
    <m/>
  </r>
  <r>
    <x v="1556"/>
    <n v="269369.09999999998"/>
    <n v="4.5999999999999996"/>
    <n v="3.7119444444444398"/>
    <n v="0.80694444444444402"/>
    <n v="0.99"/>
    <m/>
    <m/>
    <m/>
    <m/>
    <m/>
    <n v="0"/>
    <m/>
    <n v="0"/>
    <n v="0"/>
    <n v="0"/>
    <n v="0"/>
    <n v="0"/>
    <m/>
    <m/>
    <m/>
    <m/>
    <m/>
    <m/>
    <m/>
    <m/>
    <m/>
    <m/>
    <n v="0"/>
    <n v="0"/>
    <m/>
    <m/>
    <m/>
    <m/>
    <m/>
    <m/>
    <m/>
    <m/>
    <m/>
    <m/>
    <m/>
    <m/>
    <n v="0"/>
    <m/>
    <m/>
    <m/>
    <m/>
    <m/>
    <m/>
    <m/>
    <m/>
    <m/>
    <n v="71500"/>
    <n v="56992"/>
    <m/>
    <m/>
    <m/>
  </r>
  <r>
    <x v="1557"/>
    <n v="269369.09999999998"/>
    <n v="4.5999999999999996"/>
    <n v="3.7118933333333302"/>
    <n v="0.80693333333333295"/>
    <n v="0.99"/>
    <m/>
    <m/>
    <m/>
    <m/>
    <m/>
    <n v="0"/>
    <m/>
    <n v="0"/>
    <n v="0"/>
    <n v="0"/>
    <n v="0"/>
    <n v="0"/>
    <m/>
    <m/>
    <m/>
    <m/>
    <m/>
    <m/>
    <m/>
    <m/>
    <m/>
    <m/>
    <n v="0"/>
    <n v="0"/>
    <m/>
    <m/>
    <m/>
    <m/>
    <m/>
    <m/>
    <m/>
    <m/>
    <m/>
    <m/>
    <m/>
    <m/>
    <n v="0"/>
    <m/>
    <m/>
    <m/>
    <m/>
    <m/>
    <m/>
    <m/>
    <m/>
    <m/>
    <n v="71500"/>
    <n v="56992"/>
    <m/>
    <m/>
    <m/>
  </r>
  <r>
    <x v="1558"/>
    <n v="269369.09999999998"/>
    <n v="4.5999999999999996"/>
    <n v="3.71184222222222"/>
    <n v="0.80692222222222199"/>
    <n v="0.99"/>
    <m/>
    <m/>
    <m/>
    <m/>
    <m/>
    <n v="0"/>
    <m/>
    <n v="0"/>
    <n v="0"/>
    <n v="0"/>
    <n v="0"/>
    <n v="0"/>
    <m/>
    <m/>
    <m/>
    <m/>
    <m/>
    <m/>
    <m/>
    <m/>
    <m/>
    <m/>
    <n v="0"/>
    <n v="0"/>
    <m/>
    <m/>
    <m/>
    <m/>
    <m/>
    <m/>
    <m/>
    <m/>
    <m/>
    <m/>
    <m/>
    <m/>
    <n v="0"/>
    <m/>
    <m/>
    <m/>
    <m/>
    <m/>
    <m/>
    <m/>
    <m/>
    <m/>
    <n v="71500"/>
    <n v="56992"/>
    <m/>
    <m/>
    <m/>
  </r>
  <r>
    <x v="1559"/>
    <n v="269369.09999999998"/>
    <n v="4.5999999999999996"/>
    <n v="3.7117911111111099"/>
    <n v="0.80691111111111102"/>
    <n v="0.99"/>
    <m/>
    <m/>
    <m/>
    <m/>
    <m/>
    <n v="0"/>
    <m/>
    <n v="0"/>
    <n v="0"/>
    <n v="0"/>
    <n v="0"/>
    <n v="0"/>
    <m/>
    <m/>
    <m/>
    <m/>
    <m/>
    <m/>
    <m/>
    <m/>
    <m/>
    <m/>
    <n v="0"/>
    <n v="0"/>
    <m/>
    <m/>
    <m/>
    <m/>
    <m/>
    <m/>
    <m/>
    <m/>
    <m/>
    <m/>
    <m/>
    <m/>
    <n v="0"/>
    <m/>
    <m/>
    <m/>
    <m/>
    <m/>
    <m/>
    <m/>
    <m/>
    <m/>
    <n v="71500"/>
    <n v="56992"/>
    <m/>
    <m/>
    <m/>
  </r>
  <r>
    <x v="1560"/>
    <n v="269369.09999999998"/>
    <n v="4.5999999999999996"/>
    <n v="3.7117399999999998"/>
    <n v="0.80689999999999995"/>
    <n v="0.99"/>
    <m/>
    <m/>
    <m/>
    <m/>
    <m/>
    <n v="0"/>
    <m/>
    <n v="0"/>
    <n v="0"/>
    <n v="0"/>
    <n v="0"/>
    <n v="0"/>
    <m/>
    <m/>
    <m/>
    <m/>
    <m/>
    <m/>
    <m/>
    <m/>
    <m/>
    <m/>
    <n v="0"/>
    <n v="0"/>
    <m/>
    <m/>
    <m/>
    <m/>
    <m/>
    <m/>
    <m/>
    <m/>
    <m/>
    <m/>
    <m/>
    <m/>
    <n v="0"/>
    <m/>
    <m/>
    <m/>
    <m/>
    <m/>
    <m/>
    <m/>
    <m/>
    <m/>
    <n v="71500"/>
    <n v="56992"/>
    <m/>
    <m/>
    <m/>
  </r>
  <r>
    <x v="1561"/>
    <n v="269369.09999999998"/>
    <n v="4.5999999999999996"/>
    <n v="3.7116888888888901"/>
    <n v="0.80688888888888899"/>
    <n v="0.99"/>
    <m/>
    <m/>
    <m/>
    <m/>
    <m/>
    <n v="0"/>
    <m/>
    <n v="0"/>
    <n v="0"/>
    <n v="0"/>
    <n v="0"/>
    <n v="0"/>
    <m/>
    <m/>
    <m/>
    <m/>
    <m/>
    <m/>
    <m/>
    <m/>
    <m/>
    <m/>
    <n v="0"/>
    <n v="0"/>
    <m/>
    <m/>
    <m/>
    <m/>
    <m/>
    <m/>
    <m/>
    <m/>
    <m/>
    <m/>
    <m/>
    <m/>
    <n v="0"/>
    <m/>
    <m/>
    <m/>
    <m/>
    <m/>
    <m/>
    <m/>
    <m/>
    <m/>
    <n v="71500"/>
    <n v="56992"/>
    <m/>
    <m/>
    <m/>
  </r>
  <r>
    <x v="1562"/>
    <n v="269369.09999999998"/>
    <n v="4.5999999999999996"/>
    <n v="3.71163777777778"/>
    <n v="0.80687777777777803"/>
    <n v="0.99"/>
    <m/>
    <m/>
    <m/>
    <m/>
    <m/>
    <n v="0"/>
    <m/>
    <n v="0"/>
    <n v="0"/>
    <n v="0"/>
    <n v="0"/>
    <n v="0"/>
    <m/>
    <m/>
    <m/>
    <m/>
    <m/>
    <m/>
    <m/>
    <m/>
    <m/>
    <m/>
    <n v="0"/>
    <n v="0"/>
    <m/>
    <m/>
    <m/>
    <m/>
    <m/>
    <m/>
    <m/>
    <m/>
    <m/>
    <m/>
    <m/>
    <m/>
    <n v="0"/>
    <m/>
    <m/>
    <m/>
    <m/>
    <m/>
    <m/>
    <m/>
    <m/>
    <m/>
    <n v="71500"/>
    <n v="56992"/>
    <m/>
    <m/>
    <m/>
  </r>
  <r>
    <x v="1563"/>
    <n v="269369.09999999998"/>
    <n v="4.5999999999999996"/>
    <n v="3.7115866666666699"/>
    <n v="0.80686666666666695"/>
    <n v="0.99"/>
    <m/>
    <m/>
    <m/>
    <m/>
    <m/>
    <n v="0"/>
    <m/>
    <n v="0"/>
    <n v="0"/>
    <n v="0"/>
    <n v="0"/>
    <n v="0"/>
    <m/>
    <m/>
    <m/>
    <m/>
    <m/>
    <m/>
    <m/>
    <m/>
    <m/>
    <m/>
    <n v="0"/>
    <n v="0"/>
    <m/>
    <m/>
    <m/>
    <m/>
    <m/>
    <m/>
    <m/>
    <m/>
    <m/>
    <m/>
    <m/>
    <m/>
    <n v="0"/>
    <m/>
    <m/>
    <m/>
    <m/>
    <m/>
    <m/>
    <m/>
    <m/>
    <m/>
    <n v="71500"/>
    <n v="56992"/>
    <m/>
    <m/>
    <m/>
  </r>
  <r>
    <x v="1564"/>
    <n v="269369.09999999998"/>
    <n v="4.5999999999999996"/>
    <n v="3.7115355555555598"/>
    <n v="0.80685555555555599"/>
    <n v="0.99"/>
    <m/>
    <m/>
    <m/>
    <m/>
    <m/>
    <n v="0"/>
    <m/>
    <n v="0"/>
    <n v="0"/>
    <n v="0"/>
    <n v="0"/>
    <n v="0"/>
    <m/>
    <m/>
    <m/>
    <m/>
    <m/>
    <m/>
    <m/>
    <m/>
    <m/>
    <m/>
    <n v="0"/>
    <n v="0"/>
    <m/>
    <m/>
    <m/>
    <m/>
    <m/>
    <m/>
    <m/>
    <m/>
    <m/>
    <m/>
    <m/>
    <m/>
    <n v="0"/>
    <m/>
    <m/>
    <m/>
    <m/>
    <m/>
    <m/>
    <m/>
    <m/>
    <m/>
    <n v="71500"/>
    <n v="56992"/>
    <m/>
    <m/>
    <m/>
  </r>
  <r>
    <x v="1565"/>
    <n v="269369.09999999998"/>
    <n v="4.5999999999999996"/>
    <n v="3.7114844444444399"/>
    <n v="0.80684444444444403"/>
    <n v="0.99"/>
    <m/>
    <m/>
    <m/>
    <m/>
    <m/>
    <n v="0"/>
    <m/>
    <n v="0"/>
    <n v="0"/>
    <n v="0"/>
    <n v="0"/>
    <n v="0"/>
    <m/>
    <m/>
    <m/>
    <m/>
    <m/>
    <m/>
    <m/>
    <m/>
    <m/>
    <m/>
    <n v="0"/>
    <n v="0"/>
    <m/>
    <m/>
    <m/>
    <m/>
    <m/>
    <m/>
    <m/>
    <m/>
    <m/>
    <m/>
    <m/>
    <m/>
    <n v="0"/>
    <m/>
    <m/>
    <m/>
    <m/>
    <m/>
    <m/>
    <m/>
    <m/>
    <m/>
    <n v="71500"/>
    <n v="56992"/>
    <m/>
    <m/>
    <m/>
  </r>
  <r>
    <x v="1566"/>
    <n v="269369.09999999998"/>
    <n v="4.5999999999999996"/>
    <n v="3.7114333333333298"/>
    <n v="0.80683333333333296"/>
    <n v="0.99"/>
    <m/>
    <m/>
    <m/>
    <m/>
    <m/>
    <n v="0"/>
    <m/>
    <n v="0"/>
    <n v="0"/>
    <n v="0"/>
    <n v="0"/>
    <n v="0"/>
    <m/>
    <m/>
    <m/>
    <m/>
    <m/>
    <m/>
    <m/>
    <m/>
    <m/>
    <m/>
    <n v="0"/>
    <n v="0"/>
    <m/>
    <m/>
    <m/>
    <m/>
    <m/>
    <m/>
    <m/>
    <m/>
    <m/>
    <m/>
    <m/>
    <m/>
    <n v="0"/>
    <m/>
    <m/>
    <m/>
    <m/>
    <m/>
    <m/>
    <m/>
    <m/>
    <m/>
    <n v="71500"/>
    <n v="56992"/>
    <m/>
    <m/>
    <m/>
  </r>
  <r>
    <x v="1567"/>
    <n v="269369.09999999998"/>
    <n v="4.5999999999999996"/>
    <n v="3.7113822222222201"/>
    <n v="0.806822222222222"/>
    <n v="0.99"/>
    <m/>
    <m/>
    <m/>
    <m/>
    <m/>
    <n v="0"/>
    <m/>
    <n v="0"/>
    <n v="0"/>
    <n v="0"/>
    <n v="0"/>
    <n v="0"/>
    <m/>
    <m/>
    <m/>
    <m/>
    <m/>
    <m/>
    <m/>
    <m/>
    <m/>
    <m/>
    <n v="0"/>
    <n v="0"/>
    <m/>
    <m/>
    <m/>
    <m/>
    <m/>
    <m/>
    <m/>
    <m/>
    <m/>
    <m/>
    <m/>
    <m/>
    <n v="0"/>
    <m/>
    <m/>
    <m/>
    <m/>
    <m/>
    <m/>
    <m/>
    <m/>
    <m/>
    <n v="71500"/>
    <n v="56992"/>
    <m/>
    <m/>
    <m/>
  </r>
  <r>
    <x v="1568"/>
    <n v="269369.09999999998"/>
    <n v="4.5999999999999996"/>
    <n v="3.71133111111111"/>
    <n v="0.80681111111111103"/>
    <n v="0.99"/>
    <m/>
    <m/>
    <m/>
    <m/>
    <m/>
    <n v="0"/>
    <m/>
    <n v="0"/>
    <n v="0"/>
    <n v="0"/>
    <n v="0"/>
    <n v="0"/>
    <m/>
    <m/>
    <m/>
    <m/>
    <m/>
    <m/>
    <m/>
    <m/>
    <m/>
    <m/>
    <n v="0"/>
    <n v="0"/>
    <m/>
    <m/>
    <m/>
    <m/>
    <m/>
    <m/>
    <m/>
    <m/>
    <m/>
    <m/>
    <m/>
    <m/>
    <n v="0"/>
    <m/>
    <m/>
    <m/>
    <m/>
    <m/>
    <m/>
    <m/>
    <m/>
    <m/>
    <n v="71500"/>
    <n v="56992"/>
    <m/>
    <m/>
    <m/>
  </r>
  <r>
    <x v="1569"/>
    <n v="269369.09999999998"/>
    <n v="4.5999999999999996"/>
    <n v="3.7112799999999999"/>
    <n v="0.80679999999999996"/>
    <n v="0.99"/>
    <m/>
    <m/>
    <m/>
    <m/>
    <m/>
    <n v="0"/>
    <m/>
    <n v="0"/>
    <n v="0"/>
    <n v="0"/>
    <n v="0"/>
    <n v="0"/>
    <m/>
    <m/>
    <m/>
    <m/>
    <m/>
    <m/>
    <m/>
    <m/>
    <m/>
    <m/>
    <n v="0"/>
    <n v="0"/>
    <m/>
    <m/>
    <m/>
    <m/>
    <m/>
    <m/>
    <m/>
    <m/>
    <m/>
    <m/>
    <m/>
    <m/>
    <n v="0"/>
    <m/>
    <m/>
    <m/>
    <m/>
    <m/>
    <m/>
    <m/>
    <m/>
    <m/>
    <n v="71500"/>
    <n v="56992"/>
    <m/>
    <m/>
    <m/>
  </r>
  <r>
    <x v="1570"/>
    <n v="269369.09999999998"/>
    <n v="4.5999999999999996"/>
    <n v="3.7112288888888898"/>
    <n v="0.806788888888889"/>
    <n v="0.99"/>
    <m/>
    <m/>
    <m/>
    <m/>
    <m/>
    <n v="0"/>
    <m/>
    <n v="0"/>
    <n v="0"/>
    <n v="0"/>
    <n v="0"/>
    <n v="0"/>
    <m/>
    <m/>
    <m/>
    <m/>
    <m/>
    <m/>
    <m/>
    <m/>
    <m/>
    <m/>
    <n v="0"/>
    <n v="0"/>
    <m/>
    <m/>
    <m/>
    <m/>
    <m/>
    <m/>
    <m/>
    <m/>
    <m/>
    <m/>
    <m/>
    <m/>
    <n v="0"/>
    <m/>
    <m/>
    <m/>
    <m/>
    <m/>
    <m/>
    <m/>
    <m/>
    <m/>
    <n v="71500"/>
    <n v="56992"/>
    <m/>
    <m/>
    <m/>
  </r>
  <r>
    <x v="1571"/>
    <n v="269369.09999999998"/>
    <n v="4.5999999999999996"/>
    <n v="3.7111777777777801"/>
    <n v="0.80677777777777804"/>
    <n v="0.99"/>
    <m/>
    <m/>
    <m/>
    <m/>
    <m/>
    <n v="0"/>
    <m/>
    <n v="0"/>
    <n v="0"/>
    <n v="0"/>
    <n v="0"/>
    <n v="0"/>
    <m/>
    <m/>
    <m/>
    <m/>
    <m/>
    <m/>
    <m/>
    <m/>
    <m/>
    <m/>
    <n v="0"/>
    <n v="0"/>
    <m/>
    <m/>
    <m/>
    <m/>
    <m/>
    <m/>
    <m/>
    <m/>
    <m/>
    <m/>
    <m/>
    <m/>
    <n v="0"/>
    <m/>
    <m/>
    <m/>
    <m/>
    <m/>
    <m/>
    <m/>
    <m/>
    <m/>
    <n v="71500"/>
    <n v="56992"/>
    <m/>
    <m/>
    <m/>
  </r>
  <r>
    <x v="1572"/>
    <n v="269369.09999999998"/>
    <n v="4.5999999999999996"/>
    <n v="3.71112666666667"/>
    <n v="0.80676666666666697"/>
    <n v="0.99"/>
    <m/>
    <m/>
    <m/>
    <m/>
    <m/>
    <n v="0"/>
    <m/>
    <n v="0"/>
    <n v="0"/>
    <n v="0"/>
    <n v="0"/>
    <n v="0"/>
    <m/>
    <m/>
    <m/>
    <m/>
    <m/>
    <m/>
    <m/>
    <m/>
    <m/>
    <m/>
    <n v="0"/>
    <n v="0"/>
    <m/>
    <m/>
    <m/>
    <m/>
    <m/>
    <m/>
    <m/>
    <m/>
    <m/>
    <m/>
    <m/>
    <m/>
    <n v="0"/>
    <m/>
    <m/>
    <m/>
    <m/>
    <m/>
    <m/>
    <m/>
    <m/>
    <m/>
    <n v="71500"/>
    <n v="56992"/>
    <m/>
    <m/>
    <m/>
  </r>
  <r>
    <x v="1573"/>
    <n v="269369.09999999998"/>
    <n v="4.5999999999999996"/>
    <n v="3.7110755555555599"/>
    <n v="0.806755555555556"/>
    <n v="0.99"/>
    <m/>
    <m/>
    <m/>
    <m/>
    <m/>
    <n v="0"/>
    <m/>
    <n v="0"/>
    <n v="0"/>
    <n v="0"/>
    <n v="0"/>
    <n v="0"/>
    <m/>
    <m/>
    <m/>
    <m/>
    <m/>
    <m/>
    <m/>
    <m/>
    <m/>
    <m/>
    <n v="0"/>
    <n v="0"/>
    <m/>
    <m/>
    <m/>
    <m/>
    <m/>
    <m/>
    <m/>
    <m/>
    <m/>
    <m/>
    <m/>
    <m/>
    <n v="0"/>
    <m/>
    <m/>
    <m/>
    <m/>
    <m/>
    <m/>
    <m/>
    <m/>
    <m/>
    <n v="71500"/>
    <n v="56992"/>
    <m/>
    <m/>
    <m/>
  </r>
  <r>
    <x v="1574"/>
    <n v="269369.09999999998"/>
    <n v="4.5999999999999996"/>
    <n v="3.71102444444444"/>
    <n v="0.80674444444444404"/>
    <n v="0.99"/>
    <m/>
    <m/>
    <m/>
    <m/>
    <m/>
    <n v="0"/>
    <m/>
    <n v="0"/>
    <n v="0"/>
    <n v="0"/>
    <n v="0"/>
    <n v="0"/>
    <m/>
    <m/>
    <m/>
    <m/>
    <m/>
    <m/>
    <m/>
    <m/>
    <m/>
    <m/>
    <n v="0"/>
    <n v="0"/>
    <m/>
    <m/>
    <m/>
    <m/>
    <m/>
    <m/>
    <m/>
    <m/>
    <m/>
    <m/>
    <m/>
    <m/>
    <n v="0"/>
    <m/>
    <m/>
    <m/>
    <m/>
    <m/>
    <m/>
    <m/>
    <m/>
    <m/>
    <n v="71500"/>
    <n v="56992"/>
    <m/>
    <m/>
    <m/>
  </r>
  <r>
    <x v="1575"/>
    <n v="269369.09999999998"/>
    <n v="4.5999999999999996"/>
    <n v="3.7109733333333299"/>
    <n v="0.80673333333333297"/>
    <n v="0.99"/>
    <m/>
    <m/>
    <m/>
    <m/>
    <m/>
    <n v="0"/>
    <m/>
    <n v="0"/>
    <n v="0"/>
    <n v="0"/>
    <n v="0"/>
    <n v="0"/>
    <m/>
    <m/>
    <m/>
    <m/>
    <m/>
    <m/>
    <m/>
    <m/>
    <m/>
    <m/>
    <n v="0"/>
    <n v="0"/>
    <m/>
    <m/>
    <m/>
    <m/>
    <m/>
    <m/>
    <m/>
    <m/>
    <m/>
    <m/>
    <m/>
    <m/>
    <n v="0"/>
    <m/>
    <m/>
    <m/>
    <m/>
    <m/>
    <m/>
    <m/>
    <m/>
    <m/>
    <n v="71500"/>
    <n v="56992"/>
    <m/>
    <m/>
    <m/>
  </r>
  <r>
    <x v="1576"/>
    <n v="269369.09999999998"/>
    <n v="4.5999999999999996"/>
    <n v="3.7109222222222198"/>
    <n v="0.80672222222222201"/>
    <n v="0.99"/>
    <m/>
    <m/>
    <m/>
    <m/>
    <m/>
    <n v="0"/>
    <m/>
    <n v="0"/>
    <n v="0"/>
    <n v="0"/>
    <n v="0"/>
    <n v="0"/>
    <m/>
    <m/>
    <m/>
    <m/>
    <m/>
    <m/>
    <m/>
    <m/>
    <m/>
    <m/>
    <n v="0"/>
    <n v="0"/>
    <m/>
    <m/>
    <m/>
    <m/>
    <m/>
    <m/>
    <m/>
    <m/>
    <m/>
    <m/>
    <m/>
    <m/>
    <n v="0"/>
    <m/>
    <m/>
    <m/>
    <m/>
    <m/>
    <m/>
    <m/>
    <m/>
    <m/>
    <n v="71500"/>
    <n v="56992"/>
    <m/>
    <m/>
    <m/>
  </r>
  <r>
    <x v="1577"/>
    <n v="269369.09999999998"/>
    <n v="4.5999999999999996"/>
    <n v="3.7108711111111101"/>
    <n v="0.80671111111111105"/>
    <n v="0.99"/>
    <m/>
    <m/>
    <m/>
    <m/>
    <m/>
    <n v="0"/>
    <m/>
    <n v="0"/>
    <n v="0"/>
    <n v="0"/>
    <n v="0"/>
    <n v="0"/>
    <m/>
    <m/>
    <m/>
    <m/>
    <m/>
    <m/>
    <m/>
    <m/>
    <m/>
    <m/>
    <n v="0"/>
    <n v="0"/>
    <m/>
    <m/>
    <m/>
    <m/>
    <m/>
    <m/>
    <m/>
    <m/>
    <m/>
    <m/>
    <m/>
    <m/>
    <n v="0"/>
    <m/>
    <m/>
    <m/>
    <m/>
    <m/>
    <m/>
    <m/>
    <m/>
    <m/>
    <n v="71500"/>
    <n v="56992"/>
    <m/>
    <m/>
    <m/>
  </r>
  <r>
    <x v="1578"/>
    <n v="269369.09999999998"/>
    <n v="4.5999999999999996"/>
    <n v="3.71082"/>
    <n v="0.80669999999999997"/>
    <n v="0.99"/>
    <m/>
    <m/>
    <m/>
    <m/>
    <m/>
    <n v="0"/>
    <m/>
    <n v="0"/>
    <n v="0"/>
    <n v="0"/>
    <n v="0"/>
    <n v="0"/>
    <m/>
    <m/>
    <m/>
    <m/>
    <m/>
    <m/>
    <m/>
    <m/>
    <m/>
    <m/>
    <n v="0"/>
    <n v="0"/>
    <m/>
    <m/>
    <m/>
    <m/>
    <m/>
    <m/>
    <m/>
    <m/>
    <m/>
    <m/>
    <m/>
    <m/>
    <n v="0"/>
    <m/>
    <m/>
    <m/>
    <m/>
    <m/>
    <m/>
    <m/>
    <m/>
    <m/>
    <n v="71500"/>
    <n v="56992"/>
    <m/>
    <m/>
    <m/>
  </r>
  <r>
    <x v="1579"/>
    <n v="269369.09999999998"/>
    <n v="4.5999999999999996"/>
    <n v="3.7107688888888899"/>
    <n v="0.80668888888888901"/>
    <n v="0.99"/>
    <m/>
    <m/>
    <m/>
    <m/>
    <m/>
    <n v="0"/>
    <m/>
    <n v="0"/>
    <n v="0"/>
    <n v="0"/>
    <n v="0"/>
    <n v="0"/>
    <m/>
    <m/>
    <m/>
    <m/>
    <m/>
    <m/>
    <m/>
    <m/>
    <m/>
    <m/>
    <n v="0"/>
    <n v="0"/>
    <m/>
    <m/>
    <m/>
    <m/>
    <m/>
    <m/>
    <m/>
    <m/>
    <m/>
    <m/>
    <m/>
    <m/>
    <n v="0"/>
    <m/>
    <m/>
    <m/>
    <m/>
    <m/>
    <m/>
    <m/>
    <m/>
    <m/>
    <n v="71500"/>
    <n v="56992"/>
    <m/>
    <m/>
    <m/>
  </r>
  <r>
    <x v="1580"/>
    <n v="269369.09999999998"/>
    <n v="4.5999999999999996"/>
    <n v="3.7107177777777798"/>
    <n v="0.80667777777777805"/>
    <n v="0.99"/>
    <m/>
    <m/>
    <m/>
    <m/>
    <m/>
    <n v="0"/>
    <m/>
    <n v="0"/>
    <n v="0"/>
    <n v="0"/>
    <n v="0"/>
    <n v="0"/>
    <m/>
    <m/>
    <m/>
    <m/>
    <m/>
    <m/>
    <m/>
    <m/>
    <m/>
    <m/>
    <n v="0"/>
    <n v="0"/>
    <m/>
    <m/>
    <m/>
    <m/>
    <m/>
    <m/>
    <m/>
    <m/>
    <m/>
    <m/>
    <m/>
    <m/>
    <n v="0"/>
    <m/>
    <m/>
    <m/>
    <m/>
    <m/>
    <m/>
    <m/>
    <m/>
    <m/>
    <n v="71500"/>
    <n v="56992"/>
    <m/>
    <m/>
    <m/>
  </r>
  <r>
    <x v="1581"/>
    <n v="269369.09999999998"/>
    <n v="4.5999999999999996"/>
    <n v="3.7106666666666701"/>
    <n v="0.80666666666666698"/>
    <n v="0.99"/>
    <m/>
    <m/>
    <m/>
    <m/>
    <m/>
    <n v="0"/>
    <m/>
    <n v="0"/>
    <n v="0"/>
    <n v="0"/>
    <n v="0"/>
    <n v="0"/>
    <m/>
    <m/>
    <m/>
    <m/>
    <m/>
    <m/>
    <m/>
    <m/>
    <m/>
    <m/>
    <n v="0"/>
    <n v="0"/>
    <m/>
    <m/>
    <m/>
    <m/>
    <m/>
    <m/>
    <m/>
    <m/>
    <m/>
    <m/>
    <m/>
    <m/>
    <n v="0"/>
    <m/>
    <m/>
    <m/>
    <m/>
    <m/>
    <m/>
    <m/>
    <m/>
    <m/>
    <n v="71500"/>
    <n v="56992"/>
    <m/>
    <m/>
    <m/>
  </r>
  <r>
    <x v="1582"/>
    <n v="260352.47333333301"/>
    <n v="4.4733333333333301"/>
    <n v="3.60848888888889"/>
    <n v="0.80666666666666698"/>
    <n v="0.99"/>
    <m/>
    <m/>
    <m/>
    <m/>
    <m/>
    <n v="0"/>
    <m/>
    <n v="0"/>
    <n v="0"/>
    <n v="0"/>
    <n v="0"/>
    <n v="0"/>
    <m/>
    <m/>
    <m/>
    <m/>
    <m/>
    <m/>
    <m/>
    <m/>
    <m/>
    <m/>
    <n v="0"/>
    <n v="0"/>
    <m/>
    <m/>
    <m/>
    <m/>
    <m/>
    <m/>
    <m/>
    <m/>
    <m/>
    <m/>
    <m/>
    <m/>
    <n v="0"/>
    <m/>
    <m/>
    <m/>
    <m/>
    <m/>
    <m/>
    <m/>
    <m/>
    <m/>
    <n v="71500"/>
    <n v="56992"/>
    <m/>
    <m/>
    <m/>
  </r>
  <r>
    <x v="1583"/>
    <n v="260352.47333333301"/>
    <n v="4.4733333333333301"/>
    <n v="3.6084391851851798"/>
    <n v="0.80665555555555601"/>
    <n v="0.99"/>
    <m/>
    <m/>
    <m/>
    <m/>
    <m/>
    <n v="0"/>
    <m/>
    <n v="0"/>
    <n v="0"/>
    <n v="0"/>
    <n v="0"/>
    <n v="0"/>
    <m/>
    <m/>
    <m/>
    <m/>
    <m/>
    <m/>
    <m/>
    <m/>
    <m/>
    <m/>
    <n v="0"/>
    <n v="0"/>
    <m/>
    <m/>
    <m/>
    <m/>
    <m/>
    <m/>
    <m/>
    <m/>
    <m/>
    <m/>
    <m/>
    <m/>
    <n v="0"/>
    <m/>
    <m/>
    <m/>
    <m/>
    <m/>
    <m/>
    <m/>
    <m/>
    <m/>
    <n v="71500"/>
    <n v="56992"/>
    <m/>
    <m/>
    <m/>
  </r>
  <r>
    <x v="1584"/>
    <n v="260352.47333333301"/>
    <n v="4.4733333333333301"/>
    <n v="3.6083894814814799"/>
    <n v="0.80664444444444405"/>
    <n v="0.99"/>
    <m/>
    <m/>
    <m/>
    <m/>
    <m/>
    <n v="0"/>
    <m/>
    <n v="0"/>
    <n v="0"/>
    <n v="0"/>
    <n v="0"/>
    <n v="0"/>
    <m/>
    <m/>
    <m/>
    <m/>
    <m/>
    <m/>
    <m/>
    <m/>
    <m/>
    <m/>
    <n v="0"/>
    <n v="0"/>
    <m/>
    <m/>
    <m/>
    <m/>
    <m/>
    <m/>
    <m/>
    <m/>
    <m/>
    <m/>
    <m/>
    <m/>
    <n v="0"/>
    <m/>
    <m/>
    <m/>
    <m/>
    <m/>
    <m/>
    <m/>
    <m/>
    <m/>
    <n v="71500"/>
    <n v="56992"/>
    <m/>
    <m/>
    <m/>
  </r>
  <r>
    <x v="1585"/>
    <n v="260352.47333333301"/>
    <n v="4.4733333333333301"/>
    <n v="3.6083397777777799"/>
    <n v="0.80663333333333298"/>
    <n v="0.99"/>
    <m/>
    <m/>
    <m/>
    <m/>
    <m/>
    <n v="0"/>
    <m/>
    <n v="0"/>
    <n v="0"/>
    <n v="0"/>
    <n v="0"/>
    <n v="0"/>
    <m/>
    <m/>
    <m/>
    <m/>
    <m/>
    <m/>
    <m/>
    <m/>
    <m/>
    <m/>
    <n v="0"/>
    <n v="0"/>
    <m/>
    <m/>
    <m/>
    <m/>
    <m/>
    <m/>
    <m/>
    <m/>
    <m/>
    <m/>
    <m/>
    <m/>
    <n v="0"/>
    <m/>
    <m/>
    <m/>
    <m/>
    <m/>
    <m/>
    <m/>
    <m/>
    <m/>
    <n v="71500"/>
    <n v="56992"/>
    <m/>
    <m/>
    <m/>
  </r>
  <r>
    <x v="1586"/>
    <n v="260352.47333333301"/>
    <n v="4.4733333333333301"/>
    <n v="3.6082900740740702"/>
    <n v="0.80662222222222202"/>
    <n v="0.99"/>
    <m/>
    <m/>
    <m/>
    <m/>
    <m/>
    <n v="0"/>
    <m/>
    <n v="0"/>
    <n v="0"/>
    <n v="0"/>
    <n v="0"/>
    <n v="0"/>
    <m/>
    <m/>
    <m/>
    <m/>
    <m/>
    <m/>
    <m/>
    <m/>
    <m/>
    <m/>
    <n v="0"/>
    <n v="0"/>
    <m/>
    <m/>
    <m/>
    <m/>
    <m/>
    <m/>
    <m/>
    <m/>
    <m/>
    <m/>
    <m/>
    <m/>
    <n v="0"/>
    <m/>
    <m/>
    <m/>
    <m/>
    <m/>
    <m/>
    <m/>
    <m/>
    <m/>
    <n v="71500"/>
    <n v="56992"/>
    <m/>
    <m/>
    <m/>
  </r>
  <r>
    <x v="1587"/>
    <n v="260352.47333333301"/>
    <n v="4.4733333333333301"/>
    <n v="3.6082403703703698"/>
    <n v="0.80661111111111095"/>
    <n v="0.99"/>
    <m/>
    <m/>
    <m/>
    <m/>
    <m/>
    <n v="0"/>
    <m/>
    <n v="0"/>
    <n v="0"/>
    <n v="0"/>
    <n v="0"/>
    <n v="0"/>
    <m/>
    <m/>
    <m/>
    <m/>
    <m/>
    <m/>
    <m/>
    <m/>
    <m/>
    <m/>
    <n v="0"/>
    <n v="0"/>
    <m/>
    <m/>
    <m/>
    <m/>
    <m/>
    <m/>
    <m/>
    <m/>
    <m/>
    <m/>
    <m/>
    <m/>
    <n v="0"/>
    <m/>
    <m/>
    <m/>
    <m/>
    <m/>
    <m/>
    <m/>
    <m/>
    <m/>
    <n v="71500"/>
    <n v="56992"/>
    <m/>
    <m/>
    <m/>
  </r>
  <r>
    <x v="1588"/>
    <n v="260352.47333333301"/>
    <n v="4.4733333333333301"/>
    <n v="3.6081906666666699"/>
    <n v="0.80659999999999998"/>
    <n v="0.99"/>
    <m/>
    <m/>
    <m/>
    <m/>
    <m/>
    <n v="0"/>
    <m/>
    <n v="0"/>
    <n v="0"/>
    <n v="0"/>
    <n v="0"/>
    <n v="0"/>
    <m/>
    <m/>
    <m/>
    <m/>
    <m/>
    <m/>
    <m/>
    <m/>
    <m/>
    <m/>
    <n v="0"/>
    <n v="0"/>
    <m/>
    <m/>
    <m/>
    <m/>
    <m/>
    <m/>
    <m/>
    <m/>
    <m/>
    <m/>
    <m/>
    <m/>
    <n v="0"/>
    <m/>
    <m/>
    <m/>
    <m/>
    <m/>
    <m/>
    <m/>
    <m/>
    <m/>
    <n v="71500"/>
    <n v="56992"/>
    <m/>
    <m/>
    <m/>
  </r>
  <r>
    <x v="1589"/>
    <n v="260352.47333333301"/>
    <n v="4.4733333333333301"/>
    <n v="3.6081409629629602"/>
    <n v="0.80658888888888902"/>
    <n v="0.99"/>
    <m/>
    <m/>
    <m/>
    <m/>
    <m/>
    <n v="0"/>
    <m/>
    <n v="0"/>
    <n v="0"/>
    <n v="0"/>
    <n v="0"/>
    <n v="0"/>
    <m/>
    <m/>
    <m/>
    <m/>
    <m/>
    <m/>
    <m/>
    <m/>
    <m/>
    <m/>
    <n v="0"/>
    <n v="0"/>
    <m/>
    <m/>
    <m/>
    <m/>
    <m/>
    <m/>
    <m/>
    <m/>
    <m/>
    <m/>
    <m/>
    <m/>
    <n v="0"/>
    <m/>
    <m/>
    <m/>
    <m/>
    <m/>
    <m/>
    <m/>
    <m/>
    <m/>
    <n v="71500"/>
    <n v="56992"/>
    <m/>
    <m/>
    <m/>
  </r>
  <r>
    <x v="1590"/>
    <n v="260352.47333333301"/>
    <n v="4.4733333333333301"/>
    <n v="3.6080912592592602"/>
    <n v="0.80657777777777795"/>
    <n v="0.99"/>
    <m/>
    <m/>
    <m/>
    <m/>
    <m/>
    <n v="0"/>
    <m/>
    <n v="0"/>
    <n v="0"/>
    <n v="0"/>
    <n v="0"/>
    <n v="0"/>
    <m/>
    <m/>
    <m/>
    <m/>
    <m/>
    <m/>
    <m/>
    <m/>
    <m/>
    <m/>
    <n v="0"/>
    <n v="0"/>
    <m/>
    <m/>
    <m/>
    <m/>
    <m/>
    <m/>
    <m/>
    <m/>
    <m/>
    <m/>
    <m/>
    <m/>
    <n v="0"/>
    <m/>
    <m/>
    <m/>
    <m/>
    <m/>
    <m/>
    <m/>
    <m/>
    <m/>
    <n v="71500"/>
    <n v="56992"/>
    <m/>
    <m/>
    <m/>
  </r>
  <r>
    <x v="1591"/>
    <n v="260352.47333333301"/>
    <n v="4.4733333333333301"/>
    <n v="3.6080415555555501"/>
    <n v="0.80656666666666699"/>
    <n v="0.99"/>
    <m/>
    <m/>
    <m/>
    <m/>
    <m/>
    <n v="0"/>
    <m/>
    <n v="0"/>
    <n v="0"/>
    <n v="0"/>
    <n v="0"/>
    <n v="0"/>
    <m/>
    <m/>
    <m/>
    <m/>
    <m/>
    <m/>
    <m/>
    <m/>
    <m/>
    <m/>
    <n v="0"/>
    <n v="0"/>
    <m/>
    <m/>
    <m/>
    <m/>
    <m/>
    <m/>
    <m/>
    <m/>
    <m/>
    <m/>
    <m/>
    <m/>
    <n v="0"/>
    <m/>
    <m/>
    <m/>
    <m/>
    <m/>
    <m/>
    <m/>
    <m/>
    <m/>
    <n v="71500"/>
    <n v="56992"/>
    <m/>
    <m/>
    <m/>
  </r>
  <r>
    <x v="1592"/>
    <n v="260352.47333333301"/>
    <n v="4.4733333333333301"/>
    <n v="3.6079918518518501"/>
    <n v="0.80655555555555603"/>
    <n v="0.99"/>
    <m/>
    <m/>
    <m/>
    <m/>
    <m/>
    <n v="0"/>
    <m/>
    <n v="0"/>
    <n v="0"/>
    <n v="0"/>
    <n v="0"/>
    <n v="0"/>
    <m/>
    <m/>
    <m/>
    <m/>
    <m/>
    <m/>
    <m/>
    <m/>
    <m/>
    <m/>
    <n v="0"/>
    <n v="0"/>
    <m/>
    <m/>
    <m/>
    <m/>
    <m/>
    <m/>
    <m/>
    <m/>
    <m/>
    <m/>
    <m/>
    <m/>
    <n v="0"/>
    <m/>
    <m/>
    <m/>
    <m/>
    <m/>
    <m/>
    <m/>
    <m/>
    <m/>
    <n v="71500"/>
    <n v="56992"/>
    <m/>
    <m/>
    <m/>
  </r>
  <r>
    <x v="1593"/>
    <n v="260352.47333333301"/>
    <n v="4.4733333333333301"/>
    <n v="3.6079421481481502"/>
    <n v="0.80654444444444395"/>
    <n v="0.99"/>
    <m/>
    <m/>
    <m/>
    <m/>
    <m/>
    <n v="0"/>
    <m/>
    <n v="0"/>
    <n v="0"/>
    <n v="0"/>
    <n v="0"/>
    <n v="0"/>
    <m/>
    <m/>
    <m/>
    <m/>
    <m/>
    <m/>
    <m/>
    <m/>
    <m/>
    <m/>
    <n v="0"/>
    <n v="0"/>
    <m/>
    <m/>
    <m/>
    <m/>
    <m/>
    <m/>
    <m/>
    <m/>
    <m/>
    <m/>
    <m/>
    <m/>
    <n v="0"/>
    <m/>
    <m/>
    <m/>
    <m/>
    <m/>
    <m/>
    <m/>
    <m/>
    <m/>
    <n v="71500"/>
    <n v="56992"/>
    <m/>
    <m/>
    <m/>
  </r>
  <r>
    <x v="1594"/>
    <n v="260352.47333333301"/>
    <n v="4.4733333333333301"/>
    <n v="3.60789244444444"/>
    <n v="0.80653333333333299"/>
    <n v="0.99"/>
    <m/>
    <m/>
    <m/>
    <m/>
    <m/>
    <n v="0"/>
    <m/>
    <n v="0"/>
    <n v="0"/>
    <n v="0"/>
    <n v="0"/>
    <n v="0"/>
    <m/>
    <m/>
    <m/>
    <m/>
    <m/>
    <m/>
    <m/>
    <m/>
    <m/>
    <m/>
    <n v="0"/>
    <n v="0"/>
    <m/>
    <m/>
    <m/>
    <m/>
    <m/>
    <m/>
    <m/>
    <m/>
    <m/>
    <m/>
    <m/>
    <m/>
    <n v="0"/>
    <m/>
    <m/>
    <m/>
    <m/>
    <m/>
    <m/>
    <m/>
    <m/>
    <m/>
    <n v="71500"/>
    <n v="56992"/>
    <m/>
    <m/>
    <m/>
  </r>
  <r>
    <x v="1595"/>
    <n v="260352.47333333301"/>
    <n v="4.4733333333333301"/>
    <n v="3.6078427407407401"/>
    <n v="0.80652222222222203"/>
    <n v="0.99"/>
    <m/>
    <m/>
    <m/>
    <m/>
    <m/>
    <n v="0"/>
    <m/>
    <n v="0"/>
    <n v="0"/>
    <n v="0"/>
    <n v="0"/>
    <n v="0"/>
    <m/>
    <m/>
    <m/>
    <m/>
    <m/>
    <m/>
    <m/>
    <m/>
    <m/>
    <m/>
    <n v="0"/>
    <n v="0"/>
    <m/>
    <m/>
    <m/>
    <m/>
    <m/>
    <m/>
    <m/>
    <m/>
    <m/>
    <m/>
    <m/>
    <m/>
    <n v="0"/>
    <m/>
    <m/>
    <m/>
    <m/>
    <m/>
    <m/>
    <m/>
    <m/>
    <m/>
    <n v="71500"/>
    <n v="56992"/>
    <m/>
    <m/>
    <m/>
  </r>
  <r>
    <x v="1596"/>
    <n v="260352.47333333301"/>
    <n v="4.4733333333333301"/>
    <n v="3.6077930370370401"/>
    <n v="0.80651111111111096"/>
    <n v="0.99"/>
    <m/>
    <m/>
    <m/>
    <m/>
    <m/>
    <n v="0"/>
    <m/>
    <n v="0"/>
    <n v="0"/>
    <n v="0"/>
    <n v="0"/>
    <n v="0"/>
    <m/>
    <m/>
    <m/>
    <m/>
    <m/>
    <m/>
    <m/>
    <m/>
    <m/>
    <m/>
    <n v="0"/>
    <n v="0"/>
    <m/>
    <m/>
    <m/>
    <m/>
    <m/>
    <m/>
    <m/>
    <m/>
    <m/>
    <m/>
    <m/>
    <m/>
    <n v="0"/>
    <m/>
    <m/>
    <m/>
    <m/>
    <m/>
    <m/>
    <m/>
    <m/>
    <m/>
    <n v="71500"/>
    <n v="56992"/>
    <m/>
    <m/>
    <m/>
  </r>
  <r>
    <x v="1597"/>
    <n v="260352.47333333301"/>
    <n v="4.4733333333333301"/>
    <n v="3.60774333333333"/>
    <n v="0.80649999999999999"/>
    <n v="0.99"/>
    <m/>
    <m/>
    <m/>
    <m/>
    <m/>
    <n v="0"/>
    <m/>
    <n v="0"/>
    <n v="0"/>
    <n v="0"/>
    <n v="0"/>
    <n v="0"/>
    <m/>
    <m/>
    <m/>
    <m/>
    <m/>
    <m/>
    <m/>
    <m/>
    <m/>
    <m/>
    <n v="0"/>
    <n v="0"/>
    <m/>
    <m/>
    <m/>
    <m/>
    <m/>
    <m/>
    <m/>
    <m/>
    <m/>
    <m/>
    <m/>
    <m/>
    <n v="0"/>
    <m/>
    <m/>
    <m/>
    <m/>
    <m/>
    <m/>
    <m/>
    <m/>
    <m/>
    <n v="71500"/>
    <n v="56992"/>
    <m/>
    <m/>
    <m/>
  </r>
  <r>
    <x v="1598"/>
    <n v="260352.47333333301"/>
    <n v="4.4733333333333301"/>
    <n v="3.60769362962963"/>
    <n v="0.80648888888888903"/>
    <n v="0.99"/>
    <m/>
    <m/>
    <m/>
    <m/>
    <m/>
    <n v="0"/>
    <m/>
    <n v="0"/>
    <n v="0"/>
    <n v="0"/>
    <n v="0"/>
    <n v="0"/>
    <m/>
    <m/>
    <m/>
    <m/>
    <m/>
    <m/>
    <m/>
    <m/>
    <m/>
    <m/>
    <n v="0"/>
    <n v="0"/>
    <m/>
    <m/>
    <m/>
    <m/>
    <m/>
    <m/>
    <m/>
    <m/>
    <m/>
    <m/>
    <m/>
    <m/>
    <n v="0"/>
    <m/>
    <m/>
    <m/>
    <m/>
    <m/>
    <m/>
    <m/>
    <m/>
    <m/>
    <n v="71500"/>
    <n v="56992"/>
    <m/>
    <m/>
    <m/>
  </r>
  <r>
    <x v="1599"/>
    <n v="260352.47333333301"/>
    <n v="4.4733333333333301"/>
    <n v="3.6076439259259301"/>
    <n v="0.80647777777777796"/>
    <n v="0.99"/>
    <m/>
    <m/>
    <m/>
    <m/>
    <m/>
    <n v="0"/>
    <m/>
    <n v="0"/>
    <n v="0"/>
    <n v="0"/>
    <n v="0"/>
    <n v="0"/>
    <m/>
    <m/>
    <m/>
    <m/>
    <m/>
    <m/>
    <m/>
    <m/>
    <m/>
    <m/>
    <n v="0"/>
    <n v="0"/>
    <m/>
    <m/>
    <m/>
    <m/>
    <m/>
    <m/>
    <m/>
    <m/>
    <m/>
    <m/>
    <m/>
    <m/>
    <n v="0"/>
    <m/>
    <m/>
    <m/>
    <m/>
    <m/>
    <m/>
    <m/>
    <m/>
    <m/>
    <n v="71500"/>
    <n v="56992"/>
    <m/>
    <m/>
    <m/>
  </r>
  <r>
    <x v="1600"/>
    <n v="260352.47333333301"/>
    <n v="4.4733333333333301"/>
    <n v="3.6075942222222199"/>
    <n v="0.806466666666667"/>
    <n v="0.99"/>
    <m/>
    <m/>
    <m/>
    <m/>
    <m/>
    <n v="0"/>
    <m/>
    <n v="0"/>
    <n v="0"/>
    <n v="0"/>
    <n v="0"/>
    <n v="0"/>
    <m/>
    <m/>
    <m/>
    <m/>
    <m/>
    <m/>
    <m/>
    <m/>
    <m/>
    <m/>
    <n v="0"/>
    <n v="0"/>
    <m/>
    <m/>
    <m/>
    <m/>
    <m/>
    <m/>
    <m/>
    <m/>
    <m/>
    <m/>
    <m/>
    <m/>
    <n v="0"/>
    <m/>
    <m/>
    <m/>
    <m/>
    <m/>
    <m/>
    <m/>
    <m/>
    <m/>
    <n v="71500"/>
    <n v="56992"/>
    <m/>
    <m/>
    <m/>
  </r>
  <r>
    <x v="1601"/>
    <n v="260352.47333333301"/>
    <n v="4.4733333333333301"/>
    <n v="3.60754451851852"/>
    <n v="0.80645555555555604"/>
    <n v="0.99"/>
    <m/>
    <m/>
    <m/>
    <m/>
    <m/>
    <n v="0"/>
    <m/>
    <n v="0"/>
    <n v="0"/>
    <n v="0"/>
    <n v="0"/>
    <n v="0"/>
    <m/>
    <m/>
    <m/>
    <m/>
    <m/>
    <m/>
    <m/>
    <m/>
    <m/>
    <m/>
    <n v="0"/>
    <n v="0"/>
    <m/>
    <m/>
    <m/>
    <m/>
    <m/>
    <m/>
    <m/>
    <m/>
    <m/>
    <m/>
    <m/>
    <m/>
    <n v="0"/>
    <m/>
    <m/>
    <m/>
    <m/>
    <m/>
    <m/>
    <m/>
    <m/>
    <m/>
    <n v="71500"/>
    <n v="56992"/>
    <m/>
    <m/>
    <m/>
  </r>
  <r>
    <x v="1602"/>
    <n v="260352.47333333301"/>
    <n v="4.4733333333333301"/>
    <n v="3.6074948148148098"/>
    <n v="0.80644444444444396"/>
    <n v="0.99"/>
    <m/>
    <m/>
    <m/>
    <m/>
    <m/>
    <n v="0"/>
    <m/>
    <n v="0"/>
    <n v="0"/>
    <n v="0"/>
    <n v="0"/>
    <n v="0"/>
    <m/>
    <m/>
    <m/>
    <m/>
    <m/>
    <m/>
    <m/>
    <m/>
    <m/>
    <m/>
    <n v="0"/>
    <n v="0"/>
    <m/>
    <m/>
    <m/>
    <m/>
    <m/>
    <m/>
    <m/>
    <m/>
    <m/>
    <m/>
    <m/>
    <m/>
    <n v="0"/>
    <m/>
    <m/>
    <m/>
    <m/>
    <m/>
    <m/>
    <m/>
    <m/>
    <m/>
    <n v="71500"/>
    <n v="56992"/>
    <m/>
    <m/>
    <m/>
  </r>
  <r>
    <x v="1603"/>
    <n v="260352.47333333301"/>
    <n v="4.4733333333333301"/>
    <n v="3.6074451111111099"/>
    <n v="0.806433333333333"/>
    <n v="0.99"/>
    <m/>
    <m/>
    <m/>
    <m/>
    <m/>
    <n v="0"/>
    <m/>
    <n v="0"/>
    <n v="0"/>
    <n v="0"/>
    <n v="0"/>
    <n v="0"/>
    <m/>
    <m/>
    <m/>
    <m/>
    <m/>
    <m/>
    <m/>
    <m/>
    <m/>
    <m/>
    <n v="0"/>
    <n v="0"/>
    <m/>
    <m/>
    <m/>
    <m/>
    <m/>
    <m/>
    <m/>
    <m/>
    <m/>
    <m/>
    <m/>
    <m/>
    <n v="0"/>
    <m/>
    <m/>
    <m/>
    <m/>
    <m/>
    <m/>
    <m/>
    <m/>
    <m/>
    <n v="71500"/>
    <n v="56992"/>
    <m/>
    <m/>
    <m/>
  </r>
  <r>
    <x v="1604"/>
    <n v="260352.47333333301"/>
    <n v="4.4733333333333301"/>
    <n v="3.6073954074074099"/>
    <n v="0.80642222222222204"/>
    <n v="0.99"/>
    <m/>
    <m/>
    <m/>
    <m/>
    <m/>
    <n v="0"/>
    <m/>
    <n v="0"/>
    <n v="0"/>
    <n v="0"/>
    <n v="0"/>
    <n v="0"/>
    <m/>
    <m/>
    <m/>
    <m/>
    <m/>
    <m/>
    <m/>
    <m/>
    <m/>
    <m/>
    <n v="0"/>
    <n v="0"/>
    <m/>
    <m/>
    <m/>
    <m/>
    <m/>
    <m/>
    <m/>
    <m/>
    <m/>
    <m/>
    <m/>
    <m/>
    <n v="0"/>
    <m/>
    <m/>
    <m/>
    <m/>
    <m/>
    <m/>
    <m/>
    <m/>
    <m/>
    <n v="71500"/>
    <n v="56992"/>
    <m/>
    <m/>
    <m/>
  </r>
  <r>
    <x v="1605"/>
    <n v="260352.47333333301"/>
    <n v="4.4733333333333301"/>
    <n v="3.6073457037036998"/>
    <n v="0.80641111111111097"/>
    <n v="0.99"/>
    <m/>
    <m/>
    <m/>
    <m/>
    <m/>
    <n v="0"/>
    <m/>
    <n v="0"/>
    <n v="0"/>
    <n v="0"/>
    <n v="0"/>
    <n v="0"/>
    <m/>
    <m/>
    <m/>
    <m/>
    <m/>
    <m/>
    <m/>
    <m/>
    <m/>
    <m/>
    <n v="0"/>
    <n v="0"/>
    <m/>
    <m/>
    <m/>
    <m/>
    <m/>
    <m/>
    <m/>
    <m/>
    <m/>
    <m/>
    <m/>
    <m/>
    <n v="0"/>
    <m/>
    <m/>
    <m/>
    <m/>
    <m/>
    <m/>
    <m/>
    <m/>
    <m/>
    <n v="71500"/>
    <n v="56992"/>
    <m/>
    <m/>
    <m/>
  </r>
  <r>
    <x v="1606"/>
    <n v="260352.47333333301"/>
    <n v="4.4733333333333301"/>
    <n v="3.6072959999999998"/>
    <n v="0.80640000000000001"/>
    <n v="0.99"/>
    <m/>
    <m/>
    <m/>
    <m/>
    <m/>
    <n v="0"/>
    <m/>
    <n v="0"/>
    <n v="0"/>
    <n v="0"/>
    <n v="0"/>
    <n v="0"/>
    <m/>
    <m/>
    <m/>
    <m/>
    <m/>
    <m/>
    <m/>
    <m/>
    <m/>
    <m/>
    <n v="0"/>
    <n v="0"/>
    <m/>
    <m/>
    <m/>
    <m/>
    <m/>
    <m/>
    <m/>
    <m/>
    <m/>
    <m/>
    <m/>
    <m/>
    <n v="0"/>
    <m/>
    <m/>
    <m/>
    <m/>
    <m/>
    <m/>
    <m/>
    <m/>
    <m/>
    <n v="71500"/>
    <n v="56992"/>
    <m/>
    <m/>
    <m/>
  </r>
  <r>
    <x v="1607"/>
    <n v="260352.47333333301"/>
    <n v="4.4733333333333301"/>
    <n v="3.6072462962962999"/>
    <n v="0.80638888888888904"/>
    <n v="0.99"/>
    <m/>
    <m/>
    <m/>
    <m/>
    <m/>
    <n v="0"/>
    <m/>
    <n v="0"/>
    <n v="0"/>
    <n v="0"/>
    <n v="0"/>
    <n v="0"/>
    <m/>
    <m/>
    <m/>
    <m/>
    <m/>
    <m/>
    <m/>
    <m/>
    <m/>
    <m/>
    <n v="0"/>
    <n v="0"/>
    <m/>
    <m/>
    <m/>
    <m/>
    <m/>
    <m/>
    <m/>
    <m/>
    <m/>
    <m/>
    <m/>
    <m/>
    <n v="0"/>
    <m/>
    <m/>
    <m/>
    <m/>
    <m/>
    <m/>
    <m/>
    <m/>
    <m/>
    <n v="71500"/>
    <n v="56992"/>
    <m/>
    <m/>
    <m/>
  </r>
  <r>
    <x v="1608"/>
    <n v="260352.47333333301"/>
    <n v="4.4733333333333301"/>
    <n v="3.6071965925925902"/>
    <n v="0.80637777777777797"/>
    <n v="0.99"/>
    <m/>
    <m/>
    <m/>
    <m/>
    <m/>
    <n v="0"/>
    <m/>
    <n v="0"/>
    <n v="0"/>
    <n v="0"/>
    <n v="0"/>
    <n v="0"/>
    <m/>
    <m/>
    <m/>
    <m/>
    <m/>
    <m/>
    <m/>
    <m/>
    <m/>
    <m/>
    <n v="0"/>
    <n v="0"/>
    <m/>
    <m/>
    <m/>
    <m/>
    <m/>
    <m/>
    <m/>
    <m/>
    <m/>
    <m/>
    <m/>
    <m/>
    <n v="0"/>
    <m/>
    <m/>
    <m/>
    <m/>
    <m/>
    <m/>
    <m/>
    <m/>
    <m/>
    <n v="71500"/>
    <n v="56992"/>
    <m/>
    <m/>
    <m/>
  </r>
  <r>
    <x v="1609"/>
    <n v="260352.47333333301"/>
    <n v="4.4733333333333301"/>
    <n v="3.6071468888888898"/>
    <n v="0.80636666666666701"/>
    <n v="0.99"/>
    <m/>
    <m/>
    <m/>
    <m/>
    <m/>
    <n v="0"/>
    <m/>
    <n v="0"/>
    <n v="0"/>
    <n v="0"/>
    <n v="0"/>
    <n v="0"/>
    <m/>
    <m/>
    <m/>
    <m/>
    <m/>
    <m/>
    <m/>
    <m/>
    <m/>
    <m/>
    <n v="0"/>
    <n v="0"/>
    <m/>
    <m/>
    <m/>
    <m/>
    <m/>
    <m/>
    <m/>
    <m/>
    <m/>
    <m/>
    <m/>
    <m/>
    <n v="0"/>
    <m/>
    <m/>
    <m/>
    <m/>
    <m/>
    <m/>
    <m/>
    <m/>
    <m/>
    <n v="71500"/>
    <n v="56992"/>
    <m/>
    <m/>
    <m/>
  </r>
  <r>
    <x v="1610"/>
    <n v="260352.47333333301"/>
    <n v="4.4733333333333301"/>
    <n v="3.6070971851851801"/>
    <n v="0.80635555555555505"/>
    <n v="0.99"/>
    <m/>
    <m/>
    <m/>
    <m/>
    <m/>
    <n v="0"/>
    <m/>
    <n v="0"/>
    <n v="0"/>
    <n v="0"/>
    <n v="0"/>
    <n v="0"/>
    <m/>
    <m/>
    <m/>
    <m/>
    <m/>
    <m/>
    <m/>
    <m/>
    <m/>
    <m/>
    <n v="0"/>
    <n v="0"/>
    <m/>
    <m/>
    <m/>
    <m/>
    <m/>
    <m/>
    <m/>
    <m/>
    <m/>
    <m/>
    <m/>
    <m/>
    <n v="0"/>
    <m/>
    <m/>
    <m/>
    <m/>
    <m/>
    <m/>
    <m/>
    <m/>
    <m/>
    <n v="71500"/>
    <n v="56992"/>
    <m/>
    <m/>
    <m/>
  </r>
  <r>
    <x v="1611"/>
    <n v="260352.47333333301"/>
    <n v="4.4733333333333301"/>
    <n v="3.6070474814814801"/>
    <n v="0.80634444444444398"/>
    <n v="0.99"/>
    <m/>
    <m/>
    <m/>
    <m/>
    <m/>
    <n v="0"/>
    <m/>
    <n v="0"/>
    <n v="0"/>
    <n v="0"/>
    <n v="0"/>
    <n v="0"/>
    <m/>
    <m/>
    <m/>
    <m/>
    <m/>
    <m/>
    <m/>
    <m/>
    <m/>
    <m/>
    <n v="0"/>
    <n v="0"/>
    <m/>
    <m/>
    <m/>
    <m/>
    <m/>
    <m/>
    <m/>
    <m/>
    <m/>
    <m/>
    <m/>
    <m/>
    <n v="0"/>
    <m/>
    <m/>
    <m/>
    <m/>
    <m/>
    <m/>
    <m/>
    <m/>
    <m/>
    <n v="71500"/>
    <n v="56992"/>
    <m/>
    <m/>
    <m/>
  </r>
  <r>
    <x v="1612"/>
    <n v="255977.841935484"/>
    <n v="4.3290322580645197"/>
    <n v="3.4906430107526898"/>
    <n v="0.80633333333333301"/>
    <n v="0.99"/>
    <m/>
    <m/>
    <m/>
    <m/>
    <m/>
    <n v="0"/>
    <m/>
    <n v="0"/>
    <n v="0"/>
    <n v="0"/>
    <n v="0"/>
    <n v="0"/>
    <m/>
    <m/>
    <m/>
    <m/>
    <m/>
    <m/>
    <m/>
    <m/>
    <m/>
    <m/>
    <n v="0"/>
    <n v="0"/>
    <m/>
    <m/>
    <m/>
    <m/>
    <m/>
    <m/>
    <m/>
    <m/>
    <m/>
    <m/>
    <m/>
    <m/>
    <n v="0"/>
    <m/>
    <m/>
    <m/>
    <m/>
    <m/>
    <m/>
    <m/>
    <m/>
    <m/>
    <n v="71500"/>
    <n v="56992"/>
    <m/>
    <m/>
    <m/>
  </r>
  <r>
    <x v="1613"/>
    <n v="255977.841935484"/>
    <n v="4.3290322580645197"/>
    <n v="3.4905949103942699"/>
    <n v="0.80632222222222205"/>
    <n v="0.99"/>
    <m/>
    <m/>
    <m/>
    <m/>
    <m/>
    <n v="0"/>
    <m/>
    <n v="0"/>
    <n v="0"/>
    <n v="0"/>
    <n v="0"/>
    <n v="0"/>
    <m/>
    <m/>
    <m/>
    <m/>
    <m/>
    <m/>
    <m/>
    <m/>
    <m/>
    <m/>
    <n v="0"/>
    <n v="0"/>
    <m/>
    <m/>
    <m/>
    <m/>
    <m/>
    <m/>
    <m/>
    <m/>
    <m/>
    <m/>
    <m/>
    <m/>
    <n v="0"/>
    <m/>
    <m/>
    <m/>
    <m/>
    <m/>
    <m/>
    <m/>
    <m/>
    <m/>
    <n v="71500"/>
    <n v="56992"/>
    <m/>
    <m/>
    <m/>
  </r>
  <r>
    <x v="1614"/>
    <n v="255977.841935484"/>
    <n v="4.3290322580645197"/>
    <n v="3.4905468100358399"/>
    <n v="0.80631111111111098"/>
    <n v="0.99"/>
    <m/>
    <m/>
    <m/>
    <m/>
    <m/>
    <n v="0"/>
    <m/>
    <n v="0"/>
    <n v="0"/>
    <n v="0"/>
    <n v="0"/>
    <n v="0"/>
    <m/>
    <m/>
    <m/>
    <m/>
    <m/>
    <m/>
    <m/>
    <m/>
    <m/>
    <m/>
    <n v="0"/>
    <n v="0"/>
    <m/>
    <m/>
    <m/>
    <m/>
    <m/>
    <m/>
    <m/>
    <m/>
    <m/>
    <m/>
    <m/>
    <m/>
    <n v="0"/>
    <m/>
    <m/>
    <m/>
    <m/>
    <m/>
    <m/>
    <m/>
    <m/>
    <m/>
    <n v="71500"/>
    <n v="56992"/>
    <m/>
    <m/>
    <m/>
  </r>
  <r>
    <x v="1615"/>
    <n v="255977.841935484"/>
    <n v="4.3290322580645197"/>
    <n v="3.49049870967742"/>
    <n v="0.80630000000000002"/>
    <n v="0.99"/>
    <m/>
    <m/>
    <m/>
    <m/>
    <m/>
    <n v="0"/>
    <m/>
    <n v="0"/>
    <n v="0"/>
    <n v="0"/>
    <n v="0"/>
    <n v="0"/>
    <m/>
    <m/>
    <m/>
    <m/>
    <m/>
    <m/>
    <m/>
    <m/>
    <m/>
    <m/>
    <n v="0"/>
    <n v="0"/>
    <m/>
    <m/>
    <m/>
    <m/>
    <m/>
    <m/>
    <m/>
    <m/>
    <m/>
    <m/>
    <m/>
    <m/>
    <n v="0"/>
    <m/>
    <m/>
    <m/>
    <m/>
    <m/>
    <m/>
    <m/>
    <m/>
    <m/>
    <n v="71500"/>
    <n v="56992"/>
    <m/>
    <m/>
    <m/>
  </r>
  <r>
    <x v="1616"/>
    <n v="255977.841935484"/>
    <n v="4.3290322580645197"/>
    <n v="3.4904506093190002"/>
    <n v="0.80628888888888905"/>
    <n v="0.99"/>
    <m/>
    <m/>
    <m/>
    <m/>
    <m/>
    <n v="0"/>
    <m/>
    <n v="0"/>
    <n v="0"/>
    <n v="0"/>
    <n v="0"/>
    <n v="0"/>
    <m/>
    <m/>
    <m/>
    <m/>
    <m/>
    <m/>
    <m/>
    <m/>
    <m/>
    <m/>
    <n v="0"/>
    <n v="0"/>
    <m/>
    <m/>
    <m/>
    <m/>
    <m/>
    <m/>
    <m/>
    <m/>
    <m/>
    <m/>
    <m/>
    <m/>
    <n v="0"/>
    <m/>
    <m/>
    <m/>
    <m/>
    <m/>
    <m/>
    <m/>
    <m/>
    <m/>
    <n v="71500"/>
    <n v="56992"/>
    <m/>
    <m/>
    <m/>
  </r>
  <r>
    <x v="1617"/>
    <n v="255977.841935484"/>
    <n v="4.3290322580645197"/>
    <n v="3.4904025089605701"/>
    <n v="0.80627777777777798"/>
    <n v="0.99"/>
    <m/>
    <m/>
    <m/>
    <m/>
    <m/>
    <n v="0"/>
    <m/>
    <n v="0"/>
    <n v="0"/>
    <n v="0"/>
    <n v="0"/>
    <n v="0"/>
    <m/>
    <m/>
    <m/>
    <m/>
    <m/>
    <m/>
    <m/>
    <m/>
    <m/>
    <m/>
    <n v="0"/>
    <n v="0"/>
    <m/>
    <m/>
    <m/>
    <m/>
    <m/>
    <m/>
    <m/>
    <m/>
    <m/>
    <m/>
    <m/>
    <m/>
    <n v="0"/>
    <m/>
    <m/>
    <m/>
    <m/>
    <m/>
    <m/>
    <m/>
    <m/>
    <m/>
    <n v="71500"/>
    <n v="56992"/>
    <m/>
    <m/>
    <m/>
  </r>
  <r>
    <x v="1618"/>
    <n v="255977.841935484"/>
    <n v="4.3290322580645197"/>
    <n v="3.4903544086021498"/>
    <n v="0.80626666666666702"/>
    <n v="0.99"/>
    <m/>
    <m/>
    <m/>
    <m/>
    <m/>
    <n v="0"/>
    <m/>
    <n v="0"/>
    <n v="0"/>
    <n v="0"/>
    <n v="0"/>
    <n v="0"/>
    <m/>
    <m/>
    <m/>
    <m/>
    <m/>
    <m/>
    <m/>
    <m/>
    <m/>
    <m/>
    <n v="0"/>
    <n v="0"/>
    <m/>
    <m/>
    <m/>
    <m/>
    <m/>
    <m/>
    <m/>
    <m/>
    <m/>
    <m/>
    <m/>
    <m/>
    <n v="0"/>
    <m/>
    <m/>
    <m/>
    <m/>
    <m/>
    <m/>
    <m/>
    <m/>
    <m/>
    <n v="71500"/>
    <n v="56992"/>
    <m/>
    <m/>
    <m/>
  </r>
  <r>
    <x v="1619"/>
    <n v="255977.841935484"/>
    <n v="4.3290322580645197"/>
    <n v="3.49030630824373"/>
    <n v="0.80625555555555595"/>
    <n v="0.99"/>
    <m/>
    <m/>
    <m/>
    <m/>
    <m/>
    <n v="0"/>
    <m/>
    <n v="0"/>
    <n v="0"/>
    <n v="0"/>
    <n v="0"/>
    <n v="0"/>
    <m/>
    <m/>
    <m/>
    <m/>
    <m/>
    <m/>
    <m/>
    <m/>
    <m/>
    <m/>
    <n v="0"/>
    <n v="0"/>
    <m/>
    <m/>
    <m/>
    <m/>
    <m/>
    <m/>
    <m/>
    <m/>
    <m/>
    <m/>
    <m/>
    <m/>
    <n v="0"/>
    <m/>
    <m/>
    <m/>
    <m/>
    <m/>
    <m/>
    <m/>
    <m/>
    <m/>
    <n v="71500"/>
    <n v="56992"/>
    <m/>
    <m/>
    <m/>
  </r>
  <r>
    <x v="1620"/>
    <n v="255977.841935484"/>
    <n v="4.3290322580645197"/>
    <n v="3.4902582078852999"/>
    <n v="0.80624444444444399"/>
    <n v="0.99"/>
    <m/>
    <m/>
    <m/>
    <m/>
    <m/>
    <n v="0"/>
    <m/>
    <n v="0"/>
    <n v="0"/>
    <n v="0"/>
    <n v="0"/>
    <n v="0"/>
    <m/>
    <m/>
    <m/>
    <m/>
    <m/>
    <m/>
    <m/>
    <m/>
    <m/>
    <m/>
    <n v="0"/>
    <n v="0"/>
    <m/>
    <m/>
    <m/>
    <m/>
    <m/>
    <m/>
    <m/>
    <m/>
    <m/>
    <m/>
    <m/>
    <m/>
    <n v="0"/>
    <m/>
    <m/>
    <m/>
    <m/>
    <m/>
    <m/>
    <m/>
    <m/>
    <m/>
    <n v="71500"/>
    <n v="56992"/>
    <m/>
    <m/>
    <m/>
  </r>
  <r>
    <x v="1621"/>
    <n v="255977.841935484"/>
    <n v="4.3290322580645197"/>
    <n v="3.4902101075268801"/>
    <n v="0.80623333333333302"/>
    <n v="0.99"/>
    <m/>
    <m/>
    <m/>
    <m/>
    <m/>
    <n v="0"/>
    <m/>
    <n v="0"/>
    <n v="0"/>
    <n v="0"/>
    <n v="0"/>
    <n v="0"/>
    <m/>
    <m/>
    <m/>
    <m/>
    <m/>
    <m/>
    <m/>
    <m/>
    <m/>
    <m/>
    <n v="0"/>
    <n v="0"/>
    <m/>
    <m/>
    <m/>
    <m/>
    <m/>
    <m/>
    <m/>
    <m/>
    <m/>
    <m/>
    <m/>
    <m/>
    <n v="0"/>
    <m/>
    <m/>
    <m/>
    <m/>
    <m/>
    <m/>
    <m/>
    <m/>
    <m/>
    <n v="71500"/>
    <n v="56992"/>
    <m/>
    <m/>
    <m/>
  </r>
  <r>
    <x v="1622"/>
    <n v="255977.841935484"/>
    <n v="4.3290322580645197"/>
    <n v="3.4901620071684598"/>
    <n v="0.80622222222222195"/>
    <n v="0.99"/>
    <m/>
    <m/>
    <m/>
    <m/>
    <m/>
    <n v="0"/>
    <m/>
    <n v="0"/>
    <n v="0"/>
    <n v="0"/>
    <n v="0"/>
    <n v="0"/>
    <m/>
    <m/>
    <m/>
    <m/>
    <m/>
    <m/>
    <m/>
    <m/>
    <m/>
    <m/>
    <n v="0"/>
    <n v="0"/>
    <m/>
    <m/>
    <m/>
    <m/>
    <m/>
    <m/>
    <m/>
    <m/>
    <m/>
    <m/>
    <m/>
    <m/>
    <n v="0"/>
    <m/>
    <m/>
    <m/>
    <m/>
    <m/>
    <m/>
    <m/>
    <m/>
    <m/>
    <n v="71500"/>
    <n v="56992"/>
    <m/>
    <m/>
    <m/>
  </r>
  <r>
    <x v="1623"/>
    <n v="255977.841935484"/>
    <n v="4.3290322580645197"/>
    <n v="3.49011390681004"/>
    <n v="0.80621111111111099"/>
    <n v="0.99"/>
    <m/>
    <m/>
    <m/>
    <m/>
    <m/>
    <n v="0"/>
    <m/>
    <n v="0"/>
    <n v="0"/>
    <n v="0"/>
    <n v="0"/>
    <n v="0"/>
    <m/>
    <m/>
    <m/>
    <m/>
    <m/>
    <m/>
    <m/>
    <m/>
    <m/>
    <m/>
    <n v="0"/>
    <n v="0"/>
    <m/>
    <m/>
    <m/>
    <m/>
    <m/>
    <m/>
    <m/>
    <m/>
    <m/>
    <m/>
    <m/>
    <m/>
    <n v="0"/>
    <m/>
    <m/>
    <m/>
    <m/>
    <m/>
    <m/>
    <m/>
    <m/>
    <m/>
    <n v="71500"/>
    <n v="56992"/>
    <m/>
    <m/>
    <m/>
  </r>
  <r>
    <x v="1624"/>
    <n v="255977.841935484"/>
    <n v="4.3290322580645197"/>
    <n v="3.4900658064516099"/>
    <n v="0.80620000000000003"/>
    <n v="0.99"/>
    <m/>
    <m/>
    <m/>
    <m/>
    <m/>
    <n v="0"/>
    <m/>
    <n v="0"/>
    <n v="0"/>
    <n v="0"/>
    <n v="0"/>
    <n v="0"/>
    <m/>
    <m/>
    <m/>
    <m/>
    <m/>
    <m/>
    <m/>
    <m/>
    <m/>
    <m/>
    <n v="0"/>
    <n v="0"/>
    <m/>
    <m/>
    <m/>
    <m/>
    <m/>
    <m/>
    <m/>
    <m/>
    <m/>
    <m/>
    <m/>
    <m/>
    <n v="0"/>
    <m/>
    <m/>
    <m/>
    <m/>
    <m/>
    <m/>
    <m/>
    <m/>
    <m/>
    <n v="71500"/>
    <n v="56992"/>
    <m/>
    <m/>
    <m/>
  </r>
  <r>
    <x v="1625"/>
    <n v="255977.841935484"/>
    <n v="4.3290322580645197"/>
    <n v="3.4900177060931901"/>
    <n v="0.80618888888888895"/>
    <n v="0.99"/>
    <m/>
    <m/>
    <m/>
    <m/>
    <m/>
    <n v="0"/>
    <m/>
    <n v="0"/>
    <n v="0"/>
    <n v="0"/>
    <n v="0"/>
    <n v="0"/>
    <m/>
    <m/>
    <m/>
    <m/>
    <m/>
    <m/>
    <m/>
    <m/>
    <m/>
    <m/>
    <n v="0"/>
    <n v="0"/>
    <m/>
    <m/>
    <m/>
    <m/>
    <m/>
    <m/>
    <m/>
    <m/>
    <m/>
    <m/>
    <m/>
    <m/>
    <n v="0"/>
    <m/>
    <m/>
    <m/>
    <m/>
    <m/>
    <m/>
    <m/>
    <m/>
    <m/>
    <n v="71500"/>
    <n v="56992"/>
    <m/>
    <m/>
    <m/>
  </r>
  <r>
    <x v="1626"/>
    <n v="255977.841935484"/>
    <n v="4.3290322580645197"/>
    <n v="3.4899696057347702"/>
    <n v="0.80617777777777799"/>
    <n v="0.99"/>
    <m/>
    <m/>
    <m/>
    <m/>
    <m/>
    <n v="0"/>
    <m/>
    <n v="0"/>
    <n v="0"/>
    <n v="0"/>
    <n v="0"/>
    <n v="0"/>
    <m/>
    <m/>
    <m/>
    <m/>
    <m/>
    <m/>
    <m/>
    <m/>
    <m/>
    <m/>
    <n v="0"/>
    <n v="0"/>
    <m/>
    <m/>
    <m/>
    <m/>
    <m/>
    <m/>
    <m/>
    <m/>
    <m/>
    <m/>
    <m/>
    <m/>
    <n v="0"/>
    <m/>
    <m/>
    <m/>
    <m/>
    <m/>
    <m/>
    <m/>
    <m/>
    <m/>
    <n v="71500"/>
    <n v="56992"/>
    <m/>
    <m/>
    <m/>
  </r>
  <r>
    <x v="1627"/>
    <n v="255977.841935484"/>
    <n v="4.3290322580645197"/>
    <n v="3.4899215053763402"/>
    <n v="0.80616666666666703"/>
    <n v="0.99"/>
    <m/>
    <m/>
    <m/>
    <m/>
    <m/>
    <n v="0"/>
    <m/>
    <n v="0"/>
    <n v="0"/>
    <n v="0"/>
    <n v="0"/>
    <n v="0"/>
    <m/>
    <m/>
    <m/>
    <m/>
    <m/>
    <m/>
    <m/>
    <m/>
    <m/>
    <m/>
    <n v="0"/>
    <n v="0"/>
    <m/>
    <m/>
    <m/>
    <m/>
    <m/>
    <m/>
    <m/>
    <m/>
    <m/>
    <m/>
    <m/>
    <m/>
    <n v="0"/>
    <m/>
    <m/>
    <m/>
    <m/>
    <m/>
    <m/>
    <m/>
    <m/>
    <m/>
    <n v="71500"/>
    <n v="56992"/>
    <m/>
    <m/>
    <m/>
  </r>
  <r>
    <x v="1628"/>
    <n v="255977.841935484"/>
    <n v="4.3290322580645197"/>
    <n v="3.4898734050179199"/>
    <n v="0.80615555555555596"/>
    <n v="0.99"/>
    <m/>
    <m/>
    <m/>
    <m/>
    <m/>
    <n v="0"/>
    <m/>
    <n v="0"/>
    <n v="0"/>
    <n v="0"/>
    <n v="0"/>
    <n v="0"/>
    <m/>
    <m/>
    <m/>
    <m/>
    <m/>
    <m/>
    <m/>
    <m/>
    <m/>
    <m/>
    <n v="0"/>
    <n v="0"/>
    <m/>
    <m/>
    <m/>
    <m/>
    <m/>
    <m/>
    <m/>
    <m/>
    <m/>
    <m/>
    <m/>
    <m/>
    <n v="0"/>
    <m/>
    <m/>
    <m/>
    <m/>
    <m/>
    <m/>
    <m/>
    <m/>
    <m/>
    <n v="71500"/>
    <n v="56992"/>
    <m/>
    <m/>
    <m/>
  </r>
  <r>
    <x v="1629"/>
    <n v="255977.841935484"/>
    <n v="4.3290322580645197"/>
    <n v="3.4898253046595"/>
    <n v="0.806144444444444"/>
    <n v="0.99"/>
    <m/>
    <m/>
    <m/>
    <m/>
    <m/>
    <n v="0"/>
    <m/>
    <n v="0"/>
    <n v="0"/>
    <n v="0"/>
    <n v="0"/>
    <n v="0"/>
    <m/>
    <m/>
    <m/>
    <m/>
    <m/>
    <m/>
    <m/>
    <m/>
    <m/>
    <m/>
    <n v="0"/>
    <n v="0"/>
    <m/>
    <m/>
    <m/>
    <m/>
    <m/>
    <m/>
    <m/>
    <m/>
    <m/>
    <m/>
    <m/>
    <m/>
    <n v="0"/>
    <m/>
    <m/>
    <m/>
    <m/>
    <m/>
    <m/>
    <m/>
    <m/>
    <m/>
    <n v="71500"/>
    <n v="56992"/>
    <m/>
    <m/>
    <m/>
  </r>
  <r>
    <x v="1630"/>
    <n v="255977.841935484"/>
    <n v="4.3290322580645197"/>
    <n v="3.4897772043010802"/>
    <n v="0.80613333333333304"/>
    <n v="0.99"/>
    <m/>
    <m/>
    <m/>
    <m/>
    <m/>
    <n v="0"/>
    <m/>
    <n v="0"/>
    <n v="0"/>
    <n v="0"/>
    <n v="0"/>
    <n v="0"/>
    <m/>
    <m/>
    <m/>
    <m/>
    <m/>
    <m/>
    <m/>
    <m/>
    <m/>
    <m/>
    <n v="0"/>
    <n v="0"/>
    <m/>
    <m/>
    <m/>
    <m/>
    <m/>
    <m/>
    <m/>
    <m/>
    <m/>
    <m/>
    <m/>
    <m/>
    <n v="0"/>
    <m/>
    <m/>
    <m/>
    <m/>
    <m/>
    <m/>
    <m/>
    <m/>
    <m/>
    <n v="71500"/>
    <n v="56992"/>
    <m/>
    <m/>
    <m/>
  </r>
  <r>
    <x v="1631"/>
    <n v="255977.841935484"/>
    <n v="4.3290322580645197"/>
    <n v="3.4897291039426501"/>
    <n v="0.80612222222222196"/>
    <n v="0.99"/>
    <m/>
    <m/>
    <m/>
    <m/>
    <m/>
    <n v="0"/>
    <m/>
    <n v="0"/>
    <n v="0"/>
    <n v="0"/>
    <n v="0"/>
    <n v="0"/>
    <m/>
    <m/>
    <m/>
    <m/>
    <m/>
    <m/>
    <m/>
    <m/>
    <m/>
    <m/>
    <n v="0"/>
    <n v="0"/>
    <m/>
    <m/>
    <m/>
    <m/>
    <m/>
    <m/>
    <m/>
    <m/>
    <m/>
    <m/>
    <m/>
    <m/>
    <n v="0"/>
    <m/>
    <m/>
    <m/>
    <m/>
    <m/>
    <m/>
    <m/>
    <m/>
    <m/>
    <n v="71500"/>
    <n v="56992"/>
    <m/>
    <m/>
    <m/>
  </r>
  <r>
    <x v="1632"/>
    <n v="255977.841935484"/>
    <n v="4.3290322580645197"/>
    <n v="3.4896810035842298"/>
    <n v="0.806111111111111"/>
    <n v="0.99"/>
    <m/>
    <m/>
    <m/>
    <m/>
    <m/>
    <n v="0"/>
    <m/>
    <n v="0"/>
    <n v="0"/>
    <n v="0"/>
    <n v="0"/>
    <n v="0"/>
    <m/>
    <m/>
    <m/>
    <m/>
    <m/>
    <m/>
    <m/>
    <m/>
    <m/>
    <m/>
    <n v="0"/>
    <n v="0"/>
    <m/>
    <m/>
    <m/>
    <m/>
    <m/>
    <m/>
    <m/>
    <m/>
    <m/>
    <m/>
    <m/>
    <m/>
    <n v="0"/>
    <m/>
    <m/>
    <m/>
    <m/>
    <m/>
    <m/>
    <m/>
    <m/>
    <m/>
    <n v="71500"/>
    <n v="56992"/>
    <m/>
    <m/>
    <m/>
  </r>
  <r>
    <x v="1633"/>
    <n v="255977.841935484"/>
    <n v="4.3290322580645197"/>
    <n v="3.48963290322581"/>
    <n v="0.80610000000000004"/>
    <n v="0.99"/>
    <m/>
    <m/>
    <m/>
    <m/>
    <m/>
    <n v="0"/>
    <m/>
    <n v="0"/>
    <n v="0"/>
    <n v="0"/>
    <n v="0"/>
    <n v="0"/>
    <m/>
    <m/>
    <m/>
    <m/>
    <m/>
    <m/>
    <m/>
    <m/>
    <m/>
    <m/>
    <n v="0"/>
    <n v="0"/>
    <m/>
    <m/>
    <m/>
    <m/>
    <m/>
    <m/>
    <m/>
    <m/>
    <m/>
    <m/>
    <m/>
    <m/>
    <n v="0"/>
    <m/>
    <m/>
    <m/>
    <m/>
    <m/>
    <m/>
    <m/>
    <m/>
    <m/>
    <n v="71500"/>
    <n v="56992"/>
    <m/>
    <m/>
    <m/>
  </r>
  <r>
    <x v="1634"/>
    <n v="255977.841935484"/>
    <n v="4.3290322580645197"/>
    <n v="3.4895848028673799"/>
    <n v="0.80608888888888897"/>
    <n v="0.99"/>
    <m/>
    <m/>
    <m/>
    <m/>
    <m/>
    <n v="0"/>
    <m/>
    <n v="0"/>
    <n v="0"/>
    <n v="0"/>
    <n v="0"/>
    <n v="0"/>
    <m/>
    <m/>
    <m/>
    <m/>
    <m/>
    <m/>
    <m/>
    <m/>
    <m/>
    <m/>
    <n v="0"/>
    <n v="0"/>
    <m/>
    <m/>
    <m/>
    <m/>
    <m/>
    <m/>
    <m/>
    <m/>
    <m/>
    <m/>
    <m/>
    <m/>
    <n v="0"/>
    <m/>
    <m/>
    <m/>
    <m/>
    <m/>
    <m/>
    <m/>
    <m/>
    <m/>
    <n v="71500"/>
    <n v="56992"/>
    <m/>
    <m/>
    <m/>
  </r>
  <r>
    <x v="1635"/>
    <n v="255977.841935484"/>
    <n v="4.3290322580645197"/>
    <n v="3.4895367025089601"/>
    <n v="0.806077777777778"/>
    <n v="0.99"/>
    <m/>
    <m/>
    <m/>
    <m/>
    <m/>
    <n v="0"/>
    <m/>
    <n v="0"/>
    <n v="0"/>
    <n v="0"/>
    <n v="0"/>
    <n v="0"/>
    <m/>
    <m/>
    <m/>
    <m/>
    <m/>
    <m/>
    <m/>
    <m/>
    <m/>
    <m/>
    <n v="0"/>
    <n v="0"/>
    <m/>
    <m/>
    <m/>
    <m/>
    <m/>
    <m/>
    <m/>
    <m/>
    <m/>
    <m/>
    <m/>
    <m/>
    <n v="0"/>
    <m/>
    <m/>
    <m/>
    <m/>
    <m/>
    <m/>
    <m/>
    <m/>
    <m/>
    <n v="71500"/>
    <n v="56992"/>
    <m/>
    <m/>
    <m/>
  </r>
  <r>
    <x v="1636"/>
    <n v="255977.841935484"/>
    <n v="4.3290322580645197"/>
    <n v="3.4894886021505398"/>
    <n v="0.80606666666666704"/>
    <n v="0.99"/>
    <m/>
    <m/>
    <m/>
    <m/>
    <m/>
    <n v="0"/>
    <m/>
    <n v="0"/>
    <n v="0"/>
    <n v="0"/>
    <n v="0"/>
    <n v="0"/>
    <m/>
    <m/>
    <m/>
    <m/>
    <m/>
    <m/>
    <m/>
    <m/>
    <m/>
    <m/>
    <n v="0"/>
    <n v="0"/>
    <m/>
    <m/>
    <m/>
    <m/>
    <m/>
    <m/>
    <m/>
    <m/>
    <m/>
    <m/>
    <m/>
    <m/>
    <n v="0"/>
    <m/>
    <m/>
    <m/>
    <m/>
    <m/>
    <m/>
    <m/>
    <m/>
    <m/>
    <n v="71500"/>
    <n v="56992"/>
    <m/>
    <m/>
    <m/>
  </r>
  <r>
    <x v="1637"/>
    <n v="255977.841935484"/>
    <n v="4.3290322580645197"/>
    <n v="3.4894405017921102"/>
    <n v="0.80605555555555597"/>
    <n v="0.99"/>
    <m/>
    <m/>
    <m/>
    <m/>
    <m/>
    <n v="0"/>
    <m/>
    <n v="0"/>
    <n v="0"/>
    <n v="0"/>
    <n v="0"/>
    <n v="0"/>
    <m/>
    <m/>
    <m/>
    <m/>
    <m/>
    <m/>
    <m/>
    <m/>
    <m/>
    <m/>
    <n v="0"/>
    <n v="0"/>
    <m/>
    <m/>
    <m/>
    <m/>
    <m/>
    <m/>
    <m/>
    <m/>
    <m/>
    <m/>
    <m/>
    <m/>
    <n v="0"/>
    <m/>
    <m/>
    <m/>
    <m/>
    <m/>
    <m/>
    <m/>
    <m/>
    <m/>
    <n v="71500"/>
    <n v="56992"/>
    <m/>
    <m/>
    <m/>
  </r>
  <r>
    <x v="1638"/>
    <n v="255977.841935484"/>
    <n v="4.3290322580645197"/>
    <n v="3.4893924014336899"/>
    <n v="0.80604444444444401"/>
    <n v="0.99"/>
    <m/>
    <m/>
    <m/>
    <m/>
    <m/>
    <n v="0"/>
    <m/>
    <n v="0"/>
    <n v="0"/>
    <n v="0"/>
    <n v="0"/>
    <n v="0"/>
    <m/>
    <m/>
    <m/>
    <m/>
    <m/>
    <m/>
    <m/>
    <m/>
    <m/>
    <m/>
    <n v="0"/>
    <n v="0"/>
    <m/>
    <m/>
    <m/>
    <m/>
    <m/>
    <m/>
    <m/>
    <m/>
    <m/>
    <m/>
    <m/>
    <m/>
    <n v="0"/>
    <m/>
    <m/>
    <m/>
    <m/>
    <m/>
    <m/>
    <m/>
    <m/>
    <m/>
    <n v="71500"/>
    <n v="56992"/>
    <m/>
    <m/>
    <m/>
  </r>
  <r>
    <x v="1639"/>
    <n v="255977.841935484"/>
    <n v="4.3290322580645197"/>
    <n v="3.48934430107527"/>
    <n v="0.80603333333333305"/>
    <n v="0.99"/>
    <m/>
    <m/>
    <m/>
    <m/>
    <m/>
    <n v="0"/>
    <m/>
    <n v="0"/>
    <n v="0"/>
    <n v="0"/>
    <n v="0"/>
    <n v="0"/>
    <m/>
    <m/>
    <m/>
    <m/>
    <m/>
    <m/>
    <m/>
    <m/>
    <m/>
    <m/>
    <n v="0"/>
    <n v="0"/>
    <m/>
    <m/>
    <m/>
    <m/>
    <m/>
    <m/>
    <m/>
    <m/>
    <m/>
    <m/>
    <m/>
    <m/>
    <n v="0"/>
    <m/>
    <m/>
    <m/>
    <m/>
    <m/>
    <m/>
    <m/>
    <m/>
    <m/>
    <n v="71500"/>
    <n v="56992"/>
    <m/>
    <m/>
    <m/>
  </r>
  <r>
    <x v="1640"/>
    <n v="255977.841935484"/>
    <n v="4.3290322580645197"/>
    <n v="3.4892962007168502"/>
    <n v="0.80602222222222197"/>
    <n v="0.99"/>
    <m/>
    <m/>
    <m/>
    <m/>
    <m/>
    <n v="0"/>
    <m/>
    <n v="0"/>
    <n v="0"/>
    <n v="0"/>
    <n v="0"/>
    <n v="0"/>
    <m/>
    <m/>
    <m/>
    <m/>
    <m/>
    <m/>
    <m/>
    <m/>
    <m/>
    <m/>
    <n v="0"/>
    <n v="0"/>
    <m/>
    <m/>
    <m/>
    <m/>
    <m/>
    <m/>
    <m/>
    <m/>
    <m/>
    <m/>
    <m/>
    <m/>
    <n v="0"/>
    <m/>
    <m/>
    <m/>
    <m/>
    <m/>
    <m/>
    <m/>
    <m/>
    <m/>
    <n v="71500"/>
    <n v="56992"/>
    <m/>
    <m/>
    <m/>
  </r>
  <r>
    <x v="1641"/>
    <n v="255977.841935484"/>
    <n v="4.3290322580645197"/>
    <n v="3.4892481003584201"/>
    <n v="0.80601111111111101"/>
    <n v="0.99"/>
    <m/>
    <m/>
    <m/>
    <m/>
    <m/>
    <n v="0"/>
    <m/>
    <n v="0"/>
    <n v="0"/>
    <n v="0"/>
    <n v="0"/>
    <n v="0"/>
    <m/>
    <m/>
    <m/>
    <m/>
    <m/>
    <m/>
    <m/>
    <m/>
    <m/>
    <m/>
    <n v="0"/>
    <n v="0"/>
    <m/>
    <m/>
    <m/>
    <m/>
    <m/>
    <m/>
    <m/>
    <m/>
    <m/>
    <m/>
    <m/>
    <m/>
    <n v="0"/>
    <m/>
    <m/>
    <m/>
    <m/>
    <m/>
    <m/>
    <m/>
    <m/>
    <m/>
    <n v="71500"/>
    <n v="56992"/>
    <m/>
    <m/>
    <m/>
  </r>
  <r>
    <x v="1642"/>
    <n v="255977.841935484"/>
    <n v="4.3290322580645197"/>
    <n v="3.4891999999999999"/>
    <n v="0.80600000000000005"/>
    <n v="0.99"/>
    <m/>
    <m/>
    <m/>
    <m/>
    <m/>
    <n v="0"/>
    <m/>
    <n v="0"/>
    <n v="0"/>
    <n v="0"/>
    <n v="0"/>
    <n v="0"/>
    <m/>
    <m/>
    <m/>
    <m/>
    <m/>
    <m/>
    <m/>
    <m/>
    <m/>
    <m/>
    <n v="0"/>
    <n v="0"/>
    <m/>
    <m/>
    <m/>
    <m/>
    <m/>
    <m/>
    <m/>
    <m/>
    <m/>
    <m/>
    <m/>
    <m/>
    <n v="0"/>
    <m/>
    <m/>
    <m/>
    <m/>
    <m/>
    <m/>
    <m/>
    <m/>
    <m/>
    <n v="71500"/>
    <n v="56992"/>
    <m/>
    <m/>
    <m/>
  </r>
  <r>
    <x v="1643"/>
    <n v="236808"/>
    <n v="4.1399999999999997"/>
    <n v="3.33684"/>
    <n v="0.80600000000000005"/>
    <n v="0.99"/>
    <m/>
    <m/>
    <m/>
    <m/>
    <m/>
    <n v="0"/>
    <m/>
    <n v="0"/>
    <n v="0"/>
    <n v="0"/>
    <n v="0"/>
    <n v="0"/>
    <m/>
    <m/>
    <m/>
    <m/>
    <m/>
    <m/>
    <m/>
    <m/>
    <m/>
    <m/>
    <n v="0"/>
    <n v="0"/>
    <m/>
    <m/>
    <m/>
    <m/>
    <m/>
    <m/>
    <m/>
    <m/>
    <m/>
    <m/>
    <m/>
    <m/>
    <n v="0"/>
    <m/>
    <m/>
    <m/>
    <m/>
    <m/>
    <m/>
    <m/>
    <m/>
    <m/>
    <n v="71500"/>
    <n v="56992"/>
    <m/>
    <m/>
    <m/>
  </r>
  <r>
    <x v="1644"/>
    <n v="236808"/>
    <n v="4.1399999999999997"/>
    <n v="3.3367939999999998"/>
    <n v="0.80598888888888898"/>
    <n v="0.99"/>
    <m/>
    <m/>
    <m/>
    <m/>
    <m/>
    <n v="0"/>
    <m/>
    <n v="0"/>
    <n v="0"/>
    <n v="0"/>
    <n v="0"/>
    <n v="0"/>
    <m/>
    <m/>
    <m/>
    <m/>
    <m/>
    <m/>
    <m/>
    <m/>
    <m/>
    <m/>
    <n v="0"/>
    <n v="0"/>
    <m/>
    <m/>
    <m/>
    <m/>
    <m/>
    <m/>
    <m/>
    <m/>
    <m/>
    <m/>
    <m/>
    <m/>
    <n v="0"/>
    <m/>
    <m/>
    <m/>
    <m/>
    <m/>
    <m/>
    <m/>
    <m/>
    <m/>
    <n v="71500"/>
    <n v="56992"/>
    <m/>
    <m/>
    <m/>
  </r>
  <r>
    <x v="1645"/>
    <n v="236808"/>
    <n v="4.1399999999999997"/>
    <n v="3.336748"/>
    <n v="0.80597777777777802"/>
    <n v="0.99"/>
    <m/>
    <m/>
    <m/>
    <m/>
    <m/>
    <n v="0"/>
    <m/>
    <n v="0"/>
    <n v="0"/>
    <n v="0"/>
    <n v="0"/>
    <n v="0"/>
    <m/>
    <m/>
    <m/>
    <m/>
    <m/>
    <m/>
    <m/>
    <m/>
    <m/>
    <m/>
    <n v="0"/>
    <n v="0"/>
    <m/>
    <m/>
    <m/>
    <m/>
    <m/>
    <m/>
    <m/>
    <m/>
    <m/>
    <m/>
    <m/>
    <m/>
    <n v="0"/>
    <m/>
    <m/>
    <m/>
    <m/>
    <m/>
    <m/>
    <m/>
    <m/>
    <m/>
    <n v="71500"/>
    <n v="56992"/>
    <m/>
    <m/>
    <m/>
  </r>
  <r>
    <x v="1646"/>
    <n v="236808"/>
    <n v="4.1399999999999997"/>
    <n v="3.3367019999999998"/>
    <n v="0.80596666666666705"/>
    <n v="0.99"/>
    <m/>
    <m/>
    <m/>
    <m/>
    <m/>
    <n v="0"/>
    <m/>
    <n v="0"/>
    <n v="0"/>
    <n v="0"/>
    <n v="0"/>
    <n v="0"/>
    <m/>
    <m/>
    <m/>
    <m/>
    <m/>
    <m/>
    <m/>
    <m/>
    <m/>
    <m/>
    <n v="0"/>
    <n v="0"/>
    <m/>
    <m/>
    <m/>
    <m/>
    <m/>
    <m/>
    <m/>
    <m/>
    <m/>
    <m/>
    <m/>
    <m/>
    <n v="0"/>
    <m/>
    <m/>
    <m/>
    <m/>
    <m/>
    <m/>
    <m/>
    <m/>
    <m/>
    <n v="71500"/>
    <n v="56992"/>
    <m/>
    <m/>
    <m/>
  </r>
  <r>
    <x v="1647"/>
    <n v="236808"/>
    <n v="4.1399999999999997"/>
    <n v="3.3366560000000001"/>
    <n v="0.80595555555555598"/>
    <n v="0.99"/>
    <m/>
    <m/>
    <m/>
    <m/>
    <m/>
    <n v="0"/>
    <m/>
    <n v="0"/>
    <n v="0"/>
    <n v="0"/>
    <n v="0"/>
    <n v="0"/>
    <m/>
    <m/>
    <m/>
    <m/>
    <m/>
    <m/>
    <m/>
    <m/>
    <m/>
    <m/>
    <n v="0"/>
    <n v="0"/>
    <m/>
    <m/>
    <m/>
    <m/>
    <m/>
    <m/>
    <m/>
    <m/>
    <m/>
    <m/>
    <m/>
    <m/>
    <n v="0"/>
    <m/>
    <m/>
    <m/>
    <m/>
    <m/>
    <m/>
    <m/>
    <m/>
    <m/>
    <n v="71500"/>
    <n v="56992"/>
    <m/>
    <m/>
    <m/>
  </r>
  <r>
    <x v="1648"/>
    <n v="236808"/>
    <n v="4.1399999999999997"/>
    <n v="3.3366099999999999"/>
    <n v="0.80594444444444402"/>
    <n v="0.99"/>
    <m/>
    <m/>
    <m/>
    <m/>
    <m/>
    <n v="0"/>
    <m/>
    <n v="0"/>
    <n v="0"/>
    <n v="0"/>
    <n v="0"/>
    <n v="0"/>
    <m/>
    <m/>
    <m/>
    <m/>
    <m/>
    <m/>
    <m/>
    <m/>
    <m/>
    <m/>
    <n v="0"/>
    <n v="0"/>
    <m/>
    <m/>
    <m/>
    <m/>
    <m/>
    <m/>
    <m/>
    <m/>
    <m/>
    <m/>
    <m/>
    <m/>
    <n v="0"/>
    <m/>
    <m/>
    <m/>
    <m/>
    <m/>
    <m/>
    <m/>
    <m/>
    <m/>
    <n v="71500"/>
    <n v="56992"/>
    <m/>
    <m/>
    <m/>
  </r>
  <r>
    <x v="1649"/>
    <n v="236808"/>
    <n v="4.1399999999999997"/>
    <n v="3.3365640000000001"/>
    <n v="0.80593333333333295"/>
    <n v="0.99"/>
    <m/>
    <m/>
    <m/>
    <m/>
    <m/>
    <n v="0"/>
    <m/>
    <n v="0"/>
    <n v="0"/>
    <n v="0"/>
    <n v="0"/>
    <n v="0"/>
    <m/>
    <m/>
    <m/>
    <m/>
    <m/>
    <m/>
    <m/>
    <m/>
    <m/>
    <m/>
    <n v="0"/>
    <n v="0"/>
    <m/>
    <m/>
    <m/>
    <m/>
    <m/>
    <m/>
    <m/>
    <m/>
    <m/>
    <m/>
    <m/>
    <m/>
    <n v="0"/>
    <m/>
    <m/>
    <m/>
    <m/>
    <m/>
    <m/>
    <m/>
    <m/>
    <m/>
    <n v="71500"/>
    <n v="56992"/>
    <m/>
    <m/>
    <m/>
  </r>
  <r>
    <x v="1650"/>
    <n v="236808"/>
    <n v="4.1399999999999997"/>
    <n v="3.3365179999999999"/>
    <n v="0.80592222222222198"/>
    <n v="0.99"/>
    <m/>
    <m/>
    <m/>
    <m/>
    <m/>
    <n v="0"/>
    <m/>
    <n v="0"/>
    <n v="0"/>
    <n v="0"/>
    <n v="0"/>
    <n v="0"/>
    <m/>
    <m/>
    <m/>
    <m/>
    <m/>
    <m/>
    <m/>
    <m/>
    <m/>
    <m/>
    <n v="0"/>
    <n v="0"/>
    <m/>
    <m/>
    <m/>
    <m/>
    <m/>
    <m/>
    <m/>
    <m/>
    <m/>
    <m/>
    <m/>
    <m/>
    <n v="0"/>
    <m/>
    <m/>
    <m/>
    <m/>
    <m/>
    <m/>
    <m/>
    <m/>
    <m/>
    <n v="71500"/>
    <n v="56992"/>
    <m/>
    <m/>
    <m/>
  </r>
  <r>
    <x v="1651"/>
    <n v="236808"/>
    <n v="4.1399999999999997"/>
    <n v="3.3364720000000001"/>
    <n v="0.80591111111111102"/>
    <n v="0.99"/>
    <m/>
    <m/>
    <m/>
    <m/>
    <m/>
    <n v="0"/>
    <m/>
    <n v="0"/>
    <n v="0"/>
    <n v="0"/>
    <n v="0"/>
    <n v="0"/>
    <m/>
    <m/>
    <m/>
    <m/>
    <m/>
    <m/>
    <m/>
    <m/>
    <m/>
    <m/>
    <n v="0"/>
    <n v="0"/>
    <m/>
    <m/>
    <m/>
    <m/>
    <m/>
    <m/>
    <m/>
    <m/>
    <m/>
    <m/>
    <m/>
    <m/>
    <n v="0"/>
    <m/>
    <m/>
    <m/>
    <m/>
    <m/>
    <m/>
    <m/>
    <m/>
    <m/>
    <n v="71500"/>
    <n v="5699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F163E7-3CCD-40CB-994D-CD0D8E69B0E8}"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E22" firstHeaderRow="0" firstDataRow="1" firstDataCol="2"/>
  <pivotFields count="60">
    <pivotField compact="0" numFmtId="15" outline="0"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outline="0" showAll="0"/>
    <pivotField compact="0" numFmtId="168" outline="0" showAll="0"/>
    <pivotField compact="0" numFmtId="168" outline="0" showAll="0"/>
    <pivotField compact="0" numFmtId="10" outline="0" showAll="0"/>
    <pivotField compact="0" numFmtId="10" outline="0" showAll="0"/>
    <pivotField compact="0" outline="0" showAll="0"/>
    <pivotField compact="0" outline="0" showAll="0"/>
    <pivotField compact="0" outline="0" showAll="0"/>
    <pivotField compact="0" outline="0" showAll="0"/>
    <pivotField compact="0" outline="0" showAll="0"/>
    <pivotField compact="0" numFmtId="3" outline="0" showAll="0"/>
    <pivotField dataField="1" compact="0" outline="0" showAll="0"/>
    <pivotField compact="0" numFmtId="3" outline="0" showAll="0"/>
    <pivotField compact="0" outline="0" showAll="0"/>
    <pivotField dataField="1" compact="0" outline="0" showAll="0"/>
    <pivotField dataField="1"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9">
        <item sd="0" x="0"/>
        <item x="1"/>
        <item x="2"/>
        <item sd="0" x="3"/>
        <item sd="0" x="4"/>
        <item sd="0" x="5"/>
        <item sd="0" x="6"/>
        <item sd="0" x="7"/>
        <item t="default"/>
      </items>
    </pivotField>
  </pivotFields>
  <rowFields count="2">
    <field x="59"/>
    <field x="57"/>
  </rowFields>
  <rowItems count="20">
    <i>
      <x v="1"/>
      <x v="12"/>
    </i>
    <i t="default">
      <x v="1"/>
    </i>
    <i>
      <x v="2"/>
      <x v="1"/>
    </i>
    <i r="1">
      <x v="2"/>
    </i>
    <i r="1">
      <x v="3"/>
    </i>
    <i r="1">
      <x v="4"/>
    </i>
    <i r="1">
      <x v="5"/>
    </i>
    <i r="1">
      <x v="6"/>
    </i>
    <i r="1">
      <x v="7"/>
    </i>
    <i r="1">
      <x v="8"/>
    </i>
    <i r="1">
      <x v="9"/>
    </i>
    <i r="1">
      <x v="10"/>
    </i>
    <i r="1">
      <x v="11"/>
    </i>
    <i r="1">
      <x v="12"/>
    </i>
    <i t="default">
      <x v="2"/>
    </i>
    <i>
      <x v="3"/>
    </i>
    <i>
      <x v="4"/>
    </i>
    <i>
      <x v="5"/>
    </i>
    <i>
      <x v="6"/>
    </i>
    <i t="grand">
      <x/>
    </i>
  </rowItems>
  <colFields count="1">
    <field x="-2"/>
  </colFields>
  <colItems count="3">
    <i>
      <x/>
    </i>
    <i i="1">
      <x v="1"/>
    </i>
    <i i="2">
      <x v="2"/>
    </i>
  </colItems>
  <dataFields count="3">
    <dataField name="Sum of PAE Energy (kWh)" fld="12" baseField="0" baseItem="0"/>
    <dataField name="Sum of Generation (kWh)" fld="15" baseField="0" baseItem="0"/>
    <dataField name="Sum of Corrected Meter Generation (kWh)" fld="16" baseField="0" baseItem="0"/>
  </dataFields>
  <formats count="2">
    <format dxfId="3">
      <pivotArea outline="0" fieldPosition="0">
        <references count="1">
          <reference field="59" count="1" selected="0" defaultSubtotal="1">
            <x v="1"/>
          </reference>
        </references>
      </pivotArea>
    </format>
    <format dxfId="2">
      <pivotArea outline="0" fieldPosition="0">
        <references count="2">
          <reference field="57" count="10" selected="0">
            <x v="1"/>
            <x v="2"/>
            <x v="3"/>
            <x v="4"/>
            <x v="5"/>
            <x v="6"/>
            <x v="7"/>
            <x v="8"/>
            <x v="9"/>
            <x v="10"/>
          </reference>
          <reference field="59"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DF1392-15FE-468E-9590-19FDDE01CA1B}" name="Table1" displayName="Table1" ref="A3:AY33" totalsRowShown="0">
  <autoFilter ref="A3:AY33" xr:uid="{CDDF1392-15FE-468E-9590-19FDDE01CA1B}"/>
  <tableColumns count="51">
    <tableColumn id="1" xr3:uid="{A6688F40-3782-4697-9F26-5F96F798F8A1}" name="Date" dataDxfId="8"/>
    <tableColumn id="2" xr3:uid="{CF467DFE-A19C-4EF0-B6C2-4930CBF7D359}" name="Energy (kWh)"/>
    <tableColumn id="3" xr3:uid="{47D0C87B-8DA4-4036-8B97-3401BA52DD7D}" name="GHI"/>
    <tableColumn id="4" xr3:uid="{617B0E63-D027-43C6-ABA8-84AB9481F0DC}" name="SY"/>
    <tableColumn id="5" xr3:uid="{9AFB9435-81DA-45F4-B3BC-EC5056306442}" name="PR"/>
    <tableColumn id="6" xr3:uid="{1DDFF09F-05C5-48D0-83BE-1C8EF8BC0BE2}" name="Availability"/>
    <tableColumn id="7" xr3:uid="{7E41F4F3-95BE-4012-9448-E5F68B0001BC}" name="OG1"/>
    <tableColumn id="8" xr3:uid="{315C98DA-4CE2-40F4-9FFE-9BB24A659576}" name="OG2"/>
    <tableColumn id="9" xr3:uid="{0416E238-5EB6-4226-8616-256A5EC2E2E6}" name="OG3"/>
    <tableColumn id="10" xr3:uid="{7A20DACD-82DE-4E44-8816-F468EC704630}" name="OG4"/>
    <tableColumn id="11" xr3:uid="{C7155CBE-9FF3-45B7-8278-904875C7D749}" name="OG5"/>
    <tableColumn id="12" xr3:uid="{4D28E2F9-9285-4990-BB60-D668A2DA07C1}" name="Total Meter Generation (kWh)"/>
    <tableColumn id="13" xr3:uid="{5AE46205-C550-4D1A-A0E8-100F91870EF8}" name="PAE Energy (kWh)"/>
    <tableColumn id="14" xr3:uid="{749313C8-481F-47D3-92AB-D9AAFCC2FB55}" name="Curtailed Energy (kWh)"/>
    <tableColumn id="15" xr3:uid="{155DA202-EA42-4109-B31A-CFAB1C5EA4D4}" name="Corrected Meter Generation (kWh)"/>
    <tableColumn id="16" xr3:uid="{F25596B7-FFE5-4094-B930-3EBAA94B382A}" name="STS1"/>
    <tableColumn id="17" xr3:uid="{9D0FB324-D0CF-491E-A2BB-FD2414D7950C}" name="STS2"/>
    <tableColumn id="18" xr3:uid="{16A99A0F-3978-42BE-8E33-B1592FD4003C}" name="STS3"/>
    <tableColumn id="19" xr3:uid="{4AAEBEDA-8EB2-464F-B880-7FE94C5B3A42}" name="STS4"/>
    <tableColumn id="20" xr3:uid="{DF9D2193-8D21-4567-978A-9BC10E5FC693}" name="STS5"/>
    <tableColumn id="21" xr3:uid="{1B2C2948-4CB6-4DB2-AA6C-ED7CAD110E34}" name="STS6"/>
    <tableColumn id="22" xr3:uid="{DEA14CEA-4F93-4A1A-ADC7-0C497B7DA468}" name="STS7"/>
    <tableColumn id="23" xr3:uid="{009FC4F9-15AF-4C54-83F4-ABCDE5D1DE4E}" name="STS8"/>
    <tableColumn id="24" xr3:uid="{082D46F5-8DEF-475C-AF2D-CBAFF94BF225}" name="STS9"/>
    <tableColumn id="25" xr3:uid="{4EC6090E-BAA7-4BFD-81B4-21E8B222469D}" name="STS10"/>
    <tableColumn id="26" xr3:uid="{B41C749E-C12A-47B2-908B-AD0E92D10E4D}" name="Total STS Generation (kWh)"/>
    <tableColumn id="27" xr3:uid="{4EB3A6E7-2444-4CDD-A387-671E1AF474EF}" name="Corrected STS Generation (kWh)"/>
    <tableColumn id="28" xr3:uid="{A3E53E49-A361-4E2D-8ECD-A1277D07C4EA}" name="STS12"/>
    <tableColumn id="29" xr3:uid="{7A0437EA-4E64-4C78-B2BB-360A457BA529}" name="STS22"/>
    <tableColumn id="30" xr3:uid="{1409240E-9FCA-4829-9F0A-7528E0F8766E}" name="STS32"/>
    <tableColumn id="31" xr3:uid="{23507EA1-4260-413D-A248-7CC4A6F447F3}" name="STS42"/>
    <tableColumn id="32" xr3:uid="{9B309F54-80CB-4571-B6FE-7A9C5238775E}" name="STS52"/>
    <tableColumn id="33" xr3:uid="{E79E391E-0F60-445D-89A6-6616C89E247B}" name="STS62"/>
    <tableColumn id="34" xr3:uid="{35D493D1-944F-4637-833B-4EF0771A15B0}" name="STS72"/>
    <tableColumn id="35" xr3:uid="{0B3C721F-1C66-46D1-8CFB-69237051D850}" name="STS82"/>
    <tableColumn id="36" xr3:uid="{4F45CF9A-8C24-49CE-8B57-808107D32340}" name="STS92"/>
    <tableColumn id="37" xr3:uid="{C9AA62F4-FA68-41DA-AE1A-2417CFDC2B17}" name="STS102"/>
    <tableColumn id="38" xr3:uid="{6D5DA9BE-EA8D-473D-ACA0-E2A1DD2D8909}" name="MTR-STS Ratio (Mtr/Inv)"/>
    <tableColumn id="39" xr3:uid="{5D290F68-1D47-4F63-AC7B-463BC01BF1F0}" name="Daily Specific Yield"/>
    <tableColumn id="40" xr3:uid="{80811BE2-B956-48A5-8D17-89AE9B1B5C94}" name="WS01"/>
    <tableColumn id="41" xr3:uid="{ED6BCE0B-98C0-4E9F-A826-B8CB36A318AC}" name="WS02"/>
    <tableColumn id="42" xr3:uid="{A8291B46-9C33-4C0D-8A34-924570ACBC7D}" name="WS03"/>
    <tableColumn id="43" xr3:uid="{D7837C24-A0B8-4C6D-A64F-ED93057989F7}" name="WS04"/>
    <tableColumn id="44" xr3:uid="{B2EC6981-C1C3-4DC9-8756-A322A8414233}" name="WS05"/>
    <tableColumn id="45" xr3:uid="{F5FD8321-9834-4F41-AAD3-B780FF44A64C}" name="Average GHI"/>
    <tableColumn id="46" xr3:uid="{166F4105-C4D8-48DB-A23E-2972654BCD73}" name="Plant Performance Ratio (PR)"/>
    <tableColumn id="47" xr3:uid="{ABFBCEBA-822E-4606-B7B1-D9CE7C6CCC87}" name="Corrected Plant PR"/>
    <tableColumn id="48" xr3:uid="{B901428C-B644-4702-A6A1-3B47036C479D}" name="System Availability (%)"/>
    <tableColumn id="49" xr3:uid="{4772CC47-503E-4B6F-8C25-EEAC8D6E4761}" name="PV Capacity (kWp) "/>
    <tableColumn id="50" xr3:uid="{E91D7622-0685-44F6-B77A-9D6B3308947A}" name="AC Capacity"/>
    <tableColumn id="51" xr3:uid="{EF30CDBC-843C-4C89-B915-7AC5096B4572}" name="Special remarks (any event happened causing low Performanc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33FB5A-E77E-454A-ADD4-71758D621BD3}" name="Table2" displayName="Table2" ref="A3:AY33" totalsRowShown="0">
  <autoFilter ref="A3:AY33" xr:uid="{0733FB5A-E77E-454A-ADD4-71758D621BD3}"/>
  <tableColumns count="51">
    <tableColumn id="1" xr3:uid="{F2B8EC9F-1355-4C33-8363-CEACD4F13C1E}" name="Date" dataDxfId="6"/>
    <tableColumn id="2" xr3:uid="{75B9F98A-B658-4125-B403-F3E361C5C908}" name="Energy (kWh)"/>
    <tableColumn id="3" xr3:uid="{39E9889A-7CFC-4160-9AF2-14E86AB1CF1B}" name="GHI"/>
    <tableColumn id="4" xr3:uid="{93BD709A-F25D-40C1-998D-74EBD5F90661}" name="SY"/>
    <tableColumn id="5" xr3:uid="{9075C868-5FEA-4881-A5C8-251E31A5A37E}" name="PR"/>
    <tableColumn id="6" xr3:uid="{84BBA5D0-D8E0-47A9-9774-F80BBB5F7866}" name="Availability"/>
    <tableColumn id="7" xr3:uid="{839A7809-1F31-410C-819D-3DF84FCE6A69}" name="OG1"/>
    <tableColumn id="8" xr3:uid="{A637D101-6FE7-45C9-AF9E-7F00CDE32FDC}" name="OG2"/>
    <tableColumn id="9" xr3:uid="{EE77A411-8376-4DDC-86A3-D99EBC1591DE}" name="OG3"/>
    <tableColumn id="10" xr3:uid="{49AA9575-DFF6-4767-B3DB-A14B020011D9}" name="OG4"/>
    <tableColumn id="11" xr3:uid="{9C94863D-06DD-4131-945D-65C83D27B063}" name="OG5"/>
    <tableColumn id="12" xr3:uid="{04CC089A-9DBE-4D3E-89C3-609E9E77848A}" name="Total Meter Generation (kWh)"/>
    <tableColumn id="13" xr3:uid="{44E841BC-C9DC-4D2C-B3F2-6FF5F6FEB848}" name="PAE Energy (kWh)"/>
    <tableColumn id="14" xr3:uid="{7FB015E4-D4AF-4288-9379-6CE3DE76F0A1}" name="Curtailed Energy (kWh)"/>
    <tableColumn id="15" xr3:uid="{4AAA760F-8E90-456E-9577-8773E0094AEE}" name="Corrected Meter Generation (kWh)"/>
    <tableColumn id="16" xr3:uid="{DB7B964C-30F0-42CE-9C80-9F798C252A2F}" name="STS1"/>
    <tableColumn id="17" xr3:uid="{DDB28473-9E4D-4920-8248-44CA0100DDBA}" name="STS2"/>
    <tableColumn id="18" xr3:uid="{6E67A11D-87EE-44B0-B97B-408B579149C0}" name="STS3"/>
    <tableColumn id="19" xr3:uid="{753E6607-6F6E-4107-B5DB-DC8F0FA5ECF8}" name="STS4"/>
    <tableColumn id="20" xr3:uid="{33A99F6C-ADE6-461B-BB63-42834943DC31}" name="STS5"/>
    <tableColumn id="21" xr3:uid="{80583138-DDDC-48BA-8F62-86A975ADEDCD}" name="STS6"/>
    <tableColumn id="22" xr3:uid="{F415A47C-32C5-4E3A-8377-CBBA0787CA78}" name="STS7"/>
    <tableColumn id="23" xr3:uid="{95357866-018F-4797-A963-63CFC2659F54}" name="STS8"/>
    <tableColumn id="24" xr3:uid="{587536C6-7195-421E-B5D4-918C03DE786A}" name="STS9"/>
    <tableColumn id="25" xr3:uid="{C98D9E50-91BF-491A-BF9B-29D08265F2BC}" name="STS10"/>
    <tableColumn id="26" xr3:uid="{E6FD8742-79F8-4D85-BE73-BC38ECFDB883}" name="Total STS Generation (kWh)"/>
    <tableColumn id="27" xr3:uid="{C132948E-C080-42DA-A294-429A0F1D0EBE}" name="Corrected STS Generation (kWh)"/>
    <tableColumn id="28" xr3:uid="{26EA9241-F61C-4984-9787-D57669559C69}" name="STS12"/>
    <tableColumn id="29" xr3:uid="{8561C6AD-46CA-4C3B-B778-CD67C4E74175}" name="STS22"/>
    <tableColumn id="30" xr3:uid="{5C5670BF-A2F3-4A6C-B8A4-F6C25C78CAB6}" name="STS32"/>
    <tableColumn id="31" xr3:uid="{25B91802-5749-43BC-B85D-75DF56333F07}" name="STS42"/>
    <tableColumn id="32" xr3:uid="{404BFBB7-6318-49D5-952D-0C805FFB6137}" name="STS52"/>
    <tableColumn id="33" xr3:uid="{FD3DA00B-5686-4064-8DBC-5B6168DCBEC6}" name="STS62"/>
    <tableColumn id="34" xr3:uid="{6FA4BC5E-CBB9-472B-AD50-BE621E9C4253}" name="STS72"/>
    <tableColumn id="35" xr3:uid="{E097E905-0D38-419D-B1DE-9C7810F86D07}" name="STS82"/>
    <tableColumn id="36" xr3:uid="{A400ACD5-D39B-47F0-9811-EF319B2A7DAD}" name="STS92"/>
    <tableColumn id="37" xr3:uid="{6CF0EFAE-47D8-482E-8860-375D1E2BEA3D}" name="STS102"/>
    <tableColumn id="38" xr3:uid="{C9BBA775-6517-4366-A3BE-CC2D0E6575B2}" name="MTR-STS Ratio (Mtr/Inv)"/>
    <tableColumn id="39" xr3:uid="{49877553-F80C-4AB9-AD40-647E5276B70D}" name="Daily Specific Yield"/>
    <tableColumn id="40" xr3:uid="{5C5D5F85-B30D-417D-97BE-BFA66440143B}" name="WS01"/>
    <tableColumn id="41" xr3:uid="{02950C85-519C-41CB-8E72-6B61B7092B53}" name="WS02"/>
    <tableColumn id="42" xr3:uid="{661FABC6-934F-4A9E-890A-043E7F3D6EE3}" name="WS03"/>
    <tableColumn id="43" xr3:uid="{704E415A-9B53-4802-879B-79116C0516EB}" name="WS04"/>
    <tableColumn id="44" xr3:uid="{0E64730A-FA5E-4A8A-A0AA-34E7A09279A3}" name="WS05"/>
    <tableColumn id="45" xr3:uid="{CB07ECEA-0F1C-4CCC-BBD3-3473BD88600E}" name="Average GHI"/>
    <tableColumn id="46" xr3:uid="{9FA446B2-920F-4335-8CBD-0BA99A39DB4C}" name="Plant Performance Ratio (PR)"/>
    <tableColumn id="47" xr3:uid="{4237901A-D27E-45AD-B2BE-7CF683EE49DE}" name="Corrected Plant PR"/>
    <tableColumn id="48" xr3:uid="{8A05A42D-438B-4347-8B29-F6618B135B99}" name="System Availability (%)"/>
    <tableColumn id="49" xr3:uid="{AF32AE1A-B7E5-4FA3-A81D-370080FAF89B}" name="PV Capacity (kWp) "/>
    <tableColumn id="50" xr3:uid="{3BE5A666-9872-4676-83F2-EB28A114A918}" name="AC Capacity"/>
    <tableColumn id="51" xr3:uid="{0456B393-A632-4B0B-AE82-E04835C720B8}" name="Special remarks (any event happened causing low Performanc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1645A8-3743-44D3-A3BD-8FE87CF0FD02}" name="Table3" displayName="Table3" ref="A1:BC32" totalsRowShown="0">
  <autoFilter ref="A1:BC32" xr:uid="{F01645A8-3743-44D3-A3BD-8FE87CF0FD02}"/>
  <tableColumns count="55">
    <tableColumn id="1" xr3:uid="{867D6099-A397-4296-BBD9-E04457BB12EB}" name="Date" dataDxfId="4"/>
    <tableColumn id="2" xr3:uid="{AFBDA071-BB57-43CA-9442-ED1FB1D95688}" name="Energy (kWh)"/>
    <tableColumn id="3" xr3:uid="{7E4EF4DF-AFA4-44A5-9511-44CB2394026B}" name="GHI"/>
    <tableColumn id="4" xr3:uid="{8CA8082C-9C74-4A80-B157-9845AAADFEC6}" name="SY"/>
    <tableColumn id="5" xr3:uid="{E96509B2-FD5D-4A75-BBA2-1054671490B7}" name="PR"/>
    <tableColumn id="6" xr3:uid="{7F5674D2-7FF4-4359-9946-3B1037C72048}" name="Availability"/>
    <tableColumn id="7" xr3:uid="{AB6844B2-F15D-4184-A598-06CEDA4A4F23}" name="OG1"/>
    <tableColumn id="8" xr3:uid="{8303412E-3D62-4B17-9661-01ED620E9D9F}" name="OG2"/>
    <tableColumn id="9" xr3:uid="{2A4591AA-E3ED-47EB-A33B-FEE381D212AF}" name="OG3"/>
    <tableColumn id="10" xr3:uid="{1A902C01-4181-4F57-9677-B5067E4BE901}" name="OG4"/>
    <tableColumn id="11" xr3:uid="{113D54D9-8A65-4E30-9D69-DC3B5DE7B615}" name="OG5"/>
    <tableColumn id="12" xr3:uid="{25CD8639-60C8-4899-9709-47CA336F698E}" name="Total Meter Generation (kWh)"/>
    <tableColumn id="13" xr3:uid="{D45BF647-7B40-4DCB-8AB9-68208938065F}" name="PAE Energy (kWh)"/>
    <tableColumn id="14" xr3:uid="{DFF8BC1E-6EEB-4060-812A-55F65A284CF5}" name="Curtailed Energy (kWh)"/>
    <tableColumn id="15" xr3:uid="{CFAEFE5F-EB5D-434F-BC16-E0519B0C278B}" name="Generation (kWh)"/>
    <tableColumn id="16" xr3:uid="{8E8B73B4-4AB8-4FE1-8B64-68822F205C78}" name="Corrected Meter Generation (kWh)"/>
    <tableColumn id="17" xr3:uid="{7AE2A13B-0D64-44B1-9713-E6A46A2A0831}" name="STS1"/>
    <tableColumn id="18" xr3:uid="{43CF7E35-40DC-4D0A-AD78-8B8473FADA70}" name="STS2"/>
    <tableColumn id="19" xr3:uid="{14BB74D5-2242-49CC-B518-83BFE9DDF098}" name="STS3"/>
    <tableColumn id="20" xr3:uid="{6682C8F8-114B-4AE1-B90E-8F1EADF83F77}" name="STS4"/>
    <tableColumn id="21" xr3:uid="{00FDD23A-82F5-4A45-A134-0B2B7C7105DF}" name="STS5"/>
    <tableColumn id="22" xr3:uid="{B63F5F1A-D46B-4365-ACB0-37C53430531F}" name="STS6"/>
    <tableColumn id="23" xr3:uid="{AE40E717-26B6-4194-A369-07F12409A2F9}" name="STS7"/>
    <tableColumn id="24" xr3:uid="{B2148F50-3541-4491-82C1-E036DADCCA4E}" name="STS8"/>
    <tableColumn id="25" xr3:uid="{AF840349-A6D1-4812-BB63-4AA3905250ED}" name="STS9"/>
    <tableColumn id="26" xr3:uid="{EB3EC76F-2F27-4033-83FC-CFC08AE415CC}" name="STS10"/>
    <tableColumn id="27" xr3:uid="{9A660EC7-C738-43CE-B924-BC7CBD42C2A1}" name="Total STS Generation (kWh)"/>
    <tableColumn id="28" xr3:uid="{200E83D3-727C-496C-9FB0-40699C8FBA94}" name="Corrected STS Generation (kWh)"/>
    <tableColumn id="29" xr3:uid="{CCF1853F-9892-4DDF-BF56-463E07532B53}" name="Auxiliary Energy (kWh)"/>
    <tableColumn id="30" xr3:uid="{B4634C03-A782-484B-8B8A-5F6FCB7F81B4}" name="STS12"/>
    <tableColumn id="31" xr3:uid="{80E94D8B-6D33-43A5-8893-9B7D43C47240}" name="STS22"/>
    <tableColumn id="32" xr3:uid="{C6E895E9-B09D-47D0-8540-04ECAFFB2137}" name="STS32"/>
    <tableColumn id="33" xr3:uid="{4E4C41EF-B2CF-4375-B6BD-D8B2D0AA98F9}" name="STS42"/>
    <tableColumn id="34" xr3:uid="{12251725-186C-4280-BA93-7AA6AFA914BB}" name="STS52"/>
    <tableColumn id="35" xr3:uid="{A34619B0-CF1C-48F5-91CD-1218FA7AA437}" name="STS62"/>
    <tableColumn id="36" xr3:uid="{2EC4B788-E433-41B1-9E55-45DFDD9D1663}" name="STS72"/>
    <tableColumn id="37" xr3:uid="{3E716F15-9C79-443F-9F51-245888054A94}" name="STS82"/>
    <tableColumn id="38" xr3:uid="{9109AB05-74B1-423C-8444-DCDFFB7E6BBD}" name="STS92"/>
    <tableColumn id="39" xr3:uid="{48572EB0-AA93-4393-9006-43E88743F2B2}" name="STS102"/>
    <tableColumn id="40" xr3:uid="{6A1CFB01-B42C-4462-842A-199F2A475EC6}" name="MTR-STS Ratio (Mtr/Inv)"/>
    <tableColumn id="41" xr3:uid="{6748C812-02D3-4173-AFC6-32A94A743541}" name="Daily Specific Yield"/>
    <tableColumn id="42" xr3:uid="{56AA1A10-3147-4C25-BB61-32721B1DFE95}" name="WS01"/>
    <tableColumn id="43" xr3:uid="{8A1CE09D-3065-49C8-93C6-B6F5F3ACA361}" name="WS02"/>
    <tableColumn id="44" xr3:uid="{1B838CC5-EBD0-454E-AE8D-D540A032B9C9}" name="WS03"/>
    <tableColumn id="45" xr3:uid="{645E7A56-5698-4A4F-BFD5-04C58382240B}" name="WS04"/>
    <tableColumn id="46" xr3:uid="{B4BB09A5-E716-41F0-B1B2-90E3891D117A}" name="WS05"/>
    <tableColumn id="47" xr3:uid="{8AC1B581-EEE0-4E80-8D62-56656FB8B8F2}" name="Average GHI"/>
    <tableColumn id="48" xr3:uid="{0C1238EA-D346-47C4-9F74-D353396AF130}" name="Plant Performance Ratio (PR)"/>
    <tableColumn id="49" xr3:uid="{67707AC8-8A68-429E-B794-C7F449FAF2F6}" name="Corrected Plant PR"/>
    <tableColumn id="50" xr3:uid="{C0A47B33-2C5C-4E27-8F68-4881A4242317}" name="System Availability (%)"/>
    <tableColumn id="51" xr3:uid="{0AA55742-22F4-46AD-A020-5FD824F339FD}" name="PV Capacity (kWp) "/>
    <tableColumn id="52" xr3:uid="{5C820779-2417-4D6E-AAC5-FBADB6B45BAA}" name="AC Capacity"/>
    <tableColumn id="53" xr3:uid="{441E8694-1FBF-4E24-9205-6DF908AC4D97}" name="Busbar 1 (STS 1 - 5)"/>
    <tableColumn id="54" xr3:uid="{C3917FCC-C812-460C-AB5E-728F21AF0C5D}" name="Busbar 2 (STS 6 - 10)"/>
    <tableColumn id="55" xr3:uid="{E57A0528-2EE2-41B9-9B4A-50CEFCF272A7}" name="Special remarks (any event happened causing low Performa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166458-FFEB-4AEC-9664-2BAD7B1DD098}" name="Table4" displayName="Table4" ref="A3:BJ34" totalsRowShown="0">
  <autoFilter ref="A3:BJ34" xr:uid="{EB166458-FFEB-4AEC-9664-2BAD7B1DD098}"/>
  <tableColumns count="62">
    <tableColumn id="1" xr3:uid="{01505AB6-E1DE-41C2-88C9-0252CE56F4A3}" name="Date" dataDxfId="1"/>
    <tableColumn id="2" xr3:uid="{77C3A32D-9543-4C52-A716-6C08FE18533C}" name="Energy (kWh)"/>
    <tableColumn id="3" xr3:uid="{3BF39CED-F841-43EC-A9B4-0CD05E5ADF06}" name="GHI"/>
    <tableColumn id="4" xr3:uid="{94946FE1-A4A8-4C50-9693-EF48541207D6}" name="SY"/>
    <tableColumn id="5" xr3:uid="{5A06D719-4D78-4CBA-BEFF-CBF2E49FEFA4}" name="PR"/>
    <tableColumn id="6" xr3:uid="{7138D8E9-209E-4EEC-830E-A7D1589A1056}" name="Availability"/>
    <tableColumn id="7" xr3:uid="{5CE1067D-63B5-4C01-B4DC-8290678F6D99}" name="OG1"/>
    <tableColumn id="8" xr3:uid="{4FBB90AA-A27E-4EDB-826D-A161CF6A5AC1}" name="OG2"/>
    <tableColumn id="9" xr3:uid="{72E1D79D-E23A-448D-A761-F8358CA805AB}" name="OG3"/>
    <tableColumn id="10" xr3:uid="{0019F40F-0A8E-4A76-A341-789A78FDAC0C}" name="OG4"/>
    <tableColumn id="11" xr3:uid="{1F8E2835-B448-460F-AD1E-05983A647A2F}" name="OG5"/>
    <tableColumn id="12" xr3:uid="{8B77A8A0-D8CE-447D-B015-27DD02D7A780}" name="Total Meter Generation (kWh) (Technical)"/>
    <tableColumn id="13" xr3:uid="{422B9D31-0014-4A6D-843D-EEA1505366F3}" name="Total Meter Generation (kWh) (PLN Billing)"/>
    <tableColumn id="14" xr3:uid="{D186A485-C5F8-4AC0-9930-0E8F8DD5E25D}" name="PAE Energy (kWh) from 10 am to 10 am"/>
    <tableColumn id="15" xr3:uid="{3C9AC107-573D-46EB-9235-D65E777FA43C}" name="PAE Energy - Total Meter Generation (kWh)"/>
    <tableColumn id="16" xr3:uid="{2BB2737E-6E5D-44E6-B4D7-AFBC0BC43D17}" name="Curtailed Energy (kWh)"/>
    <tableColumn id="17" xr3:uid="{0B8ECC6E-DA29-48A9-844E-B018B80018FA}" name="Generation (kWh) (Technical)"/>
    <tableColumn id="18" xr3:uid="{02548EF6-7D8D-4713-A02D-5ED168F5371E}" name="Corrected Meter Generation (kWh)"/>
    <tableColumn id="19" xr3:uid="{0D4CEBBF-E9D2-42BB-8E9A-4DDB7EE66641}" name="PLN Meter Generation (kWh)"/>
    <tableColumn id="20" xr3:uid="{228D2260-A304-4F87-93DD-8D295801FF3F}" name="PLN Meter Generation (kWh)2"/>
    <tableColumn id="21" xr3:uid="{4CD6DA65-C711-451A-94C7-ECEB74E1A653}" name="STS1"/>
    <tableColumn id="22" xr3:uid="{CF946619-D45B-4321-821E-C5A673DC003E}" name="STS2"/>
    <tableColumn id="23" xr3:uid="{80E5BF1F-FCE4-4321-AC5E-F74E00F297C8}" name="STS3"/>
    <tableColumn id="24" xr3:uid="{DA71AD7F-8351-47F6-847C-441987373366}" name="STS4"/>
    <tableColumn id="25" xr3:uid="{F93161AA-7650-4712-918C-E93F2E903143}" name="STS5"/>
    <tableColumn id="26" xr3:uid="{588F0B7E-9328-4DE8-B663-FF16789F2F86}" name="STS6"/>
    <tableColumn id="27" xr3:uid="{25F33335-C6DC-4C79-AF31-D724EDFFFBD2}" name="STS7"/>
    <tableColumn id="28" xr3:uid="{5042F690-E78C-4F31-B625-1BD40CC0E4C0}" name="STS8"/>
    <tableColumn id="29" xr3:uid="{3D258507-2878-4751-9666-EFCF726EB94C}" name="STS9"/>
    <tableColumn id="30" xr3:uid="{639BC321-A029-4EB8-8544-A71C089885B4}" name="STS10"/>
    <tableColumn id="31" xr3:uid="{A2B42129-55C9-41E7-B8B0-74850A4D7B1B}" name="Total STS Generation (kWh)"/>
    <tableColumn id="32" xr3:uid="{1FD8E5C7-5F3C-453A-BA30-82E9DEDFF4F1}" name="PAE Energy (kWh) from 00.00 to 24.00"/>
    <tableColumn id="33" xr3:uid="{D11743BC-11ED-4E43-B35B-95318D6DD7B1}" name="Corrected STS Generation (kWh)"/>
    <tableColumn id="34" xr3:uid="{FDB52B43-F9B0-4EDE-9C1E-498181D02ABC}" name="Generation STS (kWh)"/>
    <tableColumn id="35" xr3:uid="{0BE17E7A-88B1-4BE1-80F4-B50EA9695662}" name="Auxiliary Energy (kWh)"/>
    <tableColumn id="36" xr3:uid="{4CA67C03-F1D8-4144-AA3A-B5B68BE4B914}" name="STS12"/>
    <tableColumn id="37" xr3:uid="{138A7C03-3067-4AA2-BDC9-EAA8A20DF08F}" name="STS22"/>
    <tableColumn id="38" xr3:uid="{E36B3BBA-DFF7-45A7-9B9C-08E7665FE21B}" name="STS32"/>
    <tableColumn id="39" xr3:uid="{F12149C8-8166-47ED-88D5-749DA505B921}" name="STS42"/>
    <tableColumn id="40" xr3:uid="{FC892383-481D-4D85-886D-96AF8C704189}" name="STS52"/>
    <tableColumn id="41" xr3:uid="{C13B264A-5FC7-4121-BD45-512A86EA793C}" name="STS62"/>
    <tableColumn id="42" xr3:uid="{DF0DB8D1-E994-43F2-88D9-2A7FBB94B752}" name="STS72"/>
    <tableColumn id="43" xr3:uid="{687EAE00-E168-49DE-A12C-765BA64759FB}" name="STS82"/>
    <tableColumn id="44" xr3:uid="{3B63B3EB-6CEF-4B18-9611-C58E11E5FDDA}" name="STS92"/>
    <tableColumn id="45" xr3:uid="{F7E14E8D-ACFC-46BB-8531-1B628875DD47}" name="STS102"/>
    <tableColumn id="46" xr3:uid="{468860B7-E2FC-427F-97F6-6FF49C94EA00}" name="MTR-STS Ratio (Mtr/Inv)"/>
    <tableColumn id="47" xr3:uid="{6594DC0D-01F6-4822-9616-FFD0FE70D277}" name="Daily Specific Yield (Technical)"/>
    <tableColumn id="48" xr3:uid="{914B2171-29A9-4915-A2E4-A137C543851E}" name="Daily Specific Yield (PLN Billing)"/>
    <tableColumn id="49" xr3:uid="{7D0A48E0-40DA-41EA-A9E3-C6AFA02ED4C4}" name="WS01"/>
    <tableColumn id="50" xr3:uid="{2CF5A87F-5F01-4A9C-8D07-8EE710B9AD1F}" name="WS02"/>
    <tableColumn id="51" xr3:uid="{DD946EA1-AA51-4E4B-B326-95138AD1674C}" name="WS03"/>
    <tableColumn id="52" xr3:uid="{2C054849-BAA0-41BC-BC51-B2EE9891E2A9}" name="WS04"/>
    <tableColumn id="53" xr3:uid="{70B9DB8F-473B-4650-8154-305A6631129E}" name="WS05"/>
    <tableColumn id="54" xr3:uid="{2CECD28F-2B64-47FC-BA3E-C4E45E1B1F11}" name="Average GHI"/>
    <tableColumn id="55" xr3:uid="{859205FA-019D-438D-93A3-97344194F93C}" name="Plant Performance Ratio (PR)"/>
    <tableColumn id="56" xr3:uid="{C2A68F54-1063-45CD-BF2C-6D19BE961B55}" name="Corrected Plant PR"/>
    <tableColumn id="57" xr3:uid="{79ADEF08-6E01-40BC-B6CB-B6474BDEB9DB}" name="System Availability (%)"/>
    <tableColumn id="58" xr3:uid="{C6C334A2-DC70-4A15-99FB-F731FCC23EDC}" name="PV Capacity (kWp) "/>
    <tableColumn id="59" xr3:uid="{B0AFE806-6812-4BB3-AFE2-6CB743E38526}" name="AC Capacity"/>
    <tableColumn id="60" xr3:uid="{4A74BC31-CDD9-4050-9169-04C1299F39CD}" name="Busbar 1 (STS 1 - 5)"/>
    <tableColumn id="61" xr3:uid="{EF68E20C-9FDE-4D48-9B7F-621D7543E1C3}" name="Busbar 2 (STS 6 - 10)"/>
    <tableColumn id="62" xr3:uid="{CE23B8AA-3C44-4295-AD6B-17A20E9E0ED4}" name="Special remarks (any event happened causing low Performan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4-11-02T01:36:18.48" personId="{E80CABB1-4017-4957-ABE5-EB5D65B7F0B9}" id="{A2216A3B-2EAF-419A-BB6F-58A3D77F7CE9}">
    <text>(Total Meter Generation
/
(No. of days in year-Remaining Days in Year))
/
((Shortfall to Contractual Lower
/
Remaining Days in Year))
-1</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5-11-24T04:51:54.76" personId="{4241F238-776C-450F-9B7A-9CDCD9C65002}" id="{FFCBD199-2204-43BD-B081-748438597D5D}">
    <text>Daily production of each STS takes place from approximately 6:00 a.m. to 6:00 p.m.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704C-9807-4701-94D2-BF6AE5520986}">
  <dimension ref="A1:E107"/>
  <sheetViews>
    <sheetView zoomScaleNormal="100" workbookViewId="0">
      <selection activeCell="A2" sqref="A2"/>
    </sheetView>
  </sheetViews>
  <sheetFormatPr defaultRowHeight="15" x14ac:dyDescent="0.25"/>
  <cols>
    <col min="1" max="1" width="48.85546875" style="4" bestFit="1" customWidth="1"/>
    <col min="2" max="2" width="38.140625" style="4" bestFit="1" customWidth="1"/>
    <col min="3" max="3" width="16" customWidth="1"/>
    <col min="4" max="4" width="33.28515625" customWidth="1"/>
    <col min="5" max="5" width="23.85546875" bestFit="1" customWidth="1"/>
  </cols>
  <sheetData>
    <row r="1" spans="1:2" x14ac:dyDescent="0.25">
      <c r="A1" s="10" t="s">
        <v>0</v>
      </c>
      <c r="B1" s="10" t="s">
        <v>1</v>
      </c>
    </row>
    <row r="2" spans="1:2" x14ac:dyDescent="0.25">
      <c r="A2" s="11" t="e">
        <f>SUM(D:D)/1000</f>
        <v>#REF!</v>
      </c>
      <c r="B2" s="11" t="e">
        <f>SUM(E:E)/1000</f>
        <v>#REF!</v>
      </c>
    </row>
    <row r="3" spans="1:2" x14ac:dyDescent="0.25">
      <c r="A3" s="10" t="s">
        <v>2</v>
      </c>
      <c r="B3" s="10" t="s">
        <v>3</v>
      </c>
    </row>
    <row r="4" spans="1:2" x14ac:dyDescent="0.25">
      <c r="A4" s="12">
        <f>B4/100*90</f>
        <v>68.515199999999993</v>
      </c>
      <c r="B4" s="13">
        <v>76.128</v>
      </c>
    </row>
    <row r="5" spans="1:2" x14ac:dyDescent="0.25">
      <c r="A5" s="10" t="s">
        <v>4</v>
      </c>
      <c r="B5" s="10" t="s">
        <v>5</v>
      </c>
    </row>
    <row r="6" spans="1:2" x14ac:dyDescent="0.25">
      <c r="A6" s="14" t="e">
        <f>B2/A4</f>
        <v>#REF!</v>
      </c>
      <c r="B6" s="14" t="e">
        <f>B2/B4</f>
        <v>#REF!</v>
      </c>
    </row>
    <row r="7" spans="1:2" x14ac:dyDescent="0.25">
      <c r="A7" s="10" t="s">
        <v>6</v>
      </c>
      <c r="B7" s="10" t="s">
        <v>7</v>
      </c>
    </row>
    <row r="8" spans="1:2" x14ac:dyDescent="0.25">
      <c r="A8" s="11" t="e">
        <f>$A$4-$B$2</f>
        <v>#REF!</v>
      </c>
      <c r="B8" s="11" t="e">
        <f>$B$4-$B$2</f>
        <v>#REF!</v>
      </c>
    </row>
    <row r="9" spans="1:2" x14ac:dyDescent="0.25">
      <c r="A9" s="10" t="s">
        <v>8</v>
      </c>
      <c r="B9" s="10" t="s">
        <v>9</v>
      </c>
    </row>
    <row r="10" spans="1:2" x14ac:dyDescent="0.25">
      <c r="A10" s="13">
        <v>2025</v>
      </c>
      <c r="B10" s="13">
        <f>DATEVALUE(_xlfn.CONCAT("31-Dec-",A10))-MAX(C:C)</f>
        <v>-981</v>
      </c>
    </row>
    <row r="11" spans="1:2" x14ac:dyDescent="0.25">
      <c r="A11" s="21" t="s">
        <v>10</v>
      </c>
      <c r="B11" s="21" t="s">
        <v>11</v>
      </c>
    </row>
    <row r="12" spans="1:2" x14ac:dyDescent="0.25">
      <c r="A12" s="22" t="e">
        <f xml:space="preserve"> (($B$2/(366-$B$10)) / ($A$8/$B$10))-1</f>
        <v>#REF!</v>
      </c>
      <c r="B12" s="22"/>
    </row>
    <row r="13" spans="1:2" x14ac:dyDescent="0.25">
      <c r="A13" s="15" t="s">
        <v>12</v>
      </c>
      <c r="B13" s="10" t="s">
        <v>13</v>
      </c>
    </row>
    <row r="14" spans="1:2" x14ac:dyDescent="0.25">
      <c r="A14" s="16" t="e">
        <f>A8*1000/B10</f>
        <v>#REF!</v>
      </c>
      <c r="B14" s="11" t="e">
        <f>B8*1000/B10</f>
        <v>#REF!</v>
      </c>
    </row>
    <row r="15" spans="1:2" x14ac:dyDescent="0.25">
      <c r="A15" s="20"/>
      <c r="B15" s="18"/>
    </row>
    <row r="16" spans="1:2" x14ac:dyDescent="0.25">
      <c r="A16" s="17"/>
      <c r="B16" s="18"/>
    </row>
    <row r="17" spans="3:5" x14ac:dyDescent="0.25">
      <c r="C17" s="5" t="s">
        <v>14</v>
      </c>
      <c r="D17" s="5" t="s">
        <v>15</v>
      </c>
      <c r="E17" s="5" t="s">
        <v>16</v>
      </c>
    </row>
    <row r="18" spans="3:5" x14ac:dyDescent="0.25">
      <c r="C18" s="19">
        <f>'Summary (PV)'!A1290</f>
        <v>46914</v>
      </c>
      <c r="D18" s="6" t="e">
        <f>#REF!/1000</f>
        <v>#REF!</v>
      </c>
      <c r="E18" s="6" t="e">
        <f>'Summary (PV)'!#REF!/1000</f>
        <v>#REF!</v>
      </c>
    </row>
    <row r="19" spans="3:5" x14ac:dyDescent="0.25">
      <c r="C19" s="19">
        <f>'Summary (PV)'!A1291</f>
        <v>46915</v>
      </c>
      <c r="D19" s="6" t="e">
        <f>#REF!/1000</f>
        <v>#REF!</v>
      </c>
      <c r="E19" s="6" t="e">
        <f>'Summary (PV)'!#REF!/1000</f>
        <v>#REF!</v>
      </c>
    </row>
    <row r="20" spans="3:5" x14ac:dyDescent="0.25">
      <c r="C20" s="19">
        <f>'Summary (PV)'!A1292</f>
        <v>46916</v>
      </c>
      <c r="D20" s="6" t="e">
        <f>#REF!/1000</f>
        <v>#REF!</v>
      </c>
      <c r="E20" s="6" t="e">
        <f>'Summary (PV)'!#REF!/1000</f>
        <v>#REF!</v>
      </c>
    </row>
    <row r="21" spans="3:5" x14ac:dyDescent="0.25">
      <c r="C21" s="19">
        <f>'Summary (PV)'!A1293</f>
        <v>46917</v>
      </c>
      <c r="D21" s="6" t="e">
        <f>#REF!/1000</f>
        <v>#REF!</v>
      </c>
      <c r="E21" s="6" t="e">
        <f>'Summary (PV)'!#REF!/1000</f>
        <v>#REF!</v>
      </c>
    </row>
    <row r="22" spans="3:5" x14ac:dyDescent="0.25">
      <c r="C22" s="19">
        <f>'Summary (PV)'!A1294</f>
        <v>46918</v>
      </c>
      <c r="D22" s="6" t="e">
        <f>#REF!/1000</f>
        <v>#REF!</v>
      </c>
      <c r="E22" s="6" t="e">
        <f>'Summary (PV)'!#REF!/1000</f>
        <v>#REF!</v>
      </c>
    </row>
    <row r="23" spans="3:5" x14ac:dyDescent="0.25">
      <c r="C23" s="19">
        <f>'Summary (PV)'!A1295</f>
        <v>46919</v>
      </c>
      <c r="D23" s="6" t="e">
        <f>#REF!/1000</f>
        <v>#REF!</v>
      </c>
      <c r="E23" s="6" t="e">
        <f>'Summary (PV)'!#REF!/1000</f>
        <v>#REF!</v>
      </c>
    </row>
    <row r="24" spans="3:5" x14ac:dyDescent="0.25">
      <c r="C24" s="19">
        <f>'Summary (PV)'!A1296</f>
        <v>46920</v>
      </c>
      <c r="D24" s="6" t="e">
        <f>#REF!/1000</f>
        <v>#REF!</v>
      </c>
      <c r="E24" s="6" t="e">
        <f>'Summary (PV)'!#REF!/1000</f>
        <v>#REF!</v>
      </c>
    </row>
    <row r="25" spans="3:5" x14ac:dyDescent="0.25">
      <c r="C25" s="19">
        <f>'Summary (PV)'!A1297</f>
        <v>46921</v>
      </c>
      <c r="D25" s="6" t="e">
        <f>#REF!/1000</f>
        <v>#REF!</v>
      </c>
      <c r="E25" s="6" t="e">
        <f>'Summary (PV)'!#REF!/1000</f>
        <v>#REF!</v>
      </c>
    </row>
    <row r="26" spans="3:5" x14ac:dyDescent="0.25">
      <c r="C26" s="19">
        <f>'Summary (PV)'!A1298</f>
        <v>46922</v>
      </c>
      <c r="D26" s="6" t="e">
        <f>#REF!/1000</f>
        <v>#REF!</v>
      </c>
      <c r="E26" s="6" t="e">
        <f>'Summary (PV)'!#REF!/1000</f>
        <v>#REF!</v>
      </c>
    </row>
    <row r="27" spans="3:5" x14ac:dyDescent="0.25">
      <c r="C27" s="19">
        <f>'Summary (PV)'!A1299</f>
        <v>46923</v>
      </c>
      <c r="D27" s="6" t="e">
        <f>#REF!/1000</f>
        <v>#REF!</v>
      </c>
      <c r="E27" s="6" t="e">
        <f>'Summary (PV)'!#REF!/1000</f>
        <v>#REF!</v>
      </c>
    </row>
    <row r="28" spans="3:5" x14ac:dyDescent="0.25">
      <c r="C28" s="19">
        <f>'Summary (PV)'!A1300</f>
        <v>46924</v>
      </c>
      <c r="D28" s="6" t="e">
        <f>#REF!/1000</f>
        <v>#REF!</v>
      </c>
      <c r="E28" s="6" t="e">
        <f>'Summary (PV)'!#REF!/1000</f>
        <v>#REF!</v>
      </c>
    </row>
    <row r="29" spans="3:5" x14ac:dyDescent="0.25">
      <c r="C29" s="19">
        <f>'Summary (PV)'!A1301</f>
        <v>46925</v>
      </c>
      <c r="D29" s="6" t="e">
        <f>#REF!/1000</f>
        <v>#REF!</v>
      </c>
      <c r="E29" s="6" t="e">
        <f>'Summary (PV)'!#REF!/1000</f>
        <v>#REF!</v>
      </c>
    </row>
    <row r="30" spans="3:5" x14ac:dyDescent="0.25">
      <c r="C30" s="19">
        <f>'Summary (PV)'!A1302</f>
        <v>46926</v>
      </c>
      <c r="D30" s="6" t="e">
        <f>#REF!/1000</f>
        <v>#REF!</v>
      </c>
      <c r="E30" s="6" t="e">
        <f>'Summary (PV)'!#REF!/1000</f>
        <v>#REF!</v>
      </c>
    </row>
    <row r="31" spans="3:5" x14ac:dyDescent="0.25">
      <c r="C31" s="19">
        <f>'Summary (PV)'!A1303</f>
        <v>46927</v>
      </c>
      <c r="D31" s="6" t="e">
        <f>#REF!/1000</f>
        <v>#REF!</v>
      </c>
      <c r="E31" s="6" t="e">
        <f>'Summary (PV)'!#REF!/1000</f>
        <v>#REF!</v>
      </c>
    </row>
    <row r="32" spans="3:5" x14ac:dyDescent="0.25">
      <c r="C32" s="19">
        <f>'Summary (PV)'!A1304</f>
        <v>46928</v>
      </c>
      <c r="D32" s="6" t="e">
        <f>#REF!/1000</f>
        <v>#REF!</v>
      </c>
      <c r="E32" s="6" t="e">
        <f>'Summary (PV)'!#REF!/1000</f>
        <v>#REF!</v>
      </c>
    </row>
    <row r="33" spans="3:5" x14ac:dyDescent="0.25">
      <c r="C33" s="19">
        <f>'Summary (PV)'!A1305</f>
        <v>46929</v>
      </c>
      <c r="D33" s="6" t="e">
        <f>#REF!/1000</f>
        <v>#REF!</v>
      </c>
      <c r="E33" s="6" t="e">
        <f>'Summary (PV)'!#REF!/1000</f>
        <v>#REF!</v>
      </c>
    </row>
    <row r="34" spans="3:5" x14ac:dyDescent="0.25">
      <c r="C34" s="19">
        <f>'Summary (PV)'!A1306</f>
        <v>46930</v>
      </c>
      <c r="D34" s="6" t="e">
        <f>#REF!/1000</f>
        <v>#REF!</v>
      </c>
      <c r="E34" s="6" t="e">
        <f>'Summary (PV)'!#REF!/1000</f>
        <v>#REF!</v>
      </c>
    </row>
    <row r="35" spans="3:5" x14ac:dyDescent="0.25">
      <c r="C35" s="19">
        <f>'Summary (PV)'!A1307</f>
        <v>46931</v>
      </c>
      <c r="D35" s="6" t="e">
        <f>#REF!/1000</f>
        <v>#REF!</v>
      </c>
      <c r="E35" s="6" t="e">
        <f>'Summary (PV)'!#REF!/1000</f>
        <v>#REF!</v>
      </c>
    </row>
    <row r="36" spans="3:5" x14ac:dyDescent="0.25">
      <c r="C36" s="19">
        <f>'Summary (PV)'!A1308</f>
        <v>46932</v>
      </c>
      <c r="D36" s="6" t="e">
        <f>#REF!/1000</f>
        <v>#REF!</v>
      </c>
      <c r="E36" s="6" t="e">
        <f>'Summary (PV)'!#REF!/1000</f>
        <v>#REF!</v>
      </c>
    </row>
    <row r="37" spans="3:5" x14ac:dyDescent="0.25">
      <c r="C37" s="19">
        <f>'Summary (PV)'!A1309</f>
        <v>46933</v>
      </c>
      <c r="D37" s="6" t="e">
        <f>#REF!/1000</f>
        <v>#REF!</v>
      </c>
      <c r="E37" s="6" t="e">
        <f>'Summary (PV)'!#REF!/1000</f>
        <v>#REF!</v>
      </c>
    </row>
    <row r="38" spans="3:5" x14ac:dyDescent="0.25">
      <c r="C38" s="19">
        <f>'Summary (PV)'!A1310</f>
        <v>46934</v>
      </c>
      <c r="D38" s="6" t="e">
        <f>#REF!/1000</f>
        <v>#REF!</v>
      </c>
      <c r="E38" s="6" t="e">
        <f>'Summary (PV)'!#REF!/1000</f>
        <v>#REF!</v>
      </c>
    </row>
    <row r="39" spans="3:5" x14ac:dyDescent="0.25">
      <c r="C39" s="19">
        <f>'Summary (PV)'!A1311</f>
        <v>46935</v>
      </c>
      <c r="D39" s="6" t="e">
        <f>#REF!/1000</f>
        <v>#REF!</v>
      </c>
      <c r="E39" s="6" t="e">
        <f>'Summary (PV)'!#REF!/1000</f>
        <v>#REF!</v>
      </c>
    </row>
    <row r="40" spans="3:5" x14ac:dyDescent="0.25">
      <c r="C40" s="19">
        <f>'Summary (PV)'!A1312</f>
        <v>46936</v>
      </c>
      <c r="D40" s="6" t="e">
        <f>#REF!/1000</f>
        <v>#REF!</v>
      </c>
      <c r="E40" s="6" t="e">
        <f>'Summary (PV)'!#REF!/1000</f>
        <v>#REF!</v>
      </c>
    </row>
    <row r="41" spans="3:5" x14ac:dyDescent="0.25">
      <c r="C41" s="19">
        <f>'Summary (PV)'!A1313</f>
        <v>46937</v>
      </c>
      <c r="D41" s="6" t="e">
        <f>#REF!/1000</f>
        <v>#REF!</v>
      </c>
      <c r="E41" s="6" t="e">
        <f>'Summary (PV)'!#REF!/1000</f>
        <v>#REF!</v>
      </c>
    </row>
    <row r="42" spans="3:5" x14ac:dyDescent="0.25">
      <c r="C42" s="19">
        <f>'Summary (PV)'!A1314</f>
        <v>46938</v>
      </c>
      <c r="D42" s="6" t="e">
        <f>#REF!/1000</f>
        <v>#REF!</v>
      </c>
      <c r="E42" s="6" t="e">
        <f>'Summary (PV)'!#REF!/1000</f>
        <v>#REF!</v>
      </c>
    </row>
    <row r="43" spans="3:5" x14ac:dyDescent="0.25">
      <c r="C43" s="19">
        <f>'Summary (PV)'!A1315</f>
        <v>46939</v>
      </c>
      <c r="D43" s="6" t="e">
        <f>#REF!/1000</f>
        <v>#REF!</v>
      </c>
      <c r="E43" s="6" t="e">
        <f>'Summary (PV)'!#REF!/1000</f>
        <v>#REF!</v>
      </c>
    </row>
    <row r="44" spans="3:5" x14ac:dyDescent="0.25">
      <c r="C44" s="19">
        <f>'Summary (PV)'!A1316</f>
        <v>46940</v>
      </c>
      <c r="D44" s="6" t="e">
        <f>#REF!/1000</f>
        <v>#REF!</v>
      </c>
      <c r="E44" s="6" t="e">
        <f>'Summary (PV)'!#REF!/1000</f>
        <v>#REF!</v>
      </c>
    </row>
    <row r="45" spans="3:5" x14ac:dyDescent="0.25">
      <c r="C45" s="19">
        <f>'Summary (PV)'!A1317</f>
        <v>46941</v>
      </c>
      <c r="D45" s="6" t="e">
        <f>#REF!/1000</f>
        <v>#REF!</v>
      </c>
      <c r="E45" s="6" t="e">
        <f>'Summary (PV)'!#REF!/1000</f>
        <v>#REF!</v>
      </c>
    </row>
    <row r="46" spans="3:5" x14ac:dyDescent="0.25">
      <c r="C46" s="19">
        <f>'Summary (PV)'!A1318</f>
        <v>46942</v>
      </c>
      <c r="D46" s="6" t="e">
        <f>#REF!/1000</f>
        <v>#REF!</v>
      </c>
      <c r="E46" s="6" t="e">
        <f>'Summary (PV)'!#REF!/1000</f>
        <v>#REF!</v>
      </c>
    </row>
    <row r="47" spans="3:5" x14ac:dyDescent="0.25">
      <c r="C47" s="19">
        <f>'Summary (PV)'!A1319</f>
        <v>46943</v>
      </c>
      <c r="D47" s="6" t="e">
        <f>#REF!/1000</f>
        <v>#REF!</v>
      </c>
      <c r="E47" s="6" t="e">
        <f>'Summary (PV)'!#REF!/1000</f>
        <v>#REF!</v>
      </c>
    </row>
    <row r="48" spans="3:5" x14ac:dyDescent="0.25">
      <c r="C48" s="19">
        <f>'Summary (PV)'!A1320</f>
        <v>46944</v>
      </c>
      <c r="D48" s="6" t="e">
        <f>#REF!/1000</f>
        <v>#REF!</v>
      </c>
      <c r="E48" s="6" t="e">
        <f>'Summary (PV)'!#REF!/1000</f>
        <v>#REF!</v>
      </c>
    </row>
    <row r="49" spans="3:5" x14ac:dyDescent="0.25">
      <c r="C49" s="19">
        <f>'Summary (PV)'!A1321</f>
        <v>46945</v>
      </c>
      <c r="D49" s="6" t="e">
        <f>#REF!/1000</f>
        <v>#REF!</v>
      </c>
      <c r="E49" s="6" t="e">
        <f>'Summary (PV)'!#REF!/1000</f>
        <v>#REF!</v>
      </c>
    </row>
    <row r="50" spans="3:5" x14ac:dyDescent="0.25">
      <c r="C50" s="19">
        <f>'Summary (PV)'!A1322</f>
        <v>46946</v>
      </c>
      <c r="D50" s="6" t="e">
        <f>#REF!/1000</f>
        <v>#REF!</v>
      </c>
      <c r="E50" s="6" t="e">
        <f>'Summary (PV)'!#REF!/1000</f>
        <v>#REF!</v>
      </c>
    </row>
    <row r="51" spans="3:5" x14ac:dyDescent="0.25">
      <c r="C51" s="19">
        <f>'Summary (PV)'!A1323</f>
        <v>46947</v>
      </c>
      <c r="D51" s="6" t="e">
        <f>#REF!/1000</f>
        <v>#REF!</v>
      </c>
      <c r="E51" s="6" t="e">
        <f>'Summary (PV)'!#REF!/1000</f>
        <v>#REF!</v>
      </c>
    </row>
    <row r="52" spans="3:5" x14ac:dyDescent="0.25">
      <c r="C52" s="19">
        <f>'Summary (PV)'!A1324</f>
        <v>46948</v>
      </c>
      <c r="D52" s="6" t="e">
        <f>#REF!/1000</f>
        <v>#REF!</v>
      </c>
      <c r="E52" s="6" t="e">
        <f>'Summary (PV)'!#REF!/1000</f>
        <v>#REF!</v>
      </c>
    </row>
    <row r="53" spans="3:5" x14ac:dyDescent="0.25">
      <c r="C53" s="19">
        <f>'Summary (PV)'!A1325</f>
        <v>46949</v>
      </c>
      <c r="D53" s="6" t="e">
        <f>#REF!/1000</f>
        <v>#REF!</v>
      </c>
      <c r="E53" s="6" t="e">
        <f>'Summary (PV)'!#REF!/1000</f>
        <v>#REF!</v>
      </c>
    </row>
    <row r="54" spans="3:5" x14ac:dyDescent="0.25">
      <c r="C54" s="19">
        <f>'Summary (PV)'!A1326</f>
        <v>46950</v>
      </c>
      <c r="D54" s="6" t="e">
        <f>#REF!/1000</f>
        <v>#REF!</v>
      </c>
      <c r="E54" s="6" t="e">
        <f>'Summary (PV)'!#REF!/1000</f>
        <v>#REF!</v>
      </c>
    </row>
    <row r="55" spans="3:5" x14ac:dyDescent="0.25">
      <c r="C55" s="19">
        <f>'Summary (PV)'!A1327</f>
        <v>46951</v>
      </c>
      <c r="D55" s="6" t="e">
        <f>#REF!/1000</f>
        <v>#REF!</v>
      </c>
      <c r="E55" s="6" t="e">
        <f>'Summary (PV)'!#REF!/1000</f>
        <v>#REF!</v>
      </c>
    </row>
    <row r="56" spans="3:5" x14ac:dyDescent="0.25">
      <c r="C56" s="19">
        <f>'Summary (PV)'!A1328</f>
        <v>46952</v>
      </c>
      <c r="D56" s="6" t="e">
        <f>#REF!/1000</f>
        <v>#REF!</v>
      </c>
      <c r="E56" s="6" t="e">
        <f>'Summary (PV)'!#REF!/1000</f>
        <v>#REF!</v>
      </c>
    </row>
    <row r="57" spans="3:5" x14ac:dyDescent="0.25">
      <c r="C57" s="19">
        <f>'Summary (PV)'!A1329</f>
        <v>46953</v>
      </c>
      <c r="D57" s="6" t="e">
        <f>#REF!/1000</f>
        <v>#REF!</v>
      </c>
      <c r="E57" s="6" t="e">
        <f>'Summary (PV)'!#REF!/1000</f>
        <v>#REF!</v>
      </c>
    </row>
    <row r="58" spans="3:5" x14ac:dyDescent="0.25">
      <c r="C58" s="19">
        <f>'Summary (PV)'!A1330</f>
        <v>46954</v>
      </c>
      <c r="D58" s="6" t="e">
        <f>#REF!/1000</f>
        <v>#REF!</v>
      </c>
      <c r="E58" s="6" t="e">
        <f>'Summary (PV)'!#REF!/1000</f>
        <v>#REF!</v>
      </c>
    </row>
    <row r="59" spans="3:5" x14ac:dyDescent="0.25">
      <c r="C59" s="19">
        <f>'Summary (PV)'!A1331</f>
        <v>46955</v>
      </c>
      <c r="D59" s="6" t="e">
        <f>#REF!/1000</f>
        <v>#REF!</v>
      </c>
      <c r="E59" s="6" t="e">
        <f>'Summary (PV)'!#REF!/1000</f>
        <v>#REF!</v>
      </c>
    </row>
    <row r="60" spans="3:5" x14ac:dyDescent="0.25">
      <c r="C60" s="19">
        <f>'Summary (PV)'!A1332</f>
        <v>46956</v>
      </c>
      <c r="D60" s="6" t="e">
        <f>#REF!/1000</f>
        <v>#REF!</v>
      </c>
      <c r="E60" s="6" t="e">
        <f>'Summary (PV)'!#REF!/1000</f>
        <v>#REF!</v>
      </c>
    </row>
    <row r="61" spans="3:5" x14ac:dyDescent="0.25">
      <c r="C61" s="19">
        <f>'Summary (PV)'!A1333</f>
        <v>46957</v>
      </c>
      <c r="D61" s="6" t="e">
        <f>#REF!/1000</f>
        <v>#REF!</v>
      </c>
      <c r="E61" s="6" t="e">
        <f>'Summary (PV)'!#REF!/1000</f>
        <v>#REF!</v>
      </c>
    </row>
    <row r="62" spans="3:5" x14ac:dyDescent="0.25">
      <c r="C62" s="19">
        <f>'Summary (PV)'!A1334</f>
        <v>46958</v>
      </c>
      <c r="D62" s="6" t="e">
        <f>#REF!/1000</f>
        <v>#REF!</v>
      </c>
      <c r="E62" s="6" t="e">
        <f>'Summary (PV)'!#REF!/1000</f>
        <v>#REF!</v>
      </c>
    </row>
    <row r="63" spans="3:5" x14ac:dyDescent="0.25">
      <c r="C63" s="19">
        <f>'Summary (PV)'!A1335</f>
        <v>46959</v>
      </c>
      <c r="D63" s="6" t="e">
        <f>#REF!/1000</f>
        <v>#REF!</v>
      </c>
      <c r="E63" s="6" t="e">
        <f>'Summary (PV)'!#REF!/1000</f>
        <v>#REF!</v>
      </c>
    </row>
    <row r="64" spans="3:5" x14ac:dyDescent="0.25">
      <c r="C64" s="19">
        <f>'Summary (PV)'!A1336</f>
        <v>46960</v>
      </c>
      <c r="D64" s="6" t="e">
        <f>#REF!/1000</f>
        <v>#REF!</v>
      </c>
      <c r="E64" s="6" t="e">
        <f>'Summary (PV)'!#REF!/1000</f>
        <v>#REF!</v>
      </c>
    </row>
    <row r="65" spans="3:5" x14ac:dyDescent="0.25">
      <c r="C65" s="19">
        <f>'Summary (PV)'!A1337</f>
        <v>46961</v>
      </c>
      <c r="D65" s="6" t="e">
        <f>#REF!/1000</f>
        <v>#REF!</v>
      </c>
      <c r="E65" s="6" t="e">
        <f>'Summary (PV)'!#REF!/1000</f>
        <v>#REF!</v>
      </c>
    </row>
    <row r="66" spans="3:5" x14ac:dyDescent="0.25">
      <c r="C66" s="19">
        <f>'Summary (PV)'!A1338</f>
        <v>46962</v>
      </c>
      <c r="D66" s="6" t="e">
        <f>#REF!/1000</f>
        <v>#REF!</v>
      </c>
      <c r="E66" s="6" t="e">
        <f>'Summary (PV)'!#REF!/1000</f>
        <v>#REF!</v>
      </c>
    </row>
    <row r="67" spans="3:5" x14ac:dyDescent="0.25">
      <c r="C67" s="19">
        <f>'Summary (PV)'!A1339</f>
        <v>46963</v>
      </c>
      <c r="D67" s="6" t="e">
        <f>#REF!/1000</f>
        <v>#REF!</v>
      </c>
      <c r="E67" s="6" t="e">
        <f>'Summary (PV)'!#REF!/1000</f>
        <v>#REF!</v>
      </c>
    </row>
    <row r="68" spans="3:5" x14ac:dyDescent="0.25">
      <c r="C68" s="19">
        <f>'Summary (PV)'!A1340</f>
        <v>46964</v>
      </c>
      <c r="D68" s="6" t="e">
        <f>#REF!/1000</f>
        <v>#REF!</v>
      </c>
      <c r="E68" s="6" t="e">
        <f>'Summary (PV)'!#REF!/1000</f>
        <v>#REF!</v>
      </c>
    </row>
    <row r="69" spans="3:5" x14ac:dyDescent="0.25">
      <c r="C69" s="19">
        <f>'Summary (PV)'!A1341</f>
        <v>46965</v>
      </c>
      <c r="D69" s="6" t="e">
        <f>#REF!/1000</f>
        <v>#REF!</v>
      </c>
      <c r="E69" s="6" t="e">
        <f>'Summary (PV)'!#REF!/1000</f>
        <v>#REF!</v>
      </c>
    </row>
    <row r="70" spans="3:5" x14ac:dyDescent="0.25">
      <c r="C70" s="19">
        <f>'Summary (PV)'!A1342</f>
        <v>46966</v>
      </c>
      <c r="D70" s="6" t="e">
        <f>#REF!/1000</f>
        <v>#REF!</v>
      </c>
      <c r="E70" s="6" t="e">
        <f>'Summary (PV)'!#REF!/1000</f>
        <v>#REF!</v>
      </c>
    </row>
    <row r="71" spans="3:5" x14ac:dyDescent="0.25">
      <c r="C71" s="19">
        <f>'Summary (PV)'!A1343</f>
        <v>46967</v>
      </c>
      <c r="D71" s="6" t="e">
        <f>#REF!/1000</f>
        <v>#REF!</v>
      </c>
      <c r="E71" s="6" t="e">
        <f>'Summary (PV)'!#REF!/1000</f>
        <v>#REF!</v>
      </c>
    </row>
    <row r="72" spans="3:5" x14ac:dyDescent="0.25">
      <c r="C72" s="19">
        <f>'Summary (PV)'!A1344</f>
        <v>46968</v>
      </c>
      <c r="D72" s="6" t="e">
        <f>#REF!/1000</f>
        <v>#REF!</v>
      </c>
      <c r="E72" s="6" t="e">
        <f>'Summary (PV)'!#REF!/1000</f>
        <v>#REF!</v>
      </c>
    </row>
    <row r="73" spans="3:5" x14ac:dyDescent="0.25">
      <c r="C73" s="19">
        <f>'Summary (PV)'!A1345</f>
        <v>46969</v>
      </c>
      <c r="D73" s="6" t="e">
        <f>#REF!/1000</f>
        <v>#REF!</v>
      </c>
      <c r="E73" s="6" t="e">
        <f>'Summary (PV)'!#REF!/1000</f>
        <v>#REF!</v>
      </c>
    </row>
    <row r="74" spans="3:5" x14ac:dyDescent="0.25">
      <c r="C74" s="19">
        <f>'Summary (PV)'!A1346</f>
        <v>46970</v>
      </c>
      <c r="D74" s="6" t="e">
        <f>#REF!/1000</f>
        <v>#REF!</v>
      </c>
      <c r="E74" s="6" t="e">
        <f>'Summary (PV)'!#REF!/1000</f>
        <v>#REF!</v>
      </c>
    </row>
    <row r="75" spans="3:5" x14ac:dyDescent="0.25">
      <c r="C75" s="19">
        <f>'Summary (PV)'!A1347</f>
        <v>46971</v>
      </c>
      <c r="D75" s="6" t="e">
        <f>#REF!/1000</f>
        <v>#REF!</v>
      </c>
      <c r="E75" s="6" t="e">
        <f>'Summary (PV)'!#REF!/1000</f>
        <v>#REF!</v>
      </c>
    </row>
    <row r="76" spans="3:5" x14ac:dyDescent="0.25">
      <c r="C76" s="19">
        <f>'Summary (PV)'!A1348</f>
        <v>46972</v>
      </c>
      <c r="D76" s="6" t="e">
        <f>#REF!/1000</f>
        <v>#REF!</v>
      </c>
      <c r="E76" s="6" t="e">
        <f>'Summary (PV)'!#REF!/1000</f>
        <v>#REF!</v>
      </c>
    </row>
    <row r="77" spans="3:5" x14ac:dyDescent="0.25">
      <c r="C77" s="19">
        <f>'Summary (PV)'!A1349</f>
        <v>46973</v>
      </c>
      <c r="D77" s="6" t="e">
        <f>#REF!/1000</f>
        <v>#REF!</v>
      </c>
      <c r="E77" s="6" t="e">
        <f>'Summary (PV)'!#REF!/1000</f>
        <v>#REF!</v>
      </c>
    </row>
    <row r="78" spans="3:5" x14ac:dyDescent="0.25">
      <c r="C78" s="19">
        <f>'Summary (PV)'!A1350</f>
        <v>46974</v>
      </c>
      <c r="D78" s="6" t="e">
        <f>#REF!/1000</f>
        <v>#REF!</v>
      </c>
      <c r="E78" s="6" t="e">
        <f>'Summary (PV)'!#REF!/1000</f>
        <v>#REF!</v>
      </c>
    </row>
    <row r="79" spans="3:5" x14ac:dyDescent="0.25">
      <c r="C79" s="19">
        <f>'Summary (PV)'!A1351</f>
        <v>46975</v>
      </c>
      <c r="D79" s="6" t="e">
        <f>#REF!/1000</f>
        <v>#REF!</v>
      </c>
      <c r="E79" s="6" t="e">
        <f>'Summary (PV)'!#REF!/1000</f>
        <v>#REF!</v>
      </c>
    </row>
    <row r="80" spans="3:5" x14ac:dyDescent="0.25">
      <c r="C80" s="19">
        <f>'Summary (PV)'!A1352</f>
        <v>46976</v>
      </c>
      <c r="D80" s="6" t="e">
        <f>#REF!/1000</f>
        <v>#REF!</v>
      </c>
      <c r="E80" s="6" t="e">
        <f>'Summary (PV)'!#REF!/1000</f>
        <v>#REF!</v>
      </c>
    </row>
    <row r="81" spans="3:5" x14ac:dyDescent="0.25">
      <c r="C81" s="19">
        <f>'Summary (PV)'!A1353</f>
        <v>46977</v>
      </c>
      <c r="D81" s="6" t="e">
        <f>#REF!/1000</f>
        <v>#REF!</v>
      </c>
      <c r="E81" s="6" t="e">
        <f>'Summary (PV)'!#REF!/1000</f>
        <v>#REF!</v>
      </c>
    </row>
    <row r="82" spans="3:5" x14ac:dyDescent="0.25">
      <c r="C82" s="19">
        <f>'Summary (PV)'!A1354</f>
        <v>46978</v>
      </c>
      <c r="D82" s="6" t="e">
        <f>#REF!/1000</f>
        <v>#REF!</v>
      </c>
      <c r="E82" s="6" t="e">
        <f>'Summary (PV)'!#REF!/1000</f>
        <v>#REF!</v>
      </c>
    </row>
    <row r="83" spans="3:5" x14ac:dyDescent="0.25">
      <c r="C83" s="19">
        <f>'Summary (PV)'!A1355</f>
        <v>46979</v>
      </c>
      <c r="D83" s="6" t="e">
        <f>#REF!/1000</f>
        <v>#REF!</v>
      </c>
      <c r="E83" s="6" t="e">
        <f>'Summary (PV)'!#REF!/1000</f>
        <v>#REF!</v>
      </c>
    </row>
    <row r="84" spans="3:5" x14ac:dyDescent="0.25">
      <c r="C84" s="19">
        <f>'Summary (PV)'!A1356</f>
        <v>46980</v>
      </c>
      <c r="D84" s="6" t="e">
        <f>#REF!/1000</f>
        <v>#REF!</v>
      </c>
      <c r="E84" s="6" t="e">
        <f>'Summary (PV)'!#REF!/1000</f>
        <v>#REF!</v>
      </c>
    </row>
    <row r="85" spans="3:5" x14ac:dyDescent="0.25">
      <c r="C85" s="19">
        <f>'Summary (PV)'!A1357</f>
        <v>46981</v>
      </c>
      <c r="D85" s="6" t="e">
        <f>#REF!/1000</f>
        <v>#REF!</v>
      </c>
      <c r="E85" s="6" t="e">
        <f>'Summary (PV)'!#REF!/1000</f>
        <v>#REF!</v>
      </c>
    </row>
    <row r="86" spans="3:5" x14ac:dyDescent="0.25">
      <c r="C86" s="19">
        <f>'Summary (PV)'!A1358</f>
        <v>46982</v>
      </c>
      <c r="D86" s="6" t="e">
        <f>#REF!/1000</f>
        <v>#REF!</v>
      </c>
      <c r="E86" s="6" t="e">
        <f>'Summary (PV)'!#REF!/1000</f>
        <v>#REF!</v>
      </c>
    </row>
    <row r="87" spans="3:5" x14ac:dyDescent="0.25">
      <c r="C87" s="19">
        <f>'Summary (PV)'!A1359</f>
        <v>46983</v>
      </c>
      <c r="D87" s="6" t="e">
        <f>#REF!/1000</f>
        <v>#REF!</v>
      </c>
      <c r="E87" s="6" t="e">
        <f>'Summary (PV)'!#REF!/1000</f>
        <v>#REF!</v>
      </c>
    </row>
    <row r="88" spans="3:5" x14ac:dyDescent="0.25">
      <c r="C88" s="19">
        <f>'Summary (PV)'!A1360</f>
        <v>46984</v>
      </c>
      <c r="D88" s="6" t="e">
        <f>#REF!/1000</f>
        <v>#REF!</v>
      </c>
      <c r="E88" s="6" t="e">
        <f>'Summary (PV)'!#REF!/1000</f>
        <v>#REF!</v>
      </c>
    </row>
    <row r="89" spans="3:5" x14ac:dyDescent="0.25">
      <c r="C89" s="19">
        <f>'Summary (PV)'!A1361</f>
        <v>46985</v>
      </c>
      <c r="D89" s="6" t="e">
        <f>#REF!/1000</f>
        <v>#REF!</v>
      </c>
      <c r="E89" s="6" t="e">
        <f>'Summary (PV)'!#REF!/1000</f>
        <v>#REF!</v>
      </c>
    </row>
    <row r="90" spans="3:5" x14ac:dyDescent="0.25">
      <c r="C90" s="19">
        <f>'Summary (PV)'!A1362</f>
        <v>46986</v>
      </c>
      <c r="D90" s="6" t="e">
        <f>#REF!/1000</f>
        <v>#REF!</v>
      </c>
      <c r="E90" s="6" t="e">
        <f>'Summary (PV)'!#REF!/1000</f>
        <v>#REF!</v>
      </c>
    </row>
    <row r="91" spans="3:5" x14ac:dyDescent="0.25">
      <c r="C91" s="19">
        <f>'Summary (PV)'!A1363</f>
        <v>46987</v>
      </c>
      <c r="D91" s="6" t="e">
        <f>#REF!/1000</f>
        <v>#REF!</v>
      </c>
      <c r="E91" s="6" t="e">
        <f>'Summary (PV)'!#REF!/1000</f>
        <v>#REF!</v>
      </c>
    </row>
    <row r="92" spans="3:5" x14ac:dyDescent="0.25">
      <c r="C92" s="19">
        <f>'Summary (PV)'!A1364</f>
        <v>46988</v>
      </c>
      <c r="D92" s="6" t="e">
        <f>#REF!/1000</f>
        <v>#REF!</v>
      </c>
      <c r="E92" s="6" t="e">
        <f>'Summary (PV)'!#REF!/1000</f>
        <v>#REF!</v>
      </c>
    </row>
    <row r="93" spans="3:5" x14ac:dyDescent="0.25">
      <c r="C93" s="19">
        <f>'Summary (PV)'!A1365</f>
        <v>46989</v>
      </c>
      <c r="D93" s="6" t="e">
        <f>#REF!/1000</f>
        <v>#REF!</v>
      </c>
      <c r="E93" s="6" t="e">
        <f>'Summary (PV)'!#REF!/1000</f>
        <v>#REF!</v>
      </c>
    </row>
    <row r="94" spans="3:5" x14ac:dyDescent="0.25">
      <c r="C94" s="19">
        <f>'Summary (PV)'!A1366</f>
        <v>46990</v>
      </c>
      <c r="D94" s="6" t="e">
        <f>#REF!/1000</f>
        <v>#REF!</v>
      </c>
      <c r="E94" s="6" t="e">
        <f>'Summary (PV)'!#REF!/1000</f>
        <v>#REF!</v>
      </c>
    </row>
    <row r="95" spans="3:5" x14ac:dyDescent="0.25">
      <c r="C95" s="19">
        <f>'Summary (PV)'!A1367</f>
        <v>46991</v>
      </c>
      <c r="D95" s="6" t="e">
        <f>#REF!/1000</f>
        <v>#REF!</v>
      </c>
      <c r="E95" s="6" t="e">
        <f>'Summary (PV)'!#REF!/1000</f>
        <v>#REF!</v>
      </c>
    </row>
    <row r="96" spans="3:5" x14ac:dyDescent="0.25">
      <c r="C96" s="19">
        <f>'Summary (PV)'!A1368</f>
        <v>46992</v>
      </c>
      <c r="D96" s="6" t="e">
        <f>#REF!/1000</f>
        <v>#REF!</v>
      </c>
      <c r="E96" s="6" t="e">
        <f>'Summary (PV)'!#REF!/1000</f>
        <v>#REF!</v>
      </c>
    </row>
    <row r="97" spans="3:5" x14ac:dyDescent="0.25">
      <c r="C97" s="19">
        <f>'Summary (PV)'!A1369</f>
        <v>46993</v>
      </c>
      <c r="D97" s="6" t="e">
        <f>#REF!/1000</f>
        <v>#REF!</v>
      </c>
      <c r="E97" s="6" t="e">
        <f>'Summary (PV)'!#REF!/1000</f>
        <v>#REF!</v>
      </c>
    </row>
    <row r="98" spans="3:5" x14ac:dyDescent="0.25">
      <c r="C98" s="19">
        <f>'Summary (PV)'!A1370</f>
        <v>46994</v>
      </c>
      <c r="D98" s="6" t="e">
        <f>#REF!/1000</f>
        <v>#REF!</v>
      </c>
      <c r="E98" s="6" t="e">
        <f>'Summary (PV)'!#REF!/1000</f>
        <v>#REF!</v>
      </c>
    </row>
    <row r="99" spans="3:5" x14ac:dyDescent="0.25">
      <c r="C99" s="19">
        <f>'Summary (PV)'!A1371</f>
        <v>46995</v>
      </c>
      <c r="D99" s="6" t="e">
        <f>#REF!/1000</f>
        <v>#REF!</v>
      </c>
      <c r="E99" s="6" t="e">
        <f>'Summary (PV)'!#REF!/1000</f>
        <v>#REF!</v>
      </c>
    </row>
    <row r="100" spans="3:5" x14ac:dyDescent="0.25">
      <c r="C100" s="19">
        <f>'Summary (PV)'!A1372</f>
        <v>46996</v>
      </c>
      <c r="D100" s="6" t="e">
        <f>#REF!/1000</f>
        <v>#REF!</v>
      </c>
      <c r="E100" s="6" t="e">
        <f>'Summary (PV)'!#REF!/1000</f>
        <v>#REF!</v>
      </c>
    </row>
    <row r="101" spans="3:5" x14ac:dyDescent="0.25">
      <c r="C101" s="19">
        <f>'Summary (PV)'!A1373</f>
        <v>46997</v>
      </c>
      <c r="D101" s="6" t="e">
        <f>#REF!/1000</f>
        <v>#REF!</v>
      </c>
      <c r="E101" s="6" t="e">
        <f>'Summary (PV)'!#REF!/1000</f>
        <v>#REF!</v>
      </c>
    </row>
    <row r="102" spans="3:5" x14ac:dyDescent="0.25">
      <c r="C102" s="19">
        <f>'Summary (PV)'!A1374</f>
        <v>46998</v>
      </c>
      <c r="D102" s="6" t="e">
        <f>#REF!/1000</f>
        <v>#REF!</v>
      </c>
      <c r="E102" s="6" t="e">
        <f>'Summary (PV)'!#REF!/1000</f>
        <v>#REF!</v>
      </c>
    </row>
    <row r="103" spans="3:5" x14ac:dyDescent="0.25">
      <c r="C103" s="19">
        <f>'Summary (PV)'!A1375</f>
        <v>46999</v>
      </c>
      <c r="D103" s="6" t="e">
        <f>#REF!/1000</f>
        <v>#REF!</v>
      </c>
      <c r="E103" s="6" t="e">
        <f>'Summary (PV)'!#REF!/1000</f>
        <v>#REF!</v>
      </c>
    </row>
    <row r="104" spans="3:5" x14ac:dyDescent="0.25">
      <c r="C104" s="19">
        <f>'Summary (PV)'!A1376</f>
        <v>47000</v>
      </c>
      <c r="D104" s="6" t="e">
        <f>#REF!/1000</f>
        <v>#REF!</v>
      </c>
      <c r="E104" s="6" t="e">
        <f>'Summary (PV)'!#REF!/1000</f>
        <v>#REF!</v>
      </c>
    </row>
    <row r="105" spans="3:5" x14ac:dyDescent="0.25">
      <c r="C105" s="19">
        <f>'Summary (PV)'!A1377</f>
        <v>47001</v>
      </c>
      <c r="D105" s="6" t="e">
        <f>#REF!/1000</f>
        <v>#REF!</v>
      </c>
      <c r="E105" s="6" t="e">
        <f>'Summary (PV)'!#REF!/1000</f>
        <v>#REF!</v>
      </c>
    </row>
    <row r="106" spans="3:5" x14ac:dyDescent="0.25">
      <c r="C106" s="19">
        <f>'Summary (PV)'!A1378</f>
        <v>47002</v>
      </c>
      <c r="D106" s="6" t="e">
        <f>#REF!/1000</f>
        <v>#REF!</v>
      </c>
      <c r="E106" s="6" t="e">
        <f>'Summary (PV)'!#REF!/1000</f>
        <v>#REF!</v>
      </c>
    </row>
    <row r="107" spans="3:5" x14ac:dyDescent="0.25">
      <c r="C107" s="19">
        <f>'Summary (PV)'!A1379</f>
        <v>47003</v>
      </c>
      <c r="D107" s="6" t="e">
        <f>#REF!/1000</f>
        <v>#REF!</v>
      </c>
      <c r="E107" s="6" t="e">
        <f>'Summary (PV)'!#REF!/1000</f>
        <v>#REF!</v>
      </c>
    </row>
  </sheetData>
  <conditionalFormatting sqref="A12:B12">
    <cfRule type="colorScale" priority="1">
      <colorScale>
        <cfvo type="min"/>
        <cfvo type="percentile" val="50"/>
        <cfvo type="max"/>
        <color rgb="FFF8696B"/>
        <color rgb="FFFFEB84"/>
        <color rgb="FF63BE7B"/>
      </colorScale>
    </cfRule>
  </conditionalFormatting>
  <conditionalFormatting sqref="E17:E1048576">
    <cfRule type="cellIs" dxfId="10" priority="2" operator="lessThan">
      <formula>$A$14</formula>
    </cfRule>
    <cfRule type="cellIs" dxfId="9" priority="3" operator="greaterThan">
      <formula>$A$14</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5B445-A136-43B7-B0C3-A92AC8178107}">
  <dimension ref="A1:AY33"/>
  <sheetViews>
    <sheetView workbookViewId="0"/>
  </sheetViews>
  <sheetFormatPr defaultRowHeight="15" x14ac:dyDescent="0.25"/>
  <cols>
    <col min="1" max="1" width="10.42578125" bestFit="1" customWidth="1"/>
    <col min="2" max="2" width="15.5703125" bestFit="1" customWidth="1"/>
    <col min="4" max="4" width="9.28515625" bestFit="1" customWidth="1"/>
    <col min="6" max="6" width="13.42578125" bestFit="1" customWidth="1"/>
    <col min="7" max="11" width="9.28515625" bestFit="1" customWidth="1"/>
    <col min="12" max="12" width="31" bestFit="1" customWidth="1"/>
    <col min="13" max="13" width="19.7109375" bestFit="1" customWidth="1"/>
    <col min="14" max="14" width="24.42578125" bestFit="1" customWidth="1"/>
    <col min="15" max="15" width="35.42578125" bestFit="1" customWidth="1"/>
    <col min="26" max="26" width="28.5703125" bestFit="1" customWidth="1"/>
    <col min="27" max="27" width="33" bestFit="1" customWidth="1"/>
    <col min="37" max="37" width="9.7109375" bestFit="1" customWidth="1"/>
    <col min="38" max="38" width="25.7109375" bestFit="1" customWidth="1"/>
    <col min="39" max="39" width="20.28515625" bestFit="1" customWidth="1"/>
    <col min="45" max="45" width="14.5703125" bestFit="1" customWidth="1"/>
    <col min="46" max="46" width="30" bestFit="1" customWidth="1"/>
    <col min="47" max="47" width="20.42578125" bestFit="1" customWidth="1"/>
    <col min="48" max="48" width="24.140625" bestFit="1" customWidth="1"/>
    <col min="49" max="49" width="20.5703125" bestFit="1" customWidth="1"/>
    <col min="50" max="50" width="13.85546875" bestFit="1" customWidth="1"/>
    <col min="51" max="51" width="63.140625" bestFit="1" customWidth="1"/>
  </cols>
  <sheetData>
    <row r="1" spans="1:51" x14ac:dyDescent="0.25">
      <c r="A1" s="5" t="s">
        <v>17</v>
      </c>
    </row>
    <row r="3" spans="1:51" x14ac:dyDescent="0.25">
      <c r="A3" t="s">
        <v>14</v>
      </c>
      <c r="B3" t="s">
        <v>18</v>
      </c>
      <c r="C3" t="s">
        <v>19</v>
      </c>
      <c r="D3" t="s">
        <v>20</v>
      </c>
      <c r="E3" t="s">
        <v>21</v>
      </c>
      <c r="F3" t="s">
        <v>22</v>
      </c>
      <c r="G3" t="s">
        <v>23</v>
      </c>
      <c r="H3" t="s">
        <v>24</v>
      </c>
      <c r="I3" t="s">
        <v>25</v>
      </c>
      <c r="J3" t="s">
        <v>26</v>
      </c>
      <c r="K3" t="s">
        <v>27</v>
      </c>
      <c r="L3" t="s">
        <v>28</v>
      </c>
      <c r="M3" t="s">
        <v>29</v>
      </c>
      <c r="N3" t="s">
        <v>30</v>
      </c>
      <c r="O3" t="s">
        <v>31</v>
      </c>
      <c r="P3" t="s">
        <v>32</v>
      </c>
      <c r="Q3" t="s">
        <v>33</v>
      </c>
      <c r="R3" t="s">
        <v>34</v>
      </c>
      <c r="S3" t="s">
        <v>35</v>
      </c>
      <c r="T3" t="s">
        <v>36</v>
      </c>
      <c r="U3" t="s">
        <v>37</v>
      </c>
      <c r="V3" t="s">
        <v>38</v>
      </c>
      <c r="W3" t="s">
        <v>39</v>
      </c>
      <c r="X3" t="s">
        <v>40</v>
      </c>
      <c r="Y3" t="s">
        <v>41</v>
      </c>
      <c r="Z3" t="s">
        <v>42</v>
      </c>
      <c r="AA3" t="s">
        <v>43</v>
      </c>
      <c r="AB3" t="s">
        <v>44</v>
      </c>
      <c r="AC3" t="s">
        <v>45</v>
      </c>
      <c r="AD3" t="s">
        <v>46</v>
      </c>
      <c r="AE3" t="s">
        <v>47</v>
      </c>
      <c r="AF3" t="s">
        <v>48</v>
      </c>
      <c r="AG3" t="s">
        <v>49</v>
      </c>
      <c r="AH3" t="s">
        <v>50</v>
      </c>
      <c r="AI3" t="s">
        <v>51</v>
      </c>
      <c r="AJ3" t="s">
        <v>52</v>
      </c>
      <c r="AK3" t="s">
        <v>53</v>
      </c>
      <c r="AL3" t="s">
        <v>54</v>
      </c>
      <c r="AM3" t="s">
        <v>55</v>
      </c>
      <c r="AN3" t="s">
        <v>56</v>
      </c>
      <c r="AO3" t="s">
        <v>57</v>
      </c>
      <c r="AP3" t="s">
        <v>58</v>
      </c>
      <c r="AQ3" t="s">
        <v>59</v>
      </c>
      <c r="AR3" t="s">
        <v>60</v>
      </c>
      <c r="AS3" t="s">
        <v>61</v>
      </c>
      <c r="AT3" t="s">
        <v>62</v>
      </c>
      <c r="AU3" t="s">
        <v>63</v>
      </c>
      <c r="AV3" t="s">
        <v>64</v>
      </c>
      <c r="AW3" t="s">
        <v>65</v>
      </c>
      <c r="AX3" t="s">
        <v>66</v>
      </c>
      <c r="AY3" t="s">
        <v>67</v>
      </c>
    </row>
    <row r="4" spans="1:51" ht="45" x14ac:dyDescent="0.25">
      <c r="A4" s="37">
        <v>45838</v>
      </c>
      <c r="B4">
        <v>236808.00000000003</v>
      </c>
      <c r="C4">
        <v>4.1399999999999997</v>
      </c>
      <c r="D4">
        <v>3.3935579999999996</v>
      </c>
      <c r="E4">
        <v>0.81969999999999998</v>
      </c>
      <c r="F4">
        <v>0.99</v>
      </c>
      <c r="G4">
        <v>42671</v>
      </c>
      <c r="H4">
        <v>42681</v>
      </c>
      <c r="I4">
        <v>0</v>
      </c>
      <c r="J4">
        <v>46974</v>
      </c>
      <c r="K4">
        <v>42738</v>
      </c>
      <c r="L4">
        <v>175064</v>
      </c>
      <c r="M4">
        <v>158399.32999999999</v>
      </c>
      <c r="N4">
        <v>0</v>
      </c>
      <c r="O4">
        <v>175064</v>
      </c>
      <c r="P4">
        <v>13140</v>
      </c>
      <c r="Q4">
        <v>13110</v>
      </c>
      <c r="R4">
        <v>11550</v>
      </c>
      <c r="S4">
        <v>14230</v>
      </c>
      <c r="T4">
        <v>14880</v>
      </c>
      <c r="U4">
        <v>15380</v>
      </c>
      <c r="V4">
        <v>12910</v>
      </c>
      <c r="W4">
        <v>13040</v>
      </c>
      <c r="X4">
        <v>14760</v>
      </c>
      <c r="Y4">
        <v>13390</v>
      </c>
      <c r="Z4">
        <v>136390</v>
      </c>
      <c r="AA4">
        <v>136390</v>
      </c>
      <c r="AB4">
        <v>0.97819999999999996</v>
      </c>
      <c r="AC4">
        <v>0.97619999999999996</v>
      </c>
      <c r="AD4">
        <v>0.96740000000000004</v>
      </c>
      <c r="AE4">
        <v>0.9385</v>
      </c>
      <c r="AF4">
        <v>0.98150000000000004</v>
      </c>
      <c r="AG4">
        <v>1.0016</v>
      </c>
      <c r="AH4">
        <v>0.97019999999999995</v>
      </c>
      <c r="AI4">
        <v>0.98029999999999995</v>
      </c>
      <c r="AJ4">
        <v>0.96099999999999997</v>
      </c>
      <c r="AK4">
        <v>1</v>
      </c>
      <c r="AL4">
        <v>0.77908650550655756</v>
      </c>
      <c r="AM4">
        <v>2.4484475524475524</v>
      </c>
      <c r="AN4">
        <v>1.92</v>
      </c>
      <c r="AO4">
        <v>1.99</v>
      </c>
      <c r="AP4">
        <v>2.0299999999999998</v>
      </c>
      <c r="AQ4">
        <v>1.99</v>
      </c>
      <c r="AS4">
        <v>1.9824999999999999</v>
      </c>
      <c r="AT4">
        <v>0.97609999999999997</v>
      </c>
      <c r="AU4">
        <v>1.2350302912724098</v>
      </c>
      <c r="AV4">
        <v>1</v>
      </c>
      <c r="AW4">
        <v>71500</v>
      </c>
      <c r="AX4">
        <v>56992</v>
      </c>
      <c r="AY4" s="9" t="s">
        <v>68</v>
      </c>
    </row>
    <row r="5" spans="1:51" ht="45" x14ac:dyDescent="0.25">
      <c r="A5" s="37">
        <v>45837</v>
      </c>
      <c r="B5">
        <v>236808.00000000003</v>
      </c>
      <c r="C5">
        <v>4.1399999999999997</v>
      </c>
      <c r="D5">
        <v>3.3935579999999996</v>
      </c>
      <c r="E5">
        <v>0.81969999999999998</v>
      </c>
      <c r="F5">
        <v>0.99</v>
      </c>
      <c r="G5">
        <v>55263</v>
      </c>
      <c r="H5">
        <v>55091</v>
      </c>
      <c r="I5">
        <v>0</v>
      </c>
      <c r="J5">
        <v>61985</v>
      </c>
      <c r="K5">
        <v>56054</v>
      </c>
      <c r="L5">
        <v>228393</v>
      </c>
      <c r="M5">
        <v>256854.83</v>
      </c>
      <c r="N5">
        <v>28461.829999999987</v>
      </c>
      <c r="O5">
        <v>256854.83</v>
      </c>
      <c r="P5">
        <v>25580</v>
      </c>
      <c r="Q5">
        <v>25320</v>
      </c>
      <c r="R5">
        <v>21970</v>
      </c>
      <c r="S5">
        <v>26670</v>
      </c>
      <c r="T5">
        <v>27760</v>
      </c>
      <c r="U5">
        <v>30830</v>
      </c>
      <c r="V5">
        <v>25930</v>
      </c>
      <c r="W5">
        <v>25980</v>
      </c>
      <c r="X5">
        <v>29550</v>
      </c>
      <c r="Y5">
        <v>26260</v>
      </c>
      <c r="Z5">
        <v>265850</v>
      </c>
      <c r="AA5">
        <v>294311.82999999996</v>
      </c>
      <c r="AB5">
        <v>0.7994</v>
      </c>
      <c r="AC5">
        <v>0.7913</v>
      </c>
      <c r="AD5">
        <v>0.77249999999999996</v>
      </c>
      <c r="AE5">
        <v>0.73829999999999996</v>
      </c>
      <c r="AF5">
        <v>0.77500000000000002</v>
      </c>
      <c r="AG5">
        <v>0.83420000000000005</v>
      </c>
      <c r="AH5">
        <v>0.80979999999999996</v>
      </c>
      <c r="AI5">
        <v>0.81140000000000001</v>
      </c>
      <c r="AJ5">
        <v>0.7994</v>
      </c>
      <c r="AK5">
        <v>0.82010000000000005</v>
      </c>
      <c r="AL5">
        <v>1.1640023993730106</v>
      </c>
      <c r="AM5">
        <v>3.5923752447552446</v>
      </c>
      <c r="AN5">
        <v>4.62</v>
      </c>
      <c r="AO5">
        <v>4.7</v>
      </c>
      <c r="AP5">
        <v>4.9800000000000004</v>
      </c>
      <c r="AQ5">
        <v>4.74</v>
      </c>
      <c r="AS5">
        <v>4.76</v>
      </c>
      <c r="AT5">
        <v>0.79510000000000003</v>
      </c>
      <c r="AU5">
        <v>0.75470068167126991</v>
      </c>
      <c r="AV5">
        <v>1</v>
      </c>
      <c r="AW5">
        <v>71500</v>
      </c>
      <c r="AX5">
        <v>56992</v>
      </c>
      <c r="AY5" s="9" t="s">
        <v>68</v>
      </c>
    </row>
    <row r="6" spans="1:51" ht="45" x14ac:dyDescent="0.25">
      <c r="A6" s="37">
        <v>45836</v>
      </c>
      <c r="B6">
        <v>236808.00000000003</v>
      </c>
      <c r="C6">
        <v>4.1399999999999997</v>
      </c>
      <c r="D6">
        <v>3.3935579999999996</v>
      </c>
      <c r="E6">
        <v>0.81969999999999998</v>
      </c>
      <c r="F6">
        <v>0.99</v>
      </c>
      <c r="G6">
        <v>61685</v>
      </c>
      <c r="H6">
        <v>61577</v>
      </c>
      <c r="I6">
        <v>0</v>
      </c>
      <c r="J6">
        <v>70367</v>
      </c>
      <c r="K6">
        <v>63559</v>
      </c>
      <c r="L6">
        <v>257188</v>
      </c>
      <c r="M6">
        <v>264190.67</v>
      </c>
      <c r="N6">
        <v>7002.6699999999837</v>
      </c>
      <c r="O6">
        <v>264190.67</v>
      </c>
      <c r="P6">
        <v>23170</v>
      </c>
      <c r="Q6">
        <v>22560</v>
      </c>
      <c r="R6">
        <v>20130</v>
      </c>
      <c r="S6">
        <v>24230</v>
      </c>
      <c r="T6">
        <v>25970</v>
      </c>
      <c r="U6">
        <v>27970</v>
      </c>
      <c r="V6">
        <v>24220</v>
      </c>
      <c r="W6">
        <v>24080</v>
      </c>
      <c r="X6">
        <v>28040</v>
      </c>
      <c r="Y6">
        <v>24880</v>
      </c>
      <c r="Z6">
        <v>245250</v>
      </c>
      <c r="AA6">
        <v>252252.66999999998</v>
      </c>
      <c r="AB6">
        <v>0.8669</v>
      </c>
      <c r="AC6">
        <v>0.84389999999999998</v>
      </c>
      <c r="AD6">
        <v>0.84719999999999995</v>
      </c>
      <c r="AE6">
        <v>0.80310000000000004</v>
      </c>
      <c r="AF6">
        <v>0.83520000000000005</v>
      </c>
      <c r="AG6">
        <v>0.86750000000000005</v>
      </c>
      <c r="AH6">
        <v>0.86729999999999996</v>
      </c>
      <c r="AI6">
        <v>0.86219999999999997</v>
      </c>
      <c r="AJ6">
        <v>0.86960000000000004</v>
      </c>
      <c r="AK6">
        <v>0.89080000000000004</v>
      </c>
      <c r="AL6">
        <v>0.95358259327806894</v>
      </c>
      <c r="AM6">
        <v>3.6949744055944054</v>
      </c>
      <c r="AN6">
        <v>4.03</v>
      </c>
      <c r="AO6">
        <v>4.08</v>
      </c>
      <c r="AP6">
        <v>4.2300000000000004</v>
      </c>
      <c r="AQ6">
        <v>3.96</v>
      </c>
      <c r="AS6">
        <v>4.0750000000000002</v>
      </c>
      <c r="AT6">
        <v>0.85540000000000005</v>
      </c>
      <c r="AU6">
        <v>0.90674218542193996</v>
      </c>
      <c r="AV6">
        <v>1</v>
      </c>
      <c r="AW6">
        <v>71500</v>
      </c>
      <c r="AX6">
        <v>56992</v>
      </c>
      <c r="AY6" s="9" t="s">
        <v>68</v>
      </c>
    </row>
    <row r="7" spans="1:51" ht="45" x14ac:dyDescent="0.25">
      <c r="A7" s="37">
        <v>45835</v>
      </c>
      <c r="B7">
        <v>236808.00000000003</v>
      </c>
      <c r="C7">
        <v>4.1399999999999997</v>
      </c>
      <c r="D7">
        <v>3.3935579999999996</v>
      </c>
      <c r="E7">
        <v>0.81969999999999998</v>
      </c>
      <c r="F7">
        <v>0.99</v>
      </c>
      <c r="G7">
        <v>72264</v>
      </c>
      <c r="H7">
        <v>72018</v>
      </c>
      <c r="I7">
        <v>0</v>
      </c>
      <c r="J7">
        <v>81406</v>
      </c>
      <c r="K7">
        <v>74203</v>
      </c>
      <c r="L7">
        <v>299891</v>
      </c>
      <c r="M7">
        <v>309808.5</v>
      </c>
      <c r="N7">
        <v>9917.5</v>
      </c>
      <c r="O7">
        <v>309808.5</v>
      </c>
      <c r="P7">
        <v>30360</v>
      </c>
      <c r="Q7">
        <v>29860</v>
      </c>
      <c r="R7">
        <v>26020</v>
      </c>
      <c r="S7">
        <v>31740</v>
      </c>
      <c r="T7">
        <v>32320</v>
      </c>
      <c r="U7">
        <v>35630</v>
      </c>
      <c r="V7">
        <v>30200</v>
      </c>
      <c r="W7">
        <v>29930</v>
      </c>
      <c r="X7">
        <v>33560</v>
      </c>
      <c r="Y7">
        <v>30300</v>
      </c>
      <c r="Z7">
        <v>309920</v>
      </c>
      <c r="AA7">
        <v>319837.5</v>
      </c>
      <c r="AB7">
        <v>0.82820000000000005</v>
      </c>
      <c r="AC7">
        <v>0.81469999999999998</v>
      </c>
      <c r="AD7">
        <v>0.79879999999999995</v>
      </c>
      <c r="AE7">
        <v>0.76700000000000002</v>
      </c>
      <c r="AF7">
        <v>0.80020000000000002</v>
      </c>
      <c r="AG7">
        <v>0.86809999999999998</v>
      </c>
      <c r="AH7">
        <v>0.84950000000000003</v>
      </c>
      <c r="AI7">
        <v>0.84189999999999998</v>
      </c>
      <c r="AJ7">
        <v>0.81769999999999998</v>
      </c>
      <c r="AK7">
        <v>0.85229999999999995</v>
      </c>
      <c r="AL7">
        <v>1.0334421506480689</v>
      </c>
      <c r="AM7">
        <v>4.3329860139860141</v>
      </c>
      <c r="AN7">
        <v>5.13</v>
      </c>
      <c r="AO7">
        <v>5.3</v>
      </c>
      <c r="AP7">
        <v>5.59</v>
      </c>
      <c r="AQ7">
        <v>5.43</v>
      </c>
      <c r="AS7">
        <v>5.3624999999999998</v>
      </c>
      <c r="AT7">
        <v>0.82379999999999998</v>
      </c>
      <c r="AU7">
        <v>0.80801603990415183</v>
      </c>
      <c r="AV7">
        <v>1</v>
      </c>
      <c r="AW7">
        <v>71500</v>
      </c>
      <c r="AX7">
        <v>56992</v>
      </c>
      <c r="AY7" s="9" t="s">
        <v>68</v>
      </c>
    </row>
    <row r="8" spans="1:51" ht="120" x14ac:dyDescent="0.25">
      <c r="A8" s="37">
        <v>45834</v>
      </c>
      <c r="B8">
        <v>236808.00000000003</v>
      </c>
      <c r="C8">
        <v>4.1399999999999997</v>
      </c>
      <c r="D8">
        <v>3.3935579999999996</v>
      </c>
      <c r="E8">
        <v>0.81969999999999998</v>
      </c>
      <c r="F8">
        <v>0.99</v>
      </c>
      <c r="G8">
        <v>75976</v>
      </c>
      <c r="H8">
        <v>75877</v>
      </c>
      <c r="I8">
        <v>0</v>
      </c>
      <c r="J8">
        <v>83405</v>
      </c>
      <c r="K8">
        <v>76258</v>
      </c>
      <c r="L8">
        <v>311516</v>
      </c>
      <c r="M8">
        <v>300419.17</v>
      </c>
      <c r="N8">
        <v>0</v>
      </c>
      <c r="O8">
        <v>311516</v>
      </c>
      <c r="P8">
        <v>28600</v>
      </c>
      <c r="Q8">
        <v>28630</v>
      </c>
      <c r="R8">
        <v>25350</v>
      </c>
      <c r="S8">
        <v>31190</v>
      </c>
      <c r="T8">
        <v>32410</v>
      </c>
      <c r="U8">
        <v>34260</v>
      </c>
      <c r="V8">
        <v>29430</v>
      </c>
      <c r="W8">
        <v>28780</v>
      </c>
      <c r="X8">
        <v>31540</v>
      </c>
      <c r="Y8">
        <v>29660</v>
      </c>
      <c r="Z8">
        <v>299850</v>
      </c>
      <c r="AA8">
        <v>299850</v>
      </c>
      <c r="AB8">
        <v>0.89</v>
      </c>
      <c r="AC8">
        <v>0.89</v>
      </c>
      <c r="AD8">
        <v>0.89</v>
      </c>
      <c r="AE8">
        <v>0.86</v>
      </c>
      <c r="AF8">
        <v>0.88</v>
      </c>
      <c r="AG8">
        <v>0.93</v>
      </c>
      <c r="AH8">
        <v>0.92</v>
      </c>
      <c r="AI8">
        <v>0.9</v>
      </c>
      <c r="AJ8">
        <v>0.85</v>
      </c>
      <c r="AK8">
        <v>0.92</v>
      </c>
      <c r="AL8">
        <v>0.96255088021161028</v>
      </c>
      <c r="AM8">
        <v>4.3568671328671327</v>
      </c>
      <c r="AN8">
        <v>4.6100000000000003</v>
      </c>
      <c r="AO8">
        <v>4.83</v>
      </c>
      <c r="AP8">
        <v>4.93</v>
      </c>
      <c r="AQ8">
        <v>4.7300000000000004</v>
      </c>
      <c r="AS8">
        <v>4.7750000000000004</v>
      </c>
      <c r="AT8">
        <v>0.89</v>
      </c>
      <c r="AU8">
        <v>0.91243290740672933</v>
      </c>
      <c r="AV8">
        <v>1</v>
      </c>
      <c r="AW8">
        <v>71500</v>
      </c>
      <c r="AX8">
        <v>56992</v>
      </c>
      <c r="AY8" s="9" t="s">
        <v>69</v>
      </c>
    </row>
    <row r="9" spans="1:51" ht="210" x14ac:dyDescent="0.25">
      <c r="A9" s="37">
        <v>45833</v>
      </c>
      <c r="B9">
        <v>236808.00000000003</v>
      </c>
      <c r="C9">
        <v>4.1399999999999997</v>
      </c>
      <c r="D9">
        <v>3.3935579999999996</v>
      </c>
      <c r="E9">
        <v>0.81969999999999998</v>
      </c>
      <c r="F9">
        <v>0.99</v>
      </c>
      <c r="G9">
        <v>73676</v>
      </c>
      <c r="H9">
        <v>11475</v>
      </c>
      <c r="I9">
        <v>27997.5</v>
      </c>
      <c r="J9">
        <v>59929.5</v>
      </c>
      <c r="K9">
        <v>54202</v>
      </c>
      <c r="L9">
        <v>227280</v>
      </c>
      <c r="M9">
        <v>277065.83</v>
      </c>
      <c r="N9">
        <v>49785.830000000016</v>
      </c>
      <c r="O9">
        <v>277065.83</v>
      </c>
      <c r="P9">
        <v>17110</v>
      </c>
      <c r="Q9">
        <v>16870</v>
      </c>
      <c r="R9">
        <v>15370</v>
      </c>
      <c r="S9">
        <v>19210</v>
      </c>
      <c r="T9">
        <v>19610</v>
      </c>
      <c r="U9">
        <v>34920</v>
      </c>
      <c r="V9">
        <v>29440</v>
      </c>
      <c r="W9">
        <v>29820</v>
      </c>
      <c r="X9">
        <v>35330</v>
      </c>
      <c r="Y9">
        <v>30170</v>
      </c>
      <c r="Z9">
        <v>247850</v>
      </c>
      <c r="AA9">
        <v>297635.83</v>
      </c>
      <c r="AB9">
        <v>0.51</v>
      </c>
      <c r="AC9">
        <v>0.5</v>
      </c>
      <c r="AD9">
        <v>0.52</v>
      </c>
      <c r="AE9">
        <v>0.51</v>
      </c>
      <c r="AF9">
        <v>0.52</v>
      </c>
      <c r="AG9">
        <v>0.89</v>
      </c>
      <c r="AH9">
        <v>0.87</v>
      </c>
      <c r="AI9">
        <v>0.88</v>
      </c>
      <c r="AJ9">
        <v>0.9</v>
      </c>
      <c r="AK9">
        <v>0.89</v>
      </c>
      <c r="AL9">
        <v>1.0905051038366773</v>
      </c>
      <c r="AM9">
        <v>3.8750465734265735</v>
      </c>
      <c r="AN9">
        <v>4.91</v>
      </c>
      <c r="AO9">
        <v>4.9800000000000004</v>
      </c>
      <c r="AQ9">
        <v>4.97</v>
      </c>
      <c r="AS9">
        <v>4.9533333333333331</v>
      </c>
      <c r="AT9">
        <v>0.69689999999999996</v>
      </c>
      <c r="AU9">
        <v>0.78231088292595696</v>
      </c>
      <c r="AV9">
        <v>1</v>
      </c>
      <c r="AW9">
        <v>71500</v>
      </c>
      <c r="AX9">
        <v>56992</v>
      </c>
      <c r="AY9" s="9" t="s">
        <v>70</v>
      </c>
    </row>
    <row r="10" spans="1:51" ht="180" x14ac:dyDescent="0.25">
      <c r="A10" s="37">
        <v>45832</v>
      </c>
      <c r="B10">
        <v>236808.00000000003</v>
      </c>
      <c r="C10">
        <v>4.1399999999999997</v>
      </c>
      <c r="D10">
        <v>3.3935579999999996</v>
      </c>
      <c r="E10">
        <v>0.81969999999999998</v>
      </c>
      <c r="F10">
        <v>0.99</v>
      </c>
      <c r="G10">
        <v>86021</v>
      </c>
      <c r="H10">
        <v>0</v>
      </c>
      <c r="I10">
        <v>34732.5</v>
      </c>
      <c r="J10">
        <v>41672.5</v>
      </c>
      <c r="K10">
        <v>37502</v>
      </c>
      <c r="L10">
        <v>199928</v>
      </c>
      <c r="M10">
        <v>201664.17</v>
      </c>
      <c r="N10">
        <v>1736.1700000000128</v>
      </c>
      <c r="O10">
        <v>201664.17</v>
      </c>
      <c r="P10">
        <v>14650</v>
      </c>
      <c r="Q10">
        <v>14550</v>
      </c>
      <c r="R10">
        <v>13220</v>
      </c>
      <c r="S10">
        <v>16350</v>
      </c>
      <c r="T10">
        <v>16960</v>
      </c>
      <c r="U10">
        <v>19660</v>
      </c>
      <c r="V10">
        <v>16830</v>
      </c>
      <c r="W10">
        <v>16780</v>
      </c>
      <c r="X10">
        <v>19120</v>
      </c>
      <c r="Y10">
        <v>17480</v>
      </c>
      <c r="Z10">
        <v>165600</v>
      </c>
      <c r="AA10">
        <v>167336.17000000001</v>
      </c>
      <c r="AB10">
        <v>0.85</v>
      </c>
      <c r="AC10">
        <v>0.84</v>
      </c>
      <c r="AD10">
        <v>0.86</v>
      </c>
      <c r="AE10">
        <v>0.84</v>
      </c>
      <c r="AF10">
        <v>0.86</v>
      </c>
      <c r="AG10">
        <v>0.96</v>
      </c>
      <c r="AH10">
        <v>0.95</v>
      </c>
      <c r="AI10">
        <v>0.94</v>
      </c>
      <c r="AJ10">
        <v>0.93</v>
      </c>
      <c r="AK10">
        <v>0.98</v>
      </c>
      <c r="AL10">
        <v>0.82829818734744509</v>
      </c>
      <c r="AM10">
        <v>2.8204779020979021</v>
      </c>
      <c r="AN10">
        <v>2.57</v>
      </c>
      <c r="AO10">
        <v>2.6</v>
      </c>
      <c r="AQ10">
        <v>2.56</v>
      </c>
      <c r="AS10">
        <v>2.5766666666666667</v>
      </c>
      <c r="AT10">
        <v>0.9</v>
      </c>
      <c r="AU10">
        <v>1.0946227304390306</v>
      </c>
      <c r="AV10">
        <v>1</v>
      </c>
      <c r="AW10">
        <v>71500</v>
      </c>
      <c r="AX10">
        <v>56992</v>
      </c>
      <c r="AY10" s="9" t="s">
        <v>71</v>
      </c>
    </row>
    <row r="11" spans="1:51" ht="180" x14ac:dyDescent="0.25">
      <c r="A11" s="37">
        <v>45831</v>
      </c>
      <c r="B11">
        <v>236808.00000000003</v>
      </c>
      <c r="C11">
        <v>4.1399999999999997</v>
      </c>
      <c r="D11">
        <v>3.3935579999999996</v>
      </c>
      <c r="E11">
        <v>0.81969999999999998</v>
      </c>
      <c r="F11">
        <v>0.99</v>
      </c>
      <c r="G11">
        <v>54538</v>
      </c>
      <c r="H11">
        <v>40217</v>
      </c>
      <c r="I11">
        <v>40217</v>
      </c>
      <c r="J11">
        <v>36841</v>
      </c>
      <c r="K11">
        <v>38491</v>
      </c>
      <c r="L11">
        <v>210304</v>
      </c>
      <c r="M11">
        <v>212586.17</v>
      </c>
      <c r="N11">
        <v>2282.1700000000128</v>
      </c>
      <c r="O11">
        <v>212586.17</v>
      </c>
      <c r="P11">
        <v>24880</v>
      </c>
      <c r="Q11">
        <v>23970</v>
      </c>
      <c r="R11">
        <v>20630</v>
      </c>
      <c r="S11">
        <v>24470</v>
      </c>
      <c r="T11">
        <v>26540</v>
      </c>
      <c r="U11">
        <v>30980</v>
      </c>
      <c r="V11">
        <v>25490</v>
      </c>
      <c r="W11">
        <v>26520</v>
      </c>
      <c r="X11">
        <v>30220</v>
      </c>
      <c r="Y11">
        <v>27080</v>
      </c>
      <c r="Z11">
        <v>260780</v>
      </c>
      <c r="AA11">
        <v>263062.17000000004</v>
      </c>
      <c r="AB11">
        <v>0.84</v>
      </c>
      <c r="AC11">
        <v>0.81</v>
      </c>
      <c r="AD11">
        <v>0.78</v>
      </c>
      <c r="AE11">
        <v>0.73</v>
      </c>
      <c r="AF11">
        <v>0.8</v>
      </c>
      <c r="AG11">
        <v>0.94</v>
      </c>
      <c r="AH11">
        <v>0.89</v>
      </c>
      <c r="AI11">
        <v>0.93</v>
      </c>
      <c r="AJ11">
        <v>0.91</v>
      </c>
      <c r="AK11">
        <v>0.95</v>
      </c>
      <c r="AL11">
        <v>1.2400144552647596</v>
      </c>
      <c r="AM11">
        <v>2.973233146853147</v>
      </c>
      <c r="AN11">
        <v>4.13</v>
      </c>
      <c r="AO11">
        <v>4.34</v>
      </c>
      <c r="AQ11">
        <v>4.3899999999999997</v>
      </c>
      <c r="AS11">
        <v>4.2866666666666662</v>
      </c>
      <c r="AT11">
        <v>0.85819999999999996</v>
      </c>
      <c r="AU11">
        <v>0.69360026753961446</v>
      </c>
      <c r="AV11">
        <v>1</v>
      </c>
      <c r="AW11">
        <v>71500</v>
      </c>
      <c r="AX11">
        <v>56992</v>
      </c>
      <c r="AY11" s="9" t="s">
        <v>71</v>
      </c>
    </row>
    <row r="12" spans="1:51" ht="135" x14ac:dyDescent="0.25">
      <c r="A12" s="37">
        <v>45830</v>
      </c>
      <c r="B12">
        <v>236808.00000000003</v>
      </c>
      <c r="C12">
        <v>4.1399999999999997</v>
      </c>
      <c r="D12">
        <v>3.3935579999999996</v>
      </c>
      <c r="E12">
        <v>0.81969999999999998</v>
      </c>
      <c r="F12">
        <v>0.99</v>
      </c>
      <c r="G12">
        <v>69586</v>
      </c>
      <c r="H12">
        <v>69490</v>
      </c>
      <c r="I12">
        <v>50931</v>
      </c>
      <c r="J12">
        <v>54771.5</v>
      </c>
      <c r="K12">
        <v>49372</v>
      </c>
      <c r="L12">
        <v>294150.5</v>
      </c>
      <c r="M12">
        <v>281081.5</v>
      </c>
      <c r="N12">
        <v>0</v>
      </c>
      <c r="O12">
        <v>294150.5</v>
      </c>
      <c r="P12">
        <v>23960</v>
      </c>
      <c r="Q12">
        <v>23860</v>
      </c>
      <c r="R12">
        <v>20880</v>
      </c>
      <c r="S12">
        <v>25650</v>
      </c>
      <c r="T12">
        <v>26740</v>
      </c>
      <c r="U12">
        <v>28590</v>
      </c>
      <c r="V12">
        <v>24720</v>
      </c>
      <c r="W12">
        <v>24110</v>
      </c>
      <c r="X12">
        <v>27050</v>
      </c>
      <c r="Y12">
        <v>25010</v>
      </c>
      <c r="Z12">
        <v>250570</v>
      </c>
      <c r="AA12">
        <v>250570</v>
      </c>
      <c r="AB12">
        <v>0.9</v>
      </c>
      <c r="AC12">
        <v>0.9</v>
      </c>
      <c r="AD12">
        <v>0.89</v>
      </c>
      <c r="AE12">
        <v>0.86</v>
      </c>
      <c r="AF12">
        <v>0.88</v>
      </c>
      <c r="AG12">
        <v>0.93</v>
      </c>
      <c r="AH12">
        <v>0.93</v>
      </c>
      <c r="AI12">
        <v>0.91</v>
      </c>
      <c r="AJ12">
        <v>0.88</v>
      </c>
      <c r="AK12">
        <v>0.94</v>
      </c>
      <c r="AL12">
        <v>0.85184284915374953</v>
      </c>
      <c r="AM12">
        <v>4.1139930069930069</v>
      </c>
      <c r="AN12">
        <v>3.84</v>
      </c>
      <c r="AO12">
        <v>3.97</v>
      </c>
      <c r="AQ12">
        <v>3.93</v>
      </c>
      <c r="AS12">
        <v>3.9133333333333336</v>
      </c>
      <c r="AT12">
        <v>0.90139999999999998</v>
      </c>
      <c r="AU12">
        <v>1.0512758961651636</v>
      </c>
      <c r="AV12">
        <v>1</v>
      </c>
      <c r="AW12">
        <v>71500</v>
      </c>
      <c r="AX12">
        <v>56992</v>
      </c>
      <c r="AY12" s="9" t="s">
        <v>72</v>
      </c>
    </row>
    <row r="13" spans="1:51" ht="135" x14ac:dyDescent="0.25">
      <c r="A13" s="37">
        <v>45829</v>
      </c>
      <c r="B13">
        <v>236808.00000000003</v>
      </c>
      <c r="C13">
        <v>4.1399999999999997</v>
      </c>
      <c r="D13">
        <v>3.3935579999999996</v>
      </c>
      <c r="E13">
        <v>0.81969999999999998</v>
      </c>
      <c r="F13">
        <v>0.99</v>
      </c>
      <c r="G13">
        <v>62249.5</v>
      </c>
      <c r="H13">
        <v>62073</v>
      </c>
      <c r="I13">
        <v>45598.5</v>
      </c>
      <c r="J13">
        <v>50191</v>
      </c>
      <c r="K13">
        <v>45519</v>
      </c>
      <c r="L13">
        <v>265631</v>
      </c>
      <c r="M13">
        <v>256677.83</v>
      </c>
      <c r="N13">
        <v>0</v>
      </c>
      <c r="O13">
        <v>265631</v>
      </c>
      <c r="P13">
        <v>28500</v>
      </c>
      <c r="Q13">
        <v>28420</v>
      </c>
      <c r="R13">
        <v>24570</v>
      </c>
      <c r="S13">
        <v>30100</v>
      </c>
      <c r="T13">
        <v>31490</v>
      </c>
      <c r="U13">
        <v>34890</v>
      </c>
      <c r="V13">
        <v>29520</v>
      </c>
      <c r="W13">
        <v>29420</v>
      </c>
      <c r="X13">
        <v>33750</v>
      </c>
      <c r="Y13">
        <v>30960</v>
      </c>
      <c r="Z13">
        <v>301620</v>
      </c>
      <c r="AA13">
        <v>301620</v>
      </c>
      <c r="AB13">
        <v>0.88</v>
      </c>
      <c r="AC13">
        <v>0.87</v>
      </c>
      <c r="AD13">
        <v>0.85</v>
      </c>
      <c r="AE13">
        <v>0.82</v>
      </c>
      <c r="AF13">
        <v>0.87</v>
      </c>
      <c r="AG13">
        <v>0.93</v>
      </c>
      <c r="AH13">
        <v>0.91</v>
      </c>
      <c r="AI13">
        <v>0.9</v>
      </c>
      <c r="AJ13">
        <v>0.9</v>
      </c>
      <c r="AK13">
        <v>0.95</v>
      </c>
      <c r="AL13">
        <v>1.1354849396343047</v>
      </c>
      <c r="AM13">
        <v>3.7151188811188813</v>
      </c>
      <c r="AN13">
        <v>4.7</v>
      </c>
      <c r="AO13">
        <v>4.7699999999999996</v>
      </c>
      <c r="AQ13">
        <v>4.82</v>
      </c>
      <c r="AS13">
        <v>4.7633333333333328</v>
      </c>
      <c r="AT13">
        <v>0.8871</v>
      </c>
      <c r="AU13">
        <v>0.77994098274014312</v>
      </c>
      <c r="AV13">
        <v>1</v>
      </c>
      <c r="AW13">
        <v>71500</v>
      </c>
      <c r="AX13">
        <v>56992</v>
      </c>
      <c r="AY13" s="9" t="s">
        <v>72</v>
      </c>
    </row>
    <row r="14" spans="1:51" ht="135" x14ac:dyDescent="0.25">
      <c r="A14" s="37">
        <v>45828</v>
      </c>
      <c r="B14">
        <v>236808.00000000003</v>
      </c>
      <c r="C14">
        <v>4.1399999999999997</v>
      </c>
      <c r="D14">
        <v>3.3935579999999996</v>
      </c>
      <c r="E14">
        <v>0.81969999999999998</v>
      </c>
      <c r="F14">
        <v>0.99</v>
      </c>
      <c r="G14">
        <v>56417</v>
      </c>
      <c r="H14">
        <v>56360</v>
      </c>
      <c r="I14">
        <v>39968.5</v>
      </c>
      <c r="J14">
        <v>44774</v>
      </c>
      <c r="K14">
        <v>40778</v>
      </c>
      <c r="L14">
        <v>238297.5</v>
      </c>
      <c r="M14">
        <v>218482.5</v>
      </c>
      <c r="N14">
        <v>0</v>
      </c>
      <c r="O14">
        <v>238297.5</v>
      </c>
      <c r="P14">
        <v>17480</v>
      </c>
      <c r="Q14">
        <v>17350</v>
      </c>
      <c r="R14">
        <v>15360</v>
      </c>
      <c r="S14">
        <v>18790</v>
      </c>
      <c r="T14">
        <v>19980</v>
      </c>
      <c r="U14">
        <v>20650</v>
      </c>
      <c r="V14">
        <v>17460</v>
      </c>
      <c r="W14">
        <v>17460</v>
      </c>
      <c r="X14">
        <v>19770</v>
      </c>
      <c r="Y14">
        <v>18030</v>
      </c>
      <c r="Z14">
        <v>182330</v>
      </c>
      <c r="AA14">
        <v>182330</v>
      </c>
      <c r="AB14">
        <v>0.95</v>
      </c>
      <c r="AC14">
        <v>0.94</v>
      </c>
      <c r="AD14">
        <v>0.93</v>
      </c>
      <c r="AE14">
        <v>0.9</v>
      </c>
      <c r="AF14">
        <v>0.96</v>
      </c>
      <c r="AG14">
        <v>0.97</v>
      </c>
      <c r="AH14">
        <v>0.94</v>
      </c>
      <c r="AI14">
        <v>0.94</v>
      </c>
      <c r="AJ14">
        <v>0.93</v>
      </c>
      <c r="AK14">
        <v>0.97</v>
      </c>
      <c r="AL14">
        <v>0.7651360169535979</v>
      </c>
      <c r="AM14">
        <v>3.332832167832168</v>
      </c>
      <c r="AN14">
        <v>2.67</v>
      </c>
      <c r="AO14">
        <v>2.74</v>
      </c>
      <c r="AQ14">
        <v>2.74</v>
      </c>
      <c r="AS14">
        <v>2.7166666666666668</v>
      </c>
      <c r="AT14">
        <v>0.94279999999999997</v>
      </c>
      <c r="AU14">
        <v>1.2268093869320864</v>
      </c>
      <c r="AV14">
        <v>1</v>
      </c>
      <c r="AW14">
        <v>71500</v>
      </c>
      <c r="AX14">
        <v>56992</v>
      </c>
      <c r="AY14" s="9" t="s">
        <v>72</v>
      </c>
    </row>
    <row r="15" spans="1:51" ht="135" x14ac:dyDescent="0.25">
      <c r="A15" s="37">
        <v>45827</v>
      </c>
      <c r="B15">
        <v>236808.00000000003</v>
      </c>
      <c r="C15">
        <v>4.1399999999999997</v>
      </c>
      <c r="D15">
        <v>3.3935579999999996</v>
      </c>
      <c r="E15">
        <v>0.81969999999999998</v>
      </c>
      <c r="F15">
        <v>0.99</v>
      </c>
      <c r="G15">
        <v>32619.78</v>
      </c>
      <c r="H15">
        <v>32624.04</v>
      </c>
      <c r="I15">
        <v>20927.5</v>
      </c>
      <c r="J15">
        <v>27328.5</v>
      </c>
      <c r="K15">
        <v>25555.56</v>
      </c>
      <c r="L15">
        <v>139055.38</v>
      </c>
      <c r="M15">
        <v>121976.67</v>
      </c>
      <c r="N15">
        <v>0</v>
      </c>
      <c r="O15">
        <v>139055.38</v>
      </c>
      <c r="P15">
        <v>11570</v>
      </c>
      <c r="Q15">
        <v>11570</v>
      </c>
      <c r="R15">
        <v>10240</v>
      </c>
      <c r="S15">
        <v>12670</v>
      </c>
      <c r="T15">
        <v>13340</v>
      </c>
      <c r="U15">
        <v>13170</v>
      </c>
      <c r="V15">
        <v>11760</v>
      </c>
      <c r="W15">
        <v>11550</v>
      </c>
      <c r="X15">
        <v>12680</v>
      </c>
      <c r="Y15">
        <v>11970</v>
      </c>
      <c r="Z15">
        <v>120520</v>
      </c>
      <c r="AA15">
        <v>120520</v>
      </c>
      <c r="AB15">
        <v>0.93159999999999998</v>
      </c>
      <c r="AC15">
        <v>0.93159999999999998</v>
      </c>
      <c r="AD15">
        <v>0.92759999999999998</v>
      </c>
      <c r="AE15">
        <v>0.90359999999999996</v>
      </c>
      <c r="AF15">
        <v>0.95109999999999995</v>
      </c>
      <c r="AG15">
        <v>0.9405</v>
      </c>
      <c r="AH15">
        <v>0.9698</v>
      </c>
      <c r="AI15">
        <v>0.95209999999999995</v>
      </c>
      <c r="AJ15">
        <v>0.90549999999999997</v>
      </c>
      <c r="AK15">
        <v>0.98660000000000003</v>
      </c>
      <c r="AL15">
        <v>0.86670504945583549</v>
      </c>
      <c r="AM15">
        <v>1.9448304895104895</v>
      </c>
      <c r="AN15">
        <v>1.75</v>
      </c>
      <c r="AO15">
        <v>1.84</v>
      </c>
      <c r="AQ15">
        <v>1.84</v>
      </c>
      <c r="AS15">
        <v>1.8099999999999998</v>
      </c>
      <c r="AT15">
        <v>0.94</v>
      </c>
      <c r="AU15">
        <v>1.0744919831549666</v>
      </c>
      <c r="AV15">
        <v>1</v>
      </c>
      <c r="AW15">
        <v>71500</v>
      </c>
      <c r="AX15">
        <v>56992</v>
      </c>
      <c r="AY15" s="9" t="s">
        <v>72</v>
      </c>
    </row>
    <row r="16" spans="1:51" ht="195" x14ac:dyDescent="0.25">
      <c r="A16" s="37">
        <v>45826</v>
      </c>
      <c r="B16">
        <v>236808.00000000003</v>
      </c>
      <c r="C16">
        <v>4.1399999999999997</v>
      </c>
      <c r="D16">
        <v>3.3935579999999996</v>
      </c>
      <c r="E16">
        <v>0.81969999999999998</v>
      </c>
      <c r="F16">
        <v>0.99</v>
      </c>
      <c r="G16">
        <v>20925.759999999998</v>
      </c>
      <c r="H16">
        <v>57968.51</v>
      </c>
      <c r="I16">
        <v>38990.47</v>
      </c>
      <c r="J16">
        <v>43894.5</v>
      </c>
      <c r="K16">
        <v>39858.089999999997</v>
      </c>
      <c r="L16">
        <v>201637.33</v>
      </c>
      <c r="M16">
        <v>236668</v>
      </c>
      <c r="N16">
        <v>35030.670000000013</v>
      </c>
      <c r="O16">
        <v>236668</v>
      </c>
      <c r="P16">
        <v>17510</v>
      </c>
      <c r="Q16">
        <v>18310</v>
      </c>
      <c r="R16">
        <v>16270</v>
      </c>
      <c r="S16">
        <v>20140</v>
      </c>
      <c r="T16">
        <v>20940</v>
      </c>
      <c r="U16">
        <v>30650</v>
      </c>
      <c r="V16">
        <v>27230</v>
      </c>
      <c r="W16">
        <v>25760</v>
      </c>
      <c r="X16">
        <v>28840</v>
      </c>
      <c r="Y16">
        <v>26400</v>
      </c>
      <c r="Z16">
        <v>232050</v>
      </c>
      <c r="AA16">
        <v>267080.67000000004</v>
      </c>
      <c r="AB16">
        <v>0.61470000000000002</v>
      </c>
      <c r="AC16">
        <v>0.64290000000000003</v>
      </c>
      <c r="AD16">
        <v>0.64270000000000005</v>
      </c>
      <c r="AE16">
        <v>0.62629999999999997</v>
      </c>
      <c r="AF16">
        <v>0.61209999999999998</v>
      </c>
      <c r="AG16">
        <v>0.90349999999999997</v>
      </c>
      <c r="AH16">
        <v>0.92649999999999999</v>
      </c>
      <c r="AI16">
        <v>0.87670000000000003</v>
      </c>
      <c r="AJ16">
        <v>0.85009999999999997</v>
      </c>
      <c r="AK16">
        <v>0.89839999999999998</v>
      </c>
      <c r="AL16">
        <v>1.1508285692931959</v>
      </c>
      <c r="AM16">
        <v>3.3100419580419582</v>
      </c>
      <c r="AN16">
        <v>4.24</v>
      </c>
      <c r="AO16">
        <v>4.49</v>
      </c>
      <c r="AQ16">
        <v>4.22</v>
      </c>
      <c r="AS16">
        <v>4.3166666666666664</v>
      </c>
      <c r="AT16">
        <v>0.75939999999999996</v>
      </c>
      <c r="AU16">
        <v>0.76680508680508686</v>
      </c>
      <c r="AV16">
        <v>1</v>
      </c>
      <c r="AW16">
        <v>71500</v>
      </c>
      <c r="AX16">
        <v>56992</v>
      </c>
      <c r="AY16" s="9" t="s">
        <v>73</v>
      </c>
    </row>
    <row r="17" spans="1:51" ht="195" x14ac:dyDescent="0.25">
      <c r="A17" s="37">
        <v>45825</v>
      </c>
      <c r="B17">
        <v>236808.00000000003</v>
      </c>
      <c r="C17">
        <v>4.1399999999999997</v>
      </c>
      <c r="D17">
        <v>3.3935579999999996</v>
      </c>
      <c r="E17">
        <v>0.81969999999999998</v>
      </c>
      <c r="F17">
        <v>0.99</v>
      </c>
      <c r="G17">
        <v>0</v>
      </c>
      <c r="H17">
        <v>72100.39</v>
      </c>
      <c r="I17">
        <v>40733.360000000001</v>
      </c>
      <c r="J17">
        <v>47085.5</v>
      </c>
      <c r="K17">
        <v>41366.03</v>
      </c>
      <c r="L17">
        <v>201285.28</v>
      </c>
      <c r="M17">
        <v>231263</v>
      </c>
      <c r="N17">
        <v>29977.72</v>
      </c>
      <c r="O17">
        <v>231263</v>
      </c>
      <c r="P17">
        <v>14660</v>
      </c>
      <c r="Q17">
        <v>14620</v>
      </c>
      <c r="R17">
        <v>13260</v>
      </c>
      <c r="S17">
        <v>16660</v>
      </c>
      <c r="T17">
        <v>16880</v>
      </c>
      <c r="U17">
        <v>30310</v>
      </c>
      <c r="V17">
        <v>25970</v>
      </c>
      <c r="W17">
        <v>26560</v>
      </c>
      <c r="X17">
        <v>29970</v>
      </c>
      <c r="Y17">
        <v>27950</v>
      </c>
      <c r="Z17">
        <v>216840</v>
      </c>
      <c r="AA17">
        <v>246817.72</v>
      </c>
      <c r="AB17">
        <v>0.50049999999999994</v>
      </c>
      <c r="AC17">
        <v>0.49890000000000001</v>
      </c>
      <c r="AD17">
        <v>0.5091</v>
      </c>
      <c r="AE17">
        <v>0.50370000000000004</v>
      </c>
      <c r="AF17">
        <v>0.50339999999999996</v>
      </c>
      <c r="AG17">
        <v>0.88119999999999998</v>
      </c>
      <c r="AH17">
        <v>0.87139999999999995</v>
      </c>
      <c r="AI17">
        <v>0.89119999999999999</v>
      </c>
      <c r="AJ17">
        <v>0.87109999999999999</v>
      </c>
      <c r="AK17">
        <v>0.93799999999999994</v>
      </c>
      <c r="AL17">
        <v>1.077276987169653</v>
      </c>
      <c r="AM17">
        <v>3.2344475524475524</v>
      </c>
      <c r="AN17">
        <v>4.3</v>
      </c>
      <c r="AO17">
        <v>4.4000000000000004</v>
      </c>
      <c r="AQ17">
        <v>4.34</v>
      </c>
      <c r="AS17">
        <v>4.3466666666666667</v>
      </c>
      <c r="AT17">
        <v>0.69679999999999997</v>
      </c>
      <c r="AU17">
        <v>0.74412136942811791</v>
      </c>
      <c r="AV17">
        <v>1</v>
      </c>
      <c r="AW17">
        <v>71500</v>
      </c>
      <c r="AX17">
        <v>56992</v>
      </c>
      <c r="AY17" s="9" t="s">
        <v>73</v>
      </c>
    </row>
    <row r="18" spans="1:51" ht="195" x14ac:dyDescent="0.25">
      <c r="A18" s="37">
        <v>45824</v>
      </c>
      <c r="B18">
        <v>236808.00000000003</v>
      </c>
      <c r="C18">
        <v>4.1399999999999997</v>
      </c>
      <c r="D18">
        <v>3.3935579999999996</v>
      </c>
      <c r="E18">
        <v>0.81969999999999998</v>
      </c>
      <c r="F18">
        <v>0.99</v>
      </c>
      <c r="G18">
        <v>0</v>
      </c>
      <c r="H18">
        <v>72780.539999999994</v>
      </c>
      <c r="I18">
        <v>40781.75</v>
      </c>
      <c r="J18">
        <v>46534</v>
      </c>
      <c r="K18">
        <v>41946.55</v>
      </c>
      <c r="L18">
        <v>202042.83999999997</v>
      </c>
      <c r="M18">
        <v>231811</v>
      </c>
      <c r="N18">
        <v>29768.160000000033</v>
      </c>
      <c r="O18">
        <v>231811</v>
      </c>
      <c r="P18">
        <v>16060</v>
      </c>
      <c r="Q18">
        <v>15830</v>
      </c>
      <c r="R18">
        <v>14190</v>
      </c>
      <c r="S18">
        <v>17510</v>
      </c>
      <c r="T18">
        <v>18010</v>
      </c>
      <c r="U18">
        <v>25850</v>
      </c>
      <c r="V18">
        <v>23620</v>
      </c>
      <c r="W18">
        <v>24440</v>
      </c>
      <c r="X18">
        <v>28110</v>
      </c>
      <c r="Y18">
        <v>25080</v>
      </c>
      <c r="Z18">
        <v>208700</v>
      </c>
      <c r="AA18">
        <v>238468.16000000003</v>
      </c>
      <c r="AB18">
        <v>0.58750000000000002</v>
      </c>
      <c r="AC18">
        <v>0.57909999999999995</v>
      </c>
      <c r="AD18">
        <v>0.58379999999999999</v>
      </c>
      <c r="AE18">
        <v>0.5675</v>
      </c>
      <c r="AF18">
        <v>0.59389999999999998</v>
      </c>
      <c r="AG18">
        <v>0.8327</v>
      </c>
      <c r="AH18">
        <v>0.87829999999999997</v>
      </c>
      <c r="AI18">
        <v>0.90910000000000002</v>
      </c>
      <c r="AJ18">
        <v>0.90559999999999996</v>
      </c>
      <c r="AK18">
        <v>0.93289999999999995</v>
      </c>
      <c r="AL18">
        <v>1.0329492497729691</v>
      </c>
      <c r="AM18">
        <v>3.242111888111888</v>
      </c>
      <c r="AN18">
        <v>3.88</v>
      </c>
      <c r="AO18">
        <v>3.98</v>
      </c>
      <c r="AQ18">
        <v>4.05</v>
      </c>
      <c r="AS18">
        <v>3.97</v>
      </c>
      <c r="AT18">
        <v>0.73699999999999999</v>
      </c>
      <c r="AU18">
        <v>0.81665286854203722</v>
      </c>
      <c r="AV18">
        <v>1</v>
      </c>
      <c r="AW18">
        <v>71500</v>
      </c>
      <c r="AX18">
        <v>56992</v>
      </c>
      <c r="AY18" s="9" t="s">
        <v>73</v>
      </c>
    </row>
    <row r="19" spans="1:51" ht="195" x14ac:dyDescent="0.25">
      <c r="A19" s="37">
        <v>45823</v>
      </c>
      <c r="B19">
        <v>236808.00000000003</v>
      </c>
      <c r="C19">
        <v>4.1399999999999997</v>
      </c>
      <c r="D19">
        <v>3.3935579999999996</v>
      </c>
      <c r="E19">
        <v>0.81969999999999998</v>
      </c>
      <c r="F19">
        <v>0.99</v>
      </c>
      <c r="G19">
        <v>14364.66</v>
      </c>
      <c r="H19">
        <v>84765.77</v>
      </c>
      <c r="I19">
        <v>56930.26</v>
      </c>
      <c r="J19">
        <v>60042</v>
      </c>
      <c r="K19">
        <v>53586.66</v>
      </c>
      <c r="L19">
        <v>269689.34999999998</v>
      </c>
      <c r="M19">
        <v>332228.83</v>
      </c>
      <c r="N19">
        <v>62539.48000000004</v>
      </c>
      <c r="O19">
        <v>332228.83</v>
      </c>
      <c r="P19">
        <v>18600</v>
      </c>
      <c r="Q19">
        <v>18420</v>
      </c>
      <c r="R19">
        <v>16570</v>
      </c>
      <c r="S19">
        <v>20380</v>
      </c>
      <c r="T19">
        <v>21170</v>
      </c>
      <c r="U19">
        <v>29860</v>
      </c>
      <c r="V19">
        <v>29010</v>
      </c>
      <c r="W19">
        <v>30720</v>
      </c>
      <c r="X19">
        <v>35060</v>
      </c>
      <c r="Y19">
        <v>32380</v>
      </c>
      <c r="Z19">
        <v>252170</v>
      </c>
      <c r="AA19">
        <v>314709.48000000004</v>
      </c>
      <c r="AB19">
        <v>0.5413</v>
      </c>
      <c r="AC19">
        <v>0.53600000000000003</v>
      </c>
      <c r="AD19">
        <v>0.54249999999999998</v>
      </c>
      <c r="AE19">
        <v>0.52559999999999996</v>
      </c>
      <c r="AF19">
        <v>0.54379999999999995</v>
      </c>
      <c r="AG19">
        <v>0.72629999999999995</v>
      </c>
      <c r="AH19">
        <v>0.8145</v>
      </c>
      <c r="AI19">
        <v>0.86250000000000004</v>
      </c>
      <c r="AJ19">
        <v>0.85260000000000002</v>
      </c>
      <c r="AK19">
        <v>0.90910000000000002</v>
      </c>
      <c r="AL19">
        <v>0.93503877702252614</v>
      </c>
      <c r="AM19">
        <v>4.6465570629370632</v>
      </c>
      <c r="AN19">
        <v>5.14</v>
      </c>
      <c r="AO19">
        <v>5.1100000000000003</v>
      </c>
      <c r="AQ19">
        <v>5.09</v>
      </c>
      <c r="AS19">
        <v>5.1133333333333333</v>
      </c>
      <c r="AT19">
        <v>0.68540000000000001</v>
      </c>
      <c r="AU19">
        <v>0.90871389757569687</v>
      </c>
      <c r="AV19">
        <v>0.997</v>
      </c>
      <c r="AW19">
        <v>71500</v>
      </c>
      <c r="AX19">
        <v>56992</v>
      </c>
      <c r="AY19" s="9" t="s">
        <v>73</v>
      </c>
    </row>
    <row r="20" spans="1:51" ht="165" x14ac:dyDescent="0.25">
      <c r="A20" s="37">
        <v>45822</v>
      </c>
      <c r="B20">
        <v>236808.00000000003</v>
      </c>
      <c r="C20">
        <v>4.1399999999999997</v>
      </c>
      <c r="D20">
        <v>3.3935579999999996</v>
      </c>
      <c r="E20">
        <v>0.81969999999999998</v>
      </c>
      <c r="F20">
        <v>0.99</v>
      </c>
      <c r="G20">
        <v>33127.69</v>
      </c>
      <c r="H20">
        <v>33155.040000000001</v>
      </c>
      <c r="I20">
        <v>23352.12</v>
      </c>
      <c r="J20">
        <v>24656.5</v>
      </c>
      <c r="K20">
        <v>26573.4</v>
      </c>
      <c r="L20">
        <v>140864.75</v>
      </c>
      <c r="M20">
        <v>123842</v>
      </c>
      <c r="N20">
        <v>0</v>
      </c>
      <c r="O20">
        <v>140864.75</v>
      </c>
      <c r="P20">
        <v>13840</v>
      </c>
      <c r="Q20">
        <v>13770</v>
      </c>
      <c r="R20">
        <v>11990</v>
      </c>
      <c r="S20">
        <v>14610</v>
      </c>
      <c r="T20">
        <v>15440</v>
      </c>
      <c r="U20">
        <v>17080</v>
      </c>
      <c r="V20">
        <v>13480</v>
      </c>
      <c r="W20">
        <v>14400</v>
      </c>
      <c r="X20">
        <v>15660</v>
      </c>
      <c r="Y20">
        <v>14690</v>
      </c>
      <c r="Z20">
        <v>144960</v>
      </c>
      <c r="AA20">
        <v>144960</v>
      </c>
      <c r="AB20">
        <v>0.90720000000000001</v>
      </c>
      <c r="AC20">
        <v>0.90269999999999995</v>
      </c>
      <c r="AD20">
        <v>0.8841</v>
      </c>
      <c r="AE20">
        <v>0.84830000000000005</v>
      </c>
      <c r="AF20">
        <v>0.87319999999999998</v>
      </c>
      <c r="AG20">
        <v>0.95309999999999995</v>
      </c>
      <c r="AH20">
        <v>0.86819999999999997</v>
      </c>
      <c r="AI20">
        <v>0.92730000000000001</v>
      </c>
      <c r="AJ20">
        <v>0.87390000000000001</v>
      </c>
      <c r="AK20">
        <v>0.94610000000000005</v>
      </c>
      <c r="AL20">
        <v>1.0290722128850547</v>
      </c>
      <c r="AM20">
        <v>1.9701363636363636</v>
      </c>
      <c r="AN20">
        <v>2.2400000000000002</v>
      </c>
      <c r="AO20">
        <v>2.3199999999999998</v>
      </c>
      <c r="AQ20">
        <v>2.2599999999999998</v>
      </c>
      <c r="AS20">
        <v>2.2733333333333334</v>
      </c>
      <c r="AT20">
        <v>0.89839999999999998</v>
      </c>
      <c r="AU20">
        <v>0.86662889896027717</v>
      </c>
      <c r="AV20">
        <v>0.997</v>
      </c>
      <c r="AW20">
        <v>71500</v>
      </c>
      <c r="AX20">
        <v>56992</v>
      </c>
      <c r="AY20" s="9" t="s">
        <v>74</v>
      </c>
    </row>
    <row r="21" spans="1:51" ht="165" x14ac:dyDescent="0.25">
      <c r="A21" s="37">
        <v>45821</v>
      </c>
      <c r="B21">
        <v>236808.00000000003</v>
      </c>
      <c r="C21">
        <v>4.1399999999999997</v>
      </c>
      <c r="D21">
        <v>3.3935579999999996</v>
      </c>
      <c r="E21">
        <v>0.81969999999999998</v>
      </c>
      <c r="F21">
        <v>0.99</v>
      </c>
      <c r="G21">
        <v>62099.28</v>
      </c>
      <c r="H21">
        <v>61931.68</v>
      </c>
      <c r="I21">
        <v>49429.67</v>
      </c>
      <c r="J21">
        <v>50263.5</v>
      </c>
      <c r="K21">
        <v>49619.02</v>
      </c>
      <c r="L21">
        <v>273343.15000000002</v>
      </c>
      <c r="M21">
        <v>292875</v>
      </c>
      <c r="N21">
        <v>19531.849999999977</v>
      </c>
      <c r="O21">
        <v>292875</v>
      </c>
      <c r="P21">
        <v>28090</v>
      </c>
      <c r="Q21">
        <v>27670</v>
      </c>
      <c r="R21">
        <v>24150</v>
      </c>
      <c r="S21">
        <v>30380</v>
      </c>
      <c r="T21">
        <v>29880</v>
      </c>
      <c r="U21">
        <v>37250</v>
      </c>
      <c r="V21">
        <v>29430</v>
      </c>
      <c r="W21">
        <v>31780</v>
      </c>
      <c r="X21">
        <v>35310</v>
      </c>
      <c r="Y21">
        <v>32640</v>
      </c>
      <c r="Z21">
        <v>306580</v>
      </c>
      <c r="AA21">
        <v>326111.84999999998</v>
      </c>
      <c r="AB21">
        <v>0.79569999999999996</v>
      </c>
      <c r="AC21">
        <v>0.78369999999999995</v>
      </c>
      <c r="AD21">
        <v>0.76970000000000005</v>
      </c>
      <c r="AE21">
        <v>0.76229999999999998</v>
      </c>
      <c r="AF21">
        <v>0.75560000000000005</v>
      </c>
      <c r="AG21">
        <v>0.90580000000000005</v>
      </c>
      <c r="AH21">
        <v>0.82609999999999995</v>
      </c>
      <c r="AI21">
        <v>0.8921</v>
      </c>
      <c r="AJ21">
        <v>0.85860000000000003</v>
      </c>
      <c r="AK21">
        <v>0.91639999999999999</v>
      </c>
      <c r="AL21">
        <v>1.1215938647081516</v>
      </c>
      <c r="AM21">
        <v>4.0961538461538458</v>
      </c>
      <c r="AN21">
        <v>5.14</v>
      </c>
      <c r="AO21">
        <v>5.19</v>
      </c>
      <c r="AQ21">
        <v>5.23</v>
      </c>
      <c r="AS21">
        <v>5.1866666666666665</v>
      </c>
      <c r="AT21">
        <v>0.8266</v>
      </c>
      <c r="AU21">
        <v>0.78974688550524019</v>
      </c>
      <c r="AV21">
        <v>0.997</v>
      </c>
      <c r="AW21">
        <v>71500</v>
      </c>
      <c r="AX21">
        <v>56992</v>
      </c>
      <c r="AY21" s="9" t="s">
        <v>74</v>
      </c>
    </row>
    <row r="22" spans="1:51" ht="165" x14ac:dyDescent="0.25">
      <c r="A22" s="37">
        <v>45820</v>
      </c>
      <c r="B22">
        <v>236808.00000000003</v>
      </c>
      <c r="C22">
        <v>4.1399999999999997</v>
      </c>
      <c r="D22">
        <v>3.3935579999999996</v>
      </c>
      <c r="E22">
        <v>0.81969999999999998</v>
      </c>
      <c r="F22">
        <v>0.99</v>
      </c>
      <c r="G22">
        <v>56566.51</v>
      </c>
      <c r="H22">
        <v>56453.35</v>
      </c>
      <c r="I22">
        <v>40042.93</v>
      </c>
      <c r="J22">
        <v>45126.21</v>
      </c>
      <c r="K22">
        <v>41460.31</v>
      </c>
      <c r="L22">
        <v>239649.31</v>
      </c>
      <c r="M22">
        <v>224489.33</v>
      </c>
      <c r="N22">
        <v>0</v>
      </c>
      <c r="O22">
        <v>239649.31</v>
      </c>
      <c r="P22">
        <v>17020</v>
      </c>
      <c r="Q22">
        <v>17040</v>
      </c>
      <c r="R22">
        <v>15190</v>
      </c>
      <c r="S22">
        <v>18990</v>
      </c>
      <c r="T22">
        <v>19820</v>
      </c>
      <c r="U22">
        <v>21050</v>
      </c>
      <c r="V22">
        <v>16640</v>
      </c>
      <c r="W22">
        <v>17720</v>
      </c>
      <c r="X22">
        <v>19660</v>
      </c>
      <c r="Y22">
        <v>18170</v>
      </c>
      <c r="Z22">
        <v>181300</v>
      </c>
      <c r="AA22">
        <v>181300</v>
      </c>
      <c r="AB22">
        <v>0.87870000000000004</v>
      </c>
      <c r="AC22">
        <v>0.87970000000000004</v>
      </c>
      <c r="AD22">
        <v>0.8821</v>
      </c>
      <c r="AE22">
        <v>0.86819999999999997</v>
      </c>
      <c r="AF22">
        <v>0.9224</v>
      </c>
      <c r="AG22">
        <v>0.93959999999999999</v>
      </c>
      <c r="AH22">
        <v>0.85740000000000005</v>
      </c>
      <c r="AI22">
        <v>0.9133</v>
      </c>
      <c r="AJ22">
        <v>0.87780000000000002</v>
      </c>
      <c r="AK22">
        <v>0.93630000000000002</v>
      </c>
      <c r="AL22">
        <v>0.75652210306802048</v>
      </c>
      <c r="AM22">
        <v>3.3517386013986012</v>
      </c>
      <c r="AN22">
        <v>2.8</v>
      </c>
      <c r="AO22">
        <v>2.82</v>
      </c>
      <c r="AQ22">
        <v>2.87</v>
      </c>
      <c r="AS22">
        <v>2.8299999999999996</v>
      </c>
      <c r="AT22">
        <v>0.89549999999999996</v>
      </c>
      <c r="AU22">
        <v>1.1843599298228276</v>
      </c>
      <c r="AV22">
        <v>0.997</v>
      </c>
      <c r="AW22">
        <v>71500</v>
      </c>
      <c r="AX22">
        <v>56992</v>
      </c>
      <c r="AY22" s="9" t="s">
        <v>74</v>
      </c>
    </row>
    <row r="23" spans="1:51" ht="165" x14ac:dyDescent="0.25">
      <c r="A23" s="37">
        <v>45819</v>
      </c>
      <c r="B23">
        <v>236808.00000000003</v>
      </c>
      <c r="C23">
        <v>4.1399999999999997</v>
      </c>
      <c r="D23">
        <v>3.3935579999999996</v>
      </c>
      <c r="E23">
        <v>0.81969999999999998</v>
      </c>
      <c r="F23">
        <v>0.99</v>
      </c>
      <c r="G23">
        <v>50308.65</v>
      </c>
      <c r="H23">
        <v>50166.09</v>
      </c>
      <c r="I23">
        <v>35166.39</v>
      </c>
      <c r="J23">
        <v>41400.129999999997</v>
      </c>
      <c r="K23">
        <v>38286.81</v>
      </c>
      <c r="L23">
        <v>215328.07</v>
      </c>
      <c r="M23">
        <v>231067</v>
      </c>
      <c r="N23">
        <v>15738.929999999993</v>
      </c>
      <c r="O23">
        <v>231067</v>
      </c>
      <c r="P23">
        <v>26380</v>
      </c>
      <c r="Q23">
        <v>26690</v>
      </c>
      <c r="R23">
        <v>22770</v>
      </c>
      <c r="S23">
        <v>28540</v>
      </c>
      <c r="T23">
        <v>29700</v>
      </c>
      <c r="U23">
        <v>31380</v>
      </c>
      <c r="V23">
        <v>25020</v>
      </c>
      <c r="W23">
        <v>26600</v>
      </c>
      <c r="X23">
        <v>30150</v>
      </c>
      <c r="Y23">
        <v>27180</v>
      </c>
      <c r="Z23">
        <v>274410</v>
      </c>
      <c r="AA23">
        <v>290148.93</v>
      </c>
      <c r="AB23">
        <v>0.86070000000000002</v>
      </c>
      <c r="AC23">
        <v>0.87090000000000001</v>
      </c>
      <c r="AD23">
        <v>0.83579999999999999</v>
      </c>
      <c r="AE23">
        <v>0.82509999999999994</v>
      </c>
      <c r="AF23">
        <v>0.87590000000000001</v>
      </c>
      <c r="AG23">
        <v>0.90159999999999996</v>
      </c>
      <c r="AH23">
        <v>0.82989999999999997</v>
      </c>
      <c r="AI23">
        <v>0.88229999999999997</v>
      </c>
      <c r="AJ23">
        <v>0.86629999999999996</v>
      </c>
      <c r="AK23">
        <v>0.90169999999999995</v>
      </c>
      <c r="AL23">
        <v>1.2743809945447429</v>
      </c>
      <c r="AM23">
        <v>3.2317062937062939</v>
      </c>
      <c r="AN23">
        <v>4.3499999999999996</v>
      </c>
      <c r="AO23">
        <v>4.45</v>
      </c>
      <c r="AQ23">
        <v>4.54</v>
      </c>
      <c r="AS23">
        <v>4.4466666666666663</v>
      </c>
      <c r="AT23">
        <v>0.86499999999999999</v>
      </c>
      <c r="AU23">
        <v>0.72677053081850695</v>
      </c>
      <c r="AV23">
        <v>0.997</v>
      </c>
      <c r="AW23">
        <v>71500</v>
      </c>
      <c r="AX23">
        <v>56992</v>
      </c>
      <c r="AY23" s="9" t="s">
        <v>74</v>
      </c>
    </row>
    <row r="24" spans="1:51" ht="165" x14ac:dyDescent="0.25">
      <c r="A24" s="37">
        <v>45818</v>
      </c>
      <c r="B24">
        <v>236808.00000000003</v>
      </c>
      <c r="C24">
        <v>4.1399999999999997</v>
      </c>
      <c r="D24">
        <v>3.3935579999999996</v>
      </c>
      <c r="E24">
        <v>0.81969999999999998</v>
      </c>
      <c r="F24">
        <v>0.99</v>
      </c>
      <c r="G24">
        <v>61019.360000000001</v>
      </c>
      <c r="H24">
        <v>60969.67</v>
      </c>
      <c r="I24">
        <v>44345.78</v>
      </c>
      <c r="J24">
        <v>50692.3</v>
      </c>
      <c r="K24">
        <v>47311.1</v>
      </c>
      <c r="L24">
        <v>264338.20999999996</v>
      </c>
      <c r="M24">
        <v>241283.17</v>
      </c>
      <c r="N24">
        <v>0</v>
      </c>
      <c r="O24">
        <v>264338.20999999996</v>
      </c>
      <c r="P24">
        <v>23290</v>
      </c>
      <c r="Q24">
        <v>23170</v>
      </c>
      <c r="R24">
        <v>20290</v>
      </c>
      <c r="S24">
        <v>25130</v>
      </c>
      <c r="T24">
        <v>26060</v>
      </c>
      <c r="U24">
        <v>30490</v>
      </c>
      <c r="V24">
        <v>23480</v>
      </c>
      <c r="W24">
        <v>25580</v>
      </c>
      <c r="X24">
        <v>29510</v>
      </c>
      <c r="Y24">
        <v>25570</v>
      </c>
      <c r="Z24">
        <v>252570</v>
      </c>
      <c r="AA24">
        <v>252570</v>
      </c>
      <c r="AB24">
        <v>0.79320000000000002</v>
      </c>
      <c r="AC24">
        <v>0.78910000000000002</v>
      </c>
      <c r="AD24">
        <v>0.77739999999999998</v>
      </c>
      <c r="AE24">
        <v>0.7581</v>
      </c>
      <c r="AF24">
        <v>0.80089999999999995</v>
      </c>
      <c r="AG24">
        <v>0.90310000000000001</v>
      </c>
      <c r="AH24">
        <v>0.80289999999999995</v>
      </c>
      <c r="AI24">
        <v>0.87470000000000003</v>
      </c>
      <c r="AJ24">
        <v>0.87409999999999999</v>
      </c>
      <c r="AK24">
        <v>0.87429999999999997</v>
      </c>
      <c r="AL24">
        <v>0.9554804808582158</v>
      </c>
      <c r="AM24">
        <v>3.6970379020979016</v>
      </c>
      <c r="AN24">
        <v>4.22</v>
      </c>
      <c r="AO24">
        <v>4.2699999999999996</v>
      </c>
      <c r="AQ24">
        <v>4.3499999999999996</v>
      </c>
      <c r="AS24">
        <v>4.2799999999999994</v>
      </c>
      <c r="AT24">
        <v>0.82479999999999998</v>
      </c>
      <c r="AU24">
        <v>0.86379390235932296</v>
      </c>
      <c r="AV24">
        <v>0.997</v>
      </c>
      <c r="AW24">
        <v>71500</v>
      </c>
      <c r="AX24">
        <v>56992</v>
      </c>
      <c r="AY24" s="9" t="s">
        <v>74</v>
      </c>
    </row>
    <row r="25" spans="1:51" ht="165" x14ac:dyDescent="0.25">
      <c r="A25" s="37">
        <v>45817</v>
      </c>
      <c r="B25">
        <v>236808.00000000003</v>
      </c>
      <c r="C25">
        <v>4.1399999999999997</v>
      </c>
      <c r="D25">
        <v>3.3935579999999996</v>
      </c>
      <c r="E25">
        <v>0.81969999999999998</v>
      </c>
      <c r="F25">
        <v>0.99</v>
      </c>
      <c r="G25">
        <v>77672.83</v>
      </c>
      <c r="H25">
        <v>18954.28</v>
      </c>
      <c r="I25">
        <v>32198.16</v>
      </c>
      <c r="J25">
        <v>38041.4</v>
      </c>
      <c r="K25">
        <v>36996</v>
      </c>
      <c r="L25">
        <v>203862.67</v>
      </c>
      <c r="M25">
        <v>318762</v>
      </c>
      <c r="N25">
        <v>114899.32999999999</v>
      </c>
      <c r="O25">
        <v>318762</v>
      </c>
      <c r="P25">
        <v>16800</v>
      </c>
      <c r="Q25">
        <v>16620</v>
      </c>
      <c r="R25">
        <v>15170</v>
      </c>
      <c r="S25">
        <v>18800</v>
      </c>
      <c r="T25">
        <v>19260</v>
      </c>
      <c r="U25">
        <v>7740</v>
      </c>
      <c r="V25">
        <v>21050</v>
      </c>
      <c r="W25">
        <v>6810</v>
      </c>
      <c r="X25">
        <v>26150</v>
      </c>
      <c r="Y25">
        <v>7490</v>
      </c>
      <c r="Z25">
        <v>155890</v>
      </c>
      <c r="AA25">
        <v>270789.32999999996</v>
      </c>
      <c r="AB25">
        <v>0.45090000000000002</v>
      </c>
      <c r="AC25">
        <v>0.4461</v>
      </c>
      <c r="AD25">
        <v>0.45800000000000002</v>
      </c>
      <c r="AE25">
        <v>0.44700000000000001</v>
      </c>
      <c r="AF25">
        <v>0.46810000000000002</v>
      </c>
      <c r="AG25">
        <v>0.25990000000000002</v>
      </c>
      <c r="AH25">
        <v>0.81640000000000001</v>
      </c>
      <c r="AI25">
        <v>0.26400000000000001</v>
      </c>
      <c r="AJ25">
        <v>0.87880000000000003</v>
      </c>
      <c r="AK25">
        <v>0.29049999999999998</v>
      </c>
      <c r="AL25">
        <v>0.76468143971625602</v>
      </c>
      <c r="AM25">
        <v>4.4582097902097901</v>
      </c>
      <c r="AN25">
        <v>3.72</v>
      </c>
      <c r="AO25">
        <v>5.4</v>
      </c>
      <c r="AQ25">
        <v>5.52</v>
      </c>
      <c r="AS25">
        <v>4.88</v>
      </c>
      <c r="AT25">
        <v>0.47799999999999998</v>
      </c>
      <c r="AU25">
        <v>0.91356757996102256</v>
      </c>
      <c r="AV25">
        <v>0.997</v>
      </c>
      <c r="AW25">
        <v>71500</v>
      </c>
      <c r="AX25">
        <v>56992</v>
      </c>
      <c r="AY25" s="9" t="s">
        <v>75</v>
      </c>
    </row>
    <row r="26" spans="1:51" ht="165" x14ac:dyDescent="0.25">
      <c r="A26" s="37">
        <v>45816</v>
      </c>
      <c r="B26">
        <v>236808.00000000003</v>
      </c>
      <c r="C26">
        <v>4.1399999999999997</v>
      </c>
      <c r="D26">
        <v>3.3935579999999996</v>
      </c>
      <c r="E26">
        <v>0.81969999999999998</v>
      </c>
      <c r="F26">
        <v>0.99</v>
      </c>
      <c r="G26">
        <v>64388.62</v>
      </c>
      <c r="H26">
        <v>37330.57</v>
      </c>
      <c r="I26">
        <v>35193.620000000003</v>
      </c>
      <c r="J26">
        <v>53508.13</v>
      </c>
      <c r="K26">
        <v>34527</v>
      </c>
      <c r="L26">
        <v>224947.94</v>
      </c>
      <c r="M26">
        <v>255739.33</v>
      </c>
      <c r="N26">
        <v>30791.389999999985</v>
      </c>
      <c r="O26">
        <v>255739.33</v>
      </c>
      <c r="P26">
        <v>17080</v>
      </c>
      <c r="Q26">
        <v>17910</v>
      </c>
      <c r="R26">
        <v>20430</v>
      </c>
      <c r="S26">
        <v>23830</v>
      </c>
      <c r="T26">
        <v>24140</v>
      </c>
      <c r="U26">
        <v>27840</v>
      </c>
      <c r="V26">
        <v>21050</v>
      </c>
      <c r="W26">
        <v>23380</v>
      </c>
      <c r="X26">
        <v>26150</v>
      </c>
      <c r="Y26">
        <v>23770</v>
      </c>
      <c r="Z26">
        <v>225580</v>
      </c>
      <c r="AA26">
        <v>256371.38999999998</v>
      </c>
      <c r="AB26">
        <v>0.628</v>
      </c>
      <c r="AC26">
        <v>0.65839999999999999</v>
      </c>
      <c r="AD26">
        <v>0.84470000000000001</v>
      </c>
      <c r="AE26">
        <v>0.8085</v>
      </c>
      <c r="AF26">
        <v>0.80610000000000004</v>
      </c>
      <c r="AG26">
        <v>0.9355</v>
      </c>
      <c r="AH26">
        <v>0.81640000000000001</v>
      </c>
      <c r="AI26">
        <v>0.90700000000000003</v>
      </c>
      <c r="AJ26">
        <v>0.87880000000000003</v>
      </c>
      <c r="AK26">
        <v>0.92190000000000005</v>
      </c>
      <c r="AL26">
        <v>1.0028098056821502</v>
      </c>
      <c r="AM26">
        <v>3.5767738461538459</v>
      </c>
      <c r="AN26">
        <v>3.72</v>
      </c>
      <c r="AO26">
        <v>3.93</v>
      </c>
      <c r="AQ26">
        <v>4.03</v>
      </c>
      <c r="AS26">
        <v>3.8933333333333331</v>
      </c>
      <c r="AT26">
        <v>0.82050000000000001</v>
      </c>
      <c r="AU26">
        <v>0.91869191253951521</v>
      </c>
      <c r="AV26">
        <v>0.997</v>
      </c>
      <c r="AW26">
        <v>71500</v>
      </c>
      <c r="AX26">
        <v>56992</v>
      </c>
      <c r="AY26" s="9" t="s">
        <v>74</v>
      </c>
    </row>
    <row r="27" spans="1:51" ht="165" x14ac:dyDescent="0.25">
      <c r="A27" s="37">
        <v>45815</v>
      </c>
      <c r="B27">
        <v>236808.00000000003</v>
      </c>
      <c r="C27">
        <v>4.1399999999999997</v>
      </c>
      <c r="D27">
        <v>3.3935579999999996</v>
      </c>
      <c r="E27">
        <v>0.81969999999999998</v>
      </c>
      <c r="F27">
        <v>0.99</v>
      </c>
      <c r="G27">
        <v>53759.72</v>
      </c>
      <c r="H27">
        <v>53631.54</v>
      </c>
      <c r="I27">
        <v>40427.379999999997</v>
      </c>
      <c r="J27">
        <v>45302.39</v>
      </c>
      <c r="K27">
        <v>42362</v>
      </c>
      <c r="L27">
        <v>235483.03000000003</v>
      </c>
      <c r="M27">
        <v>229655.83</v>
      </c>
      <c r="N27">
        <v>0</v>
      </c>
      <c r="O27">
        <v>235483.03000000003</v>
      </c>
      <c r="P27">
        <v>16240</v>
      </c>
      <c r="Q27">
        <v>17120</v>
      </c>
      <c r="R27">
        <v>19830</v>
      </c>
      <c r="S27">
        <v>24140</v>
      </c>
      <c r="T27">
        <v>25410</v>
      </c>
      <c r="U27">
        <v>26650</v>
      </c>
      <c r="V27">
        <v>20740</v>
      </c>
      <c r="W27">
        <v>22380</v>
      </c>
      <c r="X27">
        <v>25430</v>
      </c>
      <c r="Y27">
        <v>23180</v>
      </c>
      <c r="Z27">
        <v>221120</v>
      </c>
      <c r="AA27">
        <v>221120</v>
      </c>
      <c r="AB27">
        <v>0.66279999999999994</v>
      </c>
      <c r="AC27">
        <v>0.69869999999999999</v>
      </c>
      <c r="AD27">
        <v>0.91049999999999998</v>
      </c>
      <c r="AE27">
        <v>0.87270000000000003</v>
      </c>
      <c r="AF27">
        <v>0.93669999999999998</v>
      </c>
      <c r="AG27">
        <v>0.94910000000000005</v>
      </c>
      <c r="AH27">
        <v>0.85260000000000002</v>
      </c>
      <c r="AI27">
        <v>0.92010000000000003</v>
      </c>
      <c r="AJ27">
        <v>0.90559999999999996</v>
      </c>
      <c r="AK27">
        <v>0.95299999999999996</v>
      </c>
      <c r="AL27">
        <v>0.93900609313545857</v>
      </c>
      <c r="AM27">
        <v>3.2934689510489514</v>
      </c>
      <c r="AN27">
        <v>3.51</v>
      </c>
      <c r="AO27">
        <v>3.56</v>
      </c>
      <c r="AQ27">
        <v>3.63</v>
      </c>
      <c r="AS27">
        <v>3.5666666666666664</v>
      </c>
      <c r="AT27">
        <v>0.86619999999999997</v>
      </c>
      <c r="AU27">
        <v>0.92340250963989301</v>
      </c>
      <c r="AV27">
        <v>0.997</v>
      </c>
      <c r="AW27">
        <v>71500</v>
      </c>
      <c r="AX27">
        <v>56992</v>
      </c>
      <c r="AY27" s="9" t="s">
        <v>74</v>
      </c>
    </row>
    <row r="28" spans="1:51" ht="165" x14ac:dyDescent="0.25">
      <c r="A28" s="37">
        <v>45814</v>
      </c>
      <c r="B28">
        <v>236808.00000000003</v>
      </c>
      <c r="C28">
        <v>4.1399999999999997</v>
      </c>
      <c r="D28">
        <v>3.3935579999999996</v>
      </c>
      <c r="E28">
        <v>0.81969999999999998</v>
      </c>
      <c r="F28">
        <v>0.99</v>
      </c>
      <c r="G28">
        <v>55827.17</v>
      </c>
      <c r="H28">
        <v>55683.82</v>
      </c>
      <c r="I28">
        <v>45847</v>
      </c>
      <c r="J28">
        <v>50443</v>
      </c>
      <c r="K28">
        <v>46782</v>
      </c>
      <c r="L28">
        <v>254582.99</v>
      </c>
      <c r="M28">
        <v>262683.67</v>
      </c>
      <c r="N28">
        <v>8100.679999999993</v>
      </c>
      <c r="O28">
        <v>262683.67</v>
      </c>
      <c r="P28">
        <v>17490</v>
      </c>
      <c r="Q28">
        <v>18420</v>
      </c>
      <c r="R28">
        <v>21900</v>
      </c>
      <c r="S28">
        <v>26380</v>
      </c>
      <c r="T28">
        <v>27720</v>
      </c>
      <c r="U28">
        <v>30850</v>
      </c>
      <c r="V28">
        <v>24360</v>
      </c>
      <c r="W28">
        <v>26090</v>
      </c>
      <c r="X28">
        <v>29330</v>
      </c>
      <c r="Y28">
        <v>26600</v>
      </c>
      <c r="Z28">
        <v>249140</v>
      </c>
      <c r="AA28">
        <v>257240.68</v>
      </c>
      <c r="AB28">
        <v>0.6038</v>
      </c>
      <c r="AC28">
        <v>0.63600000000000001</v>
      </c>
      <c r="AD28">
        <v>0.85070000000000001</v>
      </c>
      <c r="AE28">
        <v>0.80700000000000005</v>
      </c>
      <c r="AF28">
        <v>0.84389999999999998</v>
      </c>
      <c r="AG28">
        <v>0.91820000000000002</v>
      </c>
      <c r="AH28">
        <v>0.83689999999999998</v>
      </c>
      <c r="AI28">
        <v>0.8962</v>
      </c>
      <c r="AJ28">
        <v>0.873</v>
      </c>
      <c r="AK28">
        <v>0.91379999999999995</v>
      </c>
      <c r="AL28">
        <v>0.97861997771335785</v>
      </c>
      <c r="AM28">
        <v>3.6738974825174822</v>
      </c>
      <c r="AN28">
        <v>4.2</v>
      </c>
      <c r="AO28">
        <v>4.3099999999999996</v>
      </c>
      <c r="AQ28">
        <v>4.29</v>
      </c>
      <c r="AS28">
        <v>4.2666666666666666</v>
      </c>
      <c r="AT28">
        <v>0.81799999999999995</v>
      </c>
      <c r="AU28">
        <v>0.86106972246503488</v>
      </c>
      <c r="AV28">
        <v>0.997</v>
      </c>
      <c r="AW28">
        <v>71500</v>
      </c>
      <c r="AX28">
        <v>56992</v>
      </c>
      <c r="AY28" s="9" t="s">
        <v>74</v>
      </c>
    </row>
    <row r="29" spans="1:51" ht="165" x14ac:dyDescent="0.25">
      <c r="A29" s="37">
        <v>45813</v>
      </c>
      <c r="B29">
        <v>236808.00000000003</v>
      </c>
      <c r="C29">
        <v>4.1399999999999997</v>
      </c>
      <c r="D29">
        <v>3.3935579999999996</v>
      </c>
      <c r="E29">
        <v>0.81969999999999998</v>
      </c>
      <c r="F29">
        <v>0.99</v>
      </c>
      <c r="G29">
        <v>45046.44</v>
      </c>
      <c r="H29">
        <v>44970.97</v>
      </c>
      <c r="I29">
        <v>36431.410000000003</v>
      </c>
      <c r="J29">
        <v>42218.59</v>
      </c>
      <c r="K29">
        <v>36308</v>
      </c>
      <c r="L29">
        <v>204975.41</v>
      </c>
      <c r="M29">
        <v>213613.33</v>
      </c>
      <c r="N29">
        <v>8637.9199999999837</v>
      </c>
      <c r="O29">
        <v>213613.33</v>
      </c>
      <c r="P29">
        <v>16620</v>
      </c>
      <c r="Q29">
        <v>17200</v>
      </c>
      <c r="R29">
        <v>19680</v>
      </c>
      <c r="S29">
        <v>23590</v>
      </c>
      <c r="T29">
        <v>24940</v>
      </c>
      <c r="U29">
        <v>28030</v>
      </c>
      <c r="V29">
        <v>22160</v>
      </c>
      <c r="W29">
        <v>24020</v>
      </c>
      <c r="X29">
        <v>28010</v>
      </c>
      <c r="Y29">
        <v>24650</v>
      </c>
      <c r="Z29">
        <v>228900</v>
      </c>
      <c r="AA29">
        <v>237537.91999999998</v>
      </c>
      <c r="AB29">
        <v>0.61260000000000003</v>
      </c>
      <c r="AC29">
        <v>0.63380000000000003</v>
      </c>
      <c r="AD29">
        <v>0.81579999999999997</v>
      </c>
      <c r="AE29">
        <v>0.77</v>
      </c>
      <c r="AF29">
        <v>0.8266</v>
      </c>
      <c r="AG29">
        <v>0.86950000000000005</v>
      </c>
      <c r="AH29">
        <v>0.79330000000000001</v>
      </c>
      <c r="AI29">
        <v>0.86009999999999998</v>
      </c>
      <c r="AJ29">
        <v>0.86870000000000003</v>
      </c>
      <c r="AK29">
        <v>0.88249999999999995</v>
      </c>
      <c r="AL29">
        <v>1.1167193176976691</v>
      </c>
      <c r="AM29">
        <v>2.9875990209790206</v>
      </c>
      <c r="AN29">
        <v>4.03</v>
      </c>
      <c r="AO29">
        <v>3.96</v>
      </c>
      <c r="AQ29">
        <v>4.0199999999999996</v>
      </c>
      <c r="AS29">
        <v>4.003333333333333</v>
      </c>
      <c r="AT29">
        <v>0.79330000000000001</v>
      </c>
      <c r="AU29">
        <v>0.74627785703056304</v>
      </c>
      <c r="AV29">
        <v>0.997</v>
      </c>
      <c r="AW29">
        <v>71500</v>
      </c>
      <c r="AX29">
        <v>56992</v>
      </c>
      <c r="AY29" s="9" t="s">
        <v>74</v>
      </c>
    </row>
    <row r="30" spans="1:51" ht="165" x14ac:dyDescent="0.25">
      <c r="A30" s="37">
        <v>45812</v>
      </c>
      <c r="B30">
        <v>236808.00000000003</v>
      </c>
      <c r="C30">
        <v>4.1399999999999997</v>
      </c>
      <c r="D30">
        <v>3.3935579999999996</v>
      </c>
      <c r="E30">
        <v>0.81969999999999998</v>
      </c>
      <c r="F30">
        <v>0.99</v>
      </c>
      <c r="G30">
        <v>51783.95</v>
      </c>
      <c r="H30">
        <v>51675.72</v>
      </c>
      <c r="I30">
        <v>42545.15</v>
      </c>
      <c r="J30">
        <v>47996.83</v>
      </c>
      <c r="K30">
        <v>45333</v>
      </c>
      <c r="L30">
        <v>239334.65000000002</v>
      </c>
      <c r="M30">
        <v>241930.5</v>
      </c>
      <c r="N30">
        <v>2595.8499999999767</v>
      </c>
      <c r="O30">
        <v>241930.5</v>
      </c>
      <c r="P30">
        <v>14960</v>
      </c>
      <c r="Q30">
        <v>16350</v>
      </c>
      <c r="R30">
        <v>21860</v>
      </c>
      <c r="S30">
        <v>25860</v>
      </c>
      <c r="T30">
        <v>27060</v>
      </c>
      <c r="U30">
        <v>30490</v>
      </c>
      <c r="V30">
        <v>23060</v>
      </c>
      <c r="W30">
        <v>25700</v>
      </c>
      <c r="X30">
        <v>28660</v>
      </c>
      <c r="Y30">
        <v>26490</v>
      </c>
      <c r="Z30">
        <v>240490</v>
      </c>
      <c r="AA30">
        <v>243085.84999999998</v>
      </c>
      <c r="AB30">
        <v>0.51549999999999996</v>
      </c>
      <c r="AC30">
        <v>0.56320000000000003</v>
      </c>
      <c r="AD30">
        <v>0.84719999999999995</v>
      </c>
      <c r="AE30">
        <v>0.7893</v>
      </c>
      <c r="AF30">
        <v>0.85150000000000003</v>
      </c>
      <c r="AG30">
        <v>0.94579999999999997</v>
      </c>
      <c r="AH30">
        <v>0.82579999999999998</v>
      </c>
      <c r="AI30">
        <v>0.92030000000000001</v>
      </c>
      <c r="AJ30">
        <v>0.8891</v>
      </c>
      <c r="AK30">
        <v>0.94830000000000003</v>
      </c>
      <c r="AL30">
        <v>1.0048273411309228</v>
      </c>
      <c r="AM30">
        <v>3.3836433566433568</v>
      </c>
      <c r="AN30">
        <v>4.03</v>
      </c>
      <c r="AO30">
        <v>4.17</v>
      </c>
      <c r="AQ30">
        <v>4.3</v>
      </c>
      <c r="AS30">
        <v>4.166666666666667</v>
      </c>
      <c r="AT30">
        <v>0.80959999999999999</v>
      </c>
      <c r="AU30">
        <v>0.81207440559440558</v>
      </c>
      <c r="AV30">
        <v>0.997</v>
      </c>
      <c r="AW30">
        <v>71500</v>
      </c>
      <c r="AX30">
        <v>56992</v>
      </c>
      <c r="AY30" s="9" t="s">
        <v>74</v>
      </c>
    </row>
    <row r="31" spans="1:51" ht="210" x14ac:dyDescent="0.25">
      <c r="A31" s="37">
        <v>45811</v>
      </c>
      <c r="B31">
        <v>236808.00000000003</v>
      </c>
      <c r="C31">
        <v>4.1399999999999997</v>
      </c>
      <c r="D31">
        <v>3.3935579999999996</v>
      </c>
      <c r="E31">
        <v>0.81969999999999998</v>
      </c>
      <c r="F31">
        <v>0.99</v>
      </c>
      <c r="G31">
        <v>52073.99</v>
      </c>
      <c r="H31">
        <v>52000.160000000003</v>
      </c>
      <c r="I31">
        <v>31935.83</v>
      </c>
      <c r="J31">
        <v>42771.519999999997</v>
      </c>
      <c r="K31">
        <v>31956</v>
      </c>
      <c r="L31">
        <v>210737.49999999997</v>
      </c>
      <c r="M31">
        <v>211702</v>
      </c>
      <c r="N31">
        <v>964.5000000000291</v>
      </c>
      <c r="O31">
        <v>211702</v>
      </c>
      <c r="P31">
        <v>14870</v>
      </c>
      <c r="Q31">
        <v>16100</v>
      </c>
      <c r="R31">
        <v>15300</v>
      </c>
      <c r="S31">
        <v>19040</v>
      </c>
      <c r="T31">
        <v>19750</v>
      </c>
      <c r="U31">
        <v>18160</v>
      </c>
      <c r="V31">
        <v>13400</v>
      </c>
      <c r="W31">
        <v>15330</v>
      </c>
      <c r="X31">
        <v>16700</v>
      </c>
      <c r="Y31">
        <v>15720</v>
      </c>
      <c r="Z31">
        <v>164370</v>
      </c>
      <c r="AA31">
        <v>165334.50000000003</v>
      </c>
      <c r="AB31">
        <v>0.79820000000000002</v>
      </c>
      <c r="AC31">
        <v>0.86419999999999997</v>
      </c>
      <c r="AD31">
        <v>0.92390000000000005</v>
      </c>
      <c r="AE31">
        <v>0.90529999999999999</v>
      </c>
      <c r="AF31">
        <v>0.97440000000000004</v>
      </c>
      <c r="AG31">
        <v>0.87639999999999996</v>
      </c>
      <c r="AH31">
        <v>0.74660000000000004</v>
      </c>
      <c r="AI31">
        <v>0.85409999999999997</v>
      </c>
      <c r="AJ31">
        <v>0.80600000000000005</v>
      </c>
      <c r="AK31">
        <v>0.87580000000000002</v>
      </c>
      <c r="AL31">
        <v>0.77997508749036137</v>
      </c>
      <c r="AM31">
        <v>2.9608671328671328</v>
      </c>
      <c r="AN31">
        <v>2.59</v>
      </c>
      <c r="AO31">
        <v>2.66</v>
      </c>
      <c r="AQ31">
        <v>2.76</v>
      </c>
      <c r="AS31">
        <v>2.67</v>
      </c>
      <c r="AT31">
        <v>0.86250000000000004</v>
      </c>
      <c r="AU31">
        <v>1.1089390010738325</v>
      </c>
      <c r="AV31">
        <v>0.995</v>
      </c>
      <c r="AW31">
        <v>71500</v>
      </c>
      <c r="AX31">
        <v>56992</v>
      </c>
      <c r="AY31" s="9" t="s">
        <v>76</v>
      </c>
    </row>
    <row r="32" spans="1:51" ht="165" x14ac:dyDescent="0.25">
      <c r="A32" s="37">
        <v>45810</v>
      </c>
      <c r="B32">
        <v>236808.00000000003</v>
      </c>
      <c r="C32">
        <v>4.1399999999999997</v>
      </c>
      <c r="D32">
        <v>3.3935579999999996</v>
      </c>
      <c r="E32">
        <v>0.81969999999999998</v>
      </c>
      <c r="F32">
        <v>0.99</v>
      </c>
      <c r="G32">
        <v>31831.25</v>
      </c>
      <c r="H32">
        <v>31808.12</v>
      </c>
      <c r="I32">
        <v>20110</v>
      </c>
      <c r="J32">
        <v>27072.98</v>
      </c>
      <c r="K32">
        <v>24930</v>
      </c>
      <c r="L32">
        <v>135752.34999999998</v>
      </c>
      <c r="M32">
        <v>122100.67</v>
      </c>
      <c r="N32">
        <v>0</v>
      </c>
      <c r="O32">
        <v>135752.34999999998</v>
      </c>
      <c r="P32">
        <v>13570</v>
      </c>
      <c r="Q32">
        <v>14380</v>
      </c>
      <c r="R32">
        <v>12900</v>
      </c>
      <c r="S32">
        <v>15740</v>
      </c>
      <c r="T32">
        <v>16690</v>
      </c>
      <c r="U32">
        <v>17010</v>
      </c>
      <c r="V32">
        <v>13440</v>
      </c>
      <c r="W32">
        <v>14470</v>
      </c>
      <c r="X32">
        <v>16210</v>
      </c>
      <c r="Y32">
        <v>14930</v>
      </c>
      <c r="Z32">
        <v>149340</v>
      </c>
      <c r="AA32">
        <v>149340</v>
      </c>
      <c r="AB32">
        <v>0.88170000000000004</v>
      </c>
      <c r="AC32">
        <v>0.93440000000000001</v>
      </c>
      <c r="AD32">
        <v>0.94330000000000003</v>
      </c>
      <c r="AE32">
        <v>0.90620000000000001</v>
      </c>
      <c r="AF32">
        <v>0.96930000000000005</v>
      </c>
      <c r="AG32">
        <v>0.96630000000000005</v>
      </c>
      <c r="AH32">
        <v>0.88149999999999995</v>
      </c>
      <c r="AI32">
        <v>0.94940000000000002</v>
      </c>
      <c r="AJ32">
        <v>0.92110000000000003</v>
      </c>
      <c r="AK32">
        <v>0.97909999999999997</v>
      </c>
      <c r="AL32">
        <v>1.1000914532971253</v>
      </c>
      <c r="AM32">
        <v>1.8986342657342654</v>
      </c>
      <c r="AN32">
        <v>2.2000000000000002</v>
      </c>
      <c r="AO32">
        <v>2.2599999999999998</v>
      </c>
      <c r="AQ32">
        <v>2.2799999999999998</v>
      </c>
      <c r="AS32">
        <v>2.2466666666666666</v>
      </c>
      <c r="AT32">
        <v>0.93320000000000003</v>
      </c>
      <c r="AU32">
        <v>0.8450894357867651</v>
      </c>
      <c r="AV32">
        <v>0.995</v>
      </c>
      <c r="AW32">
        <v>71500</v>
      </c>
      <c r="AX32">
        <v>56992</v>
      </c>
      <c r="AY32" s="9" t="s">
        <v>74</v>
      </c>
    </row>
    <row r="33" spans="1:51" ht="165" x14ac:dyDescent="0.25">
      <c r="A33" s="37">
        <v>45809</v>
      </c>
      <c r="B33">
        <v>236808.00000000003</v>
      </c>
      <c r="C33">
        <v>4.1399999999999997</v>
      </c>
      <c r="D33">
        <v>3.3935579999999996</v>
      </c>
      <c r="E33">
        <v>0.81969999999999998</v>
      </c>
      <c r="F33">
        <v>0.99</v>
      </c>
      <c r="G33">
        <v>39013.379999999997</v>
      </c>
      <c r="H33">
        <v>38964.089999999997</v>
      </c>
      <c r="I33">
        <v>26556.080000000002</v>
      </c>
      <c r="J33">
        <v>31273.58</v>
      </c>
      <c r="K33">
        <v>24358</v>
      </c>
      <c r="L33">
        <v>160165.13</v>
      </c>
      <c r="M33">
        <v>141126.67000000001</v>
      </c>
      <c r="N33">
        <v>0</v>
      </c>
      <c r="O33">
        <v>160165.13</v>
      </c>
      <c r="P33">
        <v>12280</v>
      </c>
      <c r="Q33">
        <v>12980</v>
      </c>
      <c r="R33">
        <v>11600</v>
      </c>
      <c r="S33">
        <v>14180</v>
      </c>
      <c r="T33">
        <v>14950</v>
      </c>
      <c r="U33">
        <v>14570</v>
      </c>
      <c r="V33">
        <v>12030</v>
      </c>
      <c r="W33">
        <v>12780</v>
      </c>
      <c r="X33">
        <v>14250</v>
      </c>
      <c r="Y33">
        <v>13110</v>
      </c>
      <c r="Z33">
        <v>132730</v>
      </c>
      <c r="AA33">
        <v>132730</v>
      </c>
      <c r="AB33">
        <v>0.90080000000000005</v>
      </c>
      <c r="AC33">
        <v>0.95179999999999998</v>
      </c>
      <c r="AD33">
        <v>0.95679999999999998</v>
      </c>
      <c r="AE33">
        <v>0.92100000000000004</v>
      </c>
      <c r="AF33">
        <v>0.98099999999999998</v>
      </c>
      <c r="AG33">
        <v>0.94389999999999996</v>
      </c>
      <c r="AH33">
        <v>0.89959999999999996</v>
      </c>
      <c r="AI33">
        <v>0.95569999999999999</v>
      </c>
      <c r="AJ33">
        <v>0.92320000000000002</v>
      </c>
      <c r="AK33">
        <v>0.98040000000000005</v>
      </c>
      <c r="AL33">
        <v>0.82870722235233096</v>
      </c>
      <c r="AM33">
        <v>2.2400717482517485</v>
      </c>
      <c r="AN33">
        <v>1.93</v>
      </c>
      <c r="AO33">
        <v>2</v>
      </c>
      <c r="AQ33">
        <v>2.02</v>
      </c>
      <c r="AS33">
        <v>1.9833333333333332</v>
      </c>
      <c r="AT33">
        <v>0.94140000000000001</v>
      </c>
      <c r="AU33">
        <v>1.1294479402949993</v>
      </c>
      <c r="AV33">
        <v>0.995</v>
      </c>
      <c r="AW33">
        <v>71500</v>
      </c>
      <c r="AX33">
        <v>56992</v>
      </c>
      <c r="AY33" s="9" t="s">
        <v>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93F2-292F-4F08-954C-29F7D64A5FC0}">
  <dimension ref="A1:AY33"/>
  <sheetViews>
    <sheetView workbookViewId="0"/>
  </sheetViews>
  <sheetFormatPr defaultRowHeight="15" x14ac:dyDescent="0.25"/>
  <cols>
    <col min="1" max="1" width="10.42578125" bestFit="1" customWidth="1"/>
    <col min="2" max="2" width="15.5703125" bestFit="1" customWidth="1"/>
    <col min="4" max="4" width="9.28515625" bestFit="1" customWidth="1"/>
    <col min="6" max="6" width="13.42578125" bestFit="1" customWidth="1"/>
    <col min="7" max="11" width="9.28515625" bestFit="1" customWidth="1"/>
    <col min="12" max="12" width="31" bestFit="1" customWidth="1"/>
    <col min="13" max="13" width="19.7109375" bestFit="1" customWidth="1"/>
    <col min="14" max="14" width="24.42578125" bestFit="1" customWidth="1"/>
    <col min="15" max="15" width="35.42578125" bestFit="1" customWidth="1"/>
    <col min="26" max="26" width="28.5703125" bestFit="1" customWidth="1"/>
    <col min="27" max="27" width="33" bestFit="1" customWidth="1"/>
    <col min="37" max="37" width="9.7109375" bestFit="1" customWidth="1"/>
    <col min="38" max="38" width="25.7109375" bestFit="1" customWidth="1"/>
    <col min="39" max="39" width="20.28515625" bestFit="1" customWidth="1"/>
    <col min="45" max="45" width="14.5703125" bestFit="1" customWidth="1"/>
    <col min="46" max="46" width="30" bestFit="1" customWidth="1"/>
    <col min="47" max="47" width="20.42578125" bestFit="1" customWidth="1"/>
    <col min="48" max="48" width="24.140625" bestFit="1" customWidth="1"/>
    <col min="49" max="49" width="20.5703125" bestFit="1" customWidth="1"/>
    <col min="50" max="50" width="13.85546875" bestFit="1" customWidth="1"/>
    <col min="51" max="51" width="63.140625" bestFit="1" customWidth="1"/>
  </cols>
  <sheetData>
    <row r="1" spans="1:51" x14ac:dyDescent="0.25">
      <c r="A1" s="5" t="s">
        <v>77</v>
      </c>
    </row>
    <row r="3" spans="1:51" x14ac:dyDescent="0.25">
      <c r="A3" t="s">
        <v>14</v>
      </c>
      <c r="B3" t="s">
        <v>18</v>
      </c>
      <c r="C3" t="s">
        <v>19</v>
      </c>
      <c r="D3" t="s">
        <v>20</v>
      </c>
      <c r="E3" t="s">
        <v>21</v>
      </c>
      <c r="F3" t="s">
        <v>22</v>
      </c>
      <c r="G3" t="s">
        <v>23</v>
      </c>
      <c r="H3" t="s">
        <v>24</v>
      </c>
      <c r="I3" t="s">
        <v>25</v>
      </c>
      <c r="J3" t="s">
        <v>26</v>
      </c>
      <c r="K3" t="s">
        <v>27</v>
      </c>
      <c r="L3" t="s">
        <v>28</v>
      </c>
      <c r="M3" t="s">
        <v>29</v>
      </c>
      <c r="N3" t="s">
        <v>30</v>
      </c>
      <c r="O3" t="s">
        <v>31</v>
      </c>
      <c r="P3" t="s">
        <v>32</v>
      </c>
      <c r="Q3" t="s">
        <v>33</v>
      </c>
      <c r="R3" t="s">
        <v>34</v>
      </c>
      <c r="S3" t="s">
        <v>35</v>
      </c>
      <c r="T3" t="s">
        <v>36</v>
      </c>
      <c r="U3" t="s">
        <v>37</v>
      </c>
      <c r="V3" t="s">
        <v>38</v>
      </c>
      <c r="W3" t="s">
        <v>39</v>
      </c>
      <c r="X3" t="s">
        <v>40</v>
      </c>
      <c r="Y3" t="s">
        <v>41</v>
      </c>
      <c r="Z3" t="s">
        <v>42</v>
      </c>
      <c r="AA3" t="s">
        <v>43</v>
      </c>
      <c r="AB3" t="s">
        <v>44</v>
      </c>
      <c r="AC3" t="s">
        <v>45</v>
      </c>
      <c r="AD3" t="s">
        <v>46</v>
      </c>
      <c r="AE3" t="s">
        <v>47</v>
      </c>
      <c r="AF3" t="s">
        <v>48</v>
      </c>
      <c r="AG3" t="s">
        <v>49</v>
      </c>
      <c r="AH3" t="s">
        <v>50</v>
      </c>
      <c r="AI3" t="s">
        <v>51</v>
      </c>
      <c r="AJ3" t="s">
        <v>52</v>
      </c>
      <c r="AK3" t="s">
        <v>53</v>
      </c>
      <c r="AL3" t="s">
        <v>54</v>
      </c>
      <c r="AM3" t="s">
        <v>55</v>
      </c>
      <c r="AN3" t="s">
        <v>56</v>
      </c>
      <c r="AO3" t="s">
        <v>57</v>
      </c>
      <c r="AP3" t="s">
        <v>58</v>
      </c>
      <c r="AQ3" t="s">
        <v>59</v>
      </c>
      <c r="AR3" t="s">
        <v>60</v>
      </c>
      <c r="AS3" t="s">
        <v>61</v>
      </c>
      <c r="AT3" t="s">
        <v>62</v>
      </c>
      <c r="AU3" t="s">
        <v>63</v>
      </c>
      <c r="AV3" t="s">
        <v>64</v>
      </c>
      <c r="AW3" t="s">
        <v>65</v>
      </c>
      <c r="AX3" t="s">
        <v>66</v>
      </c>
      <c r="AY3" t="s">
        <v>67</v>
      </c>
    </row>
    <row r="4" spans="1:51" ht="45" x14ac:dyDescent="0.25">
      <c r="A4" s="37">
        <v>45838</v>
      </c>
      <c r="B4">
        <v>236808.00000000003</v>
      </c>
      <c r="C4">
        <v>4.1399999999999997</v>
      </c>
      <c r="D4">
        <v>3.3935579999999996</v>
      </c>
      <c r="E4">
        <v>0.81969999999999998</v>
      </c>
      <c r="F4">
        <v>0.99</v>
      </c>
      <c r="G4">
        <v>42671</v>
      </c>
      <c r="H4">
        <v>42681</v>
      </c>
      <c r="I4">
        <v>0</v>
      </c>
      <c r="J4">
        <v>46974</v>
      </c>
      <c r="K4">
        <v>42738</v>
      </c>
      <c r="L4">
        <v>175064</v>
      </c>
      <c r="M4">
        <v>158399.32999999999</v>
      </c>
      <c r="N4">
        <v>0</v>
      </c>
      <c r="O4">
        <v>175064</v>
      </c>
      <c r="P4">
        <v>13140</v>
      </c>
      <c r="Q4">
        <v>13110</v>
      </c>
      <c r="R4">
        <v>11550</v>
      </c>
      <c r="S4">
        <v>14230</v>
      </c>
      <c r="T4">
        <v>14880</v>
      </c>
      <c r="U4">
        <v>15380</v>
      </c>
      <c r="V4">
        <v>12910</v>
      </c>
      <c r="W4">
        <v>13040</v>
      </c>
      <c r="X4">
        <v>14760</v>
      </c>
      <c r="Y4">
        <v>13390</v>
      </c>
      <c r="Z4">
        <v>136390</v>
      </c>
      <c r="AA4">
        <v>136390</v>
      </c>
      <c r="AB4">
        <v>0.97819999999999996</v>
      </c>
      <c r="AC4">
        <v>0.97619999999999996</v>
      </c>
      <c r="AD4">
        <v>0.96740000000000004</v>
      </c>
      <c r="AE4">
        <v>0.9385</v>
      </c>
      <c r="AF4">
        <v>0.98150000000000004</v>
      </c>
      <c r="AG4">
        <v>1.0016</v>
      </c>
      <c r="AH4">
        <v>0.97019999999999995</v>
      </c>
      <c r="AI4">
        <v>0.98029999999999995</v>
      </c>
      <c r="AJ4">
        <v>0.96099999999999997</v>
      </c>
      <c r="AK4">
        <v>1</v>
      </c>
      <c r="AL4">
        <v>0.77908650550655756</v>
      </c>
      <c r="AM4">
        <v>2.4484475524475524</v>
      </c>
      <c r="AN4">
        <v>1.92</v>
      </c>
      <c r="AO4">
        <v>1.99</v>
      </c>
      <c r="AP4">
        <v>2.0299999999999998</v>
      </c>
      <c r="AQ4">
        <v>1.99</v>
      </c>
      <c r="AS4">
        <v>1.9824999999999999</v>
      </c>
      <c r="AT4">
        <v>0.97609999999999997</v>
      </c>
      <c r="AU4">
        <v>1.2350302912724098</v>
      </c>
      <c r="AV4">
        <v>1</v>
      </c>
      <c r="AW4">
        <v>71500</v>
      </c>
      <c r="AX4">
        <v>56992</v>
      </c>
      <c r="AY4" s="9" t="s">
        <v>68</v>
      </c>
    </row>
    <row r="5" spans="1:51" ht="45" x14ac:dyDescent="0.25">
      <c r="A5" s="37">
        <v>45837</v>
      </c>
      <c r="B5">
        <v>236808.00000000003</v>
      </c>
      <c r="C5">
        <v>4.1399999999999997</v>
      </c>
      <c r="D5">
        <v>3.3935579999999996</v>
      </c>
      <c r="E5">
        <v>0.81969999999999998</v>
      </c>
      <c r="F5">
        <v>0.99</v>
      </c>
      <c r="G5">
        <v>55263</v>
      </c>
      <c r="H5">
        <v>55091</v>
      </c>
      <c r="I5">
        <v>0</v>
      </c>
      <c r="J5">
        <v>61985</v>
      </c>
      <c r="K5">
        <v>56054</v>
      </c>
      <c r="L5">
        <v>228393</v>
      </c>
      <c r="M5">
        <v>256854.83</v>
      </c>
      <c r="N5">
        <v>28461.829999999987</v>
      </c>
      <c r="O5">
        <v>256854.83</v>
      </c>
      <c r="P5">
        <v>25580</v>
      </c>
      <c r="Q5">
        <v>25320</v>
      </c>
      <c r="R5">
        <v>21970</v>
      </c>
      <c r="S5">
        <v>26670</v>
      </c>
      <c r="T5">
        <v>27760</v>
      </c>
      <c r="U5">
        <v>30830</v>
      </c>
      <c r="V5">
        <v>25930</v>
      </c>
      <c r="W5">
        <v>25980</v>
      </c>
      <c r="X5">
        <v>29550</v>
      </c>
      <c r="Y5">
        <v>26260</v>
      </c>
      <c r="Z5">
        <v>265850</v>
      </c>
      <c r="AA5">
        <v>294311.82999999996</v>
      </c>
      <c r="AB5">
        <v>0.7994</v>
      </c>
      <c r="AC5">
        <v>0.7913</v>
      </c>
      <c r="AD5">
        <v>0.77249999999999996</v>
      </c>
      <c r="AE5">
        <v>0.73829999999999996</v>
      </c>
      <c r="AF5">
        <v>0.77500000000000002</v>
      </c>
      <c r="AG5">
        <v>0.83420000000000005</v>
      </c>
      <c r="AH5">
        <v>0.80979999999999996</v>
      </c>
      <c r="AI5">
        <v>0.81140000000000001</v>
      </c>
      <c r="AJ5">
        <v>0.7994</v>
      </c>
      <c r="AK5">
        <v>0.82010000000000005</v>
      </c>
      <c r="AL5">
        <v>1.1640023993730106</v>
      </c>
      <c r="AM5">
        <v>3.5923752447552446</v>
      </c>
      <c r="AN5">
        <v>4.62</v>
      </c>
      <c r="AO5">
        <v>4.7</v>
      </c>
      <c r="AP5">
        <v>4.9800000000000004</v>
      </c>
      <c r="AQ5">
        <v>4.74</v>
      </c>
      <c r="AS5">
        <v>4.76</v>
      </c>
      <c r="AT5">
        <v>0.79510000000000003</v>
      </c>
      <c r="AU5">
        <v>0.75470068167126991</v>
      </c>
      <c r="AV5">
        <v>1</v>
      </c>
      <c r="AW5">
        <v>71500</v>
      </c>
      <c r="AX5">
        <v>56992</v>
      </c>
      <c r="AY5" s="9" t="s">
        <v>68</v>
      </c>
    </row>
    <row r="6" spans="1:51" ht="45" x14ac:dyDescent="0.25">
      <c r="A6" s="37">
        <v>45836</v>
      </c>
      <c r="B6">
        <v>236808.00000000003</v>
      </c>
      <c r="C6">
        <v>4.1399999999999997</v>
      </c>
      <c r="D6">
        <v>3.3935579999999996</v>
      </c>
      <c r="E6">
        <v>0.81969999999999998</v>
      </c>
      <c r="F6">
        <v>0.99</v>
      </c>
      <c r="G6">
        <v>61685</v>
      </c>
      <c r="H6">
        <v>61577</v>
      </c>
      <c r="I6">
        <v>0</v>
      </c>
      <c r="J6">
        <v>70367</v>
      </c>
      <c r="K6">
        <v>63559</v>
      </c>
      <c r="L6">
        <v>257188</v>
      </c>
      <c r="M6">
        <v>264190.67</v>
      </c>
      <c r="N6">
        <v>7002.6699999999837</v>
      </c>
      <c r="O6">
        <v>264190.67</v>
      </c>
      <c r="P6">
        <v>23170</v>
      </c>
      <c r="Q6">
        <v>22560</v>
      </c>
      <c r="R6">
        <v>20130</v>
      </c>
      <c r="S6">
        <v>24230</v>
      </c>
      <c r="T6">
        <v>25970</v>
      </c>
      <c r="U6">
        <v>27970</v>
      </c>
      <c r="V6">
        <v>24220</v>
      </c>
      <c r="W6">
        <v>24080</v>
      </c>
      <c r="X6">
        <v>28040</v>
      </c>
      <c r="Y6">
        <v>24880</v>
      </c>
      <c r="Z6">
        <v>245250</v>
      </c>
      <c r="AA6">
        <v>252252.66999999998</v>
      </c>
      <c r="AB6">
        <v>0.8669</v>
      </c>
      <c r="AC6">
        <v>0.84389999999999998</v>
      </c>
      <c r="AD6">
        <v>0.84719999999999995</v>
      </c>
      <c r="AE6">
        <v>0.80310000000000004</v>
      </c>
      <c r="AF6">
        <v>0.83520000000000005</v>
      </c>
      <c r="AG6">
        <v>0.86750000000000005</v>
      </c>
      <c r="AH6">
        <v>0.86729999999999996</v>
      </c>
      <c r="AI6">
        <v>0.86219999999999997</v>
      </c>
      <c r="AJ6">
        <v>0.86960000000000004</v>
      </c>
      <c r="AK6">
        <v>0.89080000000000004</v>
      </c>
      <c r="AL6">
        <v>0.95358259327806894</v>
      </c>
      <c r="AM6">
        <v>3.6949744055944054</v>
      </c>
      <c r="AN6">
        <v>4.03</v>
      </c>
      <c r="AO6">
        <v>4.08</v>
      </c>
      <c r="AP6">
        <v>4.2300000000000004</v>
      </c>
      <c r="AQ6">
        <v>3.96</v>
      </c>
      <c r="AS6">
        <v>4.0750000000000002</v>
      </c>
      <c r="AT6">
        <v>0.85540000000000005</v>
      </c>
      <c r="AU6">
        <v>0.90674218542193996</v>
      </c>
      <c r="AV6">
        <v>1</v>
      </c>
      <c r="AW6">
        <v>71500</v>
      </c>
      <c r="AX6">
        <v>56992</v>
      </c>
      <c r="AY6" s="9" t="s">
        <v>68</v>
      </c>
    </row>
    <row r="7" spans="1:51" ht="45" x14ac:dyDescent="0.25">
      <c r="A7" s="37">
        <v>45835</v>
      </c>
      <c r="B7">
        <v>236808.00000000003</v>
      </c>
      <c r="C7">
        <v>4.1399999999999997</v>
      </c>
      <c r="D7">
        <v>3.3935579999999996</v>
      </c>
      <c r="E7">
        <v>0.81969999999999998</v>
      </c>
      <c r="F7">
        <v>0.99</v>
      </c>
      <c r="G7">
        <v>72264</v>
      </c>
      <c r="H7">
        <v>72018</v>
      </c>
      <c r="I7">
        <v>0</v>
      </c>
      <c r="J7">
        <v>81406</v>
      </c>
      <c r="K7">
        <v>74203</v>
      </c>
      <c r="L7">
        <v>299891</v>
      </c>
      <c r="M7">
        <v>309808.5</v>
      </c>
      <c r="N7">
        <v>9917.5</v>
      </c>
      <c r="O7">
        <v>309808.5</v>
      </c>
      <c r="P7">
        <v>30360</v>
      </c>
      <c r="Q7">
        <v>29860</v>
      </c>
      <c r="R7">
        <v>26020</v>
      </c>
      <c r="S7">
        <v>31740</v>
      </c>
      <c r="T7">
        <v>32320</v>
      </c>
      <c r="U7">
        <v>35630</v>
      </c>
      <c r="V7">
        <v>30200</v>
      </c>
      <c r="W7">
        <v>29930</v>
      </c>
      <c r="X7">
        <v>33560</v>
      </c>
      <c r="Y7">
        <v>30300</v>
      </c>
      <c r="Z7">
        <v>309920</v>
      </c>
      <c r="AA7">
        <v>319837.5</v>
      </c>
      <c r="AB7">
        <v>0.82820000000000005</v>
      </c>
      <c r="AC7">
        <v>0.81469999999999998</v>
      </c>
      <c r="AD7">
        <v>0.79879999999999995</v>
      </c>
      <c r="AE7">
        <v>0.76700000000000002</v>
      </c>
      <c r="AF7">
        <v>0.80020000000000002</v>
      </c>
      <c r="AG7">
        <v>0.86809999999999998</v>
      </c>
      <c r="AH7">
        <v>0.84950000000000003</v>
      </c>
      <c r="AI7">
        <v>0.84189999999999998</v>
      </c>
      <c r="AJ7">
        <v>0.81769999999999998</v>
      </c>
      <c r="AK7">
        <v>0.85229999999999995</v>
      </c>
      <c r="AL7">
        <v>1.0334421506480689</v>
      </c>
      <c r="AM7">
        <v>4.3329860139860141</v>
      </c>
      <c r="AN7">
        <v>5.13</v>
      </c>
      <c r="AO7">
        <v>5.3</v>
      </c>
      <c r="AP7">
        <v>5.59</v>
      </c>
      <c r="AQ7">
        <v>5.43</v>
      </c>
      <c r="AS7">
        <v>5.3624999999999998</v>
      </c>
      <c r="AT7">
        <v>0.82379999999999998</v>
      </c>
      <c r="AU7">
        <v>0.80801603990415183</v>
      </c>
      <c r="AV7">
        <v>1</v>
      </c>
      <c r="AW7">
        <v>71500</v>
      </c>
      <c r="AX7">
        <v>56992</v>
      </c>
      <c r="AY7" s="9" t="s">
        <v>68</v>
      </c>
    </row>
    <row r="8" spans="1:51" ht="120" x14ac:dyDescent="0.25">
      <c r="A8" s="37">
        <v>45834</v>
      </c>
      <c r="B8">
        <v>236808.00000000003</v>
      </c>
      <c r="C8">
        <v>4.1399999999999997</v>
      </c>
      <c r="D8">
        <v>3.3935579999999996</v>
      </c>
      <c r="E8">
        <v>0.81969999999999998</v>
      </c>
      <c r="F8">
        <v>0.99</v>
      </c>
      <c r="G8">
        <v>75976</v>
      </c>
      <c r="H8">
        <v>75877</v>
      </c>
      <c r="I8">
        <v>0</v>
      </c>
      <c r="J8">
        <v>83405</v>
      </c>
      <c r="K8">
        <v>76258</v>
      </c>
      <c r="L8">
        <v>311516</v>
      </c>
      <c r="M8">
        <v>300419.17</v>
      </c>
      <c r="N8">
        <v>0</v>
      </c>
      <c r="O8">
        <v>311516</v>
      </c>
      <c r="P8">
        <v>28600</v>
      </c>
      <c r="Q8">
        <v>28630</v>
      </c>
      <c r="R8">
        <v>25350</v>
      </c>
      <c r="S8">
        <v>31190</v>
      </c>
      <c r="T8">
        <v>32410</v>
      </c>
      <c r="U8">
        <v>34260</v>
      </c>
      <c r="V8">
        <v>29430</v>
      </c>
      <c r="W8">
        <v>28780</v>
      </c>
      <c r="X8">
        <v>31540</v>
      </c>
      <c r="Y8">
        <v>29660</v>
      </c>
      <c r="Z8">
        <v>299850</v>
      </c>
      <c r="AA8">
        <v>299850</v>
      </c>
      <c r="AB8">
        <v>0.89</v>
      </c>
      <c r="AC8">
        <v>0.89</v>
      </c>
      <c r="AD8">
        <v>0.89</v>
      </c>
      <c r="AE8">
        <v>0.86</v>
      </c>
      <c r="AF8">
        <v>0.88</v>
      </c>
      <c r="AG8">
        <v>0.93</v>
      </c>
      <c r="AH8">
        <v>0.92</v>
      </c>
      <c r="AI8">
        <v>0.9</v>
      </c>
      <c r="AJ8">
        <v>0.85</v>
      </c>
      <c r="AK8">
        <v>0.92</v>
      </c>
      <c r="AL8">
        <v>0.96255088021161028</v>
      </c>
      <c r="AM8">
        <v>4.3568671328671327</v>
      </c>
      <c r="AN8">
        <v>4.6100000000000003</v>
      </c>
      <c r="AO8">
        <v>4.83</v>
      </c>
      <c r="AP8">
        <v>4.93</v>
      </c>
      <c r="AQ8">
        <v>4.7300000000000004</v>
      </c>
      <c r="AS8">
        <v>4.7750000000000004</v>
      </c>
      <c r="AT8">
        <v>0.89</v>
      </c>
      <c r="AU8">
        <v>0.91243290740672933</v>
      </c>
      <c r="AV8">
        <v>1</v>
      </c>
      <c r="AW8">
        <v>71500</v>
      </c>
      <c r="AX8">
        <v>56992</v>
      </c>
      <c r="AY8" s="9" t="s">
        <v>69</v>
      </c>
    </row>
    <row r="9" spans="1:51" ht="210" x14ac:dyDescent="0.25">
      <c r="A9" s="37">
        <v>45833</v>
      </c>
      <c r="B9">
        <v>236808.00000000003</v>
      </c>
      <c r="C9">
        <v>4.1399999999999997</v>
      </c>
      <c r="D9">
        <v>3.3935579999999996</v>
      </c>
      <c r="E9">
        <v>0.81969999999999998</v>
      </c>
      <c r="F9">
        <v>0.99</v>
      </c>
      <c r="G9">
        <v>73676</v>
      </c>
      <c r="H9">
        <v>11475</v>
      </c>
      <c r="I9">
        <v>27997.5</v>
      </c>
      <c r="J9">
        <v>59929.5</v>
      </c>
      <c r="K9">
        <v>54202</v>
      </c>
      <c r="L9">
        <v>227280</v>
      </c>
      <c r="M9">
        <v>277065.83</v>
      </c>
      <c r="N9">
        <v>49785.830000000016</v>
      </c>
      <c r="O9">
        <v>277065.83</v>
      </c>
      <c r="P9">
        <v>17110</v>
      </c>
      <c r="Q9">
        <v>16870</v>
      </c>
      <c r="R9">
        <v>15370</v>
      </c>
      <c r="S9">
        <v>19210</v>
      </c>
      <c r="T9">
        <v>19610</v>
      </c>
      <c r="U9">
        <v>34920</v>
      </c>
      <c r="V9">
        <v>29440</v>
      </c>
      <c r="W9">
        <v>29820</v>
      </c>
      <c r="X9">
        <v>35330</v>
      </c>
      <c r="Y9">
        <v>30170</v>
      </c>
      <c r="Z9">
        <v>247850</v>
      </c>
      <c r="AA9">
        <v>297635.83</v>
      </c>
      <c r="AB9">
        <v>0.51</v>
      </c>
      <c r="AC9">
        <v>0.5</v>
      </c>
      <c r="AD9">
        <v>0.52</v>
      </c>
      <c r="AE9">
        <v>0.51</v>
      </c>
      <c r="AF9">
        <v>0.52</v>
      </c>
      <c r="AG9">
        <v>0.89</v>
      </c>
      <c r="AH9">
        <v>0.87</v>
      </c>
      <c r="AI9">
        <v>0.88</v>
      </c>
      <c r="AJ9">
        <v>0.9</v>
      </c>
      <c r="AK9">
        <v>0.89</v>
      </c>
      <c r="AL9">
        <v>1.0905051038366773</v>
      </c>
      <c r="AM9">
        <v>3.8750465734265735</v>
      </c>
      <c r="AN9">
        <v>4.91</v>
      </c>
      <c r="AO9">
        <v>4.9800000000000004</v>
      </c>
      <c r="AQ9">
        <v>4.97</v>
      </c>
      <c r="AS9">
        <v>4.9533333333333331</v>
      </c>
      <c r="AT9">
        <v>0.69689999999999996</v>
      </c>
      <c r="AU9">
        <v>0.78231088292595696</v>
      </c>
      <c r="AV9">
        <v>1</v>
      </c>
      <c r="AW9">
        <v>71500</v>
      </c>
      <c r="AX9">
        <v>56992</v>
      </c>
      <c r="AY9" s="9" t="s">
        <v>70</v>
      </c>
    </row>
    <row r="10" spans="1:51" ht="180" x14ac:dyDescent="0.25">
      <c r="A10" s="37">
        <v>45832</v>
      </c>
      <c r="B10">
        <v>236808.00000000003</v>
      </c>
      <c r="C10">
        <v>4.1399999999999997</v>
      </c>
      <c r="D10">
        <v>3.3935579999999996</v>
      </c>
      <c r="E10">
        <v>0.81969999999999998</v>
      </c>
      <c r="F10">
        <v>0.99</v>
      </c>
      <c r="G10">
        <v>86021</v>
      </c>
      <c r="H10">
        <v>0</v>
      </c>
      <c r="I10">
        <v>34732.5</v>
      </c>
      <c r="J10">
        <v>41672.5</v>
      </c>
      <c r="K10">
        <v>37502</v>
      </c>
      <c r="L10">
        <v>199928</v>
      </c>
      <c r="M10">
        <v>201664.17</v>
      </c>
      <c r="N10">
        <v>1736.1700000000128</v>
      </c>
      <c r="O10">
        <v>201664.17</v>
      </c>
      <c r="P10">
        <v>14650</v>
      </c>
      <c r="Q10">
        <v>14550</v>
      </c>
      <c r="R10">
        <v>13220</v>
      </c>
      <c r="S10">
        <v>16350</v>
      </c>
      <c r="T10">
        <v>16960</v>
      </c>
      <c r="U10">
        <v>19660</v>
      </c>
      <c r="V10">
        <v>16830</v>
      </c>
      <c r="W10">
        <v>16780</v>
      </c>
      <c r="X10">
        <v>19120</v>
      </c>
      <c r="Y10">
        <v>17480</v>
      </c>
      <c r="Z10">
        <v>165600</v>
      </c>
      <c r="AA10">
        <v>167336.17000000001</v>
      </c>
      <c r="AB10">
        <v>0.85</v>
      </c>
      <c r="AC10">
        <v>0.84</v>
      </c>
      <c r="AD10">
        <v>0.86</v>
      </c>
      <c r="AE10">
        <v>0.84</v>
      </c>
      <c r="AF10">
        <v>0.86</v>
      </c>
      <c r="AG10">
        <v>0.96</v>
      </c>
      <c r="AH10">
        <v>0.95</v>
      </c>
      <c r="AI10">
        <v>0.94</v>
      </c>
      <c r="AJ10">
        <v>0.93</v>
      </c>
      <c r="AK10">
        <v>0.98</v>
      </c>
      <c r="AL10">
        <v>0.82829818734744509</v>
      </c>
      <c r="AM10">
        <v>2.8204779020979021</v>
      </c>
      <c r="AN10">
        <v>2.57</v>
      </c>
      <c r="AO10">
        <v>2.6</v>
      </c>
      <c r="AQ10">
        <v>2.56</v>
      </c>
      <c r="AS10">
        <v>2.5766666666666667</v>
      </c>
      <c r="AT10">
        <v>0.9</v>
      </c>
      <c r="AU10">
        <v>1.0946227304390306</v>
      </c>
      <c r="AV10">
        <v>1</v>
      </c>
      <c r="AW10">
        <v>71500</v>
      </c>
      <c r="AX10">
        <v>56992</v>
      </c>
      <c r="AY10" s="9" t="s">
        <v>71</v>
      </c>
    </row>
    <row r="11" spans="1:51" ht="180" x14ac:dyDescent="0.25">
      <c r="A11" s="37">
        <v>45831</v>
      </c>
      <c r="B11">
        <v>236808.00000000003</v>
      </c>
      <c r="C11">
        <v>4.1399999999999997</v>
      </c>
      <c r="D11">
        <v>3.3935579999999996</v>
      </c>
      <c r="E11">
        <v>0.81969999999999998</v>
      </c>
      <c r="F11">
        <v>0.99</v>
      </c>
      <c r="G11">
        <v>54538</v>
      </c>
      <c r="H11">
        <v>40217</v>
      </c>
      <c r="I11">
        <v>40217</v>
      </c>
      <c r="J11">
        <v>36841</v>
      </c>
      <c r="K11">
        <v>38491</v>
      </c>
      <c r="L11">
        <v>210304</v>
      </c>
      <c r="M11">
        <v>212586.17</v>
      </c>
      <c r="N11">
        <v>2282.1700000000128</v>
      </c>
      <c r="O11">
        <v>212586.17</v>
      </c>
      <c r="P11">
        <v>24880</v>
      </c>
      <c r="Q11">
        <v>23970</v>
      </c>
      <c r="R11">
        <v>20630</v>
      </c>
      <c r="S11">
        <v>24470</v>
      </c>
      <c r="T11">
        <v>26540</v>
      </c>
      <c r="U11">
        <v>30980</v>
      </c>
      <c r="V11">
        <v>25490</v>
      </c>
      <c r="W11">
        <v>26520</v>
      </c>
      <c r="X11">
        <v>30220</v>
      </c>
      <c r="Y11">
        <v>27080</v>
      </c>
      <c r="Z11">
        <v>260780</v>
      </c>
      <c r="AA11">
        <v>263062.17000000004</v>
      </c>
      <c r="AB11">
        <v>0.84</v>
      </c>
      <c r="AC11">
        <v>0.81</v>
      </c>
      <c r="AD11">
        <v>0.78</v>
      </c>
      <c r="AE11">
        <v>0.73</v>
      </c>
      <c r="AF11">
        <v>0.8</v>
      </c>
      <c r="AG11">
        <v>0.94</v>
      </c>
      <c r="AH11">
        <v>0.89</v>
      </c>
      <c r="AI11">
        <v>0.93</v>
      </c>
      <c r="AJ11">
        <v>0.91</v>
      </c>
      <c r="AK11">
        <v>0.95</v>
      </c>
      <c r="AL11">
        <v>1.2400144552647596</v>
      </c>
      <c r="AM11">
        <v>2.973233146853147</v>
      </c>
      <c r="AN11">
        <v>4.13</v>
      </c>
      <c r="AO11">
        <v>4.34</v>
      </c>
      <c r="AQ11">
        <v>4.3899999999999997</v>
      </c>
      <c r="AS11">
        <v>4.2866666666666662</v>
      </c>
      <c r="AT11">
        <v>0.85819999999999996</v>
      </c>
      <c r="AU11">
        <v>0.69360026753961446</v>
      </c>
      <c r="AV11">
        <v>1</v>
      </c>
      <c r="AW11">
        <v>71500</v>
      </c>
      <c r="AX11">
        <v>56992</v>
      </c>
      <c r="AY11" s="9" t="s">
        <v>71</v>
      </c>
    </row>
    <row r="12" spans="1:51" ht="135" x14ac:dyDescent="0.25">
      <c r="A12" s="37">
        <v>45830</v>
      </c>
      <c r="B12">
        <v>236808.00000000003</v>
      </c>
      <c r="C12">
        <v>4.1399999999999997</v>
      </c>
      <c r="D12">
        <v>3.3935579999999996</v>
      </c>
      <c r="E12">
        <v>0.81969999999999998</v>
      </c>
      <c r="F12">
        <v>0.99</v>
      </c>
      <c r="G12">
        <v>69586</v>
      </c>
      <c r="H12">
        <v>69490</v>
      </c>
      <c r="I12">
        <v>50931</v>
      </c>
      <c r="J12">
        <v>54771.5</v>
      </c>
      <c r="K12">
        <v>49372</v>
      </c>
      <c r="L12">
        <v>294150.5</v>
      </c>
      <c r="M12">
        <v>281081.5</v>
      </c>
      <c r="N12">
        <v>0</v>
      </c>
      <c r="O12">
        <v>294150.5</v>
      </c>
      <c r="P12">
        <v>23960</v>
      </c>
      <c r="Q12">
        <v>23860</v>
      </c>
      <c r="R12">
        <v>20880</v>
      </c>
      <c r="S12">
        <v>25650</v>
      </c>
      <c r="T12">
        <v>26740</v>
      </c>
      <c r="U12">
        <v>28590</v>
      </c>
      <c r="V12">
        <v>24720</v>
      </c>
      <c r="W12">
        <v>24110</v>
      </c>
      <c r="X12">
        <v>27050</v>
      </c>
      <c r="Y12">
        <v>25010</v>
      </c>
      <c r="Z12">
        <v>250570</v>
      </c>
      <c r="AA12">
        <v>250570</v>
      </c>
      <c r="AB12">
        <v>0.9</v>
      </c>
      <c r="AC12">
        <v>0.9</v>
      </c>
      <c r="AD12">
        <v>0.89</v>
      </c>
      <c r="AE12">
        <v>0.86</v>
      </c>
      <c r="AF12">
        <v>0.88</v>
      </c>
      <c r="AG12">
        <v>0.93</v>
      </c>
      <c r="AH12">
        <v>0.93</v>
      </c>
      <c r="AI12">
        <v>0.91</v>
      </c>
      <c r="AJ12">
        <v>0.88</v>
      </c>
      <c r="AK12">
        <v>0.94</v>
      </c>
      <c r="AL12">
        <v>0.85184284915374953</v>
      </c>
      <c r="AM12">
        <v>4.1139930069930069</v>
      </c>
      <c r="AN12">
        <v>3.84</v>
      </c>
      <c r="AO12">
        <v>3.97</v>
      </c>
      <c r="AQ12">
        <v>3.93</v>
      </c>
      <c r="AS12">
        <v>3.9133333333333336</v>
      </c>
      <c r="AT12">
        <v>0.90139999999999998</v>
      </c>
      <c r="AU12">
        <v>1.0512758961651636</v>
      </c>
      <c r="AV12">
        <v>1</v>
      </c>
      <c r="AW12">
        <v>71500</v>
      </c>
      <c r="AX12">
        <v>56992</v>
      </c>
      <c r="AY12" s="9" t="s">
        <v>72</v>
      </c>
    </row>
    <row r="13" spans="1:51" ht="135" x14ac:dyDescent="0.25">
      <c r="A13" s="37">
        <v>45829</v>
      </c>
      <c r="B13">
        <v>236808.00000000003</v>
      </c>
      <c r="C13">
        <v>4.1399999999999997</v>
      </c>
      <c r="D13">
        <v>3.3935579999999996</v>
      </c>
      <c r="E13">
        <v>0.81969999999999998</v>
      </c>
      <c r="F13">
        <v>0.99</v>
      </c>
      <c r="G13">
        <v>62249.5</v>
      </c>
      <c r="H13">
        <v>62073</v>
      </c>
      <c r="I13">
        <v>45598.5</v>
      </c>
      <c r="J13">
        <v>50191</v>
      </c>
      <c r="K13">
        <v>45519</v>
      </c>
      <c r="L13">
        <v>265631</v>
      </c>
      <c r="M13">
        <v>256677.83</v>
      </c>
      <c r="N13">
        <v>0</v>
      </c>
      <c r="O13">
        <v>265631</v>
      </c>
      <c r="P13">
        <v>28500</v>
      </c>
      <c r="Q13">
        <v>28420</v>
      </c>
      <c r="R13">
        <v>24570</v>
      </c>
      <c r="S13">
        <v>30100</v>
      </c>
      <c r="T13">
        <v>31490</v>
      </c>
      <c r="U13">
        <v>34890</v>
      </c>
      <c r="V13">
        <v>29520</v>
      </c>
      <c r="W13">
        <v>29420</v>
      </c>
      <c r="X13">
        <v>33750</v>
      </c>
      <c r="Y13">
        <v>30960</v>
      </c>
      <c r="Z13">
        <v>301620</v>
      </c>
      <c r="AA13">
        <v>301620</v>
      </c>
      <c r="AB13">
        <v>0.88</v>
      </c>
      <c r="AC13">
        <v>0.87</v>
      </c>
      <c r="AD13">
        <v>0.85</v>
      </c>
      <c r="AE13">
        <v>0.82</v>
      </c>
      <c r="AF13">
        <v>0.87</v>
      </c>
      <c r="AG13">
        <v>0.93</v>
      </c>
      <c r="AH13">
        <v>0.91</v>
      </c>
      <c r="AI13">
        <v>0.9</v>
      </c>
      <c r="AJ13">
        <v>0.9</v>
      </c>
      <c r="AK13">
        <v>0.95</v>
      </c>
      <c r="AL13">
        <v>1.1354849396343047</v>
      </c>
      <c r="AM13">
        <v>3.7151188811188813</v>
      </c>
      <c r="AN13">
        <v>4.7</v>
      </c>
      <c r="AO13">
        <v>4.7699999999999996</v>
      </c>
      <c r="AQ13">
        <v>4.82</v>
      </c>
      <c r="AS13">
        <v>4.7633333333333328</v>
      </c>
      <c r="AT13">
        <v>0.8871</v>
      </c>
      <c r="AU13">
        <v>0.77994098274014312</v>
      </c>
      <c r="AV13">
        <v>1</v>
      </c>
      <c r="AW13">
        <v>71500</v>
      </c>
      <c r="AX13">
        <v>56992</v>
      </c>
      <c r="AY13" s="9" t="s">
        <v>72</v>
      </c>
    </row>
    <row r="14" spans="1:51" ht="135" x14ac:dyDescent="0.25">
      <c r="A14" s="37">
        <v>45828</v>
      </c>
      <c r="B14">
        <v>236808.00000000003</v>
      </c>
      <c r="C14">
        <v>4.1399999999999997</v>
      </c>
      <c r="D14">
        <v>3.3935579999999996</v>
      </c>
      <c r="E14">
        <v>0.81969999999999998</v>
      </c>
      <c r="F14">
        <v>0.99</v>
      </c>
      <c r="G14">
        <v>56417</v>
      </c>
      <c r="H14">
        <v>56360</v>
      </c>
      <c r="I14">
        <v>39968.5</v>
      </c>
      <c r="J14">
        <v>44774</v>
      </c>
      <c r="K14">
        <v>40778</v>
      </c>
      <c r="L14">
        <v>238297.5</v>
      </c>
      <c r="M14">
        <v>218482.5</v>
      </c>
      <c r="N14">
        <v>0</v>
      </c>
      <c r="O14">
        <v>238297.5</v>
      </c>
      <c r="P14">
        <v>17480</v>
      </c>
      <c r="Q14">
        <v>17350</v>
      </c>
      <c r="R14">
        <v>15360</v>
      </c>
      <c r="S14">
        <v>18790</v>
      </c>
      <c r="T14">
        <v>19980</v>
      </c>
      <c r="U14">
        <v>20650</v>
      </c>
      <c r="V14">
        <v>17460</v>
      </c>
      <c r="W14">
        <v>17460</v>
      </c>
      <c r="X14">
        <v>19770</v>
      </c>
      <c r="Y14">
        <v>18030</v>
      </c>
      <c r="Z14">
        <v>182330</v>
      </c>
      <c r="AA14">
        <v>182330</v>
      </c>
      <c r="AB14">
        <v>0.95</v>
      </c>
      <c r="AC14">
        <v>0.94</v>
      </c>
      <c r="AD14">
        <v>0.93</v>
      </c>
      <c r="AE14">
        <v>0.9</v>
      </c>
      <c r="AF14">
        <v>0.96</v>
      </c>
      <c r="AG14">
        <v>0.97</v>
      </c>
      <c r="AH14">
        <v>0.94</v>
      </c>
      <c r="AI14">
        <v>0.94</v>
      </c>
      <c r="AJ14">
        <v>0.93</v>
      </c>
      <c r="AK14">
        <v>0.97</v>
      </c>
      <c r="AL14">
        <v>0.7651360169535979</v>
      </c>
      <c r="AM14">
        <v>3.332832167832168</v>
      </c>
      <c r="AN14">
        <v>2.67</v>
      </c>
      <c r="AO14">
        <v>2.74</v>
      </c>
      <c r="AQ14">
        <v>2.74</v>
      </c>
      <c r="AS14">
        <v>2.7166666666666668</v>
      </c>
      <c r="AT14">
        <v>0.94279999999999997</v>
      </c>
      <c r="AU14">
        <v>1.2268093869320864</v>
      </c>
      <c r="AV14">
        <v>1</v>
      </c>
      <c r="AW14">
        <v>71500</v>
      </c>
      <c r="AX14">
        <v>56992</v>
      </c>
      <c r="AY14" s="9" t="s">
        <v>72</v>
      </c>
    </row>
    <row r="15" spans="1:51" ht="135" x14ac:dyDescent="0.25">
      <c r="A15" s="37">
        <v>45827</v>
      </c>
      <c r="B15">
        <v>236808.00000000003</v>
      </c>
      <c r="C15">
        <v>4.1399999999999997</v>
      </c>
      <c r="D15">
        <v>3.3935579999999996</v>
      </c>
      <c r="E15">
        <v>0.81969999999999998</v>
      </c>
      <c r="F15">
        <v>0.99</v>
      </c>
      <c r="G15">
        <v>32619.78</v>
      </c>
      <c r="H15">
        <v>32624.04</v>
      </c>
      <c r="I15">
        <v>20927.5</v>
      </c>
      <c r="J15">
        <v>27328.5</v>
      </c>
      <c r="K15">
        <v>25555.56</v>
      </c>
      <c r="L15">
        <v>139055.38</v>
      </c>
      <c r="M15">
        <v>121976.67</v>
      </c>
      <c r="N15">
        <v>0</v>
      </c>
      <c r="O15">
        <v>139055.38</v>
      </c>
      <c r="P15">
        <v>11570</v>
      </c>
      <c r="Q15">
        <v>11570</v>
      </c>
      <c r="R15">
        <v>10240</v>
      </c>
      <c r="S15">
        <v>12670</v>
      </c>
      <c r="T15">
        <v>13340</v>
      </c>
      <c r="U15">
        <v>13170</v>
      </c>
      <c r="V15">
        <v>11760</v>
      </c>
      <c r="W15">
        <v>11550</v>
      </c>
      <c r="X15">
        <v>12680</v>
      </c>
      <c r="Y15">
        <v>11970</v>
      </c>
      <c r="Z15">
        <v>120520</v>
      </c>
      <c r="AA15">
        <v>120520</v>
      </c>
      <c r="AB15">
        <v>0.93159999999999998</v>
      </c>
      <c r="AC15">
        <v>0.93159999999999998</v>
      </c>
      <c r="AD15">
        <v>0.92759999999999998</v>
      </c>
      <c r="AE15">
        <v>0.90359999999999996</v>
      </c>
      <c r="AF15">
        <v>0.95109999999999995</v>
      </c>
      <c r="AG15">
        <v>0.9405</v>
      </c>
      <c r="AH15">
        <v>0.9698</v>
      </c>
      <c r="AI15">
        <v>0.95209999999999995</v>
      </c>
      <c r="AJ15">
        <v>0.90549999999999997</v>
      </c>
      <c r="AK15">
        <v>0.98660000000000003</v>
      </c>
      <c r="AL15">
        <v>0.86670504945583549</v>
      </c>
      <c r="AM15">
        <v>1.9448304895104895</v>
      </c>
      <c r="AN15">
        <v>1.75</v>
      </c>
      <c r="AO15">
        <v>1.84</v>
      </c>
      <c r="AQ15">
        <v>1.84</v>
      </c>
      <c r="AS15">
        <v>1.8099999999999998</v>
      </c>
      <c r="AT15">
        <v>0.94</v>
      </c>
      <c r="AU15">
        <v>1.0744919831549666</v>
      </c>
      <c r="AV15">
        <v>1</v>
      </c>
      <c r="AW15">
        <v>71500</v>
      </c>
      <c r="AX15">
        <v>56992</v>
      </c>
      <c r="AY15" s="9" t="s">
        <v>72</v>
      </c>
    </row>
    <row r="16" spans="1:51" ht="195" x14ac:dyDescent="0.25">
      <c r="A16" s="37">
        <v>45826</v>
      </c>
      <c r="B16">
        <v>236808.00000000003</v>
      </c>
      <c r="C16">
        <v>4.1399999999999997</v>
      </c>
      <c r="D16">
        <v>3.3935579999999996</v>
      </c>
      <c r="E16">
        <v>0.81969999999999998</v>
      </c>
      <c r="F16">
        <v>0.99</v>
      </c>
      <c r="G16">
        <v>20925.759999999998</v>
      </c>
      <c r="H16">
        <v>57968.51</v>
      </c>
      <c r="I16">
        <v>38990.47</v>
      </c>
      <c r="J16">
        <v>43894.5</v>
      </c>
      <c r="K16">
        <v>39858.089999999997</v>
      </c>
      <c r="L16">
        <v>201637.33</v>
      </c>
      <c r="M16">
        <v>236668</v>
      </c>
      <c r="N16">
        <v>35030.670000000013</v>
      </c>
      <c r="O16">
        <v>236668</v>
      </c>
      <c r="P16">
        <v>17510</v>
      </c>
      <c r="Q16">
        <v>18310</v>
      </c>
      <c r="R16">
        <v>16270</v>
      </c>
      <c r="S16">
        <v>20140</v>
      </c>
      <c r="T16">
        <v>20940</v>
      </c>
      <c r="U16">
        <v>30650</v>
      </c>
      <c r="V16">
        <v>27230</v>
      </c>
      <c r="W16">
        <v>25760</v>
      </c>
      <c r="X16">
        <v>28840</v>
      </c>
      <c r="Y16">
        <v>26400</v>
      </c>
      <c r="Z16">
        <v>232050</v>
      </c>
      <c r="AA16">
        <v>267080.67000000004</v>
      </c>
      <c r="AB16">
        <v>0.61470000000000002</v>
      </c>
      <c r="AC16">
        <v>0.64290000000000003</v>
      </c>
      <c r="AD16">
        <v>0.64270000000000005</v>
      </c>
      <c r="AE16">
        <v>0.62629999999999997</v>
      </c>
      <c r="AF16">
        <v>0.61209999999999998</v>
      </c>
      <c r="AG16">
        <v>0.90349999999999997</v>
      </c>
      <c r="AH16">
        <v>0.92649999999999999</v>
      </c>
      <c r="AI16">
        <v>0.87670000000000003</v>
      </c>
      <c r="AJ16">
        <v>0.85009999999999997</v>
      </c>
      <c r="AK16">
        <v>0.89839999999999998</v>
      </c>
      <c r="AL16">
        <v>1.1508285692931959</v>
      </c>
      <c r="AM16">
        <v>3.3100419580419582</v>
      </c>
      <c r="AN16">
        <v>4.24</v>
      </c>
      <c r="AO16">
        <v>4.49</v>
      </c>
      <c r="AQ16">
        <v>4.22</v>
      </c>
      <c r="AS16">
        <v>4.3166666666666664</v>
      </c>
      <c r="AT16">
        <v>0.75939999999999996</v>
      </c>
      <c r="AU16">
        <v>0.76680508680508686</v>
      </c>
      <c r="AV16">
        <v>1</v>
      </c>
      <c r="AW16">
        <v>71500</v>
      </c>
      <c r="AX16">
        <v>56992</v>
      </c>
      <c r="AY16" s="9" t="s">
        <v>73</v>
      </c>
    </row>
    <row r="17" spans="1:51" ht="195" x14ac:dyDescent="0.25">
      <c r="A17" s="37">
        <v>45825</v>
      </c>
      <c r="B17">
        <v>236808.00000000003</v>
      </c>
      <c r="C17">
        <v>4.1399999999999997</v>
      </c>
      <c r="D17">
        <v>3.3935579999999996</v>
      </c>
      <c r="E17">
        <v>0.81969999999999998</v>
      </c>
      <c r="F17">
        <v>0.99</v>
      </c>
      <c r="G17">
        <v>0</v>
      </c>
      <c r="H17">
        <v>72100.39</v>
      </c>
      <c r="I17">
        <v>40733.360000000001</v>
      </c>
      <c r="J17">
        <v>47085.5</v>
      </c>
      <c r="K17">
        <v>41366.03</v>
      </c>
      <c r="L17">
        <v>201285.28</v>
      </c>
      <c r="M17">
        <v>231263</v>
      </c>
      <c r="N17">
        <v>29977.72</v>
      </c>
      <c r="O17">
        <v>231263</v>
      </c>
      <c r="P17">
        <v>14660</v>
      </c>
      <c r="Q17">
        <v>14620</v>
      </c>
      <c r="R17">
        <v>13260</v>
      </c>
      <c r="S17">
        <v>16660</v>
      </c>
      <c r="T17">
        <v>16880</v>
      </c>
      <c r="U17">
        <v>30310</v>
      </c>
      <c r="V17">
        <v>25970</v>
      </c>
      <c r="W17">
        <v>26560</v>
      </c>
      <c r="X17">
        <v>29970</v>
      </c>
      <c r="Y17">
        <v>27950</v>
      </c>
      <c r="Z17">
        <v>216840</v>
      </c>
      <c r="AA17">
        <v>246817.72</v>
      </c>
      <c r="AB17">
        <v>0.50049999999999994</v>
      </c>
      <c r="AC17">
        <v>0.49890000000000001</v>
      </c>
      <c r="AD17">
        <v>0.5091</v>
      </c>
      <c r="AE17">
        <v>0.50370000000000004</v>
      </c>
      <c r="AF17">
        <v>0.50339999999999996</v>
      </c>
      <c r="AG17">
        <v>0.88119999999999998</v>
      </c>
      <c r="AH17">
        <v>0.87139999999999995</v>
      </c>
      <c r="AI17">
        <v>0.89119999999999999</v>
      </c>
      <c r="AJ17">
        <v>0.87109999999999999</v>
      </c>
      <c r="AK17">
        <v>0.93799999999999994</v>
      </c>
      <c r="AL17">
        <v>1.077276987169653</v>
      </c>
      <c r="AM17">
        <v>3.2344475524475524</v>
      </c>
      <c r="AN17">
        <v>4.3</v>
      </c>
      <c r="AO17">
        <v>4.4000000000000004</v>
      </c>
      <c r="AQ17">
        <v>4.34</v>
      </c>
      <c r="AS17">
        <v>4.3466666666666667</v>
      </c>
      <c r="AT17">
        <v>0.69679999999999997</v>
      </c>
      <c r="AU17">
        <v>0.74412136942811791</v>
      </c>
      <c r="AV17">
        <v>1</v>
      </c>
      <c r="AW17">
        <v>71500</v>
      </c>
      <c r="AX17">
        <v>56992</v>
      </c>
      <c r="AY17" s="9" t="s">
        <v>73</v>
      </c>
    </row>
    <row r="18" spans="1:51" ht="195" x14ac:dyDescent="0.25">
      <c r="A18" s="37">
        <v>45824</v>
      </c>
      <c r="B18">
        <v>236808.00000000003</v>
      </c>
      <c r="C18">
        <v>4.1399999999999997</v>
      </c>
      <c r="D18">
        <v>3.3935579999999996</v>
      </c>
      <c r="E18">
        <v>0.81969999999999998</v>
      </c>
      <c r="F18">
        <v>0.99</v>
      </c>
      <c r="G18">
        <v>0</v>
      </c>
      <c r="H18">
        <v>72780.539999999994</v>
      </c>
      <c r="I18">
        <v>40781.75</v>
      </c>
      <c r="J18">
        <v>46534</v>
      </c>
      <c r="K18">
        <v>41946.55</v>
      </c>
      <c r="L18">
        <v>202042.83999999997</v>
      </c>
      <c r="M18">
        <v>231811</v>
      </c>
      <c r="N18">
        <v>29768.160000000033</v>
      </c>
      <c r="O18">
        <v>231811</v>
      </c>
      <c r="P18">
        <v>16060</v>
      </c>
      <c r="Q18">
        <v>15830</v>
      </c>
      <c r="R18">
        <v>14190</v>
      </c>
      <c r="S18">
        <v>17510</v>
      </c>
      <c r="T18">
        <v>18010</v>
      </c>
      <c r="U18">
        <v>25850</v>
      </c>
      <c r="V18">
        <v>23620</v>
      </c>
      <c r="W18">
        <v>24440</v>
      </c>
      <c r="X18">
        <v>28110</v>
      </c>
      <c r="Y18">
        <v>25080</v>
      </c>
      <c r="Z18">
        <v>208700</v>
      </c>
      <c r="AA18">
        <v>238468.16000000003</v>
      </c>
      <c r="AB18">
        <v>0.58750000000000002</v>
      </c>
      <c r="AC18">
        <v>0.57909999999999995</v>
      </c>
      <c r="AD18">
        <v>0.58379999999999999</v>
      </c>
      <c r="AE18">
        <v>0.5675</v>
      </c>
      <c r="AF18">
        <v>0.59389999999999998</v>
      </c>
      <c r="AG18">
        <v>0.8327</v>
      </c>
      <c r="AH18">
        <v>0.87829999999999997</v>
      </c>
      <c r="AI18">
        <v>0.90910000000000002</v>
      </c>
      <c r="AJ18">
        <v>0.90559999999999996</v>
      </c>
      <c r="AK18">
        <v>0.93289999999999995</v>
      </c>
      <c r="AL18">
        <v>1.0329492497729691</v>
      </c>
      <c r="AM18">
        <v>3.242111888111888</v>
      </c>
      <c r="AN18">
        <v>3.88</v>
      </c>
      <c r="AO18">
        <v>3.98</v>
      </c>
      <c r="AQ18">
        <v>4.05</v>
      </c>
      <c r="AS18">
        <v>3.97</v>
      </c>
      <c r="AT18">
        <v>0.73699999999999999</v>
      </c>
      <c r="AU18">
        <v>0.81665286854203722</v>
      </c>
      <c r="AV18">
        <v>1</v>
      </c>
      <c r="AW18">
        <v>71500</v>
      </c>
      <c r="AX18">
        <v>56992</v>
      </c>
      <c r="AY18" s="9" t="s">
        <v>73</v>
      </c>
    </row>
    <row r="19" spans="1:51" ht="195" x14ac:dyDescent="0.25">
      <c r="A19" s="37">
        <v>45823</v>
      </c>
      <c r="B19">
        <v>236808.00000000003</v>
      </c>
      <c r="C19">
        <v>4.1399999999999997</v>
      </c>
      <c r="D19">
        <v>3.3935579999999996</v>
      </c>
      <c r="E19">
        <v>0.81969999999999998</v>
      </c>
      <c r="F19">
        <v>0.99</v>
      </c>
      <c r="G19">
        <v>14364.66</v>
      </c>
      <c r="H19">
        <v>84765.77</v>
      </c>
      <c r="I19">
        <v>56930.26</v>
      </c>
      <c r="J19">
        <v>60042</v>
      </c>
      <c r="K19">
        <v>53586.66</v>
      </c>
      <c r="L19">
        <v>269689.34999999998</v>
      </c>
      <c r="M19">
        <v>332228.83</v>
      </c>
      <c r="N19">
        <v>62539.48000000004</v>
      </c>
      <c r="O19">
        <v>332228.83</v>
      </c>
      <c r="P19">
        <v>18600</v>
      </c>
      <c r="Q19">
        <v>18420</v>
      </c>
      <c r="R19">
        <v>16570</v>
      </c>
      <c r="S19">
        <v>20380</v>
      </c>
      <c r="T19">
        <v>21170</v>
      </c>
      <c r="U19">
        <v>29860</v>
      </c>
      <c r="V19">
        <v>29010</v>
      </c>
      <c r="W19">
        <v>30720</v>
      </c>
      <c r="X19">
        <v>35060</v>
      </c>
      <c r="Y19">
        <v>32380</v>
      </c>
      <c r="Z19">
        <v>252170</v>
      </c>
      <c r="AA19">
        <v>314709.48000000004</v>
      </c>
      <c r="AB19">
        <v>0.5413</v>
      </c>
      <c r="AC19">
        <v>0.53600000000000003</v>
      </c>
      <c r="AD19">
        <v>0.54249999999999998</v>
      </c>
      <c r="AE19">
        <v>0.52559999999999996</v>
      </c>
      <c r="AF19">
        <v>0.54379999999999995</v>
      </c>
      <c r="AG19">
        <v>0.72629999999999995</v>
      </c>
      <c r="AH19">
        <v>0.8145</v>
      </c>
      <c r="AI19">
        <v>0.86250000000000004</v>
      </c>
      <c r="AJ19">
        <v>0.85260000000000002</v>
      </c>
      <c r="AK19">
        <v>0.90910000000000002</v>
      </c>
      <c r="AL19">
        <v>0.93503877702252614</v>
      </c>
      <c r="AM19">
        <v>4.6465570629370632</v>
      </c>
      <c r="AN19">
        <v>5.14</v>
      </c>
      <c r="AO19">
        <v>5.1100000000000003</v>
      </c>
      <c r="AQ19">
        <v>5.09</v>
      </c>
      <c r="AS19">
        <v>5.1133333333333333</v>
      </c>
      <c r="AT19">
        <v>0.68540000000000001</v>
      </c>
      <c r="AU19">
        <v>0.90871389757569687</v>
      </c>
      <c r="AV19">
        <v>0.997</v>
      </c>
      <c r="AW19">
        <v>71500</v>
      </c>
      <c r="AX19">
        <v>56992</v>
      </c>
      <c r="AY19" s="9" t="s">
        <v>73</v>
      </c>
    </row>
    <row r="20" spans="1:51" ht="165" x14ac:dyDescent="0.25">
      <c r="A20" s="37">
        <v>45822</v>
      </c>
      <c r="B20">
        <v>236808.00000000003</v>
      </c>
      <c r="C20">
        <v>4.1399999999999997</v>
      </c>
      <c r="D20">
        <v>3.3935579999999996</v>
      </c>
      <c r="E20">
        <v>0.81969999999999998</v>
      </c>
      <c r="F20">
        <v>0.99</v>
      </c>
      <c r="G20">
        <v>33127.69</v>
      </c>
      <c r="H20">
        <v>33155.040000000001</v>
      </c>
      <c r="I20">
        <v>23352.12</v>
      </c>
      <c r="J20">
        <v>24656.5</v>
      </c>
      <c r="K20">
        <v>26573.4</v>
      </c>
      <c r="L20">
        <v>140864.75</v>
      </c>
      <c r="M20">
        <v>123842</v>
      </c>
      <c r="N20">
        <v>0</v>
      </c>
      <c r="O20">
        <v>140864.75</v>
      </c>
      <c r="P20">
        <v>13840</v>
      </c>
      <c r="Q20">
        <v>13770</v>
      </c>
      <c r="R20">
        <v>11990</v>
      </c>
      <c r="S20">
        <v>14610</v>
      </c>
      <c r="T20">
        <v>15440</v>
      </c>
      <c r="U20">
        <v>17080</v>
      </c>
      <c r="V20">
        <v>13480</v>
      </c>
      <c r="W20">
        <v>14400</v>
      </c>
      <c r="X20">
        <v>15660</v>
      </c>
      <c r="Y20">
        <v>14690</v>
      </c>
      <c r="Z20">
        <v>144960</v>
      </c>
      <c r="AA20">
        <v>144960</v>
      </c>
      <c r="AB20">
        <v>0.90720000000000001</v>
      </c>
      <c r="AC20">
        <v>0.90269999999999995</v>
      </c>
      <c r="AD20">
        <v>0.8841</v>
      </c>
      <c r="AE20">
        <v>0.84830000000000005</v>
      </c>
      <c r="AF20">
        <v>0.87319999999999998</v>
      </c>
      <c r="AG20">
        <v>0.95309999999999995</v>
      </c>
      <c r="AH20">
        <v>0.86819999999999997</v>
      </c>
      <c r="AI20">
        <v>0.92730000000000001</v>
      </c>
      <c r="AJ20">
        <v>0.87390000000000001</v>
      </c>
      <c r="AK20">
        <v>0.94610000000000005</v>
      </c>
      <c r="AL20">
        <v>1.0290722128850547</v>
      </c>
      <c r="AM20">
        <v>1.9701363636363636</v>
      </c>
      <c r="AN20">
        <v>2.2400000000000002</v>
      </c>
      <c r="AO20">
        <v>2.3199999999999998</v>
      </c>
      <c r="AQ20">
        <v>2.2599999999999998</v>
      </c>
      <c r="AS20">
        <v>2.2733333333333334</v>
      </c>
      <c r="AT20">
        <v>0.89839999999999998</v>
      </c>
      <c r="AU20">
        <v>0.86662889896027717</v>
      </c>
      <c r="AV20">
        <v>0.997</v>
      </c>
      <c r="AW20">
        <v>71500</v>
      </c>
      <c r="AX20">
        <v>56992</v>
      </c>
      <c r="AY20" s="9" t="s">
        <v>74</v>
      </c>
    </row>
    <row r="21" spans="1:51" ht="165" x14ac:dyDescent="0.25">
      <c r="A21" s="37">
        <v>45821</v>
      </c>
      <c r="B21">
        <v>236808.00000000003</v>
      </c>
      <c r="C21">
        <v>4.1399999999999997</v>
      </c>
      <c r="D21">
        <v>3.3935579999999996</v>
      </c>
      <c r="E21">
        <v>0.81969999999999998</v>
      </c>
      <c r="F21">
        <v>0.99</v>
      </c>
      <c r="G21">
        <v>62099.28</v>
      </c>
      <c r="H21">
        <v>61931.68</v>
      </c>
      <c r="I21">
        <v>49429.67</v>
      </c>
      <c r="J21">
        <v>50263.5</v>
      </c>
      <c r="K21">
        <v>49619.02</v>
      </c>
      <c r="L21">
        <v>273343.15000000002</v>
      </c>
      <c r="M21">
        <v>292875</v>
      </c>
      <c r="N21">
        <v>19531.849999999977</v>
      </c>
      <c r="O21">
        <v>292875</v>
      </c>
      <c r="P21">
        <v>28090</v>
      </c>
      <c r="Q21">
        <v>27670</v>
      </c>
      <c r="R21">
        <v>24150</v>
      </c>
      <c r="S21">
        <v>30380</v>
      </c>
      <c r="T21">
        <v>29880</v>
      </c>
      <c r="U21">
        <v>37250</v>
      </c>
      <c r="V21">
        <v>29430</v>
      </c>
      <c r="W21">
        <v>31780</v>
      </c>
      <c r="X21">
        <v>35310</v>
      </c>
      <c r="Y21">
        <v>32640</v>
      </c>
      <c r="Z21">
        <v>306580</v>
      </c>
      <c r="AA21">
        <v>326111.84999999998</v>
      </c>
      <c r="AB21">
        <v>0.79569999999999996</v>
      </c>
      <c r="AC21">
        <v>0.78369999999999995</v>
      </c>
      <c r="AD21">
        <v>0.76970000000000005</v>
      </c>
      <c r="AE21">
        <v>0.76229999999999998</v>
      </c>
      <c r="AF21">
        <v>0.75560000000000005</v>
      </c>
      <c r="AG21">
        <v>0.90580000000000005</v>
      </c>
      <c r="AH21">
        <v>0.82609999999999995</v>
      </c>
      <c r="AI21">
        <v>0.8921</v>
      </c>
      <c r="AJ21">
        <v>0.85860000000000003</v>
      </c>
      <c r="AK21">
        <v>0.91639999999999999</v>
      </c>
      <c r="AL21">
        <v>1.1215938647081516</v>
      </c>
      <c r="AM21">
        <v>4.0961538461538458</v>
      </c>
      <c r="AN21">
        <v>5.14</v>
      </c>
      <c r="AO21">
        <v>5.19</v>
      </c>
      <c r="AQ21">
        <v>5.23</v>
      </c>
      <c r="AS21">
        <v>5.1866666666666665</v>
      </c>
      <c r="AT21">
        <v>0.8266</v>
      </c>
      <c r="AU21">
        <v>0.78974688550524019</v>
      </c>
      <c r="AV21">
        <v>0.997</v>
      </c>
      <c r="AW21">
        <v>71500</v>
      </c>
      <c r="AX21">
        <v>56992</v>
      </c>
      <c r="AY21" s="9" t="s">
        <v>74</v>
      </c>
    </row>
    <row r="22" spans="1:51" ht="165" x14ac:dyDescent="0.25">
      <c r="A22" s="37">
        <v>45820</v>
      </c>
      <c r="B22">
        <v>236808.00000000003</v>
      </c>
      <c r="C22">
        <v>4.1399999999999997</v>
      </c>
      <c r="D22">
        <v>3.3935579999999996</v>
      </c>
      <c r="E22">
        <v>0.81969999999999998</v>
      </c>
      <c r="F22">
        <v>0.99</v>
      </c>
      <c r="G22">
        <v>56566.51</v>
      </c>
      <c r="H22">
        <v>56453.35</v>
      </c>
      <c r="I22">
        <v>40042.93</v>
      </c>
      <c r="J22">
        <v>45126.21</v>
      </c>
      <c r="K22">
        <v>41460.31</v>
      </c>
      <c r="L22">
        <v>239649.31</v>
      </c>
      <c r="M22">
        <v>224489.33</v>
      </c>
      <c r="N22">
        <v>0</v>
      </c>
      <c r="O22">
        <v>239649.31</v>
      </c>
      <c r="P22">
        <v>17020</v>
      </c>
      <c r="Q22">
        <v>17040</v>
      </c>
      <c r="R22">
        <v>15190</v>
      </c>
      <c r="S22">
        <v>18990</v>
      </c>
      <c r="T22">
        <v>19820</v>
      </c>
      <c r="U22">
        <v>21050</v>
      </c>
      <c r="V22">
        <v>16640</v>
      </c>
      <c r="W22">
        <v>17720</v>
      </c>
      <c r="X22">
        <v>19660</v>
      </c>
      <c r="Y22">
        <v>18170</v>
      </c>
      <c r="Z22">
        <v>181300</v>
      </c>
      <c r="AA22">
        <v>181300</v>
      </c>
      <c r="AB22">
        <v>0.87870000000000004</v>
      </c>
      <c r="AC22">
        <v>0.87970000000000004</v>
      </c>
      <c r="AD22">
        <v>0.8821</v>
      </c>
      <c r="AE22">
        <v>0.86819999999999997</v>
      </c>
      <c r="AF22">
        <v>0.9224</v>
      </c>
      <c r="AG22">
        <v>0.93959999999999999</v>
      </c>
      <c r="AH22">
        <v>0.85740000000000005</v>
      </c>
      <c r="AI22">
        <v>0.9133</v>
      </c>
      <c r="AJ22">
        <v>0.87780000000000002</v>
      </c>
      <c r="AK22">
        <v>0.93630000000000002</v>
      </c>
      <c r="AL22">
        <v>0.75652210306802048</v>
      </c>
      <c r="AM22">
        <v>3.3517386013986012</v>
      </c>
      <c r="AN22">
        <v>2.8</v>
      </c>
      <c r="AO22">
        <v>2.82</v>
      </c>
      <c r="AQ22">
        <v>2.87</v>
      </c>
      <c r="AS22">
        <v>2.8299999999999996</v>
      </c>
      <c r="AT22">
        <v>0.89549999999999996</v>
      </c>
      <c r="AU22">
        <v>1.1843599298228276</v>
      </c>
      <c r="AV22">
        <v>0.997</v>
      </c>
      <c r="AW22">
        <v>71500</v>
      </c>
      <c r="AX22">
        <v>56992</v>
      </c>
      <c r="AY22" s="9" t="s">
        <v>74</v>
      </c>
    </row>
    <row r="23" spans="1:51" ht="165" x14ac:dyDescent="0.25">
      <c r="A23" s="37">
        <v>45819</v>
      </c>
      <c r="B23">
        <v>236808.00000000003</v>
      </c>
      <c r="C23">
        <v>4.1399999999999997</v>
      </c>
      <c r="D23">
        <v>3.3935579999999996</v>
      </c>
      <c r="E23">
        <v>0.81969999999999998</v>
      </c>
      <c r="F23">
        <v>0.99</v>
      </c>
      <c r="G23">
        <v>50308.65</v>
      </c>
      <c r="H23">
        <v>50166.09</v>
      </c>
      <c r="I23">
        <v>35166.39</v>
      </c>
      <c r="J23">
        <v>41400.129999999997</v>
      </c>
      <c r="K23">
        <v>38286.81</v>
      </c>
      <c r="L23">
        <v>215328.07</v>
      </c>
      <c r="M23">
        <v>231067</v>
      </c>
      <c r="N23">
        <v>15738.929999999993</v>
      </c>
      <c r="O23">
        <v>231067</v>
      </c>
      <c r="P23">
        <v>26380</v>
      </c>
      <c r="Q23">
        <v>26690</v>
      </c>
      <c r="R23">
        <v>22770</v>
      </c>
      <c r="S23">
        <v>28540</v>
      </c>
      <c r="T23">
        <v>29700</v>
      </c>
      <c r="U23">
        <v>31380</v>
      </c>
      <c r="V23">
        <v>25020</v>
      </c>
      <c r="W23">
        <v>26600</v>
      </c>
      <c r="X23">
        <v>30150</v>
      </c>
      <c r="Y23">
        <v>27180</v>
      </c>
      <c r="Z23">
        <v>274410</v>
      </c>
      <c r="AA23">
        <v>290148.93</v>
      </c>
      <c r="AB23">
        <v>0.86070000000000002</v>
      </c>
      <c r="AC23">
        <v>0.87090000000000001</v>
      </c>
      <c r="AD23">
        <v>0.83579999999999999</v>
      </c>
      <c r="AE23">
        <v>0.82509999999999994</v>
      </c>
      <c r="AF23">
        <v>0.87590000000000001</v>
      </c>
      <c r="AG23">
        <v>0.90159999999999996</v>
      </c>
      <c r="AH23">
        <v>0.82989999999999997</v>
      </c>
      <c r="AI23">
        <v>0.88229999999999997</v>
      </c>
      <c r="AJ23">
        <v>0.86629999999999996</v>
      </c>
      <c r="AK23">
        <v>0.90169999999999995</v>
      </c>
      <c r="AL23">
        <v>1.2743809945447429</v>
      </c>
      <c r="AM23">
        <v>3.2317062937062939</v>
      </c>
      <c r="AN23">
        <v>4.3499999999999996</v>
      </c>
      <c r="AO23">
        <v>4.45</v>
      </c>
      <c r="AQ23">
        <v>4.54</v>
      </c>
      <c r="AS23">
        <v>4.4466666666666663</v>
      </c>
      <c r="AT23">
        <v>0.86499999999999999</v>
      </c>
      <c r="AU23">
        <v>0.72677053081850695</v>
      </c>
      <c r="AV23">
        <v>0.997</v>
      </c>
      <c r="AW23">
        <v>71500</v>
      </c>
      <c r="AX23">
        <v>56992</v>
      </c>
      <c r="AY23" s="9" t="s">
        <v>74</v>
      </c>
    </row>
    <row r="24" spans="1:51" ht="165" x14ac:dyDescent="0.25">
      <c r="A24" s="37">
        <v>45818</v>
      </c>
      <c r="B24">
        <v>236808.00000000003</v>
      </c>
      <c r="C24">
        <v>4.1399999999999997</v>
      </c>
      <c r="D24">
        <v>3.3935579999999996</v>
      </c>
      <c r="E24">
        <v>0.81969999999999998</v>
      </c>
      <c r="F24">
        <v>0.99</v>
      </c>
      <c r="G24">
        <v>61019.360000000001</v>
      </c>
      <c r="H24">
        <v>60969.67</v>
      </c>
      <c r="I24">
        <v>44345.78</v>
      </c>
      <c r="J24">
        <v>50692.3</v>
      </c>
      <c r="K24">
        <v>47311.1</v>
      </c>
      <c r="L24">
        <v>264338.20999999996</v>
      </c>
      <c r="M24">
        <v>241283.17</v>
      </c>
      <c r="N24">
        <v>0</v>
      </c>
      <c r="O24">
        <v>264338.20999999996</v>
      </c>
      <c r="P24">
        <v>23290</v>
      </c>
      <c r="Q24">
        <v>23170</v>
      </c>
      <c r="R24">
        <v>20290</v>
      </c>
      <c r="S24">
        <v>25130</v>
      </c>
      <c r="T24">
        <v>26060</v>
      </c>
      <c r="U24">
        <v>30490</v>
      </c>
      <c r="V24">
        <v>23480</v>
      </c>
      <c r="W24">
        <v>25580</v>
      </c>
      <c r="X24">
        <v>29510</v>
      </c>
      <c r="Y24">
        <v>25570</v>
      </c>
      <c r="Z24">
        <v>252570</v>
      </c>
      <c r="AA24">
        <v>252570</v>
      </c>
      <c r="AB24">
        <v>0.79320000000000002</v>
      </c>
      <c r="AC24">
        <v>0.78910000000000002</v>
      </c>
      <c r="AD24">
        <v>0.77739999999999998</v>
      </c>
      <c r="AE24">
        <v>0.7581</v>
      </c>
      <c r="AF24">
        <v>0.80089999999999995</v>
      </c>
      <c r="AG24">
        <v>0.90310000000000001</v>
      </c>
      <c r="AH24">
        <v>0.80289999999999995</v>
      </c>
      <c r="AI24">
        <v>0.87470000000000003</v>
      </c>
      <c r="AJ24">
        <v>0.87409999999999999</v>
      </c>
      <c r="AK24">
        <v>0.87429999999999997</v>
      </c>
      <c r="AL24">
        <v>0.9554804808582158</v>
      </c>
      <c r="AM24">
        <v>3.6970379020979016</v>
      </c>
      <c r="AN24">
        <v>4.22</v>
      </c>
      <c r="AO24">
        <v>4.2699999999999996</v>
      </c>
      <c r="AQ24">
        <v>4.3499999999999996</v>
      </c>
      <c r="AS24">
        <v>4.2799999999999994</v>
      </c>
      <c r="AT24">
        <v>0.82479999999999998</v>
      </c>
      <c r="AU24">
        <v>0.86379390235932296</v>
      </c>
      <c r="AV24">
        <v>0.997</v>
      </c>
      <c r="AW24">
        <v>71500</v>
      </c>
      <c r="AX24">
        <v>56992</v>
      </c>
      <c r="AY24" s="9" t="s">
        <v>74</v>
      </c>
    </row>
    <row r="25" spans="1:51" ht="165" x14ac:dyDescent="0.25">
      <c r="A25" s="37">
        <v>45817</v>
      </c>
      <c r="B25">
        <v>236808.00000000003</v>
      </c>
      <c r="C25">
        <v>4.1399999999999997</v>
      </c>
      <c r="D25">
        <v>3.3935579999999996</v>
      </c>
      <c r="E25">
        <v>0.81969999999999998</v>
      </c>
      <c r="F25">
        <v>0.99</v>
      </c>
      <c r="G25">
        <v>77672.83</v>
      </c>
      <c r="H25">
        <v>18954.28</v>
      </c>
      <c r="I25">
        <v>32198.16</v>
      </c>
      <c r="J25">
        <v>38041.4</v>
      </c>
      <c r="K25">
        <v>36996</v>
      </c>
      <c r="L25">
        <v>203862.67</v>
      </c>
      <c r="M25">
        <v>318762</v>
      </c>
      <c r="N25">
        <v>114899.32999999999</v>
      </c>
      <c r="O25">
        <v>318762</v>
      </c>
      <c r="P25">
        <v>16800</v>
      </c>
      <c r="Q25">
        <v>16620</v>
      </c>
      <c r="R25">
        <v>15170</v>
      </c>
      <c r="S25">
        <v>18800</v>
      </c>
      <c r="T25">
        <v>19260</v>
      </c>
      <c r="U25">
        <v>7740</v>
      </c>
      <c r="V25">
        <v>21050</v>
      </c>
      <c r="W25">
        <v>6810</v>
      </c>
      <c r="X25">
        <v>26150</v>
      </c>
      <c r="Y25">
        <v>7490</v>
      </c>
      <c r="Z25">
        <v>155890</v>
      </c>
      <c r="AA25">
        <v>270789.32999999996</v>
      </c>
      <c r="AB25">
        <v>0.45090000000000002</v>
      </c>
      <c r="AC25">
        <v>0.4461</v>
      </c>
      <c r="AD25">
        <v>0.45800000000000002</v>
      </c>
      <c r="AE25">
        <v>0.44700000000000001</v>
      </c>
      <c r="AF25">
        <v>0.46810000000000002</v>
      </c>
      <c r="AG25">
        <v>0.25990000000000002</v>
      </c>
      <c r="AH25">
        <v>0.81640000000000001</v>
      </c>
      <c r="AI25">
        <v>0.26400000000000001</v>
      </c>
      <c r="AJ25">
        <v>0.87880000000000003</v>
      </c>
      <c r="AK25">
        <v>0.29049999999999998</v>
      </c>
      <c r="AL25">
        <v>0.76468143971625602</v>
      </c>
      <c r="AM25">
        <v>4.4582097902097901</v>
      </c>
      <c r="AN25">
        <v>3.72</v>
      </c>
      <c r="AO25">
        <v>5.4</v>
      </c>
      <c r="AQ25">
        <v>5.52</v>
      </c>
      <c r="AS25">
        <v>4.88</v>
      </c>
      <c r="AT25">
        <v>0.47799999999999998</v>
      </c>
      <c r="AU25">
        <v>0.91356757996102256</v>
      </c>
      <c r="AV25">
        <v>0.997</v>
      </c>
      <c r="AW25">
        <v>71500</v>
      </c>
      <c r="AX25">
        <v>56992</v>
      </c>
      <c r="AY25" s="9" t="s">
        <v>75</v>
      </c>
    </row>
    <row r="26" spans="1:51" ht="165" x14ac:dyDescent="0.25">
      <c r="A26" s="37">
        <v>45816</v>
      </c>
      <c r="B26">
        <v>236808.00000000003</v>
      </c>
      <c r="C26">
        <v>4.1399999999999997</v>
      </c>
      <c r="D26">
        <v>3.3935579999999996</v>
      </c>
      <c r="E26">
        <v>0.81969999999999998</v>
      </c>
      <c r="F26">
        <v>0.99</v>
      </c>
      <c r="G26">
        <v>64388.62</v>
      </c>
      <c r="H26">
        <v>37330.57</v>
      </c>
      <c r="I26">
        <v>35193.620000000003</v>
      </c>
      <c r="J26">
        <v>53508.13</v>
      </c>
      <c r="K26">
        <v>34527</v>
      </c>
      <c r="L26">
        <v>224947.94</v>
      </c>
      <c r="M26">
        <v>255739.33</v>
      </c>
      <c r="N26">
        <v>30791.389999999985</v>
      </c>
      <c r="O26">
        <v>255739.33</v>
      </c>
      <c r="P26">
        <v>17080</v>
      </c>
      <c r="Q26">
        <v>17910</v>
      </c>
      <c r="R26">
        <v>20430</v>
      </c>
      <c r="S26">
        <v>23830</v>
      </c>
      <c r="T26">
        <v>24140</v>
      </c>
      <c r="U26">
        <v>27840</v>
      </c>
      <c r="V26">
        <v>21050</v>
      </c>
      <c r="W26">
        <v>23380</v>
      </c>
      <c r="X26">
        <v>26150</v>
      </c>
      <c r="Y26">
        <v>23770</v>
      </c>
      <c r="Z26">
        <v>225580</v>
      </c>
      <c r="AA26">
        <v>256371.38999999998</v>
      </c>
      <c r="AB26">
        <v>0.628</v>
      </c>
      <c r="AC26">
        <v>0.65839999999999999</v>
      </c>
      <c r="AD26">
        <v>0.84470000000000001</v>
      </c>
      <c r="AE26">
        <v>0.8085</v>
      </c>
      <c r="AF26">
        <v>0.80610000000000004</v>
      </c>
      <c r="AG26">
        <v>0.9355</v>
      </c>
      <c r="AH26">
        <v>0.81640000000000001</v>
      </c>
      <c r="AI26">
        <v>0.90700000000000003</v>
      </c>
      <c r="AJ26">
        <v>0.87880000000000003</v>
      </c>
      <c r="AK26">
        <v>0.92190000000000005</v>
      </c>
      <c r="AL26">
        <v>1.0028098056821502</v>
      </c>
      <c r="AM26">
        <v>3.5767738461538459</v>
      </c>
      <c r="AN26">
        <v>3.72</v>
      </c>
      <c r="AO26">
        <v>3.93</v>
      </c>
      <c r="AQ26">
        <v>4.03</v>
      </c>
      <c r="AS26">
        <v>3.8933333333333331</v>
      </c>
      <c r="AT26">
        <v>0.82050000000000001</v>
      </c>
      <c r="AU26">
        <v>0.91869191253951521</v>
      </c>
      <c r="AV26">
        <v>0.997</v>
      </c>
      <c r="AW26">
        <v>71500</v>
      </c>
      <c r="AX26">
        <v>56992</v>
      </c>
      <c r="AY26" s="9" t="s">
        <v>74</v>
      </c>
    </row>
    <row r="27" spans="1:51" ht="165" x14ac:dyDescent="0.25">
      <c r="A27" s="37">
        <v>45815</v>
      </c>
      <c r="B27">
        <v>236808.00000000003</v>
      </c>
      <c r="C27">
        <v>4.1399999999999997</v>
      </c>
      <c r="D27">
        <v>3.3935579999999996</v>
      </c>
      <c r="E27">
        <v>0.81969999999999998</v>
      </c>
      <c r="F27">
        <v>0.99</v>
      </c>
      <c r="G27">
        <v>53759.72</v>
      </c>
      <c r="H27">
        <v>53631.54</v>
      </c>
      <c r="I27">
        <v>40427.379999999997</v>
      </c>
      <c r="J27">
        <v>45302.39</v>
      </c>
      <c r="K27">
        <v>42362</v>
      </c>
      <c r="L27">
        <v>235483.03000000003</v>
      </c>
      <c r="M27">
        <v>229655.83</v>
      </c>
      <c r="N27">
        <v>0</v>
      </c>
      <c r="O27">
        <v>235483.03000000003</v>
      </c>
      <c r="P27">
        <v>16240</v>
      </c>
      <c r="Q27">
        <v>17120</v>
      </c>
      <c r="R27">
        <v>19830</v>
      </c>
      <c r="S27">
        <v>24140</v>
      </c>
      <c r="T27">
        <v>25410</v>
      </c>
      <c r="U27">
        <v>26650</v>
      </c>
      <c r="V27">
        <v>20740</v>
      </c>
      <c r="W27">
        <v>22380</v>
      </c>
      <c r="X27">
        <v>25430</v>
      </c>
      <c r="Y27">
        <v>23180</v>
      </c>
      <c r="Z27">
        <v>221120</v>
      </c>
      <c r="AA27">
        <v>221120</v>
      </c>
      <c r="AB27">
        <v>0.66279999999999994</v>
      </c>
      <c r="AC27">
        <v>0.69869999999999999</v>
      </c>
      <c r="AD27">
        <v>0.91049999999999998</v>
      </c>
      <c r="AE27">
        <v>0.87270000000000003</v>
      </c>
      <c r="AF27">
        <v>0.93669999999999998</v>
      </c>
      <c r="AG27">
        <v>0.94910000000000005</v>
      </c>
      <c r="AH27">
        <v>0.85260000000000002</v>
      </c>
      <c r="AI27">
        <v>0.92010000000000003</v>
      </c>
      <c r="AJ27">
        <v>0.90559999999999996</v>
      </c>
      <c r="AK27">
        <v>0.95299999999999996</v>
      </c>
      <c r="AL27">
        <v>0.93900609313545857</v>
      </c>
      <c r="AM27">
        <v>3.2934689510489514</v>
      </c>
      <c r="AN27">
        <v>3.51</v>
      </c>
      <c r="AO27">
        <v>3.56</v>
      </c>
      <c r="AQ27">
        <v>3.63</v>
      </c>
      <c r="AS27">
        <v>3.5666666666666664</v>
      </c>
      <c r="AT27">
        <v>0.86619999999999997</v>
      </c>
      <c r="AU27">
        <v>0.92340250963989301</v>
      </c>
      <c r="AV27">
        <v>0.997</v>
      </c>
      <c r="AW27">
        <v>71500</v>
      </c>
      <c r="AX27">
        <v>56992</v>
      </c>
      <c r="AY27" s="9" t="s">
        <v>74</v>
      </c>
    </row>
    <row r="28" spans="1:51" ht="165" x14ac:dyDescent="0.25">
      <c r="A28" s="37">
        <v>45814</v>
      </c>
      <c r="B28">
        <v>236808.00000000003</v>
      </c>
      <c r="C28">
        <v>4.1399999999999997</v>
      </c>
      <c r="D28">
        <v>3.3935579999999996</v>
      </c>
      <c r="E28">
        <v>0.81969999999999998</v>
      </c>
      <c r="F28">
        <v>0.99</v>
      </c>
      <c r="G28">
        <v>55827.17</v>
      </c>
      <c r="H28">
        <v>55683.82</v>
      </c>
      <c r="I28">
        <v>45847</v>
      </c>
      <c r="J28">
        <v>50443</v>
      </c>
      <c r="K28">
        <v>46782</v>
      </c>
      <c r="L28">
        <v>254582.99</v>
      </c>
      <c r="M28">
        <v>262683.67</v>
      </c>
      <c r="N28">
        <v>8100.679999999993</v>
      </c>
      <c r="O28">
        <v>262683.67</v>
      </c>
      <c r="P28">
        <v>17490</v>
      </c>
      <c r="Q28">
        <v>18420</v>
      </c>
      <c r="R28">
        <v>21900</v>
      </c>
      <c r="S28">
        <v>26380</v>
      </c>
      <c r="T28">
        <v>27720</v>
      </c>
      <c r="U28">
        <v>30850</v>
      </c>
      <c r="V28">
        <v>24360</v>
      </c>
      <c r="W28">
        <v>26090</v>
      </c>
      <c r="X28">
        <v>29330</v>
      </c>
      <c r="Y28">
        <v>26600</v>
      </c>
      <c r="Z28">
        <v>249140</v>
      </c>
      <c r="AA28">
        <v>257240.68</v>
      </c>
      <c r="AB28">
        <v>0.6038</v>
      </c>
      <c r="AC28">
        <v>0.63600000000000001</v>
      </c>
      <c r="AD28">
        <v>0.85070000000000001</v>
      </c>
      <c r="AE28">
        <v>0.80700000000000005</v>
      </c>
      <c r="AF28">
        <v>0.84389999999999998</v>
      </c>
      <c r="AG28">
        <v>0.91820000000000002</v>
      </c>
      <c r="AH28">
        <v>0.83689999999999998</v>
      </c>
      <c r="AI28">
        <v>0.8962</v>
      </c>
      <c r="AJ28">
        <v>0.873</v>
      </c>
      <c r="AK28">
        <v>0.91379999999999995</v>
      </c>
      <c r="AL28">
        <v>0.97861997771335785</v>
      </c>
      <c r="AM28">
        <v>3.6738974825174822</v>
      </c>
      <c r="AN28">
        <v>4.2</v>
      </c>
      <c r="AO28">
        <v>4.3099999999999996</v>
      </c>
      <c r="AQ28">
        <v>4.29</v>
      </c>
      <c r="AS28">
        <v>4.2666666666666666</v>
      </c>
      <c r="AT28">
        <v>0.81799999999999995</v>
      </c>
      <c r="AU28">
        <v>0.86106972246503488</v>
      </c>
      <c r="AV28">
        <v>0.997</v>
      </c>
      <c r="AW28">
        <v>71500</v>
      </c>
      <c r="AX28">
        <v>56992</v>
      </c>
      <c r="AY28" s="9" t="s">
        <v>74</v>
      </c>
    </row>
    <row r="29" spans="1:51" ht="165" x14ac:dyDescent="0.25">
      <c r="A29" s="37">
        <v>45813</v>
      </c>
      <c r="B29">
        <v>236808.00000000003</v>
      </c>
      <c r="C29">
        <v>4.1399999999999997</v>
      </c>
      <c r="D29">
        <v>3.3935579999999996</v>
      </c>
      <c r="E29">
        <v>0.81969999999999998</v>
      </c>
      <c r="F29">
        <v>0.99</v>
      </c>
      <c r="G29">
        <v>45046.44</v>
      </c>
      <c r="H29">
        <v>44970.97</v>
      </c>
      <c r="I29">
        <v>36431.410000000003</v>
      </c>
      <c r="J29">
        <v>42218.59</v>
      </c>
      <c r="K29">
        <v>36308</v>
      </c>
      <c r="L29">
        <v>204975.41</v>
      </c>
      <c r="M29">
        <v>213613.33</v>
      </c>
      <c r="N29">
        <v>8637.9199999999837</v>
      </c>
      <c r="O29">
        <v>213613.33</v>
      </c>
      <c r="P29">
        <v>16620</v>
      </c>
      <c r="Q29">
        <v>17200</v>
      </c>
      <c r="R29">
        <v>19680</v>
      </c>
      <c r="S29">
        <v>23590</v>
      </c>
      <c r="T29">
        <v>24940</v>
      </c>
      <c r="U29">
        <v>28030</v>
      </c>
      <c r="V29">
        <v>22160</v>
      </c>
      <c r="W29">
        <v>24020</v>
      </c>
      <c r="X29">
        <v>28010</v>
      </c>
      <c r="Y29">
        <v>24650</v>
      </c>
      <c r="Z29">
        <v>228900</v>
      </c>
      <c r="AA29">
        <v>237537.91999999998</v>
      </c>
      <c r="AB29">
        <v>0.61260000000000003</v>
      </c>
      <c r="AC29">
        <v>0.63380000000000003</v>
      </c>
      <c r="AD29">
        <v>0.81579999999999997</v>
      </c>
      <c r="AE29">
        <v>0.77</v>
      </c>
      <c r="AF29">
        <v>0.8266</v>
      </c>
      <c r="AG29">
        <v>0.86950000000000005</v>
      </c>
      <c r="AH29">
        <v>0.79330000000000001</v>
      </c>
      <c r="AI29">
        <v>0.86009999999999998</v>
      </c>
      <c r="AJ29">
        <v>0.86870000000000003</v>
      </c>
      <c r="AK29">
        <v>0.88249999999999995</v>
      </c>
      <c r="AL29">
        <v>1.1167193176976691</v>
      </c>
      <c r="AM29">
        <v>2.9875990209790206</v>
      </c>
      <c r="AN29">
        <v>4.03</v>
      </c>
      <c r="AO29">
        <v>3.96</v>
      </c>
      <c r="AQ29">
        <v>4.0199999999999996</v>
      </c>
      <c r="AS29">
        <v>4.003333333333333</v>
      </c>
      <c r="AT29">
        <v>0.79330000000000001</v>
      </c>
      <c r="AU29">
        <v>0.74627785703056304</v>
      </c>
      <c r="AV29">
        <v>0.997</v>
      </c>
      <c r="AW29">
        <v>71500</v>
      </c>
      <c r="AX29">
        <v>56992</v>
      </c>
      <c r="AY29" s="9" t="s">
        <v>74</v>
      </c>
    </row>
    <row r="30" spans="1:51" ht="165" x14ac:dyDescent="0.25">
      <c r="A30" s="37">
        <v>45812</v>
      </c>
      <c r="B30">
        <v>236808.00000000003</v>
      </c>
      <c r="C30">
        <v>4.1399999999999997</v>
      </c>
      <c r="D30">
        <v>3.3935579999999996</v>
      </c>
      <c r="E30">
        <v>0.81969999999999998</v>
      </c>
      <c r="F30">
        <v>0.99</v>
      </c>
      <c r="G30">
        <v>51783.95</v>
      </c>
      <c r="H30">
        <v>51675.72</v>
      </c>
      <c r="I30">
        <v>42545.15</v>
      </c>
      <c r="J30">
        <v>47996.83</v>
      </c>
      <c r="K30">
        <v>45333</v>
      </c>
      <c r="L30">
        <v>239334.65000000002</v>
      </c>
      <c r="M30">
        <v>241930.5</v>
      </c>
      <c r="N30">
        <v>2595.8499999999767</v>
      </c>
      <c r="O30">
        <v>241930.5</v>
      </c>
      <c r="P30">
        <v>14960</v>
      </c>
      <c r="Q30">
        <v>16350</v>
      </c>
      <c r="R30">
        <v>21860</v>
      </c>
      <c r="S30">
        <v>25860</v>
      </c>
      <c r="T30">
        <v>27060</v>
      </c>
      <c r="U30">
        <v>30490</v>
      </c>
      <c r="V30">
        <v>23060</v>
      </c>
      <c r="W30">
        <v>25700</v>
      </c>
      <c r="X30">
        <v>28660</v>
      </c>
      <c r="Y30">
        <v>26490</v>
      </c>
      <c r="Z30">
        <v>240490</v>
      </c>
      <c r="AA30">
        <v>243085.84999999998</v>
      </c>
      <c r="AB30">
        <v>0.51549999999999996</v>
      </c>
      <c r="AC30">
        <v>0.56320000000000003</v>
      </c>
      <c r="AD30">
        <v>0.84719999999999995</v>
      </c>
      <c r="AE30">
        <v>0.7893</v>
      </c>
      <c r="AF30">
        <v>0.85150000000000003</v>
      </c>
      <c r="AG30">
        <v>0.94579999999999997</v>
      </c>
      <c r="AH30">
        <v>0.82579999999999998</v>
      </c>
      <c r="AI30">
        <v>0.92030000000000001</v>
      </c>
      <c r="AJ30">
        <v>0.8891</v>
      </c>
      <c r="AK30">
        <v>0.94830000000000003</v>
      </c>
      <c r="AL30">
        <v>1.0048273411309228</v>
      </c>
      <c r="AM30">
        <v>3.3836433566433568</v>
      </c>
      <c r="AN30">
        <v>4.03</v>
      </c>
      <c r="AO30">
        <v>4.17</v>
      </c>
      <c r="AQ30">
        <v>4.3</v>
      </c>
      <c r="AS30">
        <v>4.166666666666667</v>
      </c>
      <c r="AT30">
        <v>0.80959999999999999</v>
      </c>
      <c r="AU30">
        <v>0.81207440559440558</v>
      </c>
      <c r="AV30">
        <v>0.997</v>
      </c>
      <c r="AW30">
        <v>71500</v>
      </c>
      <c r="AX30">
        <v>56992</v>
      </c>
      <c r="AY30" s="9" t="s">
        <v>74</v>
      </c>
    </row>
    <row r="31" spans="1:51" ht="210" x14ac:dyDescent="0.25">
      <c r="A31" s="37">
        <v>45811</v>
      </c>
      <c r="B31">
        <v>236808.00000000003</v>
      </c>
      <c r="C31">
        <v>4.1399999999999997</v>
      </c>
      <c r="D31">
        <v>3.3935579999999996</v>
      </c>
      <c r="E31">
        <v>0.81969999999999998</v>
      </c>
      <c r="F31">
        <v>0.99</v>
      </c>
      <c r="G31">
        <v>52073.99</v>
      </c>
      <c r="H31">
        <v>52000.160000000003</v>
      </c>
      <c r="I31">
        <v>31935.83</v>
      </c>
      <c r="J31">
        <v>42771.519999999997</v>
      </c>
      <c r="K31">
        <v>31956</v>
      </c>
      <c r="L31">
        <v>210737.49999999997</v>
      </c>
      <c r="M31">
        <v>211702</v>
      </c>
      <c r="N31">
        <v>964.5000000000291</v>
      </c>
      <c r="O31">
        <v>211702</v>
      </c>
      <c r="P31">
        <v>14870</v>
      </c>
      <c r="Q31">
        <v>16100</v>
      </c>
      <c r="R31">
        <v>15300</v>
      </c>
      <c r="S31">
        <v>19040</v>
      </c>
      <c r="T31">
        <v>19750</v>
      </c>
      <c r="U31">
        <v>18160</v>
      </c>
      <c r="V31">
        <v>13400</v>
      </c>
      <c r="W31">
        <v>15330</v>
      </c>
      <c r="X31">
        <v>16700</v>
      </c>
      <c r="Y31">
        <v>15720</v>
      </c>
      <c r="Z31">
        <v>164370</v>
      </c>
      <c r="AA31">
        <v>165334.50000000003</v>
      </c>
      <c r="AB31">
        <v>0.79820000000000002</v>
      </c>
      <c r="AC31">
        <v>0.86419999999999997</v>
      </c>
      <c r="AD31">
        <v>0.92390000000000005</v>
      </c>
      <c r="AE31">
        <v>0.90529999999999999</v>
      </c>
      <c r="AF31">
        <v>0.97440000000000004</v>
      </c>
      <c r="AG31">
        <v>0.87639999999999996</v>
      </c>
      <c r="AH31">
        <v>0.74660000000000004</v>
      </c>
      <c r="AI31">
        <v>0.85409999999999997</v>
      </c>
      <c r="AJ31">
        <v>0.80600000000000005</v>
      </c>
      <c r="AK31">
        <v>0.87580000000000002</v>
      </c>
      <c r="AL31">
        <v>0.77997508749036137</v>
      </c>
      <c r="AM31">
        <v>2.9608671328671328</v>
      </c>
      <c r="AN31">
        <v>2.59</v>
      </c>
      <c r="AO31">
        <v>2.66</v>
      </c>
      <c r="AQ31">
        <v>2.76</v>
      </c>
      <c r="AS31">
        <v>2.67</v>
      </c>
      <c r="AT31">
        <v>0.86250000000000004</v>
      </c>
      <c r="AU31">
        <v>1.1089390010738325</v>
      </c>
      <c r="AV31">
        <v>0.995</v>
      </c>
      <c r="AW31">
        <v>71500</v>
      </c>
      <c r="AX31">
        <v>56992</v>
      </c>
      <c r="AY31" s="9" t="s">
        <v>76</v>
      </c>
    </row>
    <row r="32" spans="1:51" ht="165" x14ac:dyDescent="0.25">
      <c r="A32" s="37">
        <v>45810</v>
      </c>
      <c r="B32">
        <v>236808.00000000003</v>
      </c>
      <c r="C32">
        <v>4.1399999999999997</v>
      </c>
      <c r="D32">
        <v>3.3935579999999996</v>
      </c>
      <c r="E32">
        <v>0.81969999999999998</v>
      </c>
      <c r="F32">
        <v>0.99</v>
      </c>
      <c r="G32">
        <v>31831.25</v>
      </c>
      <c r="H32">
        <v>31808.12</v>
      </c>
      <c r="I32">
        <v>20110</v>
      </c>
      <c r="J32">
        <v>27072.98</v>
      </c>
      <c r="K32">
        <v>24930</v>
      </c>
      <c r="L32">
        <v>135752.34999999998</v>
      </c>
      <c r="M32">
        <v>122100.67</v>
      </c>
      <c r="N32">
        <v>0</v>
      </c>
      <c r="O32">
        <v>135752.34999999998</v>
      </c>
      <c r="P32">
        <v>13570</v>
      </c>
      <c r="Q32">
        <v>14380</v>
      </c>
      <c r="R32">
        <v>12900</v>
      </c>
      <c r="S32">
        <v>15740</v>
      </c>
      <c r="T32">
        <v>16690</v>
      </c>
      <c r="U32">
        <v>17010</v>
      </c>
      <c r="V32">
        <v>13440</v>
      </c>
      <c r="W32">
        <v>14470</v>
      </c>
      <c r="X32">
        <v>16210</v>
      </c>
      <c r="Y32">
        <v>14930</v>
      </c>
      <c r="Z32">
        <v>149340</v>
      </c>
      <c r="AA32">
        <v>149340</v>
      </c>
      <c r="AB32">
        <v>0.88170000000000004</v>
      </c>
      <c r="AC32">
        <v>0.93440000000000001</v>
      </c>
      <c r="AD32">
        <v>0.94330000000000003</v>
      </c>
      <c r="AE32">
        <v>0.90620000000000001</v>
      </c>
      <c r="AF32">
        <v>0.96930000000000005</v>
      </c>
      <c r="AG32">
        <v>0.96630000000000005</v>
      </c>
      <c r="AH32">
        <v>0.88149999999999995</v>
      </c>
      <c r="AI32">
        <v>0.94940000000000002</v>
      </c>
      <c r="AJ32">
        <v>0.92110000000000003</v>
      </c>
      <c r="AK32">
        <v>0.97909999999999997</v>
      </c>
      <c r="AL32">
        <v>1.1000914532971253</v>
      </c>
      <c r="AM32">
        <v>1.8986342657342654</v>
      </c>
      <c r="AN32">
        <v>2.2000000000000002</v>
      </c>
      <c r="AO32">
        <v>2.2599999999999998</v>
      </c>
      <c r="AQ32">
        <v>2.2799999999999998</v>
      </c>
      <c r="AS32">
        <v>2.2466666666666666</v>
      </c>
      <c r="AT32">
        <v>0.93320000000000003</v>
      </c>
      <c r="AU32">
        <v>0.8450894357867651</v>
      </c>
      <c r="AV32">
        <v>0.995</v>
      </c>
      <c r="AW32">
        <v>71500</v>
      </c>
      <c r="AX32">
        <v>56992</v>
      </c>
      <c r="AY32" s="9" t="s">
        <v>74</v>
      </c>
    </row>
    <row r="33" spans="1:51" ht="165" x14ac:dyDescent="0.25">
      <c r="A33" s="37">
        <v>45809</v>
      </c>
      <c r="B33">
        <v>236808.00000000003</v>
      </c>
      <c r="C33">
        <v>4.1399999999999997</v>
      </c>
      <c r="D33">
        <v>3.3935579999999996</v>
      </c>
      <c r="E33">
        <v>0.81969999999999998</v>
      </c>
      <c r="F33">
        <v>0.99</v>
      </c>
      <c r="G33">
        <v>39013.379999999997</v>
      </c>
      <c r="H33">
        <v>38964.089999999997</v>
      </c>
      <c r="I33">
        <v>26556.080000000002</v>
      </c>
      <c r="J33">
        <v>31273.58</v>
      </c>
      <c r="K33">
        <v>24358</v>
      </c>
      <c r="L33">
        <v>160165.13</v>
      </c>
      <c r="M33">
        <v>141126.67000000001</v>
      </c>
      <c r="N33">
        <v>0</v>
      </c>
      <c r="O33">
        <v>160165.13</v>
      </c>
      <c r="P33">
        <v>12280</v>
      </c>
      <c r="Q33">
        <v>12980</v>
      </c>
      <c r="R33">
        <v>11600</v>
      </c>
      <c r="S33">
        <v>14180</v>
      </c>
      <c r="T33">
        <v>14950</v>
      </c>
      <c r="U33">
        <v>14570</v>
      </c>
      <c r="V33">
        <v>12030</v>
      </c>
      <c r="W33">
        <v>12780</v>
      </c>
      <c r="X33">
        <v>14250</v>
      </c>
      <c r="Y33">
        <v>13110</v>
      </c>
      <c r="Z33">
        <v>132730</v>
      </c>
      <c r="AA33">
        <v>132730</v>
      </c>
      <c r="AB33">
        <v>0.90080000000000005</v>
      </c>
      <c r="AC33">
        <v>0.95179999999999998</v>
      </c>
      <c r="AD33">
        <v>0.95679999999999998</v>
      </c>
      <c r="AE33">
        <v>0.92100000000000004</v>
      </c>
      <c r="AF33">
        <v>0.98099999999999998</v>
      </c>
      <c r="AG33">
        <v>0.94389999999999996</v>
      </c>
      <c r="AH33">
        <v>0.89959999999999996</v>
      </c>
      <c r="AI33">
        <v>0.95569999999999999</v>
      </c>
      <c r="AJ33">
        <v>0.92320000000000002</v>
      </c>
      <c r="AK33">
        <v>0.98040000000000005</v>
      </c>
      <c r="AL33">
        <v>0.82870722235233096</v>
      </c>
      <c r="AM33">
        <v>2.2400717482517485</v>
      </c>
      <c r="AN33">
        <v>1.93</v>
      </c>
      <c r="AO33">
        <v>2</v>
      </c>
      <c r="AQ33">
        <v>2.02</v>
      </c>
      <c r="AS33">
        <v>1.9833333333333332</v>
      </c>
      <c r="AT33">
        <v>0.94140000000000001</v>
      </c>
      <c r="AU33">
        <v>1.1294479402949993</v>
      </c>
      <c r="AV33">
        <v>0.995</v>
      </c>
      <c r="AW33">
        <v>71500</v>
      </c>
      <c r="AX33">
        <v>56992</v>
      </c>
      <c r="AY33" s="9" t="s">
        <v>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7AAE-09B7-4F76-B5B2-6E09B67F436B}">
  <sheetPr filterMode="1"/>
  <dimension ref="A1:R1654"/>
  <sheetViews>
    <sheetView tabSelected="1" zoomScale="70" zoomScaleNormal="70" workbookViewId="0">
      <pane xSplit="1" ySplit="2" topLeftCell="B477" activePane="bottomRight" state="frozen"/>
      <selection pane="topRight"/>
      <selection pane="bottomLeft" activeCell="B1" sqref="B1"/>
      <selection pane="bottomRight" activeCell="R485" sqref="R485"/>
    </sheetView>
  </sheetViews>
  <sheetFormatPr defaultColWidth="9.140625" defaultRowHeight="15" customHeight="1" x14ac:dyDescent="0.25"/>
  <cols>
    <col min="1" max="1" width="16" style="1" customWidth="1"/>
    <col min="2" max="11" width="11.140625" style="7" customWidth="1"/>
    <col min="12" max="14" width="17.140625" style="7" customWidth="1"/>
    <col min="15" max="16" width="17.85546875" customWidth="1"/>
    <col min="17" max="17" width="14.140625" customWidth="1"/>
    <col min="18" max="18" width="15.140625" customWidth="1"/>
  </cols>
  <sheetData>
    <row r="1" spans="1:18" ht="20.25" customHeight="1" x14ac:dyDescent="0.25">
      <c r="B1" s="46" t="s">
        <v>78</v>
      </c>
      <c r="C1" s="47"/>
      <c r="D1" s="47"/>
      <c r="E1" s="47"/>
      <c r="F1" s="47"/>
      <c r="G1" s="47"/>
      <c r="H1" s="47"/>
      <c r="I1" s="47"/>
      <c r="J1" s="47"/>
      <c r="K1" s="47"/>
      <c r="L1" s="48"/>
      <c r="M1" s="34"/>
      <c r="N1" s="34"/>
      <c r="O1" s="49" t="s">
        <v>79</v>
      </c>
      <c r="P1" s="49"/>
    </row>
    <row r="2" spans="1:18" s="9" customFormat="1" ht="45" x14ac:dyDescent="0.25">
      <c r="A2" s="27" t="s">
        <v>14</v>
      </c>
      <c r="B2" s="30" t="s">
        <v>205</v>
      </c>
      <c r="C2" s="30" t="s">
        <v>206</v>
      </c>
      <c r="D2" s="30" t="s">
        <v>207</v>
      </c>
      <c r="E2" s="30" t="s">
        <v>208</v>
      </c>
      <c r="F2" s="30" t="s">
        <v>209</v>
      </c>
      <c r="G2" s="30" t="s">
        <v>210</v>
      </c>
      <c r="H2" s="30" t="s">
        <v>211</v>
      </c>
      <c r="I2" s="30" t="s">
        <v>212</v>
      </c>
      <c r="J2" s="30" t="s">
        <v>213</v>
      </c>
      <c r="K2" s="30" t="s">
        <v>214</v>
      </c>
      <c r="L2" s="26" t="s">
        <v>42</v>
      </c>
      <c r="M2" s="29" t="s">
        <v>86</v>
      </c>
      <c r="N2" s="44" t="s">
        <v>87</v>
      </c>
      <c r="O2" s="28" t="s">
        <v>215</v>
      </c>
      <c r="P2" s="28" t="s">
        <v>216</v>
      </c>
      <c r="Q2" s="28" t="s">
        <v>217</v>
      </c>
      <c r="R2" s="28" t="s">
        <v>218</v>
      </c>
    </row>
    <row r="3" spans="1:18" x14ac:dyDescent="0.25">
      <c r="A3" s="1">
        <v>45627</v>
      </c>
      <c r="B3" s="7">
        <v>8930</v>
      </c>
      <c r="C3" s="7">
        <v>8830</v>
      </c>
      <c r="L3" s="3">
        <f>SUM(B3:K3)</f>
        <v>17760</v>
      </c>
      <c r="M3" s="3"/>
      <c r="N3" s="3">
        <f t="shared" ref="N3:N66" si="0">IF(OR(O3&lt;24300,P3&lt;25700),MAX(L3,M3),L3)</f>
        <v>17760</v>
      </c>
      <c r="O3" s="39"/>
      <c r="P3" s="39"/>
      <c r="R3" s="23"/>
    </row>
    <row r="4" spans="1:18" x14ac:dyDescent="0.25">
      <c r="A4" s="1">
        <v>45628</v>
      </c>
      <c r="B4" s="7">
        <v>15880</v>
      </c>
      <c r="C4" s="7">
        <v>13060</v>
      </c>
      <c r="D4" s="7">
        <v>20130</v>
      </c>
      <c r="L4" s="3">
        <f t="shared" ref="L4:L67" si="1">SUM(B4:K4)</f>
        <v>49070</v>
      </c>
      <c r="M4" s="3"/>
      <c r="N4" s="3">
        <f t="shared" si="0"/>
        <v>49070</v>
      </c>
      <c r="O4" s="39"/>
      <c r="P4" s="39"/>
      <c r="R4" s="23"/>
    </row>
    <row r="5" spans="1:18" x14ac:dyDescent="0.25">
      <c r="A5" s="1">
        <v>45629</v>
      </c>
      <c r="B5" s="7">
        <v>5100</v>
      </c>
      <c r="C5" s="7">
        <v>4020</v>
      </c>
      <c r="D5" s="7">
        <v>0</v>
      </c>
      <c r="E5" s="7">
        <v>13370</v>
      </c>
      <c r="L5" s="3">
        <f t="shared" si="1"/>
        <v>22490</v>
      </c>
      <c r="M5" s="3"/>
      <c r="N5" s="3">
        <f t="shared" si="0"/>
        <v>22490</v>
      </c>
      <c r="O5" s="39"/>
      <c r="P5" s="39"/>
      <c r="R5" s="23"/>
    </row>
    <row r="6" spans="1:18" x14ac:dyDescent="0.25">
      <c r="A6" s="1">
        <v>45630</v>
      </c>
      <c r="B6" s="7">
        <v>5460</v>
      </c>
      <c r="C6" s="7">
        <v>5410</v>
      </c>
      <c r="D6" s="7">
        <v>0</v>
      </c>
      <c r="E6" s="7">
        <v>9140</v>
      </c>
      <c r="L6" s="3">
        <f t="shared" si="1"/>
        <v>20010</v>
      </c>
      <c r="M6" s="3"/>
      <c r="N6" s="3">
        <f t="shared" si="0"/>
        <v>20010</v>
      </c>
      <c r="O6" s="39"/>
      <c r="P6" s="39"/>
      <c r="R6" s="23"/>
    </row>
    <row r="7" spans="1:18" x14ac:dyDescent="0.25">
      <c r="A7" s="1">
        <v>45631</v>
      </c>
      <c r="B7" s="7">
        <v>0</v>
      </c>
      <c r="C7" s="7">
        <v>0</v>
      </c>
      <c r="D7" s="7">
        <v>0</v>
      </c>
      <c r="E7" s="7">
        <v>23100</v>
      </c>
      <c r="L7" s="3">
        <f t="shared" si="1"/>
        <v>23100</v>
      </c>
      <c r="M7" s="3"/>
      <c r="N7" s="3">
        <f t="shared" si="0"/>
        <v>23100</v>
      </c>
      <c r="O7" s="39"/>
      <c r="P7" s="39"/>
      <c r="R7" s="23"/>
    </row>
    <row r="8" spans="1:18" x14ac:dyDescent="0.25">
      <c r="A8" s="1">
        <v>45632</v>
      </c>
      <c r="B8" s="24">
        <v>0</v>
      </c>
      <c r="C8" s="24">
        <v>0</v>
      </c>
      <c r="D8" s="24">
        <v>0</v>
      </c>
      <c r="E8" s="24">
        <v>23100</v>
      </c>
      <c r="F8" s="24"/>
      <c r="G8" s="24"/>
      <c r="H8" s="24"/>
      <c r="I8" s="24"/>
      <c r="J8" s="24"/>
      <c r="K8" s="24"/>
      <c r="L8" s="3">
        <f t="shared" si="1"/>
        <v>23100</v>
      </c>
      <c r="M8" s="3"/>
      <c r="N8" s="3">
        <f t="shared" si="0"/>
        <v>23100</v>
      </c>
      <c r="O8" s="39"/>
      <c r="P8" s="39"/>
      <c r="R8" s="23"/>
    </row>
    <row r="9" spans="1:18" x14ac:dyDescent="0.25">
      <c r="A9" s="1">
        <v>45633</v>
      </c>
      <c r="B9" s="7">
        <v>0</v>
      </c>
      <c r="C9" s="7">
        <v>0</v>
      </c>
      <c r="D9" s="7">
        <v>14260</v>
      </c>
      <c r="E9" s="7">
        <v>21000</v>
      </c>
      <c r="F9" s="7">
        <v>14880</v>
      </c>
      <c r="L9" s="3">
        <f t="shared" si="1"/>
        <v>50140</v>
      </c>
      <c r="M9" s="3"/>
      <c r="N9" s="3">
        <f t="shared" si="0"/>
        <v>50140</v>
      </c>
      <c r="O9" s="39"/>
      <c r="P9" s="39"/>
      <c r="R9" s="23"/>
    </row>
    <row r="10" spans="1:18" x14ac:dyDescent="0.25">
      <c r="A10" s="1">
        <v>45634</v>
      </c>
      <c r="B10" s="7">
        <v>0</v>
      </c>
      <c r="C10" s="7">
        <v>0</v>
      </c>
      <c r="D10" s="7">
        <v>6460</v>
      </c>
      <c r="E10" s="7">
        <v>7910</v>
      </c>
      <c r="F10" s="7">
        <v>33250</v>
      </c>
      <c r="L10" s="3">
        <f t="shared" si="1"/>
        <v>47620</v>
      </c>
      <c r="M10" s="3"/>
      <c r="N10" s="3">
        <f t="shared" si="0"/>
        <v>47620</v>
      </c>
      <c r="O10" s="39"/>
      <c r="P10" s="39"/>
      <c r="R10" s="23"/>
    </row>
    <row r="11" spans="1:18" x14ac:dyDescent="0.25">
      <c r="A11" s="1">
        <v>45635</v>
      </c>
      <c r="B11" s="7">
        <v>0</v>
      </c>
      <c r="C11" s="7">
        <v>0</v>
      </c>
      <c r="D11" s="7">
        <v>25710</v>
      </c>
      <c r="E11" s="7">
        <v>11120</v>
      </c>
      <c r="F11" s="7">
        <v>11480</v>
      </c>
      <c r="L11" s="3">
        <f t="shared" si="1"/>
        <v>48310</v>
      </c>
      <c r="M11" s="3"/>
      <c r="N11" s="3">
        <f t="shared" si="0"/>
        <v>48310</v>
      </c>
      <c r="O11" s="39"/>
      <c r="P11" s="39"/>
      <c r="R11" s="23"/>
    </row>
    <row r="12" spans="1:18" x14ac:dyDescent="0.25">
      <c r="A12" s="1">
        <v>45636</v>
      </c>
      <c r="B12" s="7">
        <v>0</v>
      </c>
      <c r="C12" s="7">
        <v>0</v>
      </c>
      <c r="D12" s="7">
        <v>25710</v>
      </c>
      <c r="E12" s="7">
        <v>11120</v>
      </c>
      <c r="F12" s="7">
        <v>11480</v>
      </c>
      <c r="L12" s="3">
        <f t="shared" si="1"/>
        <v>48310</v>
      </c>
      <c r="M12" s="3"/>
      <c r="N12" s="3">
        <f t="shared" si="0"/>
        <v>48310</v>
      </c>
      <c r="O12" s="39"/>
      <c r="P12" s="39"/>
      <c r="R12" s="23"/>
    </row>
    <row r="13" spans="1:18" x14ac:dyDescent="0.25">
      <c r="A13" s="1">
        <v>45637</v>
      </c>
      <c r="B13" s="7">
        <v>0</v>
      </c>
      <c r="C13" s="7">
        <v>0</v>
      </c>
      <c r="D13" s="7">
        <v>21420</v>
      </c>
      <c r="E13" s="7">
        <v>10410</v>
      </c>
      <c r="F13" s="7">
        <v>11140</v>
      </c>
      <c r="L13" s="3">
        <f t="shared" si="1"/>
        <v>42970</v>
      </c>
      <c r="M13" s="3"/>
      <c r="N13" s="3">
        <f t="shared" si="0"/>
        <v>42970</v>
      </c>
      <c r="O13" s="39"/>
      <c r="P13" s="39"/>
      <c r="R13" s="23"/>
    </row>
    <row r="14" spans="1:18" x14ac:dyDescent="0.25">
      <c r="A14" s="1">
        <v>45638</v>
      </c>
      <c r="B14" s="7">
        <v>10800</v>
      </c>
      <c r="C14" s="7">
        <v>10930</v>
      </c>
      <c r="D14" s="7">
        <v>15220</v>
      </c>
      <c r="E14" s="7">
        <v>7400</v>
      </c>
      <c r="F14" s="7">
        <v>7430</v>
      </c>
      <c r="L14" s="3">
        <f t="shared" si="1"/>
        <v>51780</v>
      </c>
      <c r="M14" s="3"/>
      <c r="N14" s="3">
        <f t="shared" si="0"/>
        <v>51780</v>
      </c>
      <c r="O14" s="39"/>
      <c r="P14" s="39"/>
      <c r="R14" s="23"/>
    </row>
    <row r="15" spans="1:18" x14ac:dyDescent="0.25">
      <c r="A15" s="1">
        <v>45639</v>
      </c>
      <c r="B15" s="7">
        <v>10870</v>
      </c>
      <c r="C15" s="7">
        <v>10990</v>
      </c>
      <c r="D15" s="7">
        <v>3410</v>
      </c>
      <c r="E15" s="7">
        <v>3440</v>
      </c>
      <c r="F15" s="7">
        <v>3450</v>
      </c>
      <c r="L15" s="3">
        <f t="shared" si="1"/>
        <v>32160</v>
      </c>
      <c r="M15" s="3"/>
      <c r="N15" s="3">
        <f t="shared" si="0"/>
        <v>32160</v>
      </c>
      <c r="O15" s="39"/>
      <c r="P15" s="39"/>
      <c r="R15" s="23"/>
    </row>
    <row r="16" spans="1:18" x14ac:dyDescent="0.25">
      <c r="A16" s="1">
        <v>45640</v>
      </c>
      <c r="B16" s="7">
        <v>26020</v>
      </c>
      <c r="C16" s="7">
        <v>26360</v>
      </c>
      <c r="D16" s="7">
        <v>16600</v>
      </c>
      <c r="E16" s="7">
        <v>17560</v>
      </c>
      <c r="F16" s="7">
        <v>17560</v>
      </c>
      <c r="L16" s="3">
        <f t="shared" si="1"/>
        <v>104100</v>
      </c>
      <c r="M16" s="3"/>
      <c r="N16" s="3">
        <f t="shared" si="0"/>
        <v>104100</v>
      </c>
      <c r="O16" s="39"/>
      <c r="P16" s="39"/>
      <c r="R16" s="23"/>
    </row>
    <row r="17" spans="1:18" x14ac:dyDescent="0.25">
      <c r="A17" s="1">
        <v>45641</v>
      </c>
      <c r="B17" s="7">
        <v>19230</v>
      </c>
      <c r="C17" s="7">
        <v>19460</v>
      </c>
      <c r="D17" s="7">
        <v>15430</v>
      </c>
      <c r="E17" s="7">
        <v>17140</v>
      </c>
      <c r="F17" s="7">
        <v>17420</v>
      </c>
      <c r="L17" s="3">
        <f t="shared" si="1"/>
        <v>88680</v>
      </c>
      <c r="M17" s="3"/>
      <c r="N17" s="3">
        <f t="shared" si="0"/>
        <v>88680</v>
      </c>
      <c r="O17" s="39"/>
      <c r="P17" s="39"/>
      <c r="R17" s="23"/>
    </row>
    <row r="18" spans="1:18" x14ac:dyDescent="0.25">
      <c r="A18" s="1">
        <v>45642</v>
      </c>
      <c r="B18" s="7">
        <v>9650</v>
      </c>
      <c r="C18" s="7">
        <v>9840</v>
      </c>
      <c r="D18" s="7">
        <v>8720</v>
      </c>
      <c r="E18" s="7">
        <v>11040</v>
      </c>
      <c r="F18" s="7">
        <v>11350</v>
      </c>
      <c r="L18" s="3">
        <f t="shared" si="1"/>
        <v>50600</v>
      </c>
      <c r="M18" s="3"/>
      <c r="N18" s="3">
        <f t="shared" si="0"/>
        <v>50600</v>
      </c>
      <c r="O18" s="39"/>
      <c r="P18" s="39"/>
      <c r="R18" s="23"/>
    </row>
    <row r="19" spans="1:18" x14ac:dyDescent="0.25">
      <c r="A19" s="1">
        <v>45643</v>
      </c>
      <c r="B19" s="7">
        <v>19800</v>
      </c>
      <c r="C19" s="7">
        <v>19990</v>
      </c>
      <c r="D19" s="7">
        <v>13340</v>
      </c>
      <c r="E19" s="7">
        <v>17270</v>
      </c>
      <c r="F19" s="7">
        <v>17600</v>
      </c>
      <c r="L19" s="3">
        <f t="shared" si="1"/>
        <v>88000</v>
      </c>
      <c r="M19" s="3"/>
      <c r="N19" s="3">
        <f t="shared" si="0"/>
        <v>88000</v>
      </c>
      <c r="O19" s="39"/>
      <c r="P19" s="39"/>
      <c r="R19" s="23"/>
    </row>
    <row r="20" spans="1:18" ht="30.75" customHeight="1" x14ac:dyDescent="0.25">
      <c r="A20" s="1">
        <v>45644</v>
      </c>
      <c r="B20" s="7">
        <v>33730</v>
      </c>
      <c r="C20" s="7">
        <v>33990</v>
      </c>
      <c r="D20" s="7">
        <v>17410</v>
      </c>
      <c r="E20" s="7">
        <v>23730</v>
      </c>
      <c r="F20" s="7">
        <v>23930</v>
      </c>
      <c r="L20" s="3">
        <f t="shared" si="1"/>
        <v>132790</v>
      </c>
      <c r="M20" s="3"/>
      <c r="N20" s="3">
        <f t="shared" si="0"/>
        <v>132790</v>
      </c>
      <c r="O20" s="39"/>
      <c r="P20" s="39"/>
      <c r="R20" s="23"/>
    </row>
    <row r="21" spans="1:18" x14ac:dyDescent="0.25">
      <c r="A21" s="1">
        <v>45645</v>
      </c>
      <c r="B21" s="7">
        <v>18580</v>
      </c>
      <c r="C21" s="7">
        <v>18800</v>
      </c>
      <c r="D21" s="7">
        <v>0</v>
      </c>
      <c r="E21" s="7">
        <v>21270</v>
      </c>
      <c r="F21" s="7">
        <v>0</v>
      </c>
      <c r="L21" s="3">
        <f t="shared" si="1"/>
        <v>58650</v>
      </c>
      <c r="M21" s="3"/>
      <c r="N21" s="3">
        <f t="shared" si="0"/>
        <v>58650</v>
      </c>
      <c r="O21" s="39"/>
      <c r="P21" s="39"/>
      <c r="R21" s="23"/>
    </row>
    <row r="22" spans="1:18" x14ac:dyDescent="0.25">
      <c r="A22" s="1">
        <v>45646</v>
      </c>
      <c r="B22" s="7">
        <v>25570</v>
      </c>
      <c r="C22" s="7">
        <v>26040</v>
      </c>
      <c r="D22" s="7">
        <v>0</v>
      </c>
      <c r="E22" s="7">
        <v>30260</v>
      </c>
      <c r="F22" s="7">
        <v>0</v>
      </c>
      <c r="L22" s="3">
        <f t="shared" si="1"/>
        <v>81870</v>
      </c>
      <c r="M22" s="3"/>
      <c r="N22" s="3">
        <f t="shared" si="0"/>
        <v>81870</v>
      </c>
      <c r="O22" s="39"/>
      <c r="P22" s="39"/>
      <c r="R22" s="23"/>
    </row>
    <row r="23" spans="1:18" x14ac:dyDescent="0.25">
      <c r="A23" s="1">
        <v>45647</v>
      </c>
      <c r="B23" s="7">
        <v>24870</v>
      </c>
      <c r="C23" s="7">
        <v>25130</v>
      </c>
      <c r="D23" s="7">
        <v>0</v>
      </c>
      <c r="E23" s="7">
        <v>28240</v>
      </c>
      <c r="F23" s="7">
        <v>0</v>
      </c>
      <c r="L23" s="3">
        <f t="shared" si="1"/>
        <v>78240</v>
      </c>
      <c r="M23" s="3"/>
      <c r="N23" s="3">
        <f t="shared" si="0"/>
        <v>78240</v>
      </c>
      <c r="O23" s="39"/>
      <c r="P23" s="39"/>
      <c r="R23" s="23"/>
    </row>
    <row r="24" spans="1:18" ht="72.75" customHeight="1" x14ac:dyDescent="0.25">
      <c r="A24" s="1">
        <v>45648</v>
      </c>
      <c r="B24" s="7">
        <v>20880</v>
      </c>
      <c r="C24" s="7">
        <v>21110</v>
      </c>
      <c r="D24" s="7">
        <v>0</v>
      </c>
      <c r="E24" s="7">
        <v>23900</v>
      </c>
      <c r="F24" s="7">
        <v>0</v>
      </c>
      <c r="G24" s="7">
        <v>3620</v>
      </c>
      <c r="H24" s="7">
        <v>10060</v>
      </c>
      <c r="I24" s="7">
        <v>73400</v>
      </c>
      <c r="J24" s="7">
        <v>0.31</v>
      </c>
      <c r="K24" s="7">
        <v>73380</v>
      </c>
      <c r="L24" s="3">
        <f>SUM(B24:K24)</f>
        <v>226350.31</v>
      </c>
      <c r="M24" s="3"/>
      <c r="N24" s="3">
        <f t="shared" si="0"/>
        <v>226350.31</v>
      </c>
      <c r="O24" s="39"/>
      <c r="P24" s="39"/>
      <c r="R24" s="23"/>
    </row>
    <row r="25" spans="1:18" x14ac:dyDescent="0.25">
      <c r="A25" s="1">
        <v>45649</v>
      </c>
      <c r="B25" s="7">
        <v>24210</v>
      </c>
      <c r="C25" s="7">
        <v>24470</v>
      </c>
      <c r="D25" s="7">
        <v>0</v>
      </c>
      <c r="E25" s="7">
        <v>27770</v>
      </c>
      <c r="F25" s="7">
        <v>0</v>
      </c>
      <c r="G25" s="7">
        <v>4270</v>
      </c>
      <c r="H25" s="7">
        <v>25090</v>
      </c>
      <c r="I25" s="7">
        <v>9440</v>
      </c>
      <c r="J25" s="7">
        <v>12690</v>
      </c>
      <c r="K25" s="7">
        <v>25970</v>
      </c>
      <c r="L25" s="3">
        <f t="shared" si="1"/>
        <v>153910</v>
      </c>
      <c r="M25" s="3"/>
      <c r="N25" s="3">
        <f t="shared" si="0"/>
        <v>153910</v>
      </c>
      <c r="O25" s="39"/>
      <c r="P25" s="39"/>
      <c r="R25" s="23"/>
    </row>
    <row r="26" spans="1:18" x14ac:dyDescent="0.25">
      <c r="A26" s="1">
        <v>45650</v>
      </c>
      <c r="B26" s="7">
        <v>19820</v>
      </c>
      <c r="C26" s="7">
        <v>11440</v>
      </c>
      <c r="D26" s="7">
        <v>16980</v>
      </c>
      <c r="E26" s="7">
        <v>30740</v>
      </c>
      <c r="F26" s="7">
        <v>22070</v>
      </c>
      <c r="G26" s="7">
        <v>4920</v>
      </c>
      <c r="H26" s="7">
        <v>27360</v>
      </c>
      <c r="I26" s="7">
        <v>0.53</v>
      </c>
      <c r="J26" s="7">
        <v>14020</v>
      </c>
      <c r="K26" s="7">
        <v>22470</v>
      </c>
      <c r="L26" s="3">
        <f t="shared" si="1"/>
        <v>169820.53</v>
      </c>
      <c r="M26" s="3"/>
      <c r="N26" s="3">
        <f t="shared" si="0"/>
        <v>169820.53</v>
      </c>
      <c r="O26" s="39"/>
      <c r="P26" s="39"/>
      <c r="R26" s="23"/>
    </row>
    <row r="27" spans="1:18" x14ac:dyDescent="0.25">
      <c r="A27" s="1">
        <v>45651</v>
      </c>
      <c r="B27" s="7">
        <v>15250</v>
      </c>
      <c r="C27" s="7">
        <v>1200</v>
      </c>
      <c r="D27" s="7">
        <v>13830</v>
      </c>
      <c r="E27" s="7">
        <v>17390</v>
      </c>
      <c r="F27" s="7">
        <v>18120</v>
      </c>
      <c r="G27" s="7">
        <v>4050</v>
      </c>
      <c r="H27" s="7">
        <v>15800</v>
      </c>
      <c r="I27" s="7">
        <v>9970</v>
      </c>
      <c r="J27" s="7">
        <v>8890</v>
      </c>
      <c r="K27" s="7">
        <v>16270</v>
      </c>
      <c r="L27" s="3">
        <f t="shared" si="1"/>
        <v>120770</v>
      </c>
      <c r="M27" s="3"/>
      <c r="N27" s="3">
        <f t="shared" si="0"/>
        <v>120770</v>
      </c>
      <c r="O27" s="39"/>
      <c r="P27" s="39"/>
      <c r="R27" s="23"/>
    </row>
    <row r="28" spans="1:18" x14ac:dyDescent="0.25">
      <c r="A28" s="1">
        <v>45652</v>
      </c>
      <c r="B28" s="7">
        <v>20450</v>
      </c>
      <c r="C28" s="7">
        <v>18450</v>
      </c>
      <c r="D28" s="7">
        <v>18860</v>
      </c>
      <c r="E28" s="7">
        <v>21670</v>
      </c>
      <c r="F28" s="7">
        <v>24950</v>
      </c>
      <c r="G28" s="7">
        <v>2150</v>
      </c>
      <c r="H28" s="7">
        <v>21910</v>
      </c>
      <c r="I28" s="7">
        <v>18700</v>
      </c>
      <c r="J28" s="7">
        <v>12810</v>
      </c>
      <c r="K28" s="7">
        <v>22980</v>
      </c>
      <c r="L28" s="3">
        <f t="shared" si="1"/>
        <v>182930</v>
      </c>
      <c r="M28" s="3"/>
      <c r="N28" s="3">
        <f t="shared" si="0"/>
        <v>182930</v>
      </c>
      <c r="O28" s="39"/>
      <c r="P28" s="39"/>
      <c r="R28" s="23"/>
    </row>
    <row r="29" spans="1:18" x14ac:dyDescent="0.25">
      <c r="A29" s="1">
        <v>45653</v>
      </c>
      <c r="B29" s="7">
        <v>22970</v>
      </c>
      <c r="C29" s="7">
        <v>19990</v>
      </c>
      <c r="D29" s="7">
        <v>21520</v>
      </c>
      <c r="E29" s="7">
        <v>22380</v>
      </c>
      <c r="F29" s="7">
        <v>28250</v>
      </c>
      <c r="G29" s="7">
        <v>9830</v>
      </c>
      <c r="H29" s="7">
        <v>24540</v>
      </c>
      <c r="I29" s="7">
        <v>24310</v>
      </c>
      <c r="J29" s="7">
        <v>14210</v>
      </c>
      <c r="K29" s="7">
        <v>25440</v>
      </c>
      <c r="L29" s="3">
        <f t="shared" si="1"/>
        <v>213440</v>
      </c>
      <c r="M29" s="3"/>
      <c r="N29" s="3">
        <f t="shared" si="0"/>
        <v>213440</v>
      </c>
      <c r="O29" s="39"/>
      <c r="P29" s="39"/>
      <c r="R29" s="23"/>
    </row>
    <row r="30" spans="1:18" x14ac:dyDescent="0.25">
      <c r="A30" s="1">
        <v>45654</v>
      </c>
      <c r="B30" s="7">
        <v>25840</v>
      </c>
      <c r="C30" s="7">
        <v>20490</v>
      </c>
      <c r="D30" s="7">
        <v>25890</v>
      </c>
      <c r="E30" s="7">
        <v>23040</v>
      </c>
      <c r="F30" s="7">
        <v>33810</v>
      </c>
      <c r="G30" s="7">
        <v>9720</v>
      </c>
      <c r="H30" s="7">
        <v>28890</v>
      </c>
      <c r="I30" s="7">
        <v>28170</v>
      </c>
      <c r="J30" s="7">
        <v>17300</v>
      </c>
      <c r="K30" s="7">
        <v>28540</v>
      </c>
      <c r="L30" s="3">
        <f t="shared" si="1"/>
        <v>241690</v>
      </c>
      <c r="M30" s="3">
        <v>296695.83775939234</v>
      </c>
      <c r="N30" s="3">
        <f t="shared" si="0"/>
        <v>296695.83775939234</v>
      </c>
      <c r="O30" s="39">
        <v>21155</v>
      </c>
      <c r="P30" s="39">
        <v>21130</v>
      </c>
      <c r="Q30">
        <v>0</v>
      </c>
      <c r="R30" s="23" t="str">
        <f>IF(Q30&gt;0,"Yes",IF(OR((O30+P30&lt;50000),O30&lt;23900,P30&lt;26730),"Yes","No"))</f>
        <v>Yes</v>
      </c>
    </row>
    <row r="31" spans="1:18" x14ac:dyDescent="0.25">
      <c r="A31" s="1">
        <v>45655</v>
      </c>
      <c r="B31" s="7">
        <v>24700</v>
      </c>
      <c r="C31" s="7">
        <v>22690</v>
      </c>
      <c r="D31" s="7">
        <v>23330</v>
      </c>
      <c r="E31" s="7">
        <v>25830</v>
      </c>
      <c r="F31" s="7">
        <v>30880</v>
      </c>
      <c r="G31" s="7">
        <v>10430</v>
      </c>
      <c r="H31" s="7">
        <v>26890</v>
      </c>
      <c r="I31" s="7">
        <v>28170</v>
      </c>
      <c r="J31" s="7">
        <v>15410</v>
      </c>
      <c r="K31" s="7">
        <v>28540</v>
      </c>
      <c r="L31" s="3">
        <f t="shared" si="1"/>
        <v>236870</v>
      </c>
      <c r="M31" s="3">
        <v>243056.90315270552</v>
      </c>
      <c r="N31" s="3">
        <f t="shared" si="0"/>
        <v>243056.90315270552</v>
      </c>
      <c r="O31" s="39">
        <v>21155</v>
      </c>
      <c r="P31" s="39">
        <v>21130</v>
      </c>
      <c r="Q31">
        <v>0</v>
      </c>
      <c r="R31" s="23" t="str">
        <f t="shared" ref="R31:R94" si="2">IF(Q31&gt;0,"Yes",IF(OR((O31+P31&lt;50000),O31&lt;23900,P31&lt;26730),"Yes","No"))</f>
        <v>Yes</v>
      </c>
    </row>
    <row r="32" spans="1:18" x14ac:dyDescent="0.25">
      <c r="A32" s="1">
        <v>45656</v>
      </c>
      <c r="B32" s="7">
        <v>23130</v>
      </c>
      <c r="C32" s="7">
        <v>21350</v>
      </c>
      <c r="D32" s="7">
        <v>22620</v>
      </c>
      <c r="E32" s="7">
        <v>24240</v>
      </c>
      <c r="F32" s="7">
        <v>29580</v>
      </c>
      <c r="G32" s="7">
        <v>9970</v>
      </c>
      <c r="H32" s="7">
        <v>25480</v>
      </c>
      <c r="I32" s="7">
        <v>28170</v>
      </c>
      <c r="J32" s="7">
        <v>14590</v>
      </c>
      <c r="K32" s="7">
        <v>28540</v>
      </c>
      <c r="L32" s="3">
        <f t="shared" si="1"/>
        <v>227670</v>
      </c>
      <c r="M32" s="3">
        <v>253128.83864445897</v>
      </c>
      <c r="N32" s="3">
        <f t="shared" si="0"/>
        <v>253128.83864445897</v>
      </c>
      <c r="O32" s="39">
        <v>21155</v>
      </c>
      <c r="P32" s="39">
        <v>26730</v>
      </c>
      <c r="Q32">
        <v>0</v>
      </c>
      <c r="R32" s="23" t="str">
        <f t="shared" si="2"/>
        <v>Yes</v>
      </c>
    </row>
    <row r="33" spans="1:18" x14ac:dyDescent="0.25">
      <c r="A33" s="1">
        <v>45657</v>
      </c>
      <c r="B33" s="7">
        <v>18550</v>
      </c>
      <c r="C33" s="7">
        <v>17680</v>
      </c>
      <c r="D33" s="7">
        <v>17640</v>
      </c>
      <c r="E33" s="7">
        <v>19940</v>
      </c>
      <c r="F33" s="7">
        <v>22910</v>
      </c>
      <c r="G33" s="7">
        <v>23600</v>
      </c>
      <c r="H33" s="7">
        <v>20390</v>
      </c>
      <c r="I33" s="7">
        <v>28170</v>
      </c>
      <c r="J33" s="7">
        <v>10960</v>
      </c>
      <c r="K33" s="7">
        <v>28540</v>
      </c>
      <c r="L33" s="3">
        <f t="shared" si="1"/>
        <v>208380</v>
      </c>
      <c r="M33" s="3">
        <v>209439.85907794521</v>
      </c>
      <c r="N33" s="3">
        <f t="shared" si="0"/>
        <v>209439.85907794521</v>
      </c>
      <c r="O33" s="39">
        <v>21155</v>
      </c>
      <c r="P33" s="39">
        <v>26730</v>
      </c>
      <c r="Q33">
        <v>609</v>
      </c>
      <c r="R33" s="23" t="str">
        <f t="shared" si="2"/>
        <v>Yes</v>
      </c>
    </row>
    <row r="34" spans="1:18" x14ac:dyDescent="0.25">
      <c r="A34" s="1">
        <v>45658</v>
      </c>
      <c r="B34" s="7">
        <v>15560</v>
      </c>
      <c r="C34" s="7">
        <v>16150</v>
      </c>
      <c r="D34" s="7">
        <v>14460</v>
      </c>
      <c r="E34" s="7">
        <v>18130</v>
      </c>
      <c r="F34" s="7">
        <v>19240</v>
      </c>
      <c r="G34" s="7">
        <v>19610</v>
      </c>
      <c r="H34" s="7">
        <v>16680</v>
      </c>
      <c r="I34" s="7">
        <v>16770</v>
      </c>
      <c r="J34" s="7">
        <v>9660</v>
      </c>
      <c r="K34" s="7">
        <v>16970</v>
      </c>
      <c r="L34" s="3">
        <f t="shared" si="1"/>
        <v>163230</v>
      </c>
      <c r="M34" s="3">
        <v>159331.82633031247</v>
      </c>
      <c r="N34" s="3">
        <f t="shared" si="0"/>
        <v>163230</v>
      </c>
      <c r="O34" s="39">
        <v>10284</v>
      </c>
      <c r="P34" s="39">
        <v>23852</v>
      </c>
      <c r="Q34">
        <v>0</v>
      </c>
      <c r="R34" s="23" t="str">
        <f t="shared" si="2"/>
        <v>Yes</v>
      </c>
    </row>
    <row r="35" spans="1:18" x14ac:dyDescent="0.25">
      <c r="A35" s="1">
        <v>45659</v>
      </c>
      <c r="B35" s="7">
        <v>2080</v>
      </c>
      <c r="C35" s="7">
        <v>2180</v>
      </c>
      <c r="D35" s="7">
        <v>1970</v>
      </c>
      <c r="E35" s="7">
        <v>2470</v>
      </c>
      <c r="F35" s="7">
        <v>2580</v>
      </c>
      <c r="G35" s="7">
        <v>8580</v>
      </c>
      <c r="H35" s="7">
        <v>8240</v>
      </c>
      <c r="I35" s="7">
        <v>8170</v>
      </c>
      <c r="J35" s="7">
        <v>4780</v>
      </c>
      <c r="K35" s="7">
        <v>8330</v>
      </c>
      <c r="L35" s="3">
        <f t="shared" si="1"/>
        <v>49380</v>
      </c>
      <c r="M35" s="3">
        <v>65603.392002330089</v>
      </c>
      <c r="N35" s="3">
        <f t="shared" si="0"/>
        <v>65603.392002330089</v>
      </c>
      <c r="O35" s="39">
        <v>24020</v>
      </c>
      <c r="P35" s="39">
        <v>26730</v>
      </c>
      <c r="Q35" s="3">
        <v>23665</v>
      </c>
      <c r="R35" s="23" t="str">
        <f t="shared" si="2"/>
        <v>Yes</v>
      </c>
    </row>
    <row r="36" spans="1:18" x14ac:dyDescent="0.25">
      <c r="A36" s="1">
        <v>45660</v>
      </c>
      <c r="B36" s="7">
        <v>22450</v>
      </c>
      <c r="C36" s="7">
        <v>23350</v>
      </c>
      <c r="D36" s="7">
        <v>21290</v>
      </c>
      <c r="E36" s="7">
        <v>26210</v>
      </c>
      <c r="F36" s="7">
        <v>27410</v>
      </c>
      <c r="G36" s="7">
        <v>31720</v>
      </c>
      <c r="H36" s="7">
        <v>26720</v>
      </c>
      <c r="I36" s="7">
        <v>26420</v>
      </c>
      <c r="J36" s="7">
        <v>15080</v>
      </c>
      <c r="K36" s="7">
        <v>27070</v>
      </c>
      <c r="L36" s="3">
        <f t="shared" si="1"/>
        <v>247720</v>
      </c>
      <c r="M36" s="3">
        <v>200975.18411906296</v>
      </c>
      <c r="N36" s="3">
        <f t="shared" si="0"/>
        <v>247720</v>
      </c>
      <c r="O36" s="39">
        <v>23987</v>
      </c>
      <c r="P36" s="39">
        <v>26730</v>
      </c>
      <c r="Q36">
        <v>0</v>
      </c>
      <c r="R36" s="23" t="str">
        <f t="shared" si="2"/>
        <v>No</v>
      </c>
    </row>
    <row r="37" spans="1:18" x14ac:dyDescent="0.25">
      <c r="A37" s="1">
        <v>45661</v>
      </c>
      <c r="B37" s="7">
        <v>16810</v>
      </c>
      <c r="C37" s="7">
        <v>17690</v>
      </c>
      <c r="D37" s="7">
        <v>15850</v>
      </c>
      <c r="E37" s="7">
        <v>19950</v>
      </c>
      <c r="F37" s="7">
        <v>20720</v>
      </c>
      <c r="G37" s="7">
        <v>21130</v>
      </c>
      <c r="H37" s="7">
        <v>18110</v>
      </c>
      <c r="I37" s="7">
        <v>17770</v>
      </c>
      <c r="J37" s="7">
        <v>10140</v>
      </c>
      <c r="K37" s="7">
        <v>18550</v>
      </c>
      <c r="L37" s="3">
        <f>SUM(B37:K37)</f>
        <v>176720</v>
      </c>
      <c r="M37" s="3">
        <v>180737.76277347788</v>
      </c>
      <c r="N37" s="3">
        <f t="shared" si="0"/>
        <v>180737.76277347788</v>
      </c>
      <c r="O37" s="39">
        <v>23987</v>
      </c>
      <c r="P37" s="39">
        <v>26730</v>
      </c>
      <c r="Q37">
        <v>0</v>
      </c>
      <c r="R37" s="23" t="str">
        <f t="shared" si="2"/>
        <v>No</v>
      </c>
    </row>
    <row r="38" spans="1:18" x14ac:dyDescent="0.25">
      <c r="A38" s="1">
        <v>45662</v>
      </c>
      <c r="B38" s="7">
        <v>20000</v>
      </c>
      <c r="C38" s="7">
        <v>23080</v>
      </c>
      <c r="D38" s="7">
        <v>21080</v>
      </c>
      <c r="E38" s="7">
        <v>26210</v>
      </c>
      <c r="F38" s="7">
        <v>28100</v>
      </c>
      <c r="G38" s="7">
        <v>28760</v>
      </c>
      <c r="H38" s="7">
        <v>24750</v>
      </c>
      <c r="I38" s="7">
        <v>25210</v>
      </c>
      <c r="J38" s="7">
        <v>15790</v>
      </c>
      <c r="K38" s="7">
        <v>26830</v>
      </c>
      <c r="L38" s="3">
        <f t="shared" si="1"/>
        <v>239810</v>
      </c>
      <c r="M38" s="3">
        <v>251611.28656967927</v>
      </c>
      <c r="N38" s="3">
        <f t="shared" si="0"/>
        <v>239810</v>
      </c>
      <c r="O38" s="39">
        <v>24786</v>
      </c>
      <c r="P38" s="39">
        <v>26730</v>
      </c>
      <c r="Q38">
        <v>729</v>
      </c>
      <c r="R38" s="23" t="str">
        <f t="shared" si="2"/>
        <v>Yes</v>
      </c>
    </row>
    <row r="39" spans="1:18" x14ac:dyDescent="0.25">
      <c r="A39" s="1">
        <v>45663</v>
      </c>
      <c r="B39" s="7">
        <v>24820</v>
      </c>
      <c r="C39" s="7">
        <v>26340</v>
      </c>
      <c r="D39" s="7">
        <v>23580</v>
      </c>
      <c r="E39" s="7">
        <v>29960</v>
      </c>
      <c r="F39" s="7">
        <v>30760</v>
      </c>
      <c r="G39" s="7">
        <v>32830</v>
      </c>
      <c r="H39" s="7">
        <v>27920</v>
      </c>
      <c r="I39" s="7">
        <v>27020</v>
      </c>
      <c r="J39" s="7">
        <v>15420</v>
      </c>
      <c r="K39" s="7">
        <v>27100</v>
      </c>
      <c r="L39" s="3">
        <f t="shared" si="1"/>
        <v>265750</v>
      </c>
      <c r="M39" s="3">
        <v>204531.44254442974</v>
      </c>
      <c r="N39" s="3">
        <f t="shared" si="0"/>
        <v>265750</v>
      </c>
      <c r="O39" s="39">
        <v>23987</v>
      </c>
      <c r="P39" s="39">
        <v>26730</v>
      </c>
      <c r="Q39">
        <v>0</v>
      </c>
      <c r="R39" s="23" t="str">
        <f t="shared" si="2"/>
        <v>No</v>
      </c>
    </row>
    <row r="40" spans="1:18" x14ac:dyDescent="0.25">
      <c r="A40" s="1">
        <v>45664</v>
      </c>
      <c r="B40" s="7">
        <v>18210</v>
      </c>
      <c r="C40" s="7">
        <v>19070</v>
      </c>
      <c r="D40" s="7">
        <v>16890</v>
      </c>
      <c r="E40" s="7">
        <v>21300</v>
      </c>
      <c r="F40" s="7">
        <v>21990</v>
      </c>
      <c r="G40" s="7">
        <v>22160</v>
      </c>
      <c r="H40" s="7">
        <v>18510</v>
      </c>
      <c r="I40" s="7">
        <v>18620</v>
      </c>
      <c r="J40" s="7">
        <v>11040</v>
      </c>
      <c r="K40" s="7">
        <v>19350</v>
      </c>
      <c r="L40" s="3">
        <f t="shared" si="1"/>
        <v>187140</v>
      </c>
      <c r="M40" s="3">
        <v>202547.67542085377</v>
      </c>
      <c r="N40" s="3">
        <f t="shared" si="0"/>
        <v>187140</v>
      </c>
      <c r="O40" s="39">
        <v>24786</v>
      </c>
      <c r="P40" s="39">
        <v>26730</v>
      </c>
      <c r="Q40">
        <v>0</v>
      </c>
      <c r="R40" s="23" t="str">
        <f t="shared" si="2"/>
        <v>No</v>
      </c>
    </row>
    <row r="41" spans="1:18" x14ac:dyDescent="0.25">
      <c r="A41" s="1">
        <v>45665</v>
      </c>
      <c r="B41" s="7">
        <v>13370</v>
      </c>
      <c r="C41" s="7">
        <v>13970</v>
      </c>
      <c r="D41" s="7">
        <v>12630</v>
      </c>
      <c r="E41" s="7">
        <v>15820</v>
      </c>
      <c r="F41" s="7">
        <v>16500</v>
      </c>
      <c r="G41" s="7">
        <v>16740</v>
      </c>
      <c r="H41" s="7">
        <v>14160</v>
      </c>
      <c r="I41" s="7">
        <v>14020</v>
      </c>
      <c r="J41" s="7">
        <v>8040</v>
      </c>
      <c r="K41" s="7">
        <v>14060</v>
      </c>
      <c r="L41" s="3">
        <f t="shared" si="1"/>
        <v>139310</v>
      </c>
      <c r="M41" s="3">
        <v>132361.08405748947</v>
      </c>
      <c r="N41" s="3">
        <f t="shared" si="0"/>
        <v>139310</v>
      </c>
      <c r="O41" s="39">
        <v>24786</v>
      </c>
      <c r="P41" s="39">
        <v>26730</v>
      </c>
      <c r="Q41">
        <v>0</v>
      </c>
      <c r="R41" s="23" t="str">
        <f t="shared" si="2"/>
        <v>No</v>
      </c>
    </row>
    <row r="42" spans="1:18" x14ac:dyDescent="0.25">
      <c r="A42" s="1">
        <v>45666</v>
      </c>
      <c r="B42" s="7">
        <v>13110</v>
      </c>
      <c r="C42" s="7">
        <v>13750</v>
      </c>
      <c r="D42" s="7">
        <v>12440</v>
      </c>
      <c r="E42" s="7">
        <v>15670</v>
      </c>
      <c r="F42" s="7">
        <v>16460</v>
      </c>
      <c r="G42" s="7">
        <v>16770</v>
      </c>
      <c r="H42" s="7">
        <v>14380</v>
      </c>
      <c r="I42" s="7">
        <v>14240</v>
      </c>
      <c r="J42" s="7">
        <v>8200</v>
      </c>
      <c r="K42" s="7">
        <v>14900</v>
      </c>
      <c r="L42" s="3">
        <f t="shared" si="1"/>
        <v>139920</v>
      </c>
      <c r="M42" s="3">
        <v>132269.83883780337</v>
      </c>
      <c r="N42" s="3">
        <f t="shared" si="0"/>
        <v>139920</v>
      </c>
      <c r="O42" s="39">
        <v>24786</v>
      </c>
      <c r="P42" s="39">
        <v>26730</v>
      </c>
      <c r="Q42">
        <v>0</v>
      </c>
      <c r="R42" s="23" t="str">
        <f t="shared" si="2"/>
        <v>No</v>
      </c>
    </row>
    <row r="43" spans="1:18" x14ac:dyDescent="0.25">
      <c r="A43" s="1">
        <v>45667</v>
      </c>
      <c r="B43" s="7">
        <v>25510</v>
      </c>
      <c r="C43" s="7">
        <v>26790</v>
      </c>
      <c r="D43" s="7">
        <v>23630</v>
      </c>
      <c r="E43" s="7">
        <v>28860</v>
      </c>
      <c r="F43" s="7">
        <v>30260</v>
      </c>
      <c r="G43" s="7">
        <v>33090</v>
      </c>
      <c r="H43" s="7">
        <v>27300</v>
      </c>
      <c r="I43" s="7">
        <v>28090</v>
      </c>
      <c r="J43" s="7">
        <v>16500</v>
      </c>
      <c r="K43" s="7">
        <v>28630</v>
      </c>
      <c r="L43" s="3">
        <f t="shared" si="1"/>
        <v>268660</v>
      </c>
      <c r="M43" s="3">
        <v>104615.62184573142</v>
      </c>
      <c r="N43" s="3">
        <f t="shared" si="0"/>
        <v>268660</v>
      </c>
      <c r="O43" s="39">
        <v>24786</v>
      </c>
      <c r="P43" s="39">
        <v>26730</v>
      </c>
      <c r="Q43">
        <v>0</v>
      </c>
      <c r="R43" s="23" t="str">
        <f t="shared" si="2"/>
        <v>No</v>
      </c>
    </row>
    <row r="44" spans="1:18" x14ac:dyDescent="0.25">
      <c r="A44" s="1">
        <v>45668</v>
      </c>
      <c r="B44" s="7">
        <v>23570</v>
      </c>
      <c r="C44" s="7">
        <v>25220</v>
      </c>
      <c r="D44" s="7">
        <v>22360</v>
      </c>
      <c r="E44" s="7">
        <v>27820</v>
      </c>
      <c r="F44" s="7">
        <v>29140</v>
      </c>
      <c r="G44" s="7">
        <v>31100</v>
      </c>
      <c r="H44" s="7">
        <v>26310</v>
      </c>
      <c r="I44" s="7">
        <v>26680</v>
      </c>
      <c r="J44" s="7">
        <v>16040</v>
      </c>
      <c r="K44" s="7">
        <v>20420</v>
      </c>
      <c r="L44" s="3">
        <f t="shared" si="1"/>
        <v>248660</v>
      </c>
      <c r="M44" s="3">
        <v>285712.98683237232</v>
      </c>
      <c r="N44" s="3">
        <f t="shared" si="0"/>
        <v>248660</v>
      </c>
      <c r="O44" s="39">
        <v>24786</v>
      </c>
      <c r="P44" s="39">
        <v>26730</v>
      </c>
      <c r="Q44">
        <v>0</v>
      </c>
      <c r="R44" s="23" t="str">
        <f t="shared" si="2"/>
        <v>No</v>
      </c>
    </row>
    <row r="45" spans="1:18" x14ac:dyDescent="0.25">
      <c r="A45" s="1">
        <v>45669</v>
      </c>
      <c r="B45" s="7">
        <v>27250</v>
      </c>
      <c r="C45" s="7">
        <v>29350</v>
      </c>
      <c r="D45" s="7">
        <v>25670</v>
      </c>
      <c r="E45" s="7">
        <v>31790</v>
      </c>
      <c r="F45" s="7">
        <v>33600</v>
      </c>
      <c r="G45" s="7">
        <v>36100</v>
      </c>
      <c r="H45" s="7">
        <v>30430</v>
      </c>
      <c r="I45" s="7">
        <v>30710</v>
      </c>
      <c r="J45" s="7">
        <v>18140</v>
      </c>
      <c r="K45" s="7">
        <v>28010</v>
      </c>
      <c r="L45" s="3">
        <f t="shared" si="1"/>
        <v>291050</v>
      </c>
      <c r="M45" s="3">
        <v>303150.42855238909</v>
      </c>
      <c r="N45" s="3">
        <f t="shared" si="0"/>
        <v>291050</v>
      </c>
      <c r="O45" s="39">
        <v>24796</v>
      </c>
      <c r="P45" s="39">
        <v>26730</v>
      </c>
      <c r="Q45">
        <v>0</v>
      </c>
      <c r="R45" s="23" t="str">
        <f t="shared" si="2"/>
        <v>No</v>
      </c>
    </row>
    <row r="46" spans="1:18" x14ac:dyDescent="0.25">
      <c r="A46" s="1">
        <v>45670</v>
      </c>
      <c r="B46" s="7">
        <v>14060</v>
      </c>
      <c r="C46" s="7">
        <v>14720</v>
      </c>
      <c r="D46" s="7">
        <v>12850</v>
      </c>
      <c r="E46" s="7">
        <v>16150</v>
      </c>
      <c r="F46" s="7">
        <v>16520</v>
      </c>
      <c r="G46" s="7">
        <v>16840</v>
      </c>
      <c r="H46" s="7">
        <v>14030</v>
      </c>
      <c r="I46" s="7">
        <v>14700</v>
      </c>
      <c r="J46" s="7">
        <v>8060</v>
      </c>
      <c r="K46" s="7">
        <v>14460</v>
      </c>
      <c r="L46" s="3">
        <f>SUM(B46:K46)</f>
        <v>142390</v>
      </c>
      <c r="M46" s="3">
        <v>147577.32898754691</v>
      </c>
      <c r="N46" s="3">
        <f t="shared" si="0"/>
        <v>147577.32898754691</v>
      </c>
      <c r="O46" s="39">
        <v>22248</v>
      </c>
      <c r="P46" s="39">
        <v>26730</v>
      </c>
      <c r="Q46" s="3">
        <v>1044</v>
      </c>
      <c r="R46" s="23" t="str">
        <f t="shared" si="2"/>
        <v>Yes</v>
      </c>
    </row>
    <row r="47" spans="1:18" x14ac:dyDescent="0.25">
      <c r="A47" s="1">
        <v>45671</v>
      </c>
      <c r="B47" s="7">
        <v>15130</v>
      </c>
      <c r="C47" s="7">
        <v>15360</v>
      </c>
      <c r="D47" s="7">
        <v>14220</v>
      </c>
      <c r="E47" s="7">
        <v>16740</v>
      </c>
      <c r="F47" s="7">
        <v>18500</v>
      </c>
      <c r="G47" s="7">
        <v>26120</v>
      </c>
      <c r="H47" s="7">
        <v>22190</v>
      </c>
      <c r="I47" s="7">
        <v>22380</v>
      </c>
      <c r="J47" s="7">
        <v>13630</v>
      </c>
      <c r="K47" s="7">
        <v>23030</v>
      </c>
      <c r="L47" s="3">
        <f t="shared" si="1"/>
        <v>187300</v>
      </c>
      <c r="M47" s="3">
        <v>234757.62216045437</v>
      </c>
      <c r="N47" s="3">
        <f t="shared" si="0"/>
        <v>187300</v>
      </c>
      <c r="O47" s="39">
        <v>24796</v>
      </c>
      <c r="P47" s="39">
        <v>26730</v>
      </c>
      <c r="Q47" s="3">
        <v>27765</v>
      </c>
      <c r="R47" s="23" t="str">
        <f t="shared" si="2"/>
        <v>Yes</v>
      </c>
    </row>
    <row r="48" spans="1:18" x14ac:dyDescent="0.25">
      <c r="A48" s="1">
        <v>45672</v>
      </c>
      <c r="B48" s="7">
        <v>20770</v>
      </c>
      <c r="C48" s="7">
        <v>21500</v>
      </c>
      <c r="D48" s="7">
        <v>19400</v>
      </c>
      <c r="E48" s="7">
        <v>23830</v>
      </c>
      <c r="F48" s="7">
        <v>24850</v>
      </c>
      <c r="G48" s="7">
        <v>25680</v>
      </c>
      <c r="H48" s="7">
        <v>22360</v>
      </c>
      <c r="I48" s="7">
        <v>22370</v>
      </c>
      <c r="J48" s="7">
        <v>13100</v>
      </c>
      <c r="K48" s="7">
        <v>23010</v>
      </c>
      <c r="L48" s="3">
        <f t="shared" si="1"/>
        <v>216870</v>
      </c>
      <c r="M48" s="3">
        <v>229152.66843413486</v>
      </c>
      <c r="N48" s="3">
        <f t="shared" si="0"/>
        <v>229152.66843413486</v>
      </c>
      <c r="O48" s="39">
        <v>24386</v>
      </c>
      <c r="P48" s="39">
        <v>25305</v>
      </c>
      <c r="Q48">
        <v>0</v>
      </c>
      <c r="R48" s="23" t="str">
        <f t="shared" si="2"/>
        <v>Yes</v>
      </c>
    </row>
    <row r="49" spans="1:18" x14ac:dyDescent="0.25">
      <c r="A49" s="1">
        <v>45673</v>
      </c>
      <c r="B49" s="7">
        <v>32650</v>
      </c>
      <c r="C49" s="7">
        <v>34130</v>
      </c>
      <c r="D49" s="7">
        <v>28940</v>
      </c>
      <c r="E49" s="7">
        <v>34910</v>
      </c>
      <c r="F49" s="7">
        <v>35570</v>
      </c>
      <c r="G49" s="7">
        <v>37830</v>
      </c>
      <c r="H49" s="7">
        <v>34600</v>
      </c>
      <c r="I49" s="7">
        <v>35540</v>
      </c>
      <c r="J49" s="7">
        <v>20940</v>
      </c>
      <c r="K49" s="7">
        <v>33150</v>
      </c>
      <c r="L49" s="3">
        <f t="shared" si="1"/>
        <v>328260</v>
      </c>
      <c r="M49" s="3">
        <v>394652.8637104287</v>
      </c>
      <c r="N49" s="3">
        <f t="shared" si="0"/>
        <v>394652.8637104287</v>
      </c>
      <c r="O49" s="39">
        <v>23987</v>
      </c>
      <c r="P49" s="39">
        <v>26730</v>
      </c>
      <c r="Q49">
        <v>150</v>
      </c>
      <c r="R49" s="23" t="str">
        <f t="shared" si="2"/>
        <v>Yes</v>
      </c>
    </row>
    <row r="50" spans="1:18" x14ac:dyDescent="0.25">
      <c r="A50" s="1">
        <v>45674</v>
      </c>
      <c r="B50" s="7">
        <v>26870</v>
      </c>
      <c r="C50" s="7">
        <v>27260</v>
      </c>
      <c r="D50" s="7">
        <v>23300</v>
      </c>
      <c r="E50" s="7">
        <v>27450</v>
      </c>
      <c r="F50" s="7">
        <v>29570</v>
      </c>
      <c r="G50" s="7">
        <v>31120</v>
      </c>
      <c r="H50" s="7">
        <v>26970</v>
      </c>
      <c r="I50" s="7">
        <v>28780</v>
      </c>
      <c r="J50" s="7">
        <v>17030</v>
      </c>
      <c r="K50" s="7">
        <v>28070</v>
      </c>
      <c r="L50" s="3">
        <f t="shared" si="1"/>
        <v>266420</v>
      </c>
      <c r="M50" s="3">
        <v>186688.48785860796</v>
      </c>
      <c r="N50" s="3">
        <f t="shared" si="0"/>
        <v>266420</v>
      </c>
      <c r="O50" s="39">
        <v>23987</v>
      </c>
      <c r="P50" s="39">
        <v>26730</v>
      </c>
      <c r="Q50">
        <v>0</v>
      </c>
      <c r="R50" s="23" t="str">
        <f t="shared" si="2"/>
        <v>No</v>
      </c>
    </row>
    <row r="51" spans="1:18" x14ac:dyDescent="0.25">
      <c r="A51" s="1">
        <v>45675</v>
      </c>
      <c r="B51" s="7">
        <v>31800</v>
      </c>
      <c r="C51" s="7">
        <v>32980</v>
      </c>
      <c r="D51" s="7">
        <v>27990</v>
      </c>
      <c r="E51" s="7">
        <v>32590</v>
      </c>
      <c r="F51" s="7">
        <v>34190</v>
      </c>
      <c r="G51" s="7">
        <v>40080</v>
      </c>
      <c r="H51" s="7">
        <v>32000</v>
      </c>
      <c r="I51" s="7">
        <v>34190</v>
      </c>
      <c r="J51" s="7">
        <v>20130</v>
      </c>
      <c r="K51" s="7">
        <v>35150</v>
      </c>
      <c r="L51" s="3">
        <f t="shared" si="1"/>
        <v>321100</v>
      </c>
      <c r="M51" s="3">
        <v>343311.19559263962</v>
      </c>
      <c r="N51" s="3">
        <f t="shared" si="0"/>
        <v>343311.19559263962</v>
      </c>
      <c r="O51" s="39">
        <v>23987</v>
      </c>
      <c r="P51" s="39">
        <v>26730</v>
      </c>
      <c r="Q51">
        <v>0</v>
      </c>
      <c r="R51" s="23" t="str">
        <f t="shared" si="2"/>
        <v>No</v>
      </c>
    </row>
    <row r="52" spans="1:18" x14ac:dyDescent="0.25">
      <c r="A52" s="1">
        <v>45676</v>
      </c>
      <c r="B52" s="7">
        <v>20320</v>
      </c>
      <c r="C52" s="7">
        <v>20860</v>
      </c>
      <c r="D52" s="7">
        <v>18790</v>
      </c>
      <c r="E52" s="7">
        <v>22800</v>
      </c>
      <c r="F52" s="7">
        <v>24450</v>
      </c>
      <c r="G52" s="7">
        <v>25360</v>
      </c>
      <c r="H52" s="7">
        <v>20330</v>
      </c>
      <c r="I52" s="7">
        <v>21890</v>
      </c>
      <c r="J52" s="7">
        <v>13130</v>
      </c>
      <c r="K52" s="7">
        <v>22670</v>
      </c>
      <c r="L52" s="3">
        <f t="shared" si="1"/>
        <v>210600</v>
      </c>
      <c r="M52" s="3">
        <v>231201.74792548624</v>
      </c>
      <c r="N52" s="3">
        <f t="shared" si="0"/>
        <v>231201.74792548624</v>
      </c>
      <c r="O52" s="39">
        <v>23987</v>
      </c>
      <c r="P52" s="39">
        <v>26730</v>
      </c>
      <c r="Q52">
        <v>0</v>
      </c>
      <c r="R52" s="23" t="str">
        <f t="shared" si="2"/>
        <v>No</v>
      </c>
    </row>
    <row r="53" spans="1:18" x14ac:dyDescent="0.25">
      <c r="A53" s="1">
        <v>45677</v>
      </c>
      <c r="B53" s="7">
        <v>31960</v>
      </c>
      <c r="C53" s="7">
        <v>33860</v>
      </c>
      <c r="D53" s="7">
        <v>28050</v>
      </c>
      <c r="E53" s="7">
        <v>34920</v>
      </c>
      <c r="F53" s="7">
        <v>35100</v>
      </c>
      <c r="G53" s="7">
        <v>42500</v>
      </c>
      <c r="H53" s="7">
        <v>33120</v>
      </c>
      <c r="I53" s="7">
        <v>35280</v>
      </c>
      <c r="J53" s="7">
        <v>19760</v>
      </c>
      <c r="K53" s="7">
        <v>36450</v>
      </c>
      <c r="L53" s="3">
        <f t="shared" si="1"/>
        <v>331000</v>
      </c>
      <c r="M53" s="3">
        <v>185059.52056821145</v>
      </c>
      <c r="N53" s="3">
        <f t="shared" si="0"/>
        <v>331000</v>
      </c>
      <c r="O53" s="39">
        <v>23987</v>
      </c>
      <c r="P53" s="39">
        <v>26730</v>
      </c>
      <c r="Q53">
        <v>0</v>
      </c>
      <c r="R53" s="23" t="str">
        <f t="shared" si="2"/>
        <v>No</v>
      </c>
    </row>
    <row r="54" spans="1:18" x14ac:dyDescent="0.25">
      <c r="A54" s="1">
        <v>45678</v>
      </c>
      <c r="B54" s="7">
        <v>28020</v>
      </c>
      <c r="C54" s="7">
        <v>28800</v>
      </c>
      <c r="D54" s="7">
        <v>24460</v>
      </c>
      <c r="E54" s="7">
        <v>30620</v>
      </c>
      <c r="F54" s="7">
        <v>31410</v>
      </c>
      <c r="G54" s="7">
        <v>34660</v>
      </c>
      <c r="H54" s="7">
        <v>27790</v>
      </c>
      <c r="I54" s="7">
        <v>27680</v>
      </c>
      <c r="J54" s="7">
        <v>17430</v>
      </c>
      <c r="K54" s="7">
        <v>30500</v>
      </c>
      <c r="L54" s="3">
        <f t="shared" si="1"/>
        <v>281370</v>
      </c>
      <c r="M54" s="3">
        <v>301274.42683564225</v>
      </c>
      <c r="N54" s="3">
        <f t="shared" si="0"/>
        <v>301274.42683564225</v>
      </c>
      <c r="O54" s="39">
        <v>23987</v>
      </c>
      <c r="P54" s="39">
        <v>26730</v>
      </c>
      <c r="Q54">
        <v>0</v>
      </c>
      <c r="R54" s="23" t="str">
        <f t="shared" si="2"/>
        <v>No</v>
      </c>
    </row>
    <row r="55" spans="1:18" x14ac:dyDescent="0.25">
      <c r="A55" s="1">
        <v>45679</v>
      </c>
      <c r="B55" s="7">
        <v>22960</v>
      </c>
      <c r="C55" s="7">
        <v>23670</v>
      </c>
      <c r="D55" s="7">
        <v>19940</v>
      </c>
      <c r="E55" s="7">
        <v>24900</v>
      </c>
      <c r="F55" s="7">
        <v>25900</v>
      </c>
      <c r="G55" s="7">
        <v>29380</v>
      </c>
      <c r="H55" s="7">
        <v>23570</v>
      </c>
      <c r="I55" s="7">
        <v>23550</v>
      </c>
      <c r="J55" s="7">
        <v>14910</v>
      </c>
      <c r="K55" s="7">
        <v>25850</v>
      </c>
      <c r="L55" s="3">
        <f t="shared" si="1"/>
        <v>234630</v>
      </c>
      <c r="M55" s="3">
        <v>248977.85348193793</v>
      </c>
      <c r="N55" s="3">
        <f t="shared" si="0"/>
        <v>248977.85348193793</v>
      </c>
      <c r="O55" s="39">
        <v>16292</v>
      </c>
      <c r="P55" s="39">
        <v>25370</v>
      </c>
      <c r="Q55">
        <v>0</v>
      </c>
      <c r="R55" s="23" t="str">
        <f t="shared" si="2"/>
        <v>Yes</v>
      </c>
    </row>
    <row r="56" spans="1:18" x14ac:dyDescent="0.25">
      <c r="A56" s="1">
        <v>45680</v>
      </c>
      <c r="B56" s="7">
        <v>18010</v>
      </c>
      <c r="C56" s="7">
        <v>18400</v>
      </c>
      <c r="D56" s="7">
        <v>12010</v>
      </c>
      <c r="E56" s="7">
        <v>14870</v>
      </c>
      <c r="F56" s="7">
        <v>15250</v>
      </c>
      <c r="G56" s="7">
        <v>28340</v>
      </c>
      <c r="H56" s="7">
        <v>23090</v>
      </c>
      <c r="I56" s="7">
        <v>23040</v>
      </c>
      <c r="J56" s="7">
        <v>14360</v>
      </c>
      <c r="K56" s="7">
        <v>25220</v>
      </c>
      <c r="L56" s="3">
        <f t="shared" si="1"/>
        <v>192590</v>
      </c>
      <c r="M56" s="3">
        <v>263150.6372891849</v>
      </c>
      <c r="N56" s="3">
        <f t="shared" si="0"/>
        <v>263150.6372891849</v>
      </c>
      <c r="O56" s="39">
        <v>11900</v>
      </c>
      <c r="P56" s="39">
        <v>26730</v>
      </c>
      <c r="Q56" s="3">
        <v>37178</v>
      </c>
      <c r="R56" s="23" t="str">
        <f t="shared" si="2"/>
        <v>Yes</v>
      </c>
    </row>
    <row r="57" spans="1:18" x14ac:dyDescent="0.25">
      <c r="A57" s="1">
        <v>45681</v>
      </c>
      <c r="B57" s="7">
        <v>17260</v>
      </c>
      <c r="C57" s="7">
        <v>18120</v>
      </c>
      <c r="D57" s="7">
        <v>4220</v>
      </c>
      <c r="E57" s="7">
        <v>4310</v>
      </c>
      <c r="F57" s="7">
        <v>4310</v>
      </c>
      <c r="G57" s="7">
        <v>21520</v>
      </c>
      <c r="H57" s="7">
        <v>17840</v>
      </c>
      <c r="I57" s="7">
        <v>18190</v>
      </c>
      <c r="J57" s="7">
        <v>10650</v>
      </c>
      <c r="K57" s="7">
        <v>19530</v>
      </c>
      <c r="L57" s="3">
        <f t="shared" si="1"/>
        <v>135950</v>
      </c>
      <c r="M57" s="3">
        <v>183735.79254956497</v>
      </c>
      <c r="N57" s="3">
        <f t="shared" si="0"/>
        <v>183735.79254956497</v>
      </c>
      <c r="O57" s="39">
        <v>11900</v>
      </c>
      <c r="P57" s="39">
        <v>26730</v>
      </c>
      <c r="Q57" s="3">
        <v>36711</v>
      </c>
      <c r="R57" s="23" t="str">
        <f t="shared" si="2"/>
        <v>Yes</v>
      </c>
    </row>
    <row r="58" spans="1:18" x14ac:dyDescent="0.25">
      <c r="A58" s="1">
        <v>45682</v>
      </c>
      <c r="B58" s="7">
        <v>20880</v>
      </c>
      <c r="C58" s="7">
        <v>20530</v>
      </c>
      <c r="D58" s="7">
        <v>4200</v>
      </c>
      <c r="E58" s="7">
        <v>4310</v>
      </c>
      <c r="F58" s="7">
        <v>4320</v>
      </c>
      <c r="G58" s="7">
        <v>26770</v>
      </c>
      <c r="H58" s="7">
        <v>23530</v>
      </c>
      <c r="I58" s="7">
        <v>24480</v>
      </c>
      <c r="J58" s="7">
        <v>16340</v>
      </c>
      <c r="K58" s="7">
        <v>25440</v>
      </c>
      <c r="L58" s="3">
        <f t="shared" si="1"/>
        <v>170800</v>
      </c>
      <c r="M58" s="3">
        <v>142152.9447486063</v>
      </c>
      <c r="N58" s="3">
        <f t="shared" si="0"/>
        <v>170800</v>
      </c>
      <c r="O58" s="39">
        <v>11900</v>
      </c>
      <c r="P58" s="39">
        <v>26730</v>
      </c>
      <c r="Q58" s="3">
        <v>48610</v>
      </c>
      <c r="R58" s="23" t="str">
        <f t="shared" si="2"/>
        <v>Yes</v>
      </c>
    </row>
    <row r="59" spans="1:18" x14ac:dyDescent="0.25">
      <c r="A59" s="1">
        <v>45683</v>
      </c>
      <c r="B59" s="7">
        <v>10290</v>
      </c>
      <c r="C59" s="7">
        <v>10300</v>
      </c>
      <c r="D59" s="7">
        <v>3430</v>
      </c>
      <c r="E59" s="7">
        <v>3690</v>
      </c>
      <c r="F59" s="7">
        <v>3720</v>
      </c>
      <c r="G59" s="7">
        <v>12890</v>
      </c>
      <c r="H59" s="7">
        <v>11080</v>
      </c>
      <c r="I59" s="7">
        <v>10890</v>
      </c>
      <c r="J59" s="7">
        <v>6150</v>
      </c>
      <c r="K59" s="7">
        <v>11400</v>
      </c>
      <c r="L59" s="3">
        <f t="shared" si="1"/>
        <v>83840</v>
      </c>
      <c r="M59" s="3">
        <v>111346.44553537799</v>
      </c>
      <c r="N59" s="3">
        <f t="shared" si="0"/>
        <v>111346.44553537799</v>
      </c>
      <c r="O59" s="39">
        <v>11900</v>
      </c>
      <c r="P59" s="39">
        <v>26730</v>
      </c>
      <c r="Q59" s="3">
        <v>21949</v>
      </c>
      <c r="R59" s="23" t="str">
        <f t="shared" si="2"/>
        <v>Yes</v>
      </c>
    </row>
    <row r="60" spans="1:18" x14ac:dyDescent="0.25">
      <c r="A60" s="1">
        <v>45684</v>
      </c>
      <c r="B60" s="7">
        <v>28300</v>
      </c>
      <c r="C60" s="7">
        <v>28330</v>
      </c>
      <c r="D60" s="7">
        <v>4300</v>
      </c>
      <c r="E60" s="7">
        <v>4400</v>
      </c>
      <c r="F60" s="7">
        <v>4410</v>
      </c>
      <c r="G60" s="7">
        <v>35730</v>
      </c>
      <c r="H60" s="7">
        <v>30590</v>
      </c>
      <c r="I60" s="7">
        <v>30560</v>
      </c>
      <c r="J60" s="7">
        <v>17800</v>
      </c>
      <c r="K60" s="7">
        <v>31790</v>
      </c>
      <c r="L60" s="3">
        <f t="shared" si="1"/>
        <v>216210</v>
      </c>
      <c r="M60" s="3">
        <v>266839.24930689635</v>
      </c>
      <c r="N60" s="3">
        <f t="shared" si="0"/>
        <v>266839.24930689635</v>
      </c>
      <c r="O60" s="39">
        <v>9256</v>
      </c>
      <c r="P60" s="39">
        <v>26730</v>
      </c>
      <c r="Q60" s="3">
        <v>67743</v>
      </c>
      <c r="R60" s="23" t="str">
        <f t="shared" si="2"/>
        <v>Yes</v>
      </c>
    </row>
    <row r="61" spans="1:18" x14ac:dyDescent="0.25">
      <c r="A61" s="1">
        <v>45685</v>
      </c>
      <c r="B61" s="7">
        <v>13140</v>
      </c>
      <c r="C61" s="7">
        <v>13000</v>
      </c>
      <c r="D61" s="7">
        <v>3100</v>
      </c>
      <c r="E61" s="7">
        <v>3180</v>
      </c>
      <c r="F61" s="7">
        <v>3190</v>
      </c>
      <c r="G61" s="7">
        <v>21180</v>
      </c>
      <c r="H61" s="7">
        <v>18200</v>
      </c>
      <c r="I61" s="7">
        <v>17910</v>
      </c>
      <c r="J61" s="7">
        <v>10370</v>
      </c>
      <c r="K61" s="7">
        <v>18710</v>
      </c>
      <c r="L61" s="3">
        <f t="shared" si="1"/>
        <v>121980</v>
      </c>
      <c r="M61" s="3">
        <v>183016.58812323894</v>
      </c>
      <c r="N61" s="3">
        <f t="shared" si="0"/>
        <v>183016.58812323894</v>
      </c>
      <c r="O61" s="39">
        <v>11900</v>
      </c>
      <c r="P61" s="39">
        <v>26730</v>
      </c>
      <c r="Q61" s="3">
        <v>44587</v>
      </c>
      <c r="R61" s="23" t="str">
        <f t="shared" si="2"/>
        <v>Yes</v>
      </c>
    </row>
    <row r="62" spans="1:18" x14ac:dyDescent="0.25">
      <c r="A62" s="1">
        <v>45686</v>
      </c>
      <c r="B62" s="7">
        <v>12510</v>
      </c>
      <c r="C62" s="7">
        <v>12470</v>
      </c>
      <c r="D62" s="7">
        <v>4290</v>
      </c>
      <c r="E62" s="7">
        <v>4370</v>
      </c>
      <c r="F62" s="7">
        <v>4370</v>
      </c>
      <c r="G62" s="7">
        <v>15510</v>
      </c>
      <c r="H62" s="7">
        <v>13170</v>
      </c>
      <c r="I62" s="7">
        <v>13060</v>
      </c>
      <c r="J62" s="7">
        <v>7450</v>
      </c>
      <c r="K62" s="7">
        <v>13590</v>
      </c>
      <c r="L62" s="3">
        <f t="shared" si="1"/>
        <v>100790</v>
      </c>
      <c r="M62" s="3">
        <v>120995.00320778778</v>
      </c>
      <c r="N62" s="3">
        <f t="shared" si="0"/>
        <v>120995.00320778778</v>
      </c>
      <c r="O62" s="39">
        <v>11900</v>
      </c>
      <c r="P62" s="39">
        <v>25411</v>
      </c>
      <c r="Q62" s="3">
        <v>24230</v>
      </c>
      <c r="R62" s="23" t="str">
        <f t="shared" si="2"/>
        <v>Yes</v>
      </c>
    </row>
    <row r="63" spans="1:18" x14ac:dyDescent="0.25">
      <c r="A63" s="1">
        <v>45687</v>
      </c>
      <c r="B63" s="7">
        <v>19520</v>
      </c>
      <c r="C63" s="7">
        <v>19480</v>
      </c>
      <c r="D63" s="7">
        <v>4010</v>
      </c>
      <c r="E63" s="7">
        <v>4130</v>
      </c>
      <c r="F63" s="7">
        <v>4140</v>
      </c>
      <c r="G63" s="7">
        <v>24280</v>
      </c>
      <c r="H63" s="7">
        <v>20810</v>
      </c>
      <c r="I63" s="7">
        <v>20570</v>
      </c>
      <c r="J63" s="7">
        <v>11860</v>
      </c>
      <c r="K63" s="7">
        <v>21450</v>
      </c>
      <c r="L63" s="3">
        <f>SUM(B63:K63)</f>
        <v>150250</v>
      </c>
      <c r="M63" s="3">
        <v>213218.94793454546</v>
      </c>
      <c r="N63" s="3">
        <f t="shared" si="0"/>
        <v>213218.94793454546</v>
      </c>
      <c r="O63" s="39">
        <v>11900</v>
      </c>
      <c r="P63" s="39">
        <v>11900</v>
      </c>
      <c r="Q63" s="3">
        <v>48093</v>
      </c>
      <c r="R63" s="23" t="str">
        <f t="shared" si="2"/>
        <v>Yes</v>
      </c>
    </row>
    <row r="64" spans="1:18" x14ac:dyDescent="0.25">
      <c r="A64" s="1">
        <v>45688</v>
      </c>
      <c r="B64" s="7">
        <v>18110</v>
      </c>
      <c r="C64" s="7">
        <v>18400</v>
      </c>
      <c r="D64" s="7">
        <v>3850</v>
      </c>
      <c r="E64" s="7">
        <v>3970</v>
      </c>
      <c r="F64" s="7">
        <v>3990</v>
      </c>
      <c r="G64" s="7">
        <v>19760</v>
      </c>
      <c r="H64" s="7">
        <v>16790</v>
      </c>
      <c r="I64" s="7">
        <v>16820</v>
      </c>
      <c r="J64" s="7">
        <v>9750</v>
      </c>
      <c r="K64" s="7">
        <v>17250</v>
      </c>
      <c r="L64" s="3">
        <f t="shared" si="1"/>
        <v>128690</v>
      </c>
      <c r="M64" s="3">
        <v>203004.86199528107</v>
      </c>
      <c r="N64" s="3">
        <f t="shared" si="0"/>
        <v>203004.86199528107</v>
      </c>
      <c r="O64" s="39">
        <v>11900</v>
      </c>
      <c r="P64" s="39">
        <v>26730</v>
      </c>
      <c r="Q64" s="3">
        <v>40410</v>
      </c>
      <c r="R64" s="23" t="str">
        <f t="shared" si="2"/>
        <v>Yes</v>
      </c>
    </row>
    <row r="65" spans="1:18" ht="18" customHeight="1" x14ac:dyDescent="0.25">
      <c r="A65" s="1">
        <v>45689</v>
      </c>
      <c r="B65" s="7">
        <v>14890</v>
      </c>
      <c r="C65" s="7">
        <v>14730</v>
      </c>
      <c r="D65" s="7">
        <v>4330</v>
      </c>
      <c r="E65" s="7">
        <v>4430</v>
      </c>
      <c r="F65" s="7">
        <v>4440</v>
      </c>
      <c r="G65" s="7">
        <v>18450</v>
      </c>
      <c r="H65" s="7">
        <v>15490</v>
      </c>
      <c r="I65" s="7">
        <v>15650</v>
      </c>
      <c r="J65" s="7">
        <v>9390</v>
      </c>
      <c r="K65" s="7">
        <v>16210</v>
      </c>
      <c r="L65" s="3">
        <f t="shared" si="1"/>
        <v>118010</v>
      </c>
      <c r="M65" s="3">
        <v>134090.55915348409</v>
      </c>
      <c r="N65" s="3">
        <f t="shared" si="0"/>
        <v>134090.55915348409</v>
      </c>
      <c r="O65" s="39">
        <v>11900</v>
      </c>
      <c r="P65" s="39">
        <v>26730</v>
      </c>
      <c r="Q65" s="3">
        <v>31440</v>
      </c>
      <c r="R65" s="23" t="str">
        <f t="shared" si="2"/>
        <v>Yes</v>
      </c>
    </row>
    <row r="66" spans="1:18" x14ac:dyDescent="0.25">
      <c r="A66" s="1">
        <v>45690</v>
      </c>
      <c r="B66" s="7">
        <v>29040</v>
      </c>
      <c r="C66" s="7">
        <v>28400</v>
      </c>
      <c r="D66" s="7">
        <v>4330</v>
      </c>
      <c r="E66" s="7">
        <v>4390</v>
      </c>
      <c r="F66" s="7">
        <v>4400</v>
      </c>
      <c r="G66" s="7">
        <v>37210</v>
      </c>
      <c r="H66" s="7">
        <v>31040</v>
      </c>
      <c r="I66" s="7">
        <v>31080</v>
      </c>
      <c r="J66" s="7">
        <v>18350</v>
      </c>
      <c r="K66" s="7">
        <v>32800</v>
      </c>
      <c r="L66" s="3">
        <f t="shared" si="1"/>
        <v>221040</v>
      </c>
      <c r="M66" s="3">
        <v>301596.72766716813</v>
      </c>
      <c r="N66" s="3">
        <f t="shared" si="0"/>
        <v>301596.72766716813</v>
      </c>
      <c r="O66" s="39">
        <v>11900</v>
      </c>
      <c r="P66" s="39">
        <v>26730</v>
      </c>
      <c r="Q66" s="3">
        <v>69169</v>
      </c>
      <c r="R66" s="23" t="str">
        <f t="shared" si="2"/>
        <v>Yes</v>
      </c>
    </row>
    <row r="67" spans="1:18" x14ac:dyDescent="0.25">
      <c r="A67" s="1">
        <v>45691</v>
      </c>
      <c r="B67" s="7">
        <v>16620</v>
      </c>
      <c r="C67" s="7">
        <v>16290</v>
      </c>
      <c r="D67" s="7">
        <v>3680</v>
      </c>
      <c r="E67" s="7">
        <v>3930</v>
      </c>
      <c r="F67" s="7">
        <v>3940</v>
      </c>
      <c r="G67" s="7">
        <v>14670</v>
      </c>
      <c r="H67" s="7">
        <v>11960</v>
      </c>
      <c r="I67" s="7">
        <v>12420</v>
      </c>
      <c r="J67" s="7">
        <v>7800</v>
      </c>
      <c r="K67" s="7">
        <v>12640</v>
      </c>
      <c r="L67" s="3">
        <f t="shared" si="1"/>
        <v>103950</v>
      </c>
      <c r="M67" s="3">
        <v>168711.31298015331</v>
      </c>
      <c r="N67" s="3">
        <f t="shared" ref="N67:N130" si="3">IF(OR(O67&lt;24300,P67&lt;25700),MAX(L67,M67),L67)</f>
        <v>168711.31298015331</v>
      </c>
      <c r="O67" s="39">
        <v>4611</v>
      </c>
      <c r="P67" s="39">
        <v>17647</v>
      </c>
      <c r="Q67" s="3">
        <v>60359</v>
      </c>
      <c r="R67" s="23" t="str">
        <f t="shared" si="2"/>
        <v>Yes</v>
      </c>
    </row>
    <row r="68" spans="1:18" x14ac:dyDescent="0.25">
      <c r="A68" s="1">
        <v>45692</v>
      </c>
      <c r="B68" s="7">
        <v>5920</v>
      </c>
      <c r="C68" s="7">
        <v>5770</v>
      </c>
      <c r="D68" s="7">
        <v>1350</v>
      </c>
      <c r="E68" s="7">
        <v>1410</v>
      </c>
      <c r="F68" s="7">
        <v>1410</v>
      </c>
      <c r="G68" s="7">
        <v>23970</v>
      </c>
      <c r="H68" s="7">
        <v>20300</v>
      </c>
      <c r="I68" s="7">
        <v>20340</v>
      </c>
      <c r="J68" s="7">
        <v>11910</v>
      </c>
      <c r="K68" s="7">
        <v>20520</v>
      </c>
      <c r="L68" s="3">
        <f t="shared" ref="L68:L131" si="4">SUM(B68:K68)</f>
        <v>112900</v>
      </c>
      <c r="M68" s="3">
        <v>269870.33408542804</v>
      </c>
      <c r="N68" s="3">
        <f t="shared" si="3"/>
        <v>269870.33408542804</v>
      </c>
      <c r="O68" s="39">
        <v>11900</v>
      </c>
      <c r="P68" s="39">
        <v>23000</v>
      </c>
      <c r="Q68" s="3">
        <v>167135</v>
      </c>
      <c r="R68" s="23" t="str">
        <f t="shared" si="2"/>
        <v>Yes</v>
      </c>
    </row>
    <row r="69" spans="1:18" x14ac:dyDescent="0.25">
      <c r="A69" s="1">
        <v>45693</v>
      </c>
      <c r="B69" s="7">
        <v>30810</v>
      </c>
      <c r="C69" s="7">
        <v>31410</v>
      </c>
      <c r="D69" s="7">
        <v>4170</v>
      </c>
      <c r="E69" s="7">
        <v>4430</v>
      </c>
      <c r="F69" s="7">
        <v>4440</v>
      </c>
      <c r="G69" s="7">
        <v>36860</v>
      </c>
      <c r="H69" s="7">
        <v>30370</v>
      </c>
      <c r="I69" s="7">
        <v>31190</v>
      </c>
      <c r="J69" s="7">
        <v>19750</v>
      </c>
      <c r="K69" s="7">
        <v>32510</v>
      </c>
      <c r="L69" s="3">
        <f t="shared" si="4"/>
        <v>225940</v>
      </c>
      <c r="M69" s="3">
        <v>324905.09967779496</v>
      </c>
      <c r="N69" s="3">
        <f t="shared" si="3"/>
        <v>324905.09967779496</v>
      </c>
      <c r="O69" s="39">
        <v>11900</v>
      </c>
      <c r="P69" s="39">
        <v>16263</v>
      </c>
      <c r="Q69" s="3">
        <v>98736</v>
      </c>
      <c r="R69" s="23" t="str">
        <f t="shared" si="2"/>
        <v>Yes</v>
      </c>
    </row>
    <row r="70" spans="1:18" x14ac:dyDescent="0.25">
      <c r="A70" s="1">
        <v>45694</v>
      </c>
      <c r="B70" s="7">
        <v>20960</v>
      </c>
      <c r="C70" s="7">
        <v>21060</v>
      </c>
      <c r="D70" s="7">
        <v>4280</v>
      </c>
      <c r="E70" s="7">
        <v>4390</v>
      </c>
      <c r="F70" s="7">
        <v>4400</v>
      </c>
      <c r="G70" s="7">
        <v>24490</v>
      </c>
      <c r="H70" s="7">
        <v>19370</v>
      </c>
      <c r="I70" s="7">
        <v>18890</v>
      </c>
      <c r="J70" s="7">
        <v>12900</v>
      </c>
      <c r="K70" s="7">
        <v>18580</v>
      </c>
      <c r="L70" s="3">
        <f t="shared" si="4"/>
        <v>149320</v>
      </c>
      <c r="M70" s="3">
        <v>203010.89300077644</v>
      </c>
      <c r="N70" s="3">
        <f t="shared" si="3"/>
        <v>203010.89300077644</v>
      </c>
      <c r="O70" s="39">
        <v>11900</v>
      </c>
      <c r="P70" s="39">
        <v>11900</v>
      </c>
      <c r="Q70" s="3">
        <v>87979</v>
      </c>
      <c r="R70" s="23" t="str">
        <f t="shared" si="2"/>
        <v>Yes</v>
      </c>
    </row>
    <row r="71" spans="1:18" ht="14.45" customHeight="1" x14ac:dyDescent="0.25">
      <c r="A71" s="1">
        <v>45695</v>
      </c>
      <c r="B71" s="7">
        <v>21600</v>
      </c>
      <c r="C71" s="7">
        <v>21710</v>
      </c>
      <c r="D71" s="7">
        <v>3840</v>
      </c>
      <c r="E71" s="7">
        <v>3990</v>
      </c>
      <c r="F71" s="7">
        <v>4000</v>
      </c>
      <c r="G71" s="7">
        <v>21730</v>
      </c>
      <c r="H71" s="7">
        <v>16390</v>
      </c>
      <c r="I71" s="7">
        <v>15820</v>
      </c>
      <c r="J71" s="7">
        <v>13400</v>
      </c>
      <c r="K71" s="7">
        <v>15500</v>
      </c>
      <c r="L71" s="3">
        <f>SUM(B71:K71)</f>
        <v>137980</v>
      </c>
      <c r="M71" s="3">
        <v>210241.92484265819</v>
      </c>
      <c r="N71" s="3">
        <f t="shared" si="3"/>
        <v>210241.92484265819</v>
      </c>
      <c r="O71" s="39">
        <v>11900</v>
      </c>
      <c r="P71" s="39">
        <v>26730</v>
      </c>
      <c r="Q71" s="3">
        <v>102771</v>
      </c>
      <c r="R71" s="23" t="str">
        <f t="shared" si="2"/>
        <v>Yes</v>
      </c>
    </row>
    <row r="72" spans="1:18" ht="14.45" customHeight="1" x14ac:dyDescent="0.25">
      <c r="A72" s="1">
        <v>45696</v>
      </c>
      <c r="B72" s="7">
        <v>28050</v>
      </c>
      <c r="C72" s="7">
        <v>27960</v>
      </c>
      <c r="D72" s="7">
        <v>3840</v>
      </c>
      <c r="E72" s="7">
        <v>3930</v>
      </c>
      <c r="F72" s="7">
        <v>3940</v>
      </c>
      <c r="G72" s="7">
        <v>36390</v>
      </c>
      <c r="H72" s="7">
        <v>30900</v>
      </c>
      <c r="I72" s="7">
        <v>31160</v>
      </c>
      <c r="J72" s="7">
        <v>18020</v>
      </c>
      <c r="K72" s="7">
        <v>31790</v>
      </c>
      <c r="L72" s="3">
        <f t="shared" si="4"/>
        <v>215980</v>
      </c>
      <c r="M72" s="3">
        <v>293717.07657669351</v>
      </c>
      <c r="N72" s="3">
        <f t="shared" si="3"/>
        <v>293717.07657669351</v>
      </c>
      <c r="O72" s="39">
        <v>11900</v>
      </c>
      <c r="P72" s="39">
        <v>26730</v>
      </c>
      <c r="Q72" s="3">
        <v>67360</v>
      </c>
      <c r="R72" s="23" t="str">
        <f t="shared" si="2"/>
        <v>Yes</v>
      </c>
    </row>
    <row r="73" spans="1:18" ht="14.45" customHeight="1" x14ac:dyDescent="0.25">
      <c r="A73" s="1">
        <v>45697</v>
      </c>
      <c r="B73" s="7">
        <v>17920</v>
      </c>
      <c r="C73" s="7">
        <v>18010</v>
      </c>
      <c r="D73" s="7">
        <v>4110</v>
      </c>
      <c r="E73" s="7">
        <v>4200</v>
      </c>
      <c r="F73" s="7">
        <v>4210</v>
      </c>
      <c r="G73" s="7">
        <v>23920</v>
      </c>
      <c r="H73" s="7">
        <v>20370</v>
      </c>
      <c r="I73" s="7">
        <v>20630</v>
      </c>
      <c r="J73" s="7">
        <v>12280</v>
      </c>
      <c r="K73" s="7">
        <v>21510</v>
      </c>
      <c r="L73" s="3">
        <f t="shared" si="4"/>
        <v>147160</v>
      </c>
      <c r="M73" s="3">
        <v>174846.78895125681</v>
      </c>
      <c r="N73" s="3">
        <f t="shared" si="3"/>
        <v>174846.78895125681</v>
      </c>
      <c r="O73" s="39">
        <v>11900</v>
      </c>
      <c r="P73" s="39">
        <v>26730</v>
      </c>
      <c r="Q73" s="3">
        <v>40063</v>
      </c>
      <c r="R73" s="23" t="str">
        <f t="shared" si="2"/>
        <v>Yes</v>
      </c>
    </row>
    <row r="74" spans="1:18" ht="14.45" customHeight="1" x14ac:dyDescent="0.25">
      <c r="A74" s="1">
        <v>45698</v>
      </c>
      <c r="B74" s="7">
        <v>20890</v>
      </c>
      <c r="C74" s="7">
        <v>20960</v>
      </c>
      <c r="D74" s="7">
        <v>4210</v>
      </c>
      <c r="E74" s="7">
        <v>4300</v>
      </c>
      <c r="F74" s="7">
        <v>4310</v>
      </c>
      <c r="G74" s="7">
        <v>26310</v>
      </c>
      <c r="H74" s="7">
        <v>22410</v>
      </c>
      <c r="I74" s="7">
        <v>22380</v>
      </c>
      <c r="J74" s="7">
        <v>13250</v>
      </c>
      <c r="K74" s="7">
        <v>23700</v>
      </c>
      <c r="L74" s="3">
        <f t="shared" si="4"/>
        <v>162720</v>
      </c>
      <c r="M74" s="3">
        <v>210504.50836034553</v>
      </c>
      <c r="N74" s="3">
        <f t="shared" si="3"/>
        <v>210504.50836034553</v>
      </c>
      <c r="O74" s="39">
        <v>11900</v>
      </c>
      <c r="P74" s="39">
        <v>26730</v>
      </c>
      <c r="Q74" s="3">
        <v>48162</v>
      </c>
      <c r="R74" s="23" t="str">
        <f t="shared" si="2"/>
        <v>Yes</v>
      </c>
    </row>
    <row r="75" spans="1:18" ht="14.45" customHeight="1" x14ac:dyDescent="0.25">
      <c r="A75" s="1">
        <v>45699</v>
      </c>
      <c r="B75" s="7">
        <v>20080</v>
      </c>
      <c r="C75" s="7">
        <v>20480</v>
      </c>
      <c r="D75" s="7">
        <v>4130</v>
      </c>
      <c r="E75" s="7">
        <v>4260</v>
      </c>
      <c r="F75" s="7">
        <v>4280</v>
      </c>
      <c r="G75" s="7">
        <v>25540</v>
      </c>
      <c r="H75" s="7">
        <v>21460</v>
      </c>
      <c r="I75" s="7">
        <v>21890</v>
      </c>
      <c r="J75" s="7">
        <v>13190</v>
      </c>
      <c r="K75" s="7">
        <v>22630</v>
      </c>
      <c r="L75" s="3">
        <f t="shared" si="4"/>
        <v>157940</v>
      </c>
      <c r="M75" s="3">
        <v>195043.27395623061</v>
      </c>
      <c r="N75" s="3">
        <f t="shared" si="3"/>
        <v>195043.27395623061</v>
      </c>
      <c r="O75" s="39">
        <v>23900</v>
      </c>
      <c r="P75" s="39">
        <v>26730</v>
      </c>
      <c r="Q75" s="3">
        <v>44700</v>
      </c>
      <c r="R75" s="23" t="str">
        <f t="shared" si="2"/>
        <v>Yes</v>
      </c>
    </row>
    <row r="76" spans="1:18" x14ac:dyDescent="0.25">
      <c r="A76" s="1">
        <v>45700</v>
      </c>
      <c r="B76" s="7">
        <v>15590</v>
      </c>
      <c r="C76" s="7">
        <v>16270</v>
      </c>
      <c r="D76" s="7">
        <v>13030</v>
      </c>
      <c r="E76" s="7">
        <v>16280</v>
      </c>
      <c r="F76" s="7">
        <v>16780</v>
      </c>
      <c r="G76" s="7">
        <v>19540</v>
      </c>
      <c r="H76" s="7">
        <v>16470</v>
      </c>
      <c r="I76" s="7">
        <v>16500</v>
      </c>
      <c r="J76" s="7">
        <v>9530</v>
      </c>
      <c r="K76" s="7">
        <v>17210</v>
      </c>
      <c r="L76" s="3">
        <f t="shared" si="4"/>
        <v>157200</v>
      </c>
      <c r="M76" s="3">
        <v>144888.83181956035</v>
      </c>
      <c r="N76" s="3">
        <f t="shared" si="3"/>
        <v>157200</v>
      </c>
      <c r="O76" s="39">
        <v>23900</v>
      </c>
      <c r="P76" s="39">
        <v>26730</v>
      </c>
      <c r="Q76">
        <v>0</v>
      </c>
      <c r="R76" s="23" t="str">
        <f t="shared" si="2"/>
        <v>No</v>
      </c>
    </row>
    <row r="77" spans="1:18" x14ac:dyDescent="0.25">
      <c r="A77" s="1">
        <v>45701</v>
      </c>
      <c r="B77" s="7">
        <v>19510</v>
      </c>
      <c r="C77" s="7">
        <v>20280</v>
      </c>
      <c r="D77" s="7">
        <v>18280</v>
      </c>
      <c r="E77" s="7">
        <v>22080</v>
      </c>
      <c r="F77" s="7">
        <v>22980</v>
      </c>
      <c r="G77" s="7">
        <v>24780</v>
      </c>
      <c r="H77" s="7">
        <v>21180</v>
      </c>
      <c r="I77" s="7">
        <v>20990</v>
      </c>
      <c r="J77" s="7">
        <v>12400</v>
      </c>
      <c r="K77" s="7">
        <v>21750</v>
      </c>
      <c r="L77" s="3">
        <f t="shared" si="4"/>
        <v>204230</v>
      </c>
      <c r="M77" s="3">
        <v>185945.1099109569</v>
      </c>
      <c r="N77" s="3">
        <f t="shared" si="3"/>
        <v>204230</v>
      </c>
      <c r="O77" s="39">
        <v>23900</v>
      </c>
      <c r="P77" s="39">
        <v>26730</v>
      </c>
      <c r="Q77">
        <v>0</v>
      </c>
      <c r="R77" s="23" t="str">
        <f t="shared" si="2"/>
        <v>No</v>
      </c>
    </row>
    <row r="78" spans="1:18" x14ac:dyDescent="0.25">
      <c r="A78" s="1">
        <v>45702</v>
      </c>
      <c r="B78" s="7">
        <v>25380</v>
      </c>
      <c r="C78" s="7">
        <v>26630</v>
      </c>
      <c r="D78" s="7">
        <v>23800</v>
      </c>
      <c r="E78" s="7">
        <v>28570</v>
      </c>
      <c r="F78" s="7">
        <v>29250</v>
      </c>
      <c r="G78" s="7">
        <v>32390</v>
      </c>
      <c r="H78" s="7">
        <v>27840</v>
      </c>
      <c r="I78" s="7">
        <v>27850</v>
      </c>
      <c r="J78" s="7">
        <v>15670</v>
      </c>
      <c r="K78" s="7">
        <v>28950</v>
      </c>
      <c r="L78" s="3">
        <f t="shared" si="4"/>
        <v>266330</v>
      </c>
      <c r="M78" s="3">
        <v>256665.23839079481</v>
      </c>
      <c r="N78" s="3">
        <f t="shared" si="3"/>
        <v>266330</v>
      </c>
      <c r="O78" s="39">
        <v>23900</v>
      </c>
      <c r="P78" s="39">
        <v>26730</v>
      </c>
      <c r="Q78">
        <v>0</v>
      </c>
      <c r="R78" s="23" t="str">
        <f t="shared" si="2"/>
        <v>No</v>
      </c>
    </row>
    <row r="79" spans="1:18" x14ac:dyDescent="0.25">
      <c r="A79" s="1">
        <v>45703</v>
      </c>
      <c r="B79" s="7">
        <v>23760</v>
      </c>
      <c r="C79" s="7">
        <v>24270</v>
      </c>
      <c r="D79" s="7">
        <v>21640</v>
      </c>
      <c r="E79" s="7">
        <v>25330</v>
      </c>
      <c r="F79" s="7">
        <v>26060</v>
      </c>
      <c r="G79" s="7">
        <v>29310</v>
      </c>
      <c r="H79" s="7">
        <v>24570</v>
      </c>
      <c r="I79" s="7">
        <v>24720</v>
      </c>
      <c r="J79" s="7">
        <v>14590</v>
      </c>
      <c r="K79" s="7">
        <v>25420</v>
      </c>
      <c r="L79" s="3">
        <f t="shared" si="4"/>
        <v>239670</v>
      </c>
      <c r="M79" s="3">
        <v>247490.16427685853</v>
      </c>
      <c r="N79" s="3">
        <f t="shared" si="3"/>
        <v>247490.16427685853</v>
      </c>
      <c r="O79" s="39">
        <v>23900</v>
      </c>
      <c r="P79" s="39">
        <v>26730</v>
      </c>
      <c r="Q79">
        <v>0</v>
      </c>
      <c r="R79" s="23" t="str">
        <f t="shared" si="2"/>
        <v>No</v>
      </c>
    </row>
    <row r="80" spans="1:18" x14ac:dyDescent="0.25">
      <c r="A80" s="1">
        <v>45704</v>
      </c>
      <c r="B80" s="7">
        <v>18240</v>
      </c>
      <c r="C80" s="7">
        <v>18720</v>
      </c>
      <c r="D80" s="7">
        <v>16600</v>
      </c>
      <c r="E80" s="7">
        <v>19180</v>
      </c>
      <c r="F80" s="7">
        <v>19740</v>
      </c>
      <c r="G80" s="7">
        <v>21990</v>
      </c>
      <c r="H80" s="7">
        <v>18920</v>
      </c>
      <c r="I80" s="7">
        <v>18690</v>
      </c>
      <c r="J80" s="7">
        <v>11180</v>
      </c>
      <c r="K80" s="7">
        <v>18690</v>
      </c>
      <c r="L80" s="3">
        <f t="shared" si="4"/>
        <v>181950</v>
      </c>
      <c r="M80" s="3">
        <v>175986.74140673527</v>
      </c>
      <c r="N80" s="3">
        <f t="shared" si="3"/>
        <v>181950</v>
      </c>
      <c r="O80" s="39">
        <v>23900</v>
      </c>
      <c r="P80" s="39">
        <v>26730</v>
      </c>
      <c r="Q80">
        <v>0</v>
      </c>
      <c r="R80" s="23" t="str">
        <f t="shared" si="2"/>
        <v>No</v>
      </c>
    </row>
    <row r="81" spans="1:18" x14ac:dyDescent="0.25">
      <c r="A81" s="1">
        <v>45705</v>
      </c>
      <c r="B81" s="7">
        <v>21990</v>
      </c>
      <c r="C81" s="7">
        <v>22760</v>
      </c>
      <c r="D81" s="7">
        <v>20370</v>
      </c>
      <c r="E81" s="7">
        <v>24910</v>
      </c>
      <c r="F81" s="7">
        <v>25700</v>
      </c>
      <c r="G81" s="7">
        <v>27210</v>
      </c>
      <c r="H81" s="7">
        <v>23150</v>
      </c>
      <c r="I81" s="7">
        <v>22910</v>
      </c>
      <c r="J81" s="7">
        <v>13110</v>
      </c>
      <c r="K81" s="7">
        <v>23820</v>
      </c>
      <c r="L81" s="3">
        <f t="shared" si="4"/>
        <v>225930</v>
      </c>
      <c r="M81" s="3">
        <v>207286.99379258056</v>
      </c>
      <c r="N81" s="3">
        <f t="shared" si="3"/>
        <v>225930</v>
      </c>
      <c r="O81" s="39">
        <v>23900</v>
      </c>
      <c r="P81" s="39">
        <v>21560</v>
      </c>
      <c r="Q81">
        <v>0</v>
      </c>
      <c r="R81" s="23" t="str">
        <f t="shared" si="2"/>
        <v>Yes</v>
      </c>
    </row>
    <row r="82" spans="1:18" x14ac:dyDescent="0.25">
      <c r="A82" s="1">
        <v>45706</v>
      </c>
      <c r="B82" s="7">
        <v>23910</v>
      </c>
      <c r="C82" s="7">
        <v>23640</v>
      </c>
      <c r="D82" s="7">
        <v>22170</v>
      </c>
      <c r="E82" s="7">
        <v>26560</v>
      </c>
      <c r="F82" s="7">
        <v>27510</v>
      </c>
      <c r="G82" s="7">
        <v>21960</v>
      </c>
      <c r="H82" s="7">
        <v>20300</v>
      </c>
      <c r="I82" s="7">
        <v>20230</v>
      </c>
      <c r="J82" s="7">
        <v>14150</v>
      </c>
      <c r="K82" s="7">
        <v>20770</v>
      </c>
      <c r="L82" s="3">
        <f t="shared" si="4"/>
        <v>221200</v>
      </c>
      <c r="M82" s="3">
        <v>237033.20067085599</v>
      </c>
      <c r="N82" s="3">
        <f t="shared" si="3"/>
        <v>237033.20067085599</v>
      </c>
      <c r="O82" s="39">
        <v>23900</v>
      </c>
      <c r="P82" s="39">
        <v>26730</v>
      </c>
      <c r="Q82" s="3">
        <v>54873</v>
      </c>
      <c r="R82" s="23" t="str">
        <f t="shared" si="2"/>
        <v>Yes</v>
      </c>
    </row>
    <row r="83" spans="1:18" x14ac:dyDescent="0.25">
      <c r="A83" s="1">
        <v>45707</v>
      </c>
      <c r="B83" s="7">
        <v>26430</v>
      </c>
      <c r="C83" s="7">
        <v>25760</v>
      </c>
      <c r="D83" s="7">
        <v>21970</v>
      </c>
      <c r="E83" s="7">
        <v>26090</v>
      </c>
      <c r="F83" s="7">
        <v>26200</v>
      </c>
      <c r="G83" s="7">
        <v>31120</v>
      </c>
      <c r="H83" s="7">
        <v>25680</v>
      </c>
      <c r="I83" s="7">
        <v>26330</v>
      </c>
      <c r="J83" s="7">
        <v>16250</v>
      </c>
      <c r="K83" s="7">
        <v>27250</v>
      </c>
      <c r="L83" s="3">
        <f t="shared" si="4"/>
        <v>253080</v>
      </c>
      <c r="M83" s="3">
        <v>262134.76559139657</v>
      </c>
      <c r="N83" s="3">
        <f t="shared" si="3"/>
        <v>262134.76559139657</v>
      </c>
      <c r="O83" s="39">
        <v>23900</v>
      </c>
      <c r="P83" s="39">
        <v>26730</v>
      </c>
      <c r="Q83">
        <v>0</v>
      </c>
      <c r="R83" s="23" t="str">
        <f t="shared" si="2"/>
        <v>No</v>
      </c>
    </row>
    <row r="84" spans="1:18" x14ac:dyDescent="0.25">
      <c r="A84" s="1">
        <v>45708</v>
      </c>
      <c r="B84" s="7">
        <v>13040</v>
      </c>
      <c r="C84" s="7">
        <v>13000</v>
      </c>
      <c r="D84" s="7">
        <v>10860</v>
      </c>
      <c r="E84" s="7">
        <v>14650</v>
      </c>
      <c r="F84" s="7">
        <v>15310</v>
      </c>
      <c r="G84" s="7">
        <v>15580</v>
      </c>
      <c r="H84" s="7">
        <v>13260</v>
      </c>
      <c r="I84" s="7">
        <v>13170</v>
      </c>
      <c r="J84" s="7">
        <v>7620</v>
      </c>
      <c r="K84" s="7">
        <v>13730</v>
      </c>
      <c r="L84" s="3">
        <f t="shared" si="4"/>
        <v>130220</v>
      </c>
      <c r="M84" s="3">
        <v>111004.00502329192</v>
      </c>
      <c r="N84" s="3">
        <f t="shared" si="3"/>
        <v>130220</v>
      </c>
      <c r="O84" s="39">
        <v>23900</v>
      </c>
      <c r="P84" s="39">
        <v>26730</v>
      </c>
      <c r="Q84">
        <v>0</v>
      </c>
      <c r="R84" s="23" t="str">
        <f t="shared" si="2"/>
        <v>No</v>
      </c>
    </row>
    <row r="85" spans="1:18" x14ac:dyDescent="0.25">
      <c r="A85" s="1">
        <v>45709</v>
      </c>
      <c r="B85" s="7">
        <v>25710</v>
      </c>
      <c r="C85" s="7">
        <v>25240</v>
      </c>
      <c r="D85" s="7">
        <v>21610</v>
      </c>
      <c r="E85" s="7">
        <v>26870</v>
      </c>
      <c r="F85" s="7">
        <v>27460</v>
      </c>
      <c r="G85" s="7">
        <v>31440</v>
      </c>
      <c r="H85" s="7">
        <v>25880</v>
      </c>
      <c r="I85" s="7">
        <v>26560</v>
      </c>
      <c r="J85" s="7">
        <v>15840</v>
      </c>
      <c r="K85" s="7">
        <v>27520</v>
      </c>
      <c r="L85" s="3">
        <f t="shared" si="4"/>
        <v>254130</v>
      </c>
      <c r="M85" s="3">
        <v>250166.8327179979</v>
      </c>
      <c r="N85" s="3">
        <f t="shared" si="3"/>
        <v>254130</v>
      </c>
      <c r="O85" s="39">
        <v>16008</v>
      </c>
      <c r="P85" s="39">
        <v>26730</v>
      </c>
      <c r="Q85">
        <v>0</v>
      </c>
      <c r="R85" s="23" t="str">
        <f t="shared" si="2"/>
        <v>Yes</v>
      </c>
    </row>
    <row r="86" spans="1:18" x14ac:dyDescent="0.25">
      <c r="A86" s="1">
        <v>45710</v>
      </c>
      <c r="B86" s="7">
        <v>20200</v>
      </c>
      <c r="C86" s="7">
        <v>19730</v>
      </c>
      <c r="D86" s="7">
        <v>17740</v>
      </c>
      <c r="E86" s="7">
        <v>21030</v>
      </c>
      <c r="F86" s="7">
        <v>21490</v>
      </c>
      <c r="G86" s="7">
        <v>28780</v>
      </c>
      <c r="H86" s="7">
        <v>23490</v>
      </c>
      <c r="I86" s="7">
        <v>23740</v>
      </c>
      <c r="J86" s="7">
        <v>13590</v>
      </c>
      <c r="K86" s="7">
        <v>24260</v>
      </c>
      <c r="L86" s="3">
        <f t="shared" si="4"/>
        <v>214050</v>
      </c>
      <c r="M86" s="3">
        <v>218414.85746105885</v>
      </c>
      <c r="N86" s="3">
        <f t="shared" si="3"/>
        <v>218414.85746105885</v>
      </c>
      <c r="O86" s="39">
        <v>12000</v>
      </c>
      <c r="P86" s="39">
        <v>26730</v>
      </c>
      <c r="Q86" s="3">
        <v>22017</v>
      </c>
      <c r="R86" s="23" t="str">
        <f t="shared" si="2"/>
        <v>Yes</v>
      </c>
    </row>
    <row r="87" spans="1:18" ht="14.45" customHeight="1" x14ac:dyDescent="0.25">
      <c r="A87" s="1">
        <v>45711</v>
      </c>
      <c r="B87" s="7">
        <v>13110</v>
      </c>
      <c r="C87" s="7">
        <v>12540</v>
      </c>
      <c r="D87" s="7">
        <v>11700</v>
      </c>
      <c r="E87" s="7">
        <v>14680</v>
      </c>
      <c r="F87" s="7">
        <v>15370</v>
      </c>
      <c r="G87" s="7">
        <v>15970</v>
      </c>
      <c r="H87" s="7">
        <v>13550</v>
      </c>
      <c r="I87" s="7">
        <v>13530</v>
      </c>
      <c r="J87" s="7">
        <v>7960</v>
      </c>
      <c r="K87" s="7">
        <v>14100</v>
      </c>
      <c r="L87" s="3">
        <f t="shared" si="4"/>
        <v>132510</v>
      </c>
      <c r="M87" s="3">
        <v>111953.82786696915</v>
      </c>
      <c r="N87" s="3">
        <f t="shared" si="3"/>
        <v>132510</v>
      </c>
      <c r="O87" s="39">
        <v>12000</v>
      </c>
      <c r="P87" s="39">
        <v>26730</v>
      </c>
      <c r="Q87" s="3">
        <v>25662</v>
      </c>
      <c r="R87" s="23" t="str">
        <f t="shared" si="2"/>
        <v>Yes</v>
      </c>
    </row>
    <row r="88" spans="1:18" x14ac:dyDescent="0.25">
      <c r="A88" s="1">
        <v>45712</v>
      </c>
      <c r="B88" s="7">
        <v>18380</v>
      </c>
      <c r="C88" s="7">
        <v>17950</v>
      </c>
      <c r="D88" s="7">
        <v>16540</v>
      </c>
      <c r="E88" s="7">
        <v>20900</v>
      </c>
      <c r="F88" s="7">
        <v>21370</v>
      </c>
      <c r="G88" s="7">
        <v>25280</v>
      </c>
      <c r="H88" s="7">
        <v>22120</v>
      </c>
      <c r="I88" s="7">
        <v>21570</v>
      </c>
      <c r="J88" s="7">
        <v>12380</v>
      </c>
      <c r="K88" s="7">
        <v>22890</v>
      </c>
      <c r="L88" s="3">
        <f t="shared" si="4"/>
        <v>199380</v>
      </c>
      <c r="M88" s="3">
        <v>189994.1114442207</v>
      </c>
      <c r="N88" s="3">
        <f t="shared" si="3"/>
        <v>199380</v>
      </c>
      <c r="O88" s="39">
        <v>12000</v>
      </c>
      <c r="P88" s="39">
        <v>26730</v>
      </c>
      <c r="Q88" s="3">
        <v>43070</v>
      </c>
      <c r="R88" s="23" t="str">
        <f t="shared" si="2"/>
        <v>Yes</v>
      </c>
    </row>
    <row r="89" spans="1:18" ht="14.45" customHeight="1" x14ac:dyDescent="0.25">
      <c r="A89" s="1">
        <v>45713</v>
      </c>
      <c r="B89" s="7">
        <v>20200</v>
      </c>
      <c r="C89" s="7">
        <v>19830</v>
      </c>
      <c r="D89" s="7">
        <v>18430</v>
      </c>
      <c r="E89" s="7">
        <v>23280</v>
      </c>
      <c r="F89" s="7">
        <v>23500</v>
      </c>
      <c r="G89" s="7">
        <v>40920</v>
      </c>
      <c r="H89" s="7">
        <v>32740</v>
      </c>
      <c r="I89" s="7">
        <v>33290</v>
      </c>
      <c r="J89" s="7">
        <v>20590</v>
      </c>
      <c r="K89" s="7">
        <v>34740</v>
      </c>
      <c r="L89" s="3">
        <f t="shared" si="4"/>
        <v>267520</v>
      </c>
      <c r="M89" s="3">
        <v>343007.18817777082</v>
      </c>
      <c r="N89" s="3">
        <f t="shared" si="3"/>
        <v>343007.18817777082</v>
      </c>
      <c r="O89" s="39">
        <v>12000</v>
      </c>
      <c r="P89" s="39">
        <v>26730</v>
      </c>
      <c r="Q89" s="3">
        <v>77986</v>
      </c>
      <c r="R89" s="23" t="str">
        <f t="shared" si="2"/>
        <v>Yes</v>
      </c>
    </row>
    <row r="90" spans="1:18" ht="14.45" customHeight="1" x14ac:dyDescent="0.25">
      <c r="A90" s="1">
        <v>45714</v>
      </c>
      <c r="B90" s="7">
        <v>20750</v>
      </c>
      <c r="C90" s="7">
        <v>20620</v>
      </c>
      <c r="D90" s="7">
        <v>18820</v>
      </c>
      <c r="E90" s="7">
        <v>24020</v>
      </c>
      <c r="F90" s="7">
        <v>24010</v>
      </c>
      <c r="G90" s="7">
        <v>32910</v>
      </c>
      <c r="H90" s="7">
        <v>27380</v>
      </c>
      <c r="I90" s="7">
        <v>26980</v>
      </c>
      <c r="J90" s="7">
        <v>15730</v>
      </c>
      <c r="K90" s="7">
        <v>28620</v>
      </c>
      <c r="L90" s="3">
        <f t="shared" si="4"/>
        <v>239840</v>
      </c>
      <c r="M90" s="3">
        <v>273246.95016862388</v>
      </c>
      <c r="N90" s="3">
        <f t="shared" si="3"/>
        <v>273246.95016862388</v>
      </c>
      <c r="O90" s="39">
        <v>12000</v>
      </c>
      <c r="P90" s="39">
        <v>26730</v>
      </c>
      <c r="Q90" s="3">
        <v>62109</v>
      </c>
      <c r="R90" s="23" t="str">
        <f t="shared" si="2"/>
        <v>Yes</v>
      </c>
    </row>
    <row r="91" spans="1:18" ht="46.5" customHeight="1" x14ac:dyDescent="0.25">
      <c r="A91" s="1">
        <v>45715</v>
      </c>
      <c r="B91" s="7">
        <v>17920</v>
      </c>
      <c r="C91" s="7">
        <v>17680</v>
      </c>
      <c r="D91" s="7">
        <v>16270</v>
      </c>
      <c r="E91" s="7">
        <v>20520</v>
      </c>
      <c r="F91" s="7">
        <v>20720</v>
      </c>
      <c r="G91" s="7">
        <v>35640</v>
      </c>
      <c r="H91" s="7">
        <v>29450</v>
      </c>
      <c r="I91" s="7">
        <v>29060</v>
      </c>
      <c r="J91" s="7">
        <v>16950</v>
      </c>
      <c r="K91" s="7">
        <v>30150</v>
      </c>
      <c r="L91" s="3">
        <f t="shared" si="4"/>
        <v>234360</v>
      </c>
      <c r="M91" s="3">
        <v>294405.8012902757</v>
      </c>
      <c r="N91" s="3">
        <f t="shared" si="3"/>
        <v>294405.8012902757</v>
      </c>
      <c r="O91" s="39">
        <v>12000</v>
      </c>
      <c r="P91" s="39">
        <v>26730</v>
      </c>
      <c r="Q91" s="3">
        <v>67012</v>
      </c>
      <c r="R91" s="23" t="str">
        <f t="shared" si="2"/>
        <v>Yes</v>
      </c>
    </row>
    <row r="92" spans="1:18" x14ac:dyDescent="0.25">
      <c r="A92" s="1">
        <v>45716</v>
      </c>
      <c r="B92" s="7">
        <v>21900</v>
      </c>
      <c r="C92" s="7">
        <v>21460</v>
      </c>
      <c r="D92" s="7">
        <v>19920</v>
      </c>
      <c r="E92" s="7">
        <v>25070</v>
      </c>
      <c r="F92" s="7">
        <v>25290</v>
      </c>
      <c r="G92" s="7">
        <v>43010</v>
      </c>
      <c r="H92" s="7">
        <v>34480</v>
      </c>
      <c r="I92" s="7">
        <v>32670</v>
      </c>
      <c r="J92" s="7">
        <v>21390</v>
      </c>
      <c r="K92" s="7">
        <v>35500</v>
      </c>
      <c r="L92" s="3">
        <f t="shared" si="4"/>
        <v>280690</v>
      </c>
      <c r="M92" s="3">
        <v>361502.90438967873</v>
      </c>
      <c r="N92" s="3">
        <f t="shared" si="3"/>
        <v>361502.90438967873</v>
      </c>
      <c r="O92" s="39">
        <v>12000</v>
      </c>
      <c r="P92" s="39">
        <v>26730</v>
      </c>
      <c r="Q92" s="3">
        <v>82108</v>
      </c>
      <c r="R92" s="23" t="str">
        <f t="shared" si="2"/>
        <v>Yes</v>
      </c>
    </row>
    <row r="93" spans="1:18" ht="14.45" customHeight="1" x14ac:dyDescent="0.25">
      <c r="A93" s="1">
        <v>45717</v>
      </c>
      <c r="B93" s="7">
        <v>18120</v>
      </c>
      <c r="C93" s="7">
        <v>17790</v>
      </c>
      <c r="D93" s="7">
        <v>16510</v>
      </c>
      <c r="E93" s="7">
        <v>20610</v>
      </c>
      <c r="F93" s="7">
        <v>21060</v>
      </c>
      <c r="G93" s="7">
        <v>35140</v>
      </c>
      <c r="H93" s="7">
        <v>27040</v>
      </c>
      <c r="I93" s="7">
        <v>25190</v>
      </c>
      <c r="J93" s="7">
        <v>17880</v>
      </c>
      <c r="K93" s="7">
        <v>27340</v>
      </c>
      <c r="L93" s="3">
        <f t="shared" si="4"/>
        <v>226680</v>
      </c>
      <c r="M93" s="3">
        <v>281647.69769721787</v>
      </c>
      <c r="N93" s="3">
        <f t="shared" si="3"/>
        <v>281647.69769721787</v>
      </c>
      <c r="O93" s="39">
        <v>12000</v>
      </c>
      <c r="P93" s="39">
        <v>26730</v>
      </c>
      <c r="Q93" s="3">
        <v>56220</v>
      </c>
      <c r="R93" s="23" t="str">
        <f t="shared" si="2"/>
        <v>Yes</v>
      </c>
    </row>
    <row r="94" spans="1:18" ht="14.45" customHeight="1" x14ac:dyDescent="0.25">
      <c r="A94" s="1">
        <v>45718</v>
      </c>
      <c r="B94" s="7">
        <v>19770</v>
      </c>
      <c r="C94" s="7">
        <v>19200</v>
      </c>
      <c r="D94" s="7">
        <v>17990</v>
      </c>
      <c r="E94" s="7">
        <v>22640</v>
      </c>
      <c r="F94" s="7">
        <v>22970</v>
      </c>
      <c r="G94" s="7">
        <v>33040</v>
      </c>
      <c r="H94" s="7">
        <v>25210</v>
      </c>
      <c r="I94" s="7">
        <v>23250</v>
      </c>
      <c r="J94" s="7">
        <v>16540</v>
      </c>
      <c r="K94" s="7">
        <v>25910</v>
      </c>
      <c r="L94" s="3">
        <f t="shared" si="4"/>
        <v>226520</v>
      </c>
      <c r="M94" s="3">
        <v>257978.06696598153</v>
      </c>
      <c r="N94" s="3">
        <f t="shared" si="3"/>
        <v>257978.06696598153</v>
      </c>
      <c r="O94" s="39">
        <v>12000</v>
      </c>
      <c r="P94" s="39">
        <v>26730</v>
      </c>
      <c r="Q94" s="3">
        <v>59252</v>
      </c>
      <c r="R94" s="23" t="str">
        <f t="shared" si="2"/>
        <v>Yes</v>
      </c>
    </row>
    <row r="95" spans="1:18" x14ac:dyDescent="0.25">
      <c r="A95" s="1">
        <v>45719</v>
      </c>
      <c r="B95" s="7">
        <v>20510</v>
      </c>
      <c r="C95" s="7">
        <v>19660</v>
      </c>
      <c r="D95" s="7">
        <v>18700</v>
      </c>
      <c r="E95" s="7">
        <v>23450</v>
      </c>
      <c r="F95" s="7">
        <v>23900</v>
      </c>
      <c r="G95" s="7">
        <v>34400</v>
      </c>
      <c r="H95" s="7">
        <v>25530</v>
      </c>
      <c r="I95" s="7">
        <v>23860</v>
      </c>
      <c r="J95" s="7">
        <v>17860</v>
      </c>
      <c r="K95" s="7">
        <v>26700</v>
      </c>
      <c r="L95" s="3">
        <f t="shared" si="4"/>
        <v>234570</v>
      </c>
      <c r="M95" s="3">
        <v>273417.71069278865</v>
      </c>
      <c r="N95" s="3">
        <f t="shared" si="3"/>
        <v>273417.71069278865</v>
      </c>
      <c r="O95" s="39">
        <v>12000</v>
      </c>
      <c r="P95" s="39">
        <v>26730</v>
      </c>
      <c r="Q95" s="3">
        <v>62878</v>
      </c>
      <c r="R95" s="23" t="str">
        <f t="shared" ref="R95:R158" si="5">IF(Q95&gt;0,"Yes",IF(OR((O95+P95&lt;50000),O95&lt;23900,P95&lt;26730),"Yes","No"))</f>
        <v>Yes</v>
      </c>
    </row>
    <row r="96" spans="1:18" ht="14.45" customHeight="1" x14ac:dyDescent="0.25">
      <c r="A96" s="1">
        <v>45720</v>
      </c>
      <c r="B96" s="7">
        <v>16820</v>
      </c>
      <c r="C96" s="7">
        <v>16310</v>
      </c>
      <c r="D96" s="7">
        <v>15370</v>
      </c>
      <c r="E96" s="7">
        <v>19420</v>
      </c>
      <c r="F96" s="7">
        <v>19740</v>
      </c>
      <c r="G96" s="7">
        <v>27340</v>
      </c>
      <c r="H96" s="7">
        <v>20710</v>
      </c>
      <c r="I96" s="7">
        <v>19320</v>
      </c>
      <c r="J96" s="7">
        <v>13570</v>
      </c>
      <c r="K96" s="7">
        <v>21910</v>
      </c>
      <c r="L96" s="3">
        <f t="shared" si="4"/>
        <v>190510</v>
      </c>
      <c r="M96" s="3">
        <v>209150.9945253453</v>
      </c>
      <c r="N96" s="3">
        <f t="shared" si="3"/>
        <v>209150.9945253453</v>
      </c>
      <c r="O96" s="39">
        <v>12000</v>
      </c>
      <c r="P96" s="39">
        <v>26730</v>
      </c>
      <c r="Q96" s="3">
        <v>48075</v>
      </c>
      <c r="R96" s="23" t="str">
        <f t="shared" si="5"/>
        <v>Yes</v>
      </c>
    </row>
    <row r="97" spans="1:18" x14ac:dyDescent="0.25">
      <c r="A97" s="1">
        <v>45721</v>
      </c>
      <c r="B97" s="7">
        <v>18120</v>
      </c>
      <c r="C97" s="7">
        <v>17320</v>
      </c>
      <c r="D97" s="7">
        <v>16490</v>
      </c>
      <c r="E97" s="7">
        <v>20690</v>
      </c>
      <c r="F97" s="7">
        <v>21180</v>
      </c>
      <c r="G97" s="7">
        <v>26570</v>
      </c>
      <c r="H97" s="7">
        <v>19900</v>
      </c>
      <c r="I97" s="7">
        <v>18550</v>
      </c>
      <c r="J97" s="7">
        <v>13760</v>
      </c>
      <c r="K97" s="7">
        <v>20830</v>
      </c>
      <c r="L97" s="3">
        <f t="shared" si="4"/>
        <v>193410</v>
      </c>
      <c r="M97" s="3">
        <v>201209.88535731504</v>
      </c>
      <c r="N97" s="3">
        <f t="shared" si="3"/>
        <v>201209.88535731504</v>
      </c>
      <c r="O97" s="39">
        <v>8783</v>
      </c>
      <c r="P97" s="39">
        <v>26730</v>
      </c>
      <c r="Q97" s="3">
        <v>46192</v>
      </c>
      <c r="R97" s="23" t="str">
        <f t="shared" si="5"/>
        <v>Yes</v>
      </c>
    </row>
    <row r="98" spans="1:18" ht="14.45" customHeight="1" x14ac:dyDescent="0.25">
      <c r="A98" s="1">
        <v>45722</v>
      </c>
      <c r="B98" s="7">
        <v>10100</v>
      </c>
      <c r="C98" s="7">
        <v>10180</v>
      </c>
      <c r="D98" s="7">
        <v>9220</v>
      </c>
      <c r="E98" s="7">
        <v>11680</v>
      </c>
      <c r="F98" s="7">
        <v>11850</v>
      </c>
      <c r="G98" s="7">
        <v>29970</v>
      </c>
      <c r="H98" s="7">
        <v>22080</v>
      </c>
      <c r="I98" s="7">
        <v>21400</v>
      </c>
      <c r="J98" s="7">
        <v>16230</v>
      </c>
      <c r="K98" s="7">
        <v>24400</v>
      </c>
      <c r="L98" s="3">
        <f t="shared" si="4"/>
        <v>167110</v>
      </c>
      <c r="M98" s="3">
        <v>243871.06274197201</v>
      </c>
      <c r="N98" s="3">
        <f t="shared" si="3"/>
        <v>243871.06274197201</v>
      </c>
      <c r="O98" s="39">
        <v>12000</v>
      </c>
      <c r="P98" s="39">
        <v>26730</v>
      </c>
      <c r="Q98" s="3">
        <v>69130</v>
      </c>
      <c r="R98" s="23" t="str">
        <f t="shared" si="5"/>
        <v>Yes</v>
      </c>
    </row>
    <row r="99" spans="1:18" ht="14.45" customHeight="1" x14ac:dyDescent="0.25">
      <c r="A99" s="1">
        <v>45723</v>
      </c>
      <c r="B99" s="7">
        <v>18160</v>
      </c>
      <c r="C99" s="7">
        <v>17930</v>
      </c>
      <c r="D99" s="7">
        <v>16560</v>
      </c>
      <c r="E99" s="7">
        <v>20930</v>
      </c>
      <c r="F99" s="7">
        <v>21110</v>
      </c>
      <c r="G99" s="7">
        <v>31270</v>
      </c>
      <c r="H99" s="7">
        <v>23520</v>
      </c>
      <c r="I99" s="7">
        <v>21770</v>
      </c>
      <c r="J99" s="7">
        <v>15130</v>
      </c>
      <c r="K99" s="7">
        <v>24400</v>
      </c>
      <c r="L99" s="3">
        <f t="shared" si="4"/>
        <v>210780</v>
      </c>
      <c r="M99" s="3">
        <v>244228.76002890276</v>
      </c>
      <c r="N99" s="3">
        <f t="shared" si="3"/>
        <v>244228.76002890276</v>
      </c>
      <c r="O99" s="39">
        <v>12000</v>
      </c>
      <c r="P99" s="39">
        <v>26730</v>
      </c>
      <c r="Q99" s="3">
        <v>56235</v>
      </c>
      <c r="R99" s="23" t="str">
        <f t="shared" si="5"/>
        <v>Yes</v>
      </c>
    </row>
    <row r="100" spans="1:18" x14ac:dyDescent="0.25">
      <c r="A100" s="1">
        <v>45724</v>
      </c>
      <c r="B100" s="7">
        <v>15000</v>
      </c>
      <c r="C100" s="7">
        <v>14540</v>
      </c>
      <c r="D100" s="7">
        <v>13430</v>
      </c>
      <c r="E100" s="7">
        <v>16940</v>
      </c>
      <c r="F100" s="7">
        <v>17440</v>
      </c>
      <c r="G100" s="7">
        <v>18810</v>
      </c>
      <c r="H100" s="7">
        <v>15630</v>
      </c>
      <c r="I100" s="7">
        <v>17450</v>
      </c>
      <c r="J100" s="7">
        <v>9340</v>
      </c>
      <c r="K100" s="7">
        <v>16460</v>
      </c>
      <c r="L100" s="3">
        <f t="shared" si="4"/>
        <v>155040</v>
      </c>
      <c r="M100" s="3">
        <v>130168.22199668609</v>
      </c>
      <c r="N100" s="3">
        <f t="shared" si="3"/>
        <v>155040</v>
      </c>
      <c r="O100" s="39">
        <v>9667</v>
      </c>
      <c r="P100" s="39">
        <v>26730</v>
      </c>
      <c r="Q100" s="3">
        <v>29976</v>
      </c>
      <c r="R100" s="23" t="str">
        <f t="shared" si="5"/>
        <v>Yes</v>
      </c>
    </row>
    <row r="101" spans="1:18" x14ac:dyDescent="0.25">
      <c r="A101" s="1">
        <v>45725</v>
      </c>
      <c r="B101" s="7">
        <v>13650</v>
      </c>
      <c r="C101" s="7">
        <v>13550</v>
      </c>
      <c r="D101" s="7">
        <v>12400</v>
      </c>
      <c r="E101" s="7">
        <v>15790</v>
      </c>
      <c r="F101" s="7">
        <v>15810</v>
      </c>
      <c r="G101" s="7">
        <v>43100</v>
      </c>
      <c r="H101" s="7">
        <v>36730</v>
      </c>
      <c r="I101" s="7">
        <v>26510</v>
      </c>
      <c r="J101" s="7">
        <v>21670</v>
      </c>
      <c r="K101" s="7">
        <v>37670</v>
      </c>
      <c r="L101" s="3">
        <f t="shared" si="4"/>
        <v>236880</v>
      </c>
      <c r="M101" s="3">
        <v>359770.22709422978</v>
      </c>
      <c r="N101" s="3">
        <f t="shared" si="3"/>
        <v>359770.22709422978</v>
      </c>
      <c r="O101" s="39">
        <v>12000</v>
      </c>
      <c r="P101" s="39">
        <v>26730</v>
      </c>
      <c r="Q101" s="3">
        <v>110009</v>
      </c>
      <c r="R101" s="23" t="str">
        <f t="shared" si="5"/>
        <v>Yes</v>
      </c>
    </row>
    <row r="102" spans="1:18" x14ac:dyDescent="0.25">
      <c r="A102" s="1">
        <v>45726</v>
      </c>
      <c r="B102" s="7">
        <v>19880</v>
      </c>
      <c r="C102" s="7">
        <v>19380</v>
      </c>
      <c r="D102" s="7">
        <v>18120</v>
      </c>
      <c r="E102" s="7">
        <v>22760</v>
      </c>
      <c r="F102" s="7">
        <v>23300</v>
      </c>
      <c r="G102" s="7">
        <v>36130</v>
      </c>
      <c r="H102" s="7">
        <v>30310</v>
      </c>
      <c r="I102" s="7">
        <v>30810</v>
      </c>
      <c r="J102" s="7">
        <v>18860</v>
      </c>
      <c r="K102" s="7">
        <v>31950</v>
      </c>
      <c r="L102" s="3">
        <f t="shared" si="4"/>
        <v>251500</v>
      </c>
      <c r="M102" s="3">
        <v>296978.54114985105</v>
      </c>
      <c r="N102" s="3">
        <f t="shared" si="3"/>
        <v>296978.54114985105</v>
      </c>
      <c r="O102" s="39">
        <v>12959</v>
      </c>
      <c r="P102" s="39">
        <v>26730</v>
      </c>
      <c r="Q102" s="3">
        <v>68146</v>
      </c>
      <c r="R102" s="23" t="str">
        <f t="shared" si="5"/>
        <v>Yes</v>
      </c>
    </row>
    <row r="103" spans="1:18" x14ac:dyDescent="0.25">
      <c r="A103" s="1">
        <v>45727</v>
      </c>
      <c r="B103" s="7">
        <v>18160</v>
      </c>
      <c r="C103" s="7">
        <v>18080</v>
      </c>
      <c r="D103" s="7">
        <v>16430</v>
      </c>
      <c r="E103" s="7">
        <v>20860</v>
      </c>
      <c r="F103" s="7">
        <v>20910</v>
      </c>
      <c r="G103" s="7">
        <v>280</v>
      </c>
      <c r="H103" s="7">
        <v>23810</v>
      </c>
      <c r="I103" s="7">
        <v>23520</v>
      </c>
      <c r="J103" s="7">
        <v>12760</v>
      </c>
      <c r="K103" s="7">
        <v>24570</v>
      </c>
      <c r="L103" s="3">
        <f t="shared" si="4"/>
        <v>179380</v>
      </c>
      <c r="M103" s="3">
        <v>218555.00858467992</v>
      </c>
      <c r="N103" s="3">
        <f t="shared" si="3"/>
        <v>218555.00858467992</v>
      </c>
      <c r="O103" s="39">
        <v>23103</v>
      </c>
      <c r="P103" s="39">
        <v>26730</v>
      </c>
      <c r="Q103" s="3">
        <v>48228</v>
      </c>
      <c r="R103" s="23" t="str">
        <f t="shared" si="5"/>
        <v>Yes</v>
      </c>
    </row>
    <row r="104" spans="1:18" ht="30.75" customHeight="1" x14ac:dyDescent="0.25">
      <c r="A104" s="1">
        <v>45728</v>
      </c>
      <c r="B104" s="7">
        <v>17500</v>
      </c>
      <c r="C104" s="7">
        <v>16450</v>
      </c>
      <c r="D104" s="7">
        <v>15730</v>
      </c>
      <c r="E104" s="7">
        <v>19400</v>
      </c>
      <c r="F104" s="7">
        <v>20680</v>
      </c>
      <c r="G104" s="7">
        <v>280</v>
      </c>
      <c r="H104" s="7">
        <v>18920</v>
      </c>
      <c r="I104" s="7">
        <v>18810</v>
      </c>
      <c r="J104" s="7">
        <v>11330</v>
      </c>
      <c r="K104" s="7">
        <v>19870</v>
      </c>
      <c r="L104" s="3">
        <f t="shared" si="4"/>
        <v>158970</v>
      </c>
      <c r="M104" s="3">
        <v>169770.70251687412</v>
      </c>
      <c r="N104" s="3">
        <f t="shared" si="3"/>
        <v>169770.70251687412</v>
      </c>
      <c r="O104" s="39">
        <v>23900</v>
      </c>
      <c r="P104" s="39">
        <v>26730</v>
      </c>
      <c r="Q104">
        <v>801</v>
      </c>
      <c r="R104" s="23" t="str">
        <f t="shared" si="5"/>
        <v>Yes</v>
      </c>
    </row>
    <row r="105" spans="1:18" ht="14.45" customHeight="1" x14ac:dyDescent="0.25">
      <c r="A105" s="1">
        <v>45729</v>
      </c>
      <c r="B105" s="7">
        <v>16350</v>
      </c>
      <c r="C105" s="7">
        <v>15780</v>
      </c>
      <c r="D105" s="7">
        <v>14770</v>
      </c>
      <c r="E105" s="7">
        <v>18370</v>
      </c>
      <c r="F105" s="7">
        <v>19370</v>
      </c>
      <c r="G105" s="7">
        <v>280</v>
      </c>
      <c r="H105" s="7">
        <v>17090</v>
      </c>
      <c r="I105" s="7">
        <v>16740</v>
      </c>
      <c r="J105" s="7">
        <v>9550</v>
      </c>
      <c r="K105" s="7">
        <v>17700</v>
      </c>
      <c r="L105" s="3">
        <f t="shared" si="4"/>
        <v>146000</v>
      </c>
      <c r="M105" s="3">
        <v>137752.45315695863</v>
      </c>
      <c r="N105" s="3">
        <f t="shared" si="3"/>
        <v>146000</v>
      </c>
      <c r="O105" s="39">
        <v>17096</v>
      </c>
      <c r="P105" s="39">
        <v>25263</v>
      </c>
      <c r="Q105">
        <v>0</v>
      </c>
      <c r="R105" s="23" t="str">
        <f t="shared" si="5"/>
        <v>Yes</v>
      </c>
    </row>
    <row r="106" spans="1:18" ht="15" customHeight="1" x14ac:dyDescent="0.25">
      <c r="A106" s="1">
        <v>45730</v>
      </c>
      <c r="B106" s="7">
        <v>19230</v>
      </c>
      <c r="C106" s="7">
        <v>18270</v>
      </c>
      <c r="D106" s="7">
        <v>17460</v>
      </c>
      <c r="E106" s="7">
        <v>21350</v>
      </c>
      <c r="F106" s="7">
        <v>22400</v>
      </c>
      <c r="G106" s="7">
        <v>280</v>
      </c>
      <c r="H106" s="7">
        <v>25460</v>
      </c>
      <c r="I106" s="7">
        <v>25830</v>
      </c>
      <c r="J106" s="7">
        <v>15710</v>
      </c>
      <c r="K106" s="7">
        <v>26610</v>
      </c>
      <c r="L106" s="3">
        <f t="shared" si="4"/>
        <v>192600</v>
      </c>
      <c r="M106" s="3">
        <v>252854.62272972427</v>
      </c>
      <c r="N106" s="3">
        <f t="shared" si="3"/>
        <v>252854.62272972427</v>
      </c>
      <c r="O106" s="39">
        <v>11900</v>
      </c>
      <c r="P106" s="39">
        <v>26730</v>
      </c>
      <c r="Q106" s="3">
        <v>42221</v>
      </c>
      <c r="R106" s="23" t="str">
        <f t="shared" si="5"/>
        <v>Yes</v>
      </c>
    </row>
    <row r="107" spans="1:18" x14ac:dyDescent="0.25">
      <c r="A107" s="1">
        <v>45731</v>
      </c>
      <c r="B107" s="7">
        <v>16420</v>
      </c>
      <c r="C107" s="7">
        <v>15890</v>
      </c>
      <c r="D107" s="7">
        <v>14970</v>
      </c>
      <c r="E107" s="7">
        <v>18710</v>
      </c>
      <c r="F107" s="7">
        <v>19310</v>
      </c>
      <c r="G107" s="7">
        <v>28100</v>
      </c>
      <c r="H107" s="7">
        <v>22890</v>
      </c>
      <c r="I107" s="7">
        <v>24190</v>
      </c>
      <c r="J107" s="7">
        <v>14550</v>
      </c>
      <c r="K107" s="7">
        <v>25310</v>
      </c>
      <c r="L107" s="3">
        <f t="shared" si="4"/>
        <v>200340</v>
      </c>
      <c r="M107" s="3">
        <v>219764.75621152803</v>
      </c>
      <c r="N107" s="3">
        <f t="shared" si="3"/>
        <v>219764.75621152803</v>
      </c>
      <c r="O107" s="39">
        <v>11900</v>
      </c>
      <c r="P107" s="39">
        <v>26730</v>
      </c>
      <c r="Q107" s="3">
        <v>50888</v>
      </c>
      <c r="R107" s="23" t="str">
        <f t="shared" si="5"/>
        <v>Yes</v>
      </c>
    </row>
    <row r="108" spans="1:18" x14ac:dyDescent="0.25">
      <c r="A108" s="1">
        <v>45732</v>
      </c>
      <c r="B108" s="7">
        <v>14900</v>
      </c>
      <c r="C108" s="7">
        <v>14840</v>
      </c>
      <c r="D108" s="7">
        <v>13660</v>
      </c>
      <c r="E108" s="7">
        <v>17490</v>
      </c>
      <c r="F108" s="7">
        <v>17540</v>
      </c>
      <c r="G108" s="7">
        <v>23340</v>
      </c>
      <c r="H108" s="7">
        <v>20280</v>
      </c>
      <c r="I108" s="7">
        <v>19650</v>
      </c>
      <c r="J108" s="7">
        <v>10850</v>
      </c>
      <c r="K108" s="7">
        <v>20660</v>
      </c>
      <c r="L108" s="3">
        <f t="shared" si="4"/>
        <v>173210</v>
      </c>
      <c r="M108" s="3">
        <v>180396.4256789826</v>
      </c>
      <c r="N108" s="3">
        <f t="shared" si="3"/>
        <v>180396.4256789826</v>
      </c>
      <c r="O108" s="39">
        <v>11900</v>
      </c>
      <c r="P108" s="39">
        <v>26730</v>
      </c>
      <c r="Q108" s="3">
        <v>42022</v>
      </c>
      <c r="R108" s="23" t="str">
        <f t="shared" si="5"/>
        <v>Yes</v>
      </c>
    </row>
    <row r="109" spans="1:18" x14ac:dyDescent="0.25">
      <c r="A109" s="1">
        <v>45733</v>
      </c>
      <c r="B109" s="7">
        <v>11830</v>
      </c>
      <c r="C109" s="7">
        <v>11550</v>
      </c>
      <c r="D109" s="7">
        <v>10730</v>
      </c>
      <c r="E109" s="7">
        <v>13600</v>
      </c>
      <c r="F109" s="7">
        <v>13860</v>
      </c>
      <c r="G109" s="7">
        <v>15030</v>
      </c>
      <c r="H109" s="7">
        <v>12880</v>
      </c>
      <c r="I109" s="7">
        <v>12710</v>
      </c>
      <c r="J109" s="7">
        <v>7280</v>
      </c>
      <c r="K109" s="7">
        <v>13280</v>
      </c>
      <c r="L109" s="3">
        <f t="shared" si="4"/>
        <v>122750</v>
      </c>
      <c r="M109" s="3">
        <v>105815.64014683898</v>
      </c>
      <c r="N109" s="3">
        <f t="shared" si="3"/>
        <v>122750</v>
      </c>
      <c r="O109" s="39">
        <v>11900</v>
      </c>
      <c r="P109" s="39">
        <v>26730</v>
      </c>
      <c r="Q109" s="3">
        <v>24621</v>
      </c>
      <c r="R109" s="23" t="str">
        <f t="shared" si="5"/>
        <v>Yes</v>
      </c>
    </row>
    <row r="110" spans="1:18" x14ac:dyDescent="0.25">
      <c r="A110" s="1">
        <v>45734</v>
      </c>
      <c r="B110" s="7">
        <v>19670</v>
      </c>
      <c r="C110" s="7">
        <v>19280</v>
      </c>
      <c r="D110" s="7">
        <v>17820</v>
      </c>
      <c r="E110" s="7">
        <v>22490</v>
      </c>
      <c r="F110" s="7">
        <v>22750</v>
      </c>
      <c r="G110" s="7">
        <v>30650</v>
      </c>
      <c r="H110" s="7">
        <v>25630</v>
      </c>
      <c r="I110" s="7">
        <v>25490</v>
      </c>
      <c r="J110" s="7">
        <v>14710</v>
      </c>
      <c r="K110" s="7">
        <v>26050</v>
      </c>
      <c r="L110" s="3">
        <f t="shared" si="4"/>
        <v>224540</v>
      </c>
      <c r="M110" s="3">
        <v>280487.43453241885</v>
      </c>
      <c r="N110" s="3">
        <f t="shared" si="3"/>
        <v>280487.43453241885</v>
      </c>
      <c r="O110" s="39">
        <v>23900</v>
      </c>
      <c r="P110" s="39">
        <v>26730</v>
      </c>
      <c r="Q110" s="3">
        <v>64501</v>
      </c>
      <c r="R110" s="23" t="str">
        <f t="shared" si="5"/>
        <v>Yes</v>
      </c>
    </row>
    <row r="111" spans="1:18" x14ac:dyDescent="0.25">
      <c r="A111" s="1">
        <v>45735</v>
      </c>
      <c r="B111" s="7">
        <v>25760</v>
      </c>
      <c r="C111" s="7">
        <v>25230</v>
      </c>
      <c r="D111" s="7">
        <v>23380</v>
      </c>
      <c r="E111" s="7">
        <v>29440</v>
      </c>
      <c r="F111" s="7">
        <v>30100</v>
      </c>
      <c r="G111" s="7">
        <v>32300</v>
      </c>
      <c r="H111" s="7">
        <v>27740</v>
      </c>
      <c r="I111" s="7">
        <v>27480</v>
      </c>
      <c r="J111" s="7">
        <v>10510</v>
      </c>
      <c r="K111" s="7">
        <v>28920</v>
      </c>
      <c r="L111" s="3">
        <f t="shared" si="4"/>
        <v>260860</v>
      </c>
      <c r="M111" s="3">
        <v>263892.27946001594</v>
      </c>
      <c r="N111" s="3">
        <f t="shared" si="3"/>
        <v>263892.27946001594</v>
      </c>
      <c r="O111" s="39">
        <v>23900</v>
      </c>
      <c r="P111" s="39">
        <v>26730</v>
      </c>
      <c r="Q111">
        <v>0</v>
      </c>
      <c r="R111" s="23" t="str">
        <f t="shared" si="5"/>
        <v>No</v>
      </c>
    </row>
    <row r="112" spans="1:18" ht="33.75" customHeight="1" x14ac:dyDescent="0.25">
      <c r="A112" s="1">
        <v>45736</v>
      </c>
      <c r="B112" s="7">
        <v>9170</v>
      </c>
      <c r="C112" s="7">
        <v>8840</v>
      </c>
      <c r="D112" s="7">
        <v>8270</v>
      </c>
      <c r="E112" s="7">
        <v>10410</v>
      </c>
      <c r="F112" s="7">
        <v>10760</v>
      </c>
      <c r="G112" s="7">
        <v>11050</v>
      </c>
      <c r="H112" s="7">
        <v>9320</v>
      </c>
      <c r="I112" s="7">
        <v>9260</v>
      </c>
      <c r="J112" s="7">
        <v>8090</v>
      </c>
      <c r="K112" s="7">
        <v>9670</v>
      </c>
      <c r="L112" s="3">
        <f>SUM(B112:K112)</f>
        <v>94840</v>
      </c>
      <c r="M112" s="3">
        <v>69526.652313922008</v>
      </c>
      <c r="N112" s="3">
        <f t="shared" si="3"/>
        <v>94840</v>
      </c>
      <c r="O112" s="39">
        <v>11900</v>
      </c>
      <c r="P112" s="39">
        <v>26730</v>
      </c>
      <c r="Q112">
        <v>0</v>
      </c>
      <c r="R112" s="23" t="str">
        <f t="shared" si="5"/>
        <v>Yes</v>
      </c>
    </row>
    <row r="113" spans="1:18" x14ac:dyDescent="0.25">
      <c r="A113" s="1">
        <v>45737</v>
      </c>
      <c r="B113" s="7">
        <v>21360</v>
      </c>
      <c r="C113" s="7">
        <v>20490</v>
      </c>
      <c r="D113" s="7">
        <v>19250</v>
      </c>
      <c r="E113" s="7">
        <v>24060</v>
      </c>
      <c r="F113" s="7">
        <v>24910</v>
      </c>
      <c r="G113" s="7">
        <v>27910</v>
      </c>
      <c r="H113" s="7">
        <v>23400</v>
      </c>
      <c r="I113" s="7">
        <v>23410</v>
      </c>
      <c r="J113" s="7">
        <v>26080</v>
      </c>
      <c r="K113" s="7">
        <v>24340</v>
      </c>
      <c r="L113" s="3">
        <f t="shared" si="4"/>
        <v>235210</v>
      </c>
      <c r="M113" s="3">
        <v>211302.91320114059</v>
      </c>
      <c r="N113" s="3">
        <f t="shared" si="3"/>
        <v>235210</v>
      </c>
      <c r="O113" s="39">
        <v>11900</v>
      </c>
      <c r="P113" s="39">
        <v>26730</v>
      </c>
      <c r="Q113" s="3">
        <v>8845</v>
      </c>
      <c r="R113" s="23" t="str">
        <f t="shared" si="5"/>
        <v>Yes</v>
      </c>
    </row>
    <row r="114" spans="1:18" x14ac:dyDescent="0.25">
      <c r="A114" s="1">
        <v>45738</v>
      </c>
      <c r="B114" s="7">
        <v>14150</v>
      </c>
      <c r="C114" s="7">
        <v>13890</v>
      </c>
      <c r="D114" s="7">
        <v>12870</v>
      </c>
      <c r="E114" s="7">
        <v>16300</v>
      </c>
      <c r="F114" s="7">
        <v>16470</v>
      </c>
      <c r="G114" s="7">
        <v>21920</v>
      </c>
      <c r="H114" s="7">
        <v>18300</v>
      </c>
      <c r="I114" s="7">
        <v>18460</v>
      </c>
      <c r="J114" s="7">
        <v>22170</v>
      </c>
      <c r="K114" s="7">
        <v>19390</v>
      </c>
      <c r="L114" s="3">
        <f t="shared" si="4"/>
        <v>173920</v>
      </c>
      <c r="M114" s="3">
        <v>168585.36940938135</v>
      </c>
      <c r="N114" s="3">
        <f t="shared" si="3"/>
        <v>173920</v>
      </c>
      <c r="O114" s="39">
        <v>11900</v>
      </c>
      <c r="P114" s="39">
        <v>26730</v>
      </c>
      <c r="Q114" s="3">
        <v>39038</v>
      </c>
      <c r="R114" s="23" t="str">
        <f t="shared" si="5"/>
        <v>Yes</v>
      </c>
    </row>
    <row r="115" spans="1:18" x14ac:dyDescent="0.25">
      <c r="A115" s="1">
        <v>45739</v>
      </c>
      <c r="B115" s="7">
        <v>18730</v>
      </c>
      <c r="C115" s="7">
        <v>18400</v>
      </c>
      <c r="D115" s="7">
        <v>17160</v>
      </c>
      <c r="E115" s="7">
        <v>21650</v>
      </c>
      <c r="F115" s="7">
        <v>21980</v>
      </c>
      <c r="G115" s="7">
        <v>31050</v>
      </c>
      <c r="H115" s="7">
        <v>27230</v>
      </c>
      <c r="I115" s="7">
        <v>26270</v>
      </c>
      <c r="J115" s="7">
        <v>31250</v>
      </c>
      <c r="K115" s="7">
        <v>26720</v>
      </c>
      <c r="L115" s="3">
        <f t="shared" si="4"/>
        <v>240440</v>
      </c>
      <c r="M115" s="3">
        <v>255670.64910315131</v>
      </c>
      <c r="N115" s="3">
        <f t="shared" si="3"/>
        <v>255670.64910315131</v>
      </c>
      <c r="O115" s="39">
        <v>11900</v>
      </c>
      <c r="P115" s="39">
        <v>29712</v>
      </c>
      <c r="Q115" s="3">
        <v>59318</v>
      </c>
      <c r="R115" s="23" t="str">
        <f t="shared" si="5"/>
        <v>Yes</v>
      </c>
    </row>
    <row r="116" spans="1:18" x14ac:dyDescent="0.25">
      <c r="A116" s="1">
        <v>45740</v>
      </c>
      <c r="B116" s="7">
        <v>20200</v>
      </c>
      <c r="C116" s="7">
        <v>20080</v>
      </c>
      <c r="D116" s="7">
        <v>18560</v>
      </c>
      <c r="E116" s="7">
        <v>23680</v>
      </c>
      <c r="F116" s="7">
        <v>23580</v>
      </c>
      <c r="G116" s="7">
        <v>37680</v>
      </c>
      <c r="H116" s="7">
        <v>32750</v>
      </c>
      <c r="I116" s="7">
        <v>32450</v>
      </c>
      <c r="J116" s="7">
        <v>37910</v>
      </c>
      <c r="K116" s="7">
        <v>34220</v>
      </c>
      <c r="L116" s="3">
        <f t="shared" si="4"/>
        <v>281110</v>
      </c>
      <c r="M116" s="3">
        <v>311100.94782231288</v>
      </c>
      <c r="N116" s="3">
        <f t="shared" si="3"/>
        <v>311100.94782231288</v>
      </c>
      <c r="O116" s="39">
        <v>11900</v>
      </c>
      <c r="P116" s="39">
        <v>26730</v>
      </c>
      <c r="Q116" s="3">
        <v>55033</v>
      </c>
      <c r="R116" s="23" t="str">
        <f t="shared" si="5"/>
        <v>Yes</v>
      </c>
    </row>
    <row r="117" spans="1:18" x14ac:dyDescent="0.25">
      <c r="A117" s="1">
        <v>45741</v>
      </c>
      <c r="B117" s="7">
        <v>17360</v>
      </c>
      <c r="C117" s="7">
        <v>17090</v>
      </c>
      <c r="D117" s="7">
        <v>15860</v>
      </c>
      <c r="E117" s="7">
        <v>20120</v>
      </c>
      <c r="F117" s="7">
        <v>20300</v>
      </c>
      <c r="G117" s="7">
        <v>26900</v>
      </c>
      <c r="H117" s="7">
        <v>23800</v>
      </c>
      <c r="I117" s="7">
        <v>23550</v>
      </c>
      <c r="J117" s="7">
        <v>28200</v>
      </c>
      <c r="K117" s="7">
        <v>24260</v>
      </c>
      <c r="L117" s="3">
        <f t="shared" si="4"/>
        <v>217440</v>
      </c>
      <c r="M117" s="3">
        <v>217141.75201125917</v>
      </c>
      <c r="N117" s="3">
        <f t="shared" si="3"/>
        <v>217440</v>
      </c>
      <c r="O117" s="39">
        <v>11900</v>
      </c>
      <c r="P117" s="39">
        <v>26730</v>
      </c>
      <c r="Q117" s="3">
        <v>50400</v>
      </c>
      <c r="R117" s="23" t="str">
        <f t="shared" si="5"/>
        <v>Yes</v>
      </c>
    </row>
    <row r="118" spans="1:18" x14ac:dyDescent="0.25">
      <c r="A118" s="1">
        <v>45742</v>
      </c>
      <c r="B118" s="7">
        <v>17900</v>
      </c>
      <c r="C118" s="7">
        <v>17570</v>
      </c>
      <c r="D118" s="7">
        <v>16370</v>
      </c>
      <c r="E118" s="7">
        <v>20650</v>
      </c>
      <c r="F118" s="7">
        <v>21040</v>
      </c>
      <c r="G118" s="7">
        <v>31340</v>
      </c>
      <c r="H118" s="7">
        <v>28210</v>
      </c>
      <c r="I118" s="7">
        <v>28060</v>
      </c>
      <c r="J118" s="7">
        <v>34900</v>
      </c>
      <c r="K118" s="7">
        <v>28650</v>
      </c>
      <c r="L118" s="3">
        <f t="shared" si="4"/>
        <v>244690</v>
      </c>
      <c r="M118" s="3">
        <v>279901.64992372558</v>
      </c>
      <c r="N118" s="3">
        <f t="shared" si="3"/>
        <v>279901.64992372558</v>
      </c>
      <c r="O118" s="39">
        <v>11900</v>
      </c>
      <c r="P118" s="39">
        <v>25471</v>
      </c>
      <c r="Q118" s="3">
        <v>65061</v>
      </c>
      <c r="R118" s="23" t="str">
        <f t="shared" si="5"/>
        <v>Yes</v>
      </c>
    </row>
    <row r="119" spans="1:18" x14ac:dyDescent="0.25">
      <c r="A119" s="1">
        <v>45743</v>
      </c>
      <c r="B119" s="7">
        <v>16180</v>
      </c>
      <c r="C119" s="7">
        <v>14770</v>
      </c>
      <c r="D119" s="7">
        <v>18920</v>
      </c>
      <c r="E119" s="7">
        <v>21540</v>
      </c>
      <c r="F119" s="7">
        <v>25680</v>
      </c>
      <c r="G119" s="7">
        <v>15790</v>
      </c>
      <c r="H119" s="7">
        <v>18630</v>
      </c>
      <c r="I119" s="7">
        <v>25050</v>
      </c>
      <c r="J119" s="7">
        <v>21300</v>
      </c>
      <c r="K119" s="7">
        <v>21160</v>
      </c>
      <c r="L119" s="3">
        <f t="shared" si="4"/>
        <v>199020</v>
      </c>
      <c r="M119" s="3">
        <v>226120.56017980803</v>
      </c>
      <c r="N119" s="3">
        <f t="shared" si="3"/>
        <v>226120.56017980803</v>
      </c>
      <c r="O119" s="39">
        <v>2066</v>
      </c>
      <c r="P119" s="39">
        <v>26730</v>
      </c>
      <c r="Q119" s="3">
        <v>53171</v>
      </c>
      <c r="R119" s="23" t="str">
        <f t="shared" si="5"/>
        <v>Yes</v>
      </c>
    </row>
    <row r="120" spans="1:18" x14ac:dyDescent="0.25">
      <c r="A120" s="1">
        <v>45744</v>
      </c>
      <c r="B120" s="7">
        <v>1810</v>
      </c>
      <c r="C120" s="7">
        <v>1470</v>
      </c>
      <c r="D120" s="7">
        <v>1610</v>
      </c>
      <c r="E120" s="7">
        <v>1860</v>
      </c>
      <c r="F120" s="7">
        <v>2060</v>
      </c>
      <c r="G120" s="7">
        <v>27030</v>
      </c>
      <c r="H120" s="7">
        <v>21690</v>
      </c>
      <c r="I120" s="7">
        <v>22600</v>
      </c>
      <c r="J120" s="7">
        <v>27280</v>
      </c>
      <c r="K120" s="7">
        <v>17340</v>
      </c>
      <c r="L120" s="3">
        <f t="shared" si="4"/>
        <v>124750</v>
      </c>
      <c r="M120" s="3">
        <v>220448.69046514633</v>
      </c>
      <c r="N120" s="3">
        <f t="shared" si="3"/>
        <v>220448.69046514633</v>
      </c>
      <c r="O120" s="39">
        <v>0</v>
      </c>
      <c r="P120" s="39">
        <v>26730</v>
      </c>
      <c r="Q120" s="3">
        <v>100852</v>
      </c>
      <c r="R120" s="23" t="str">
        <f t="shared" si="5"/>
        <v>Yes</v>
      </c>
    </row>
    <row r="121" spans="1:18" x14ac:dyDescent="0.25">
      <c r="A121" s="1">
        <v>45745</v>
      </c>
      <c r="B121" s="7">
        <v>0</v>
      </c>
      <c r="C121" s="7">
        <v>0</v>
      </c>
      <c r="D121" s="7">
        <v>0</v>
      </c>
      <c r="E121" s="7">
        <v>0</v>
      </c>
      <c r="F121" s="7">
        <v>0</v>
      </c>
      <c r="G121" s="7">
        <v>23500</v>
      </c>
      <c r="H121" s="7">
        <v>19500</v>
      </c>
      <c r="I121" s="7">
        <v>19720</v>
      </c>
      <c r="J121" s="7">
        <v>23770</v>
      </c>
      <c r="K121" s="7">
        <v>20100</v>
      </c>
      <c r="L121" s="3">
        <f t="shared" si="4"/>
        <v>106590</v>
      </c>
      <c r="M121" s="3">
        <v>194352.35482349133</v>
      </c>
      <c r="N121" s="3">
        <f t="shared" si="3"/>
        <v>194352.35482349133</v>
      </c>
      <c r="O121" s="39">
        <v>0</v>
      </c>
      <c r="P121" s="39">
        <v>26730</v>
      </c>
      <c r="Q121" s="3">
        <v>92153</v>
      </c>
      <c r="R121" s="23" t="str">
        <f t="shared" si="5"/>
        <v>Yes</v>
      </c>
    </row>
    <row r="122" spans="1:18" ht="45" customHeight="1" x14ac:dyDescent="0.25">
      <c r="A122" s="1">
        <v>45746</v>
      </c>
      <c r="B122" s="7">
        <v>0</v>
      </c>
      <c r="C122" s="7">
        <v>0</v>
      </c>
      <c r="D122" s="7">
        <v>0</v>
      </c>
      <c r="E122" s="7">
        <v>0</v>
      </c>
      <c r="F122" s="7">
        <v>0</v>
      </c>
      <c r="G122" s="7">
        <v>15320</v>
      </c>
      <c r="H122" s="7">
        <v>12860</v>
      </c>
      <c r="I122" s="7">
        <v>12850</v>
      </c>
      <c r="J122" s="7">
        <v>15030</v>
      </c>
      <c r="K122" s="7">
        <v>13380</v>
      </c>
      <c r="L122" s="3">
        <f t="shared" si="4"/>
        <v>69440</v>
      </c>
      <c r="M122" s="3">
        <v>98966.957828083629</v>
      </c>
      <c r="N122" s="3">
        <f t="shared" si="3"/>
        <v>98966.957828083629</v>
      </c>
      <c r="O122" s="39">
        <v>11900</v>
      </c>
      <c r="P122" s="39">
        <v>26730</v>
      </c>
      <c r="Q122" s="3">
        <v>47288</v>
      </c>
      <c r="R122" s="23" t="str">
        <f t="shared" si="5"/>
        <v>Yes</v>
      </c>
    </row>
    <row r="123" spans="1:18" x14ac:dyDescent="0.25">
      <c r="A123" s="1">
        <v>45747</v>
      </c>
      <c r="B123" s="7">
        <v>17930</v>
      </c>
      <c r="C123" s="7">
        <v>17900</v>
      </c>
      <c r="D123" s="7">
        <v>16420</v>
      </c>
      <c r="E123" s="7">
        <v>20940</v>
      </c>
      <c r="F123" s="7">
        <v>20750</v>
      </c>
      <c r="G123" s="7">
        <v>39600</v>
      </c>
      <c r="H123" s="7">
        <v>33180</v>
      </c>
      <c r="I123" s="7">
        <v>33020</v>
      </c>
      <c r="J123" s="7">
        <v>37690</v>
      </c>
      <c r="K123" s="7">
        <v>33860</v>
      </c>
      <c r="L123" s="3">
        <f t="shared" si="4"/>
        <v>271290</v>
      </c>
      <c r="M123" s="3">
        <v>335196.6037235079</v>
      </c>
      <c r="N123" s="3">
        <f t="shared" si="3"/>
        <v>335196.6037235079</v>
      </c>
      <c r="O123" s="39">
        <v>4153</v>
      </c>
      <c r="P123" s="39">
        <v>26730</v>
      </c>
      <c r="Q123" s="3">
        <v>77703</v>
      </c>
      <c r="R123" s="23" t="str">
        <f t="shared" si="5"/>
        <v>Yes</v>
      </c>
    </row>
    <row r="124" spans="1:18" x14ac:dyDescent="0.25">
      <c r="A124" s="1">
        <v>45748</v>
      </c>
      <c r="B124" s="7">
        <v>4200</v>
      </c>
      <c r="C124" s="7">
        <v>4150</v>
      </c>
      <c r="D124" s="7">
        <v>3830</v>
      </c>
      <c r="E124" s="7">
        <v>4860</v>
      </c>
      <c r="F124" s="7">
        <v>4880</v>
      </c>
      <c r="G124" s="7">
        <v>26650</v>
      </c>
      <c r="H124" s="7">
        <v>22460</v>
      </c>
      <c r="I124" s="7">
        <v>22470</v>
      </c>
      <c r="J124" s="7">
        <v>26250</v>
      </c>
      <c r="K124" s="7">
        <v>23460</v>
      </c>
      <c r="L124" s="3">
        <f t="shared" si="4"/>
        <v>143210</v>
      </c>
      <c r="M124" s="3">
        <v>197302.43072642232</v>
      </c>
      <c r="N124" s="3">
        <f t="shared" si="3"/>
        <v>197302.43072642232</v>
      </c>
      <c r="O124" s="39">
        <v>0</v>
      </c>
      <c r="P124" s="39">
        <v>26730</v>
      </c>
      <c r="Q124" s="3">
        <v>75864</v>
      </c>
      <c r="R124" s="23" t="str">
        <f t="shared" si="5"/>
        <v>Yes</v>
      </c>
    </row>
    <row r="125" spans="1:18" x14ac:dyDescent="0.25">
      <c r="A125" s="1">
        <v>45749</v>
      </c>
      <c r="B125" s="7">
        <v>0</v>
      </c>
      <c r="C125" s="7">
        <v>0</v>
      </c>
      <c r="D125" s="7">
        <v>0</v>
      </c>
      <c r="E125" s="7">
        <v>0</v>
      </c>
      <c r="F125" s="7">
        <v>0</v>
      </c>
      <c r="G125" s="7">
        <v>33590</v>
      </c>
      <c r="H125" s="7">
        <v>26950</v>
      </c>
      <c r="I125" s="7">
        <v>28270</v>
      </c>
      <c r="J125" s="7">
        <v>33450</v>
      </c>
      <c r="K125" s="7">
        <v>28720</v>
      </c>
      <c r="L125" s="3">
        <f t="shared" si="4"/>
        <v>150980</v>
      </c>
      <c r="M125" s="3">
        <v>274581.79879152344</v>
      </c>
      <c r="N125" s="3">
        <f t="shared" si="3"/>
        <v>274581.79879152344</v>
      </c>
      <c r="O125" s="39">
        <v>0</v>
      </c>
      <c r="P125" s="39">
        <v>26730</v>
      </c>
      <c r="Q125" s="3">
        <v>129559</v>
      </c>
      <c r="R125" s="23" t="str">
        <f t="shared" si="5"/>
        <v>Yes</v>
      </c>
    </row>
    <row r="126" spans="1:18" x14ac:dyDescent="0.25">
      <c r="A126" s="1">
        <v>45750</v>
      </c>
      <c r="B126" s="7">
        <v>0</v>
      </c>
      <c r="C126" s="7">
        <v>0</v>
      </c>
      <c r="D126" s="7">
        <v>0</v>
      </c>
      <c r="E126" s="7">
        <v>0</v>
      </c>
      <c r="F126" s="7">
        <v>0</v>
      </c>
      <c r="G126" s="7">
        <v>17650</v>
      </c>
      <c r="H126" s="7">
        <v>13850</v>
      </c>
      <c r="I126" s="7">
        <v>14820</v>
      </c>
      <c r="J126" s="7">
        <v>18200</v>
      </c>
      <c r="K126" s="7">
        <v>15250</v>
      </c>
      <c r="L126" s="3">
        <f t="shared" si="4"/>
        <v>79770</v>
      </c>
      <c r="M126" s="3">
        <v>133022.17993055555</v>
      </c>
      <c r="N126" s="3">
        <f t="shared" si="3"/>
        <v>133022.17993055555</v>
      </c>
      <c r="O126" s="39">
        <v>0</v>
      </c>
      <c r="P126" s="39">
        <v>26730</v>
      </c>
      <c r="Q126" s="3">
        <v>62902</v>
      </c>
      <c r="R126" s="23" t="str">
        <f t="shared" si="5"/>
        <v>Yes</v>
      </c>
    </row>
    <row r="127" spans="1:18" x14ac:dyDescent="0.25">
      <c r="A127" s="1">
        <v>45751</v>
      </c>
      <c r="B127" s="7">
        <v>0</v>
      </c>
      <c r="C127" s="7">
        <v>0</v>
      </c>
      <c r="D127" s="7">
        <v>0</v>
      </c>
      <c r="E127" s="7">
        <v>0</v>
      </c>
      <c r="F127" s="7">
        <v>0</v>
      </c>
      <c r="G127" s="7">
        <v>31950</v>
      </c>
      <c r="H127" s="7">
        <v>26180</v>
      </c>
      <c r="I127" s="7">
        <v>26940</v>
      </c>
      <c r="J127" s="7">
        <v>32500</v>
      </c>
      <c r="K127" s="7">
        <v>28050</v>
      </c>
      <c r="L127" s="3">
        <f t="shared" si="4"/>
        <v>145620</v>
      </c>
      <c r="M127" s="3">
        <v>262871.44194444449</v>
      </c>
      <c r="N127" s="3">
        <f t="shared" si="3"/>
        <v>262871.44194444449</v>
      </c>
      <c r="O127" s="39">
        <v>0</v>
      </c>
      <c r="P127" s="39">
        <v>26730</v>
      </c>
      <c r="Q127" s="3">
        <v>123471</v>
      </c>
      <c r="R127" s="23" t="str">
        <f t="shared" si="5"/>
        <v>Yes</v>
      </c>
    </row>
    <row r="128" spans="1:18" x14ac:dyDescent="0.25">
      <c r="A128" s="1">
        <v>45752</v>
      </c>
      <c r="B128" s="7">
        <v>0</v>
      </c>
      <c r="C128" s="7">
        <v>0</v>
      </c>
      <c r="D128" s="7">
        <v>0</v>
      </c>
      <c r="E128" s="7">
        <v>0</v>
      </c>
      <c r="F128" s="7">
        <v>0</v>
      </c>
      <c r="G128" s="7">
        <v>29360</v>
      </c>
      <c r="H128" s="7">
        <v>24870</v>
      </c>
      <c r="I128" s="7">
        <v>24510</v>
      </c>
      <c r="J128" s="7">
        <v>28610</v>
      </c>
      <c r="K128" s="7">
        <v>25420</v>
      </c>
      <c r="L128" s="3">
        <f t="shared" si="4"/>
        <v>132770</v>
      </c>
      <c r="M128" s="3">
        <v>226030.66987662276</v>
      </c>
      <c r="N128" s="3">
        <f t="shared" si="3"/>
        <v>226030.66987662276</v>
      </c>
      <c r="O128" s="39">
        <v>0</v>
      </c>
      <c r="P128" s="39">
        <v>26730</v>
      </c>
      <c r="Q128" s="3">
        <v>106914</v>
      </c>
      <c r="R128" s="23" t="str">
        <f t="shared" si="5"/>
        <v>Yes</v>
      </c>
    </row>
    <row r="129" spans="1:18" ht="47.25" customHeight="1" x14ac:dyDescent="0.25">
      <c r="A129" s="1">
        <v>45753</v>
      </c>
      <c r="B129" s="7">
        <v>0</v>
      </c>
      <c r="C129" s="7">
        <v>0</v>
      </c>
      <c r="D129" s="7">
        <v>0</v>
      </c>
      <c r="E129" s="7">
        <v>0</v>
      </c>
      <c r="F129" s="7">
        <v>0</v>
      </c>
      <c r="G129" s="7">
        <v>19810</v>
      </c>
      <c r="H129" s="7">
        <v>16690</v>
      </c>
      <c r="I129" s="7">
        <v>16610</v>
      </c>
      <c r="J129" s="7">
        <v>19180</v>
      </c>
      <c r="K129" s="7">
        <v>17170</v>
      </c>
      <c r="L129" s="3">
        <f t="shared" si="4"/>
        <v>89460</v>
      </c>
      <c r="M129" s="3">
        <v>143655.40333929937</v>
      </c>
      <c r="N129" s="3">
        <f t="shared" si="3"/>
        <v>143655.40333929937</v>
      </c>
      <c r="O129" s="39">
        <v>0</v>
      </c>
      <c r="P129" s="39">
        <v>26730</v>
      </c>
      <c r="Q129" s="3">
        <v>67882</v>
      </c>
      <c r="R129" s="23" t="str">
        <f t="shared" si="5"/>
        <v>Yes</v>
      </c>
    </row>
    <row r="130" spans="1:18" ht="48" customHeight="1" x14ac:dyDescent="0.25">
      <c r="A130" s="1">
        <v>45754</v>
      </c>
      <c r="B130" s="7">
        <v>0</v>
      </c>
      <c r="C130" s="7">
        <v>0</v>
      </c>
      <c r="D130" s="7">
        <v>0</v>
      </c>
      <c r="E130" s="7">
        <v>0</v>
      </c>
      <c r="F130" s="7">
        <v>0</v>
      </c>
      <c r="G130" s="7">
        <v>38510</v>
      </c>
      <c r="H130" s="7">
        <v>32100</v>
      </c>
      <c r="I130" s="7">
        <v>31890</v>
      </c>
      <c r="J130" s="7">
        <v>36830</v>
      </c>
      <c r="K130" s="7">
        <v>32700</v>
      </c>
      <c r="L130" s="3">
        <f t="shared" si="4"/>
        <v>172030</v>
      </c>
      <c r="M130" s="3">
        <v>331898.34886764985</v>
      </c>
      <c r="N130" s="3">
        <f t="shared" si="3"/>
        <v>331898.34886764985</v>
      </c>
      <c r="O130" s="39">
        <v>0</v>
      </c>
      <c r="P130" s="39">
        <v>26730</v>
      </c>
      <c r="Q130" s="3">
        <v>154669</v>
      </c>
      <c r="R130" s="23" t="str">
        <f t="shared" si="5"/>
        <v>Yes</v>
      </c>
    </row>
    <row r="131" spans="1:18" ht="43.5" customHeight="1" x14ac:dyDescent="0.25">
      <c r="A131" s="1">
        <v>45755</v>
      </c>
      <c r="B131" s="7">
        <v>0</v>
      </c>
      <c r="C131" s="7">
        <v>0</v>
      </c>
      <c r="D131" s="7">
        <v>0</v>
      </c>
      <c r="E131" s="7">
        <v>0</v>
      </c>
      <c r="F131" s="7">
        <v>0</v>
      </c>
      <c r="G131" s="7">
        <v>28090</v>
      </c>
      <c r="H131" s="7">
        <v>23150</v>
      </c>
      <c r="I131" s="7">
        <v>22280</v>
      </c>
      <c r="J131" s="7">
        <v>23840</v>
      </c>
      <c r="K131" s="7">
        <v>22630</v>
      </c>
      <c r="L131" s="3">
        <f t="shared" si="4"/>
        <v>119990</v>
      </c>
      <c r="M131" s="3">
        <v>234196.39864810035</v>
      </c>
      <c r="N131" s="3">
        <f t="shared" ref="N131:N194" si="6">IF(OR(O131&lt;24300,P131&lt;25700),MAX(L131,M131),L131)</f>
        <v>234196.39864810035</v>
      </c>
      <c r="O131" s="39">
        <v>0</v>
      </c>
      <c r="P131" s="39">
        <v>26730</v>
      </c>
      <c r="Q131" s="3">
        <v>111345</v>
      </c>
      <c r="R131" s="23" t="str">
        <f t="shared" si="5"/>
        <v>Yes</v>
      </c>
    </row>
    <row r="132" spans="1:18" ht="42" customHeight="1" x14ac:dyDescent="0.25">
      <c r="A132" s="1">
        <v>45756</v>
      </c>
      <c r="B132" s="7">
        <v>0</v>
      </c>
      <c r="C132" s="7">
        <v>0</v>
      </c>
      <c r="D132" s="7">
        <v>0</v>
      </c>
      <c r="E132" s="7">
        <v>0</v>
      </c>
      <c r="F132" s="7">
        <v>0</v>
      </c>
      <c r="G132" s="7">
        <v>35220</v>
      </c>
      <c r="H132" s="7">
        <v>29960</v>
      </c>
      <c r="I132" s="7">
        <v>29500</v>
      </c>
      <c r="J132" s="7">
        <v>33770</v>
      </c>
      <c r="K132" s="7">
        <v>30340</v>
      </c>
      <c r="L132" s="3">
        <f t="shared" ref="L132:L195" si="7">SUM(B132:K132)</f>
        <v>158790</v>
      </c>
      <c r="M132" s="3">
        <v>290729.54891370755</v>
      </c>
      <c r="N132" s="3">
        <f t="shared" si="6"/>
        <v>290729.54891370755</v>
      </c>
      <c r="O132" s="39">
        <v>0</v>
      </c>
      <c r="P132" s="39">
        <v>26730</v>
      </c>
      <c r="Q132" s="3">
        <v>135745</v>
      </c>
      <c r="R132" s="23" t="str">
        <f t="shared" si="5"/>
        <v>Yes</v>
      </c>
    </row>
    <row r="133" spans="1:18" x14ac:dyDescent="0.25">
      <c r="A133" s="1">
        <v>45757</v>
      </c>
      <c r="B133" s="7">
        <v>0</v>
      </c>
      <c r="C133" s="7">
        <v>0</v>
      </c>
      <c r="D133" s="7">
        <v>0</v>
      </c>
      <c r="E133" s="7">
        <v>0</v>
      </c>
      <c r="F133" s="7">
        <v>0</v>
      </c>
      <c r="G133" s="7">
        <v>31260</v>
      </c>
      <c r="H133" s="7">
        <v>27250</v>
      </c>
      <c r="I133" s="7">
        <v>26850</v>
      </c>
      <c r="J133" s="7">
        <v>30880</v>
      </c>
      <c r="K133" s="7">
        <v>27760</v>
      </c>
      <c r="L133" s="3">
        <f t="shared" si="7"/>
        <v>144000</v>
      </c>
      <c r="M133" s="3">
        <v>261191.80763960481</v>
      </c>
      <c r="N133" s="3">
        <f t="shared" si="6"/>
        <v>261191.80763960481</v>
      </c>
      <c r="O133" s="39">
        <v>0</v>
      </c>
      <c r="P133" s="39">
        <v>26730</v>
      </c>
      <c r="Q133" s="3">
        <v>121751</v>
      </c>
      <c r="R133" s="23" t="str">
        <f t="shared" si="5"/>
        <v>Yes</v>
      </c>
    </row>
    <row r="134" spans="1:18" ht="48.75" customHeight="1" x14ac:dyDescent="0.25">
      <c r="A134" s="1">
        <v>45758</v>
      </c>
      <c r="B134" s="7">
        <v>0</v>
      </c>
      <c r="C134" s="7">
        <v>0</v>
      </c>
      <c r="D134" s="7">
        <v>0</v>
      </c>
      <c r="E134" s="7">
        <v>0</v>
      </c>
      <c r="F134" s="7">
        <v>0</v>
      </c>
      <c r="G134" s="7">
        <v>7100</v>
      </c>
      <c r="H134" s="7">
        <v>6010</v>
      </c>
      <c r="I134" s="7">
        <v>5980</v>
      </c>
      <c r="J134" s="7">
        <v>6960</v>
      </c>
      <c r="K134" s="7">
        <v>6200</v>
      </c>
      <c r="L134" s="3">
        <f t="shared" si="7"/>
        <v>32250</v>
      </c>
      <c r="M134" s="3">
        <v>44799.995195446732</v>
      </c>
      <c r="N134" s="3">
        <f t="shared" si="6"/>
        <v>44799.995195446732</v>
      </c>
      <c r="O134" s="39">
        <v>4694</v>
      </c>
      <c r="P134" s="39">
        <v>26730</v>
      </c>
      <c r="Q134" s="3">
        <v>21141</v>
      </c>
      <c r="R134" s="23" t="str">
        <f t="shared" si="5"/>
        <v>Yes</v>
      </c>
    </row>
    <row r="135" spans="1:18" ht="49.5" customHeight="1" x14ac:dyDescent="0.25">
      <c r="A135" s="1">
        <v>45759</v>
      </c>
      <c r="B135" s="7">
        <v>4270</v>
      </c>
      <c r="C135" s="7">
        <v>3700</v>
      </c>
      <c r="D135" s="7">
        <v>3670</v>
      </c>
      <c r="E135" s="7">
        <v>4390</v>
      </c>
      <c r="F135" s="7">
        <v>4750</v>
      </c>
      <c r="G135" s="7">
        <v>35560</v>
      </c>
      <c r="H135" s="7">
        <v>29730</v>
      </c>
      <c r="I135" s="7">
        <v>29850</v>
      </c>
      <c r="J135" s="7">
        <v>35500</v>
      </c>
      <c r="K135" s="7">
        <v>30640</v>
      </c>
      <c r="L135" s="3">
        <f t="shared" si="7"/>
        <v>182060</v>
      </c>
      <c r="M135" s="3">
        <v>301616.36125310225</v>
      </c>
      <c r="N135" s="3">
        <f t="shared" si="6"/>
        <v>301616.36125310225</v>
      </c>
      <c r="O135" s="39">
        <v>5834</v>
      </c>
      <c r="P135" s="39">
        <v>24368</v>
      </c>
      <c r="Q135" s="3">
        <v>125132</v>
      </c>
      <c r="R135" s="23" t="str">
        <f t="shared" si="5"/>
        <v>Yes</v>
      </c>
    </row>
    <row r="136" spans="1:18" x14ac:dyDescent="0.25">
      <c r="A136" s="1">
        <v>45760</v>
      </c>
      <c r="B136" s="7">
        <v>4110</v>
      </c>
      <c r="C136" s="7">
        <v>4000</v>
      </c>
      <c r="D136" s="7">
        <v>3670</v>
      </c>
      <c r="E136" s="7">
        <v>4680</v>
      </c>
      <c r="F136" s="7">
        <v>4670</v>
      </c>
      <c r="G136" s="7">
        <v>19140</v>
      </c>
      <c r="H136" s="7">
        <v>16220</v>
      </c>
      <c r="I136" s="7">
        <v>16160</v>
      </c>
      <c r="J136" s="7">
        <v>18870</v>
      </c>
      <c r="K136" s="7">
        <v>16600</v>
      </c>
      <c r="L136" s="3">
        <f t="shared" si="7"/>
        <v>108120</v>
      </c>
      <c r="M136" s="3">
        <v>145553.60321759264</v>
      </c>
      <c r="N136" s="3">
        <f t="shared" si="6"/>
        <v>145553.60321759264</v>
      </c>
      <c r="O136" s="39">
        <v>10000</v>
      </c>
      <c r="P136" s="39">
        <v>30030</v>
      </c>
      <c r="Q136" s="3">
        <v>64655</v>
      </c>
      <c r="R136" s="23" t="str">
        <f>IF(Q136&gt;0,"Yes",IF(OR((O136+P136&lt;50000),O136&lt;20000,P136&lt;30030),"Yes","No"))</f>
        <v>Yes</v>
      </c>
    </row>
    <row r="137" spans="1:18" ht="43.5" customHeight="1" x14ac:dyDescent="0.25">
      <c r="A137" s="1">
        <v>45761</v>
      </c>
      <c r="B137" s="7">
        <v>17050</v>
      </c>
      <c r="C137" s="7">
        <v>16700</v>
      </c>
      <c r="D137" s="7">
        <v>15600</v>
      </c>
      <c r="E137" s="7">
        <v>19540</v>
      </c>
      <c r="F137" s="7">
        <v>19760</v>
      </c>
      <c r="G137" s="7">
        <v>31380</v>
      </c>
      <c r="H137" s="7">
        <v>26320</v>
      </c>
      <c r="I137" s="7">
        <v>26580</v>
      </c>
      <c r="J137" s="7">
        <v>31700</v>
      </c>
      <c r="K137" s="7">
        <v>26950</v>
      </c>
      <c r="L137" s="3">
        <f t="shared" si="7"/>
        <v>231580</v>
      </c>
      <c r="M137" s="3">
        <v>265963.07923969073</v>
      </c>
      <c r="N137" s="3">
        <f t="shared" si="6"/>
        <v>265963.07923969073</v>
      </c>
      <c r="O137" s="39">
        <v>10000</v>
      </c>
      <c r="P137" s="39">
        <v>30030</v>
      </c>
      <c r="Q137" s="3">
        <v>53209</v>
      </c>
      <c r="R137" s="23" t="str">
        <f t="shared" ref="R137:R200" si="8">IF(Q137&gt;0,"Yes",IF(OR((O137+P137&lt;50000),O137&lt;20000,P137&lt;30030),"Yes","No"))</f>
        <v>Yes</v>
      </c>
    </row>
    <row r="138" spans="1:18" x14ac:dyDescent="0.25">
      <c r="A138" s="1">
        <v>45762</v>
      </c>
      <c r="B138" s="7">
        <v>11140</v>
      </c>
      <c r="C138" s="7">
        <v>10840</v>
      </c>
      <c r="D138" s="7">
        <v>10010</v>
      </c>
      <c r="E138" s="7">
        <v>12680</v>
      </c>
      <c r="F138" s="7">
        <v>12950</v>
      </c>
      <c r="G138" s="7">
        <v>13520</v>
      </c>
      <c r="H138" s="7">
        <v>11410</v>
      </c>
      <c r="I138" s="7">
        <v>11360</v>
      </c>
      <c r="J138" s="7">
        <v>13230</v>
      </c>
      <c r="K138" s="7">
        <v>11780</v>
      </c>
      <c r="L138" s="3">
        <f t="shared" si="7"/>
        <v>118920</v>
      </c>
      <c r="M138" s="3">
        <v>90312.021850897305</v>
      </c>
      <c r="N138" s="3">
        <f t="shared" si="6"/>
        <v>118920</v>
      </c>
      <c r="O138" s="39">
        <v>20000</v>
      </c>
      <c r="P138" s="39">
        <v>30030</v>
      </c>
      <c r="Q138" s="3">
        <v>18282</v>
      </c>
      <c r="R138" s="23" t="str">
        <f t="shared" si="8"/>
        <v>Yes</v>
      </c>
    </row>
    <row r="139" spans="1:18" x14ac:dyDescent="0.25">
      <c r="A139" s="1">
        <v>45763</v>
      </c>
      <c r="B139" s="7">
        <v>28930</v>
      </c>
      <c r="C139" s="7">
        <v>28160</v>
      </c>
      <c r="D139" s="7">
        <v>26670</v>
      </c>
      <c r="E139" s="7">
        <v>33510</v>
      </c>
      <c r="F139" s="7">
        <v>34350</v>
      </c>
      <c r="G139" s="7">
        <v>40740</v>
      </c>
      <c r="H139" s="7">
        <v>34180</v>
      </c>
      <c r="I139" s="7">
        <v>34410</v>
      </c>
      <c r="J139" s="7">
        <v>40430</v>
      </c>
      <c r="K139" s="7">
        <v>34650</v>
      </c>
      <c r="L139" s="3">
        <f t="shared" si="7"/>
        <v>336030</v>
      </c>
      <c r="M139" s="3">
        <v>327626.98613020236</v>
      </c>
      <c r="N139" s="3">
        <f t="shared" si="6"/>
        <v>336030</v>
      </c>
      <c r="O139" s="39">
        <v>20000</v>
      </c>
      <c r="P139" s="39">
        <v>30030</v>
      </c>
      <c r="Q139">
        <v>0</v>
      </c>
      <c r="R139" s="23" t="str">
        <f t="shared" si="8"/>
        <v>No</v>
      </c>
    </row>
    <row r="140" spans="1:18" x14ac:dyDescent="0.25">
      <c r="A140" s="1">
        <v>45764</v>
      </c>
      <c r="B140" s="7">
        <v>23050</v>
      </c>
      <c r="C140" s="7">
        <v>22530</v>
      </c>
      <c r="D140" s="7">
        <v>21010</v>
      </c>
      <c r="E140" s="7">
        <v>26650</v>
      </c>
      <c r="F140" s="7">
        <v>27130</v>
      </c>
      <c r="G140" s="7">
        <v>30390</v>
      </c>
      <c r="H140" s="7">
        <v>25760</v>
      </c>
      <c r="I140" s="7">
        <v>25570</v>
      </c>
      <c r="J140" s="7">
        <v>29460</v>
      </c>
      <c r="K140" s="7">
        <v>26450</v>
      </c>
      <c r="L140" s="3">
        <f t="shared" si="7"/>
        <v>258000</v>
      </c>
      <c r="M140" s="3">
        <v>233647.42404448264</v>
      </c>
      <c r="N140" s="3">
        <f t="shared" si="6"/>
        <v>258000</v>
      </c>
      <c r="O140" s="39">
        <v>20000</v>
      </c>
      <c r="P140" s="39">
        <v>30030</v>
      </c>
      <c r="Q140">
        <v>0</v>
      </c>
      <c r="R140" s="23" t="str">
        <f t="shared" si="8"/>
        <v>No</v>
      </c>
    </row>
    <row r="141" spans="1:18" x14ac:dyDescent="0.25">
      <c r="A141" s="1">
        <v>45765</v>
      </c>
      <c r="B141" s="7">
        <v>18970</v>
      </c>
      <c r="C141" s="7">
        <v>18390</v>
      </c>
      <c r="D141" s="7">
        <v>17120</v>
      </c>
      <c r="E141" s="7">
        <v>21600</v>
      </c>
      <c r="F141" s="7">
        <v>22170</v>
      </c>
      <c r="G141" s="7">
        <v>23810</v>
      </c>
      <c r="H141" s="7">
        <v>20300</v>
      </c>
      <c r="I141" s="7">
        <v>19910</v>
      </c>
      <c r="J141" s="7">
        <v>22890</v>
      </c>
      <c r="K141" s="7">
        <v>20430</v>
      </c>
      <c r="L141" s="3">
        <f t="shared" si="7"/>
        <v>205590</v>
      </c>
      <c r="M141" s="3">
        <v>179768.11910915424</v>
      </c>
      <c r="N141" s="3">
        <f t="shared" si="6"/>
        <v>205590</v>
      </c>
      <c r="O141" s="39">
        <v>20000</v>
      </c>
      <c r="P141" s="39">
        <v>30030</v>
      </c>
      <c r="Q141">
        <v>0</v>
      </c>
      <c r="R141" s="23" t="str">
        <f t="shared" si="8"/>
        <v>No</v>
      </c>
    </row>
    <row r="142" spans="1:18" x14ac:dyDescent="0.25">
      <c r="A142" s="1">
        <v>45766</v>
      </c>
      <c r="B142" s="7">
        <v>20460</v>
      </c>
      <c r="C142" s="7">
        <v>20280</v>
      </c>
      <c r="D142" s="7">
        <v>19180</v>
      </c>
      <c r="E142" s="7">
        <v>24300</v>
      </c>
      <c r="F142" s="7">
        <v>15570</v>
      </c>
      <c r="G142" s="7">
        <v>28420</v>
      </c>
      <c r="H142" s="7">
        <v>22570</v>
      </c>
      <c r="I142" s="7">
        <v>22390</v>
      </c>
      <c r="J142" s="7">
        <v>24910</v>
      </c>
      <c r="K142" s="7">
        <v>22140</v>
      </c>
      <c r="L142" s="3">
        <f t="shared" si="7"/>
        <v>220220</v>
      </c>
      <c r="M142" s="3">
        <v>217085.50620298777</v>
      </c>
      <c r="N142" s="3">
        <f t="shared" si="6"/>
        <v>220220</v>
      </c>
      <c r="O142" s="39">
        <v>20000</v>
      </c>
      <c r="P142" s="39">
        <v>30030</v>
      </c>
      <c r="Q142">
        <v>0</v>
      </c>
      <c r="R142" s="23" t="str">
        <f t="shared" si="8"/>
        <v>No</v>
      </c>
    </row>
    <row r="143" spans="1:18" x14ac:dyDescent="0.25">
      <c r="A143" s="1">
        <v>45767</v>
      </c>
      <c r="B143" s="7">
        <v>27810</v>
      </c>
      <c r="C143" s="7">
        <v>27880</v>
      </c>
      <c r="D143" s="7">
        <v>24660</v>
      </c>
      <c r="E143" s="7">
        <v>31420</v>
      </c>
      <c r="F143" s="7">
        <v>30850</v>
      </c>
      <c r="G143" s="7">
        <v>38810</v>
      </c>
      <c r="H143" s="7">
        <v>31790</v>
      </c>
      <c r="I143" s="7">
        <v>32730</v>
      </c>
      <c r="J143" s="7">
        <v>37880</v>
      </c>
      <c r="K143" s="7">
        <v>32350</v>
      </c>
      <c r="L143" s="3">
        <f t="shared" si="7"/>
        <v>316180</v>
      </c>
      <c r="M143" s="3">
        <v>325549.37414853001</v>
      </c>
      <c r="N143" s="3">
        <f t="shared" si="6"/>
        <v>325549.37414853001</v>
      </c>
      <c r="O143" s="39">
        <v>20000</v>
      </c>
      <c r="P143" s="39">
        <v>30030</v>
      </c>
      <c r="Q143">
        <v>0</v>
      </c>
      <c r="R143" s="23" t="str">
        <f t="shared" si="8"/>
        <v>No</v>
      </c>
    </row>
    <row r="144" spans="1:18" x14ac:dyDescent="0.25">
      <c r="A144" s="1">
        <v>45768</v>
      </c>
      <c r="B144" s="7">
        <v>18340</v>
      </c>
      <c r="C144" s="7">
        <v>18430</v>
      </c>
      <c r="D144" s="7">
        <v>17020</v>
      </c>
      <c r="E144" s="7">
        <v>21010</v>
      </c>
      <c r="F144" s="7">
        <v>21640</v>
      </c>
      <c r="G144" s="7">
        <v>23760</v>
      </c>
      <c r="H144" s="7">
        <v>19750</v>
      </c>
      <c r="I144" s="7">
        <v>19600</v>
      </c>
      <c r="J144" s="7">
        <v>23220</v>
      </c>
      <c r="K144" s="7">
        <v>20290</v>
      </c>
      <c r="L144" s="3">
        <f t="shared" si="7"/>
        <v>203060</v>
      </c>
      <c r="M144" s="3">
        <v>192961.75058004601</v>
      </c>
      <c r="N144" s="3">
        <f t="shared" si="6"/>
        <v>203060</v>
      </c>
      <c r="O144" s="39">
        <v>20000</v>
      </c>
      <c r="P144" s="39">
        <v>30030</v>
      </c>
      <c r="Q144">
        <v>0</v>
      </c>
      <c r="R144" s="23" t="str">
        <f t="shared" si="8"/>
        <v>No</v>
      </c>
    </row>
    <row r="145" spans="1:18" x14ac:dyDescent="0.25">
      <c r="A145" s="1">
        <v>45769</v>
      </c>
      <c r="B145" s="7">
        <v>21590</v>
      </c>
      <c r="C145" s="7">
        <v>24150</v>
      </c>
      <c r="D145" s="7">
        <v>22820</v>
      </c>
      <c r="E145" s="7">
        <v>27240</v>
      </c>
      <c r="F145" s="7">
        <v>29400</v>
      </c>
      <c r="G145" s="7">
        <v>24480</v>
      </c>
      <c r="H145" s="7">
        <v>20890</v>
      </c>
      <c r="I145" s="7">
        <v>20680</v>
      </c>
      <c r="J145" s="7">
        <v>23880</v>
      </c>
      <c r="K145" s="7">
        <v>19930</v>
      </c>
      <c r="L145" s="3">
        <f t="shared" si="7"/>
        <v>235060</v>
      </c>
      <c r="M145" s="3">
        <v>246151.09297298591</v>
      </c>
      <c r="N145" s="3">
        <f t="shared" si="6"/>
        <v>246151.09297298591</v>
      </c>
      <c r="O145" s="39">
        <v>20000</v>
      </c>
      <c r="P145" s="39">
        <v>30030</v>
      </c>
      <c r="Q145">
        <v>0</v>
      </c>
      <c r="R145" s="23" t="str">
        <f t="shared" si="8"/>
        <v>No</v>
      </c>
    </row>
    <row r="146" spans="1:18" x14ac:dyDescent="0.25">
      <c r="A146" s="1">
        <v>45770</v>
      </c>
      <c r="B146" s="7">
        <v>19090</v>
      </c>
      <c r="C146" s="7">
        <v>19280</v>
      </c>
      <c r="D146" s="7">
        <v>17630</v>
      </c>
      <c r="E146" s="7">
        <v>21410</v>
      </c>
      <c r="F146" s="7">
        <v>22510</v>
      </c>
      <c r="G146" s="7">
        <v>24510</v>
      </c>
      <c r="H146" s="7">
        <v>20580</v>
      </c>
      <c r="I146" s="7">
        <v>20390</v>
      </c>
      <c r="J146" s="7">
        <v>23760</v>
      </c>
      <c r="K146" s="7">
        <v>19360</v>
      </c>
      <c r="L146" s="3">
        <f t="shared" si="7"/>
        <v>208520</v>
      </c>
      <c r="M146" s="3">
        <v>189123.65079825316</v>
      </c>
      <c r="N146" s="3">
        <f t="shared" si="6"/>
        <v>208520</v>
      </c>
      <c r="O146" s="39">
        <v>20000</v>
      </c>
      <c r="P146" s="39">
        <v>26831</v>
      </c>
      <c r="Q146">
        <v>0</v>
      </c>
      <c r="R146" s="23" t="str">
        <f t="shared" si="8"/>
        <v>Yes</v>
      </c>
    </row>
    <row r="147" spans="1:18" x14ac:dyDescent="0.25">
      <c r="A147" s="1">
        <v>45771</v>
      </c>
      <c r="B147" s="7">
        <v>13580</v>
      </c>
      <c r="C147" s="7">
        <v>13610</v>
      </c>
      <c r="D147" s="7">
        <v>12640</v>
      </c>
      <c r="E147" s="7">
        <v>15240</v>
      </c>
      <c r="F147" s="7">
        <v>16380</v>
      </c>
      <c r="G147" s="7">
        <v>17460</v>
      </c>
      <c r="H147" s="7">
        <v>14110</v>
      </c>
      <c r="I147" s="7">
        <v>14510</v>
      </c>
      <c r="J147" s="7">
        <v>17880</v>
      </c>
      <c r="K147" s="7">
        <v>13640</v>
      </c>
      <c r="L147" s="3">
        <f t="shared" si="7"/>
        <v>149050</v>
      </c>
      <c r="M147" s="3">
        <v>128389.84532765366</v>
      </c>
      <c r="N147" s="3">
        <f t="shared" si="6"/>
        <v>149050</v>
      </c>
      <c r="O147" s="39">
        <v>12347</v>
      </c>
      <c r="P147" s="39">
        <v>30030</v>
      </c>
      <c r="Q147" s="3">
        <v>4878</v>
      </c>
      <c r="R147" s="23" t="str">
        <f t="shared" si="8"/>
        <v>Yes</v>
      </c>
    </row>
    <row r="148" spans="1:18" x14ac:dyDescent="0.25">
      <c r="A148" s="1">
        <v>45772</v>
      </c>
      <c r="B148" s="7">
        <v>13470</v>
      </c>
      <c r="C148" s="7">
        <v>13050</v>
      </c>
      <c r="D148" s="7">
        <v>12470</v>
      </c>
      <c r="E148" s="7">
        <v>15290</v>
      </c>
      <c r="F148" s="7">
        <v>16000</v>
      </c>
      <c r="G148" s="7">
        <v>26550</v>
      </c>
      <c r="H148" s="7">
        <v>22210</v>
      </c>
      <c r="I148" s="7">
        <v>22100</v>
      </c>
      <c r="J148" s="7">
        <v>25670</v>
      </c>
      <c r="K148" s="7">
        <v>21020</v>
      </c>
      <c r="L148" s="3">
        <f t="shared" si="7"/>
        <v>187830</v>
      </c>
      <c r="M148" s="3">
        <v>198846.26691986449</v>
      </c>
      <c r="N148" s="3">
        <f t="shared" si="6"/>
        <v>198846.26691986449</v>
      </c>
      <c r="O148" s="39">
        <v>20000</v>
      </c>
      <c r="P148" s="39">
        <v>30030</v>
      </c>
      <c r="Q148" s="3">
        <v>39348</v>
      </c>
      <c r="R148" s="23" t="str">
        <f t="shared" si="8"/>
        <v>Yes</v>
      </c>
    </row>
    <row r="149" spans="1:18" x14ac:dyDescent="0.25">
      <c r="A149" s="1">
        <v>45773</v>
      </c>
      <c r="B149" s="7">
        <v>22820</v>
      </c>
      <c r="C149" s="7">
        <v>23170</v>
      </c>
      <c r="D149" s="7">
        <v>21370</v>
      </c>
      <c r="E149" s="7">
        <v>26460</v>
      </c>
      <c r="F149" s="7">
        <v>27330</v>
      </c>
      <c r="G149" s="7">
        <v>35070</v>
      </c>
      <c r="H149" s="7">
        <v>30010</v>
      </c>
      <c r="I149" s="7">
        <v>29680</v>
      </c>
      <c r="J149" s="7">
        <v>34070</v>
      </c>
      <c r="K149" s="7">
        <v>28350</v>
      </c>
      <c r="L149" s="3">
        <f t="shared" si="7"/>
        <v>278330</v>
      </c>
      <c r="M149" s="3">
        <v>281157.76451436611</v>
      </c>
      <c r="N149" s="3">
        <f t="shared" si="6"/>
        <v>281157.76451436611</v>
      </c>
      <c r="O149" s="39">
        <v>20000</v>
      </c>
      <c r="P149" s="39">
        <v>30030</v>
      </c>
      <c r="Q149" s="3">
        <v>16779</v>
      </c>
      <c r="R149" s="23" t="str">
        <f t="shared" si="8"/>
        <v>Yes</v>
      </c>
    </row>
    <row r="150" spans="1:18" x14ac:dyDescent="0.25">
      <c r="A150" s="1">
        <v>45774</v>
      </c>
      <c r="B150" s="7">
        <v>20360</v>
      </c>
      <c r="C150" s="7">
        <v>21250</v>
      </c>
      <c r="D150" s="7">
        <v>19840</v>
      </c>
      <c r="E150" s="7">
        <v>24600</v>
      </c>
      <c r="F150" s="7">
        <v>26360</v>
      </c>
      <c r="G150" s="7">
        <v>28700</v>
      </c>
      <c r="H150" s="7">
        <v>23800</v>
      </c>
      <c r="I150" s="7">
        <v>24150</v>
      </c>
      <c r="J150" s="7">
        <v>28210</v>
      </c>
      <c r="K150" s="7">
        <v>22990</v>
      </c>
      <c r="L150" s="3">
        <f t="shared" si="7"/>
        <v>240260</v>
      </c>
      <c r="M150" s="3">
        <v>219424.30652300501</v>
      </c>
      <c r="N150" s="3">
        <f t="shared" si="6"/>
        <v>240260</v>
      </c>
      <c r="O150" s="39">
        <v>20000</v>
      </c>
      <c r="P150" s="39">
        <v>20000</v>
      </c>
      <c r="Q150">
        <v>705</v>
      </c>
      <c r="R150" s="23" t="str">
        <f t="shared" si="8"/>
        <v>Yes</v>
      </c>
    </row>
    <row r="151" spans="1:18" x14ac:dyDescent="0.25">
      <c r="A151" s="1">
        <v>45775</v>
      </c>
      <c r="B151" s="7">
        <v>22970</v>
      </c>
      <c r="C151" s="7">
        <v>23620</v>
      </c>
      <c r="D151" s="7">
        <v>21750</v>
      </c>
      <c r="E151" s="7">
        <v>26900</v>
      </c>
      <c r="F151" s="7">
        <v>27920</v>
      </c>
      <c r="G151" s="7">
        <v>28300</v>
      </c>
      <c r="H151" s="7">
        <v>23340</v>
      </c>
      <c r="I151" s="7">
        <v>23880</v>
      </c>
      <c r="J151" s="7">
        <v>27760</v>
      </c>
      <c r="K151" s="7">
        <v>23490</v>
      </c>
      <c r="L151" s="3">
        <f t="shared" si="7"/>
        <v>249930</v>
      </c>
      <c r="M151" s="3">
        <v>268243.39716136886</v>
      </c>
      <c r="N151" s="3">
        <f t="shared" si="6"/>
        <v>268243.39716136886</v>
      </c>
      <c r="O151" s="39">
        <v>20000</v>
      </c>
      <c r="P151" s="39">
        <v>18333</v>
      </c>
      <c r="Q151" s="3">
        <v>53506</v>
      </c>
      <c r="R151" s="23" t="str">
        <f t="shared" si="8"/>
        <v>Yes</v>
      </c>
    </row>
    <row r="152" spans="1:18" x14ac:dyDescent="0.25">
      <c r="A152" s="1">
        <v>45776</v>
      </c>
      <c r="B152" s="7">
        <v>11560</v>
      </c>
      <c r="C152" s="7">
        <v>12090</v>
      </c>
      <c r="D152" s="7">
        <v>11340</v>
      </c>
      <c r="E152" s="7">
        <v>13680</v>
      </c>
      <c r="F152" s="7">
        <v>14760</v>
      </c>
      <c r="G152" s="7">
        <v>14980</v>
      </c>
      <c r="H152" s="7">
        <v>11830</v>
      </c>
      <c r="I152" s="7">
        <v>12560</v>
      </c>
      <c r="J152" s="7">
        <v>14660</v>
      </c>
      <c r="K152" s="7">
        <v>11930</v>
      </c>
      <c r="L152" s="3">
        <f t="shared" si="7"/>
        <v>129390</v>
      </c>
      <c r="M152" s="3">
        <v>123329.30062165901</v>
      </c>
      <c r="N152" s="3">
        <f t="shared" si="6"/>
        <v>129390</v>
      </c>
      <c r="O152" s="39">
        <v>20000</v>
      </c>
      <c r="P152" s="39">
        <v>20000</v>
      </c>
      <c r="Q152" s="3">
        <v>31512</v>
      </c>
      <c r="R152" s="23" t="str">
        <f t="shared" si="8"/>
        <v>Yes</v>
      </c>
    </row>
    <row r="153" spans="1:18" x14ac:dyDescent="0.25">
      <c r="A153" s="1">
        <v>45777</v>
      </c>
      <c r="B153" s="7">
        <v>23790</v>
      </c>
      <c r="C153" s="7">
        <v>24370</v>
      </c>
      <c r="D153" s="7">
        <v>22350</v>
      </c>
      <c r="E153" s="7">
        <v>27460</v>
      </c>
      <c r="F153" s="7">
        <v>28840</v>
      </c>
      <c r="G153" s="7">
        <v>29360</v>
      </c>
      <c r="H153" s="7">
        <v>23880</v>
      </c>
      <c r="I153" s="7">
        <v>24580</v>
      </c>
      <c r="J153" s="7">
        <v>28420</v>
      </c>
      <c r="K153" s="7">
        <v>23980</v>
      </c>
      <c r="L153" s="3">
        <f t="shared" si="7"/>
        <v>257030</v>
      </c>
      <c r="M153" s="3">
        <v>274696.6159295055</v>
      </c>
      <c r="N153" s="3">
        <f t="shared" si="6"/>
        <v>274696.6159295055</v>
      </c>
      <c r="O153" s="39">
        <v>14403</v>
      </c>
      <c r="P153" s="39">
        <v>29375</v>
      </c>
      <c r="Q153" s="3">
        <v>55502</v>
      </c>
      <c r="R153" s="23" t="str">
        <f t="shared" si="8"/>
        <v>Yes</v>
      </c>
    </row>
    <row r="154" spans="1:18" x14ac:dyDescent="0.25">
      <c r="A154" s="1">
        <v>45778</v>
      </c>
      <c r="B154" s="7">
        <v>19450</v>
      </c>
      <c r="C154" s="7">
        <v>19770</v>
      </c>
      <c r="D154" s="7">
        <v>18310</v>
      </c>
      <c r="E154" s="7">
        <v>22990</v>
      </c>
      <c r="F154" s="7">
        <v>23420</v>
      </c>
      <c r="G154" s="7">
        <v>32750</v>
      </c>
      <c r="H154" s="7">
        <v>25690</v>
      </c>
      <c r="I154" s="7">
        <v>27330</v>
      </c>
      <c r="J154" s="7">
        <v>31240</v>
      </c>
      <c r="K154" s="7">
        <v>25820</v>
      </c>
      <c r="L154" s="3">
        <f t="shared" si="7"/>
        <v>246770</v>
      </c>
      <c r="M154" s="3">
        <v>244144.95368428825</v>
      </c>
      <c r="N154" s="3">
        <f t="shared" si="6"/>
        <v>246770</v>
      </c>
      <c r="O154" s="39">
        <v>20000</v>
      </c>
      <c r="P154" s="39">
        <v>30030</v>
      </c>
      <c r="Q154" s="3">
        <v>28902</v>
      </c>
      <c r="R154" s="23" t="str">
        <f t="shared" si="8"/>
        <v>Yes</v>
      </c>
    </row>
    <row r="155" spans="1:18" x14ac:dyDescent="0.25">
      <c r="A155" s="1">
        <v>45779</v>
      </c>
      <c r="B155" s="7">
        <v>16170</v>
      </c>
      <c r="C155" s="7">
        <v>16570</v>
      </c>
      <c r="D155" s="7">
        <v>15180</v>
      </c>
      <c r="E155" s="7">
        <v>19140</v>
      </c>
      <c r="F155" s="7">
        <v>19380</v>
      </c>
      <c r="G155" s="7">
        <v>21970</v>
      </c>
      <c r="H155" s="7">
        <v>17080</v>
      </c>
      <c r="I155" s="7">
        <v>18530</v>
      </c>
      <c r="J155" s="7">
        <v>21810</v>
      </c>
      <c r="K155" s="7">
        <v>17520</v>
      </c>
      <c r="L155" s="3">
        <f t="shared" si="7"/>
        <v>183350</v>
      </c>
      <c r="M155" s="3">
        <v>164661.65821969727</v>
      </c>
      <c r="N155" s="3">
        <f t="shared" si="6"/>
        <v>183350</v>
      </c>
      <c r="O155" s="39">
        <v>20000</v>
      </c>
      <c r="P155" s="39">
        <v>30030</v>
      </c>
      <c r="Q155">
        <v>0</v>
      </c>
      <c r="R155" s="23" t="str">
        <f t="shared" si="8"/>
        <v>No</v>
      </c>
    </row>
    <row r="156" spans="1:18" x14ac:dyDescent="0.25">
      <c r="A156" s="1">
        <v>45780</v>
      </c>
      <c r="B156" s="7">
        <v>24670</v>
      </c>
      <c r="C156" s="7">
        <v>24850</v>
      </c>
      <c r="D156" s="7">
        <v>23340</v>
      </c>
      <c r="E156" s="7">
        <v>28990</v>
      </c>
      <c r="F156" s="7">
        <v>29810</v>
      </c>
      <c r="G156" s="7">
        <v>36310</v>
      </c>
      <c r="H156" s="7">
        <v>28160</v>
      </c>
      <c r="I156" s="7">
        <v>30960</v>
      </c>
      <c r="J156" s="7">
        <v>36260</v>
      </c>
      <c r="K156" s="7">
        <v>28860</v>
      </c>
      <c r="L156" s="3">
        <f t="shared" si="7"/>
        <v>292210</v>
      </c>
      <c r="M156" s="3">
        <v>284952.89785082306</v>
      </c>
      <c r="N156" s="3">
        <f t="shared" si="6"/>
        <v>292210</v>
      </c>
      <c r="O156" s="39">
        <v>20000</v>
      </c>
      <c r="P156" s="39">
        <v>30030</v>
      </c>
      <c r="Q156">
        <v>0</v>
      </c>
      <c r="R156" s="23" t="str">
        <f t="shared" si="8"/>
        <v>No</v>
      </c>
    </row>
    <row r="157" spans="1:18" x14ac:dyDescent="0.25">
      <c r="A157" s="1">
        <v>45781</v>
      </c>
      <c r="B157" s="7">
        <v>27520</v>
      </c>
      <c r="C157" s="7">
        <v>27820</v>
      </c>
      <c r="D157" s="7">
        <v>25530</v>
      </c>
      <c r="E157" s="7">
        <v>32090</v>
      </c>
      <c r="F157" s="7">
        <v>32670</v>
      </c>
      <c r="G157" s="7">
        <v>39500</v>
      </c>
      <c r="H157" s="7">
        <v>31520</v>
      </c>
      <c r="I157" s="7">
        <v>33470</v>
      </c>
      <c r="J157" s="7">
        <v>40520</v>
      </c>
      <c r="K157" s="7">
        <v>31320</v>
      </c>
      <c r="L157" s="3">
        <f t="shared" si="7"/>
        <v>321960</v>
      </c>
      <c r="M157" s="3">
        <v>317122.98001026973</v>
      </c>
      <c r="N157" s="3">
        <f t="shared" si="6"/>
        <v>321960</v>
      </c>
      <c r="O157" s="39">
        <v>11972</v>
      </c>
      <c r="P157" s="39">
        <v>30030</v>
      </c>
      <c r="Q157">
        <v>0</v>
      </c>
      <c r="R157" s="23" t="str">
        <f t="shared" si="8"/>
        <v>Yes</v>
      </c>
    </row>
    <row r="158" spans="1:18" x14ac:dyDescent="0.25">
      <c r="A158" s="1">
        <v>45782</v>
      </c>
      <c r="B158" s="7">
        <v>9730</v>
      </c>
      <c r="C158" s="7">
        <v>9930</v>
      </c>
      <c r="D158" s="7">
        <v>9120</v>
      </c>
      <c r="E158" s="7">
        <v>11620</v>
      </c>
      <c r="F158" s="7">
        <v>11610</v>
      </c>
      <c r="G158" s="7">
        <v>31380</v>
      </c>
      <c r="H158" s="7">
        <v>26180</v>
      </c>
      <c r="I158" s="7">
        <v>26600</v>
      </c>
      <c r="J158" s="7">
        <v>30610</v>
      </c>
      <c r="K158" s="7">
        <v>25860</v>
      </c>
      <c r="L158" s="3">
        <f t="shared" si="7"/>
        <v>192640</v>
      </c>
      <c r="M158" s="3">
        <v>234688.52230257145</v>
      </c>
      <c r="N158" s="3">
        <f t="shared" si="6"/>
        <v>234688.52230257145</v>
      </c>
      <c r="O158" s="39">
        <v>20000</v>
      </c>
      <c r="P158" s="39">
        <v>30030</v>
      </c>
      <c r="Q158" s="3">
        <v>1097</v>
      </c>
      <c r="R158" s="23" t="str">
        <f t="shared" si="8"/>
        <v>Yes</v>
      </c>
    </row>
    <row r="159" spans="1:18" x14ac:dyDescent="0.25">
      <c r="A159" s="1">
        <v>45783</v>
      </c>
      <c r="B159" s="7">
        <v>21760</v>
      </c>
      <c r="C159" s="7">
        <v>21570</v>
      </c>
      <c r="D159" s="7">
        <v>20960</v>
      </c>
      <c r="E159" s="7">
        <v>25950</v>
      </c>
      <c r="F159" s="7">
        <v>26930</v>
      </c>
      <c r="G159" s="7">
        <v>33010</v>
      </c>
      <c r="H159" s="7">
        <v>25670</v>
      </c>
      <c r="I159" s="7">
        <v>27460</v>
      </c>
      <c r="J159" s="7">
        <v>31330</v>
      </c>
      <c r="K159" s="7">
        <v>25110</v>
      </c>
      <c r="L159" s="3">
        <f t="shared" si="7"/>
        <v>259750</v>
      </c>
      <c r="M159" s="3">
        <v>256705.73741028126</v>
      </c>
      <c r="N159" s="3">
        <f t="shared" si="6"/>
        <v>259750</v>
      </c>
      <c r="O159" s="39">
        <v>20000</v>
      </c>
      <c r="P159" s="39">
        <v>30030</v>
      </c>
      <c r="Q159">
        <v>0</v>
      </c>
      <c r="R159" s="23" t="str">
        <f t="shared" si="8"/>
        <v>No</v>
      </c>
    </row>
    <row r="160" spans="1:18" x14ac:dyDescent="0.25">
      <c r="A160" s="1">
        <v>45784</v>
      </c>
      <c r="B160" s="7">
        <v>28550</v>
      </c>
      <c r="C160" s="7">
        <v>28560</v>
      </c>
      <c r="D160" s="7">
        <v>26800</v>
      </c>
      <c r="E160" s="7">
        <v>33070</v>
      </c>
      <c r="F160" s="7">
        <v>34400</v>
      </c>
      <c r="G160" s="7">
        <v>38130</v>
      </c>
      <c r="H160" s="7">
        <v>29500</v>
      </c>
      <c r="I160" s="7">
        <v>31610</v>
      </c>
      <c r="J160" s="7">
        <v>37240</v>
      </c>
      <c r="K160" s="7">
        <v>30100</v>
      </c>
      <c r="L160" s="3">
        <f t="shared" si="7"/>
        <v>317960</v>
      </c>
      <c r="M160" s="3">
        <v>295431.45478151576</v>
      </c>
      <c r="N160" s="3">
        <f t="shared" si="6"/>
        <v>317960</v>
      </c>
      <c r="O160" s="39">
        <v>20000</v>
      </c>
      <c r="P160" s="39">
        <v>29194</v>
      </c>
      <c r="Q160">
        <v>0</v>
      </c>
      <c r="R160" s="23" t="str">
        <f t="shared" si="8"/>
        <v>Yes</v>
      </c>
    </row>
    <row r="161" spans="1:18" x14ac:dyDescent="0.25">
      <c r="A161" s="1">
        <v>45785</v>
      </c>
      <c r="B161" s="7">
        <v>27710</v>
      </c>
      <c r="C161" s="7">
        <v>27870</v>
      </c>
      <c r="D161" s="7">
        <v>25420</v>
      </c>
      <c r="E161" s="7">
        <v>32070</v>
      </c>
      <c r="F161" s="7">
        <v>32440</v>
      </c>
      <c r="G161" s="7">
        <v>36070</v>
      </c>
      <c r="H161" s="7">
        <v>29240</v>
      </c>
      <c r="I161" s="7">
        <v>30730</v>
      </c>
      <c r="J161" s="7">
        <v>36470</v>
      </c>
      <c r="K161" s="7">
        <v>29790</v>
      </c>
      <c r="L161" s="3">
        <f t="shared" si="7"/>
        <v>307810</v>
      </c>
      <c r="M161" s="3">
        <v>315186.54127343482</v>
      </c>
      <c r="N161" s="3">
        <f t="shared" si="6"/>
        <v>315186.54127343482</v>
      </c>
      <c r="O161" s="39">
        <v>20000</v>
      </c>
      <c r="P161" s="39">
        <v>30030</v>
      </c>
      <c r="Q161" s="3">
        <v>14352</v>
      </c>
      <c r="R161" s="23" t="str">
        <f t="shared" si="8"/>
        <v>Yes</v>
      </c>
    </row>
    <row r="162" spans="1:18" x14ac:dyDescent="0.25">
      <c r="A162" s="1">
        <v>45786</v>
      </c>
      <c r="B162" s="7">
        <v>20180</v>
      </c>
      <c r="C162" s="7">
        <v>20810</v>
      </c>
      <c r="D162" s="7">
        <v>18920</v>
      </c>
      <c r="E162" s="7">
        <v>23830</v>
      </c>
      <c r="F162" s="7">
        <v>24090</v>
      </c>
      <c r="G162" s="7">
        <v>26900</v>
      </c>
      <c r="H162" s="7">
        <v>22890</v>
      </c>
      <c r="I162" s="7">
        <v>22910</v>
      </c>
      <c r="J162" s="7">
        <v>25940</v>
      </c>
      <c r="K162" s="7">
        <v>21980</v>
      </c>
      <c r="L162" s="3">
        <f t="shared" si="7"/>
        <v>228450</v>
      </c>
      <c r="M162" s="3">
        <v>202286.56310973788</v>
      </c>
      <c r="N162" s="3">
        <f t="shared" si="6"/>
        <v>228450</v>
      </c>
      <c r="O162" s="39">
        <v>20000</v>
      </c>
      <c r="P162" s="39">
        <v>30030</v>
      </c>
      <c r="Q162">
        <v>0</v>
      </c>
      <c r="R162" s="23" t="str">
        <f t="shared" si="8"/>
        <v>No</v>
      </c>
    </row>
    <row r="163" spans="1:18" x14ac:dyDescent="0.25">
      <c r="A163" s="1">
        <v>45787</v>
      </c>
      <c r="B163" s="7">
        <v>20030</v>
      </c>
      <c r="C163" s="7">
        <v>20860</v>
      </c>
      <c r="D163" s="7">
        <v>19080</v>
      </c>
      <c r="E163" s="7">
        <v>24400</v>
      </c>
      <c r="F163" s="7">
        <v>24320</v>
      </c>
      <c r="G163" s="7">
        <v>28630</v>
      </c>
      <c r="H163" s="7">
        <v>21310</v>
      </c>
      <c r="I163" s="7">
        <v>23700</v>
      </c>
      <c r="J163" s="7">
        <v>25750</v>
      </c>
      <c r="K163" s="7">
        <v>22440</v>
      </c>
      <c r="L163" s="3">
        <f t="shared" si="7"/>
        <v>230520</v>
      </c>
      <c r="M163" s="3">
        <v>212800.03837231462</v>
      </c>
      <c r="N163" s="3">
        <f t="shared" si="6"/>
        <v>230520</v>
      </c>
      <c r="O163" s="39">
        <v>20000</v>
      </c>
      <c r="P163" s="39">
        <v>30030</v>
      </c>
      <c r="Q163">
        <v>0</v>
      </c>
      <c r="R163" s="23" t="str">
        <f t="shared" si="8"/>
        <v>No</v>
      </c>
    </row>
    <row r="164" spans="1:18" x14ac:dyDescent="0.25">
      <c r="A164" s="1">
        <v>45788</v>
      </c>
      <c r="B164" s="7">
        <v>19520</v>
      </c>
      <c r="C164" s="7">
        <v>19660</v>
      </c>
      <c r="D164" s="7">
        <v>17710</v>
      </c>
      <c r="E164" s="7">
        <v>22270</v>
      </c>
      <c r="F164" s="7">
        <v>21820</v>
      </c>
      <c r="G164" s="7">
        <v>24810</v>
      </c>
      <c r="H164" s="7">
        <v>18000</v>
      </c>
      <c r="I164" s="7">
        <v>19820</v>
      </c>
      <c r="J164" s="7">
        <v>21810</v>
      </c>
      <c r="K164" s="7">
        <v>18370</v>
      </c>
      <c r="L164" s="3">
        <f t="shared" si="7"/>
        <v>203790</v>
      </c>
      <c r="M164" s="3">
        <v>196889.18666708228</v>
      </c>
      <c r="N164" s="3">
        <f t="shared" si="6"/>
        <v>203790</v>
      </c>
      <c r="O164" s="39">
        <v>20000</v>
      </c>
      <c r="P164" s="39">
        <v>30030</v>
      </c>
      <c r="Q164">
        <v>0</v>
      </c>
      <c r="R164" s="23" t="str">
        <f t="shared" si="8"/>
        <v>No</v>
      </c>
    </row>
    <row r="165" spans="1:18" x14ac:dyDescent="0.25">
      <c r="A165" s="1">
        <v>45789</v>
      </c>
      <c r="B165" s="7">
        <v>16180</v>
      </c>
      <c r="C165" s="7">
        <v>17260</v>
      </c>
      <c r="D165" s="7">
        <v>15540</v>
      </c>
      <c r="E165" s="7">
        <v>19660</v>
      </c>
      <c r="F165" s="7">
        <v>19860</v>
      </c>
      <c r="G165" s="7">
        <v>20640</v>
      </c>
      <c r="H165" s="7">
        <v>16340</v>
      </c>
      <c r="I165" s="7">
        <v>17190</v>
      </c>
      <c r="J165" s="7">
        <v>18160</v>
      </c>
      <c r="K165" s="7">
        <v>16990</v>
      </c>
      <c r="L165" s="3">
        <f t="shared" si="7"/>
        <v>177820</v>
      </c>
      <c r="M165" s="3">
        <v>150087.51887834127</v>
      </c>
      <c r="N165" s="3">
        <f t="shared" si="6"/>
        <v>177820</v>
      </c>
      <c r="O165" s="39">
        <v>20000</v>
      </c>
      <c r="P165" s="39">
        <v>30030</v>
      </c>
      <c r="Q165">
        <v>0</v>
      </c>
      <c r="R165" s="23" t="str">
        <f t="shared" si="8"/>
        <v>No</v>
      </c>
    </row>
    <row r="166" spans="1:18" x14ac:dyDescent="0.25">
      <c r="A166" s="1">
        <v>45790</v>
      </c>
      <c r="B166" s="7">
        <v>23480</v>
      </c>
      <c r="C166" s="7">
        <v>23590</v>
      </c>
      <c r="D166" s="7">
        <v>22360</v>
      </c>
      <c r="E166" s="7">
        <v>27130</v>
      </c>
      <c r="F166" s="7">
        <v>28170</v>
      </c>
      <c r="G166" s="7">
        <v>33860</v>
      </c>
      <c r="H166" s="7">
        <v>26200</v>
      </c>
      <c r="I166" s="7">
        <v>27150</v>
      </c>
      <c r="J166" s="7">
        <v>30000</v>
      </c>
      <c r="K166" s="7">
        <v>27390</v>
      </c>
      <c r="L166" s="3">
        <f t="shared" si="7"/>
        <v>269330</v>
      </c>
      <c r="M166" s="3">
        <v>266113.09003059409</v>
      </c>
      <c r="N166" s="3">
        <f t="shared" si="6"/>
        <v>269330</v>
      </c>
      <c r="O166" s="39">
        <v>12500</v>
      </c>
      <c r="P166" s="39">
        <v>30030</v>
      </c>
      <c r="Q166">
        <v>0</v>
      </c>
      <c r="R166" s="23" t="str">
        <f t="shared" si="8"/>
        <v>Yes</v>
      </c>
    </row>
    <row r="167" spans="1:18" x14ac:dyDescent="0.25">
      <c r="A167" s="1">
        <v>45791</v>
      </c>
      <c r="B167" s="7">
        <v>15320</v>
      </c>
      <c r="C167" s="7">
        <v>16080</v>
      </c>
      <c r="D167" s="7">
        <v>14310</v>
      </c>
      <c r="E167" s="7">
        <v>17960</v>
      </c>
      <c r="F167" s="7">
        <v>18140</v>
      </c>
      <c r="G167" s="7">
        <v>30170</v>
      </c>
      <c r="H167" s="7">
        <v>23600</v>
      </c>
      <c r="I167" s="7">
        <v>24780</v>
      </c>
      <c r="J167" s="7">
        <v>25680</v>
      </c>
      <c r="K167" s="7">
        <v>24400</v>
      </c>
      <c r="L167" s="3">
        <f t="shared" si="7"/>
        <v>210440</v>
      </c>
      <c r="M167" s="3">
        <v>227478.44996740748</v>
      </c>
      <c r="N167" s="3">
        <f t="shared" si="6"/>
        <v>227478.44996740748</v>
      </c>
      <c r="O167" s="39">
        <v>20000</v>
      </c>
      <c r="P167" s="39">
        <v>30030</v>
      </c>
      <c r="Q167" s="3">
        <v>33113</v>
      </c>
      <c r="R167" s="23" t="str">
        <f t="shared" si="8"/>
        <v>Yes</v>
      </c>
    </row>
    <row r="168" spans="1:18" x14ac:dyDescent="0.25">
      <c r="A168" s="1">
        <v>45792</v>
      </c>
      <c r="B168" s="7">
        <v>20570</v>
      </c>
      <c r="C168" s="7">
        <v>20910</v>
      </c>
      <c r="D168" s="7">
        <v>18360</v>
      </c>
      <c r="E168" s="7">
        <v>22750</v>
      </c>
      <c r="F168" s="7">
        <v>22800</v>
      </c>
      <c r="G168" s="7">
        <v>27170</v>
      </c>
      <c r="H168" s="7">
        <v>21260</v>
      </c>
      <c r="I168" s="7">
        <v>22840</v>
      </c>
      <c r="J168" s="7">
        <v>26170</v>
      </c>
      <c r="K168" s="7">
        <v>23160</v>
      </c>
      <c r="L168" s="3">
        <f t="shared" si="7"/>
        <v>225990</v>
      </c>
      <c r="M168" s="3">
        <v>228243.75681736483</v>
      </c>
      <c r="N168" s="3">
        <f t="shared" si="6"/>
        <v>228243.75681736483</v>
      </c>
      <c r="O168" s="39">
        <v>20000</v>
      </c>
      <c r="P168" s="39">
        <v>30030</v>
      </c>
      <c r="Q168">
        <v>0</v>
      </c>
      <c r="R168" s="23" t="str">
        <f t="shared" si="8"/>
        <v>No</v>
      </c>
    </row>
    <row r="169" spans="1:18" x14ac:dyDescent="0.25">
      <c r="A169" s="1">
        <v>45793</v>
      </c>
      <c r="B169" s="7">
        <v>30110</v>
      </c>
      <c r="C169" s="7">
        <v>29900</v>
      </c>
      <c r="D169" s="7">
        <v>31900</v>
      </c>
      <c r="E169" s="7">
        <v>33860</v>
      </c>
      <c r="F169" s="7">
        <v>35440</v>
      </c>
      <c r="G169" s="7">
        <v>43020</v>
      </c>
      <c r="H169" s="7">
        <v>33870</v>
      </c>
      <c r="I169" s="7">
        <v>36640</v>
      </c>
      <c r="J169" s="7">
        <v>38860</v>
      </c>
      <c r="K169" s="7">
        <v>35330</v>
      </c>
      <c r="L169" s="3">
        <f t="shared" si="7"/>
        <v>348930</v>
      </c>
      <c r="M169" s="3">
        <v>338652.46486940479</v>
      </c>
      <c r="N169" s="3">
        <f t="shared" si="6"/>
        <v>348930</v>
      </c>
      <c r="O169" s="39">
        <v>20000</v>
      </c>
      <c r="P169" s="39">
        <v>30030</v>
      </c>
      <c r="Q169">
        <v>0</v>
      </c>
      <c r="R169" s="23" t="str">
        <f t="shared" si="8"/>
        <v>No</v>
      </c>
    </row>
    <row r="170" spans="1:18" x14ac:dyDescent="0.25">
      <c r="A170" s="1">
        <v>45794</v>
      </c>
      <c r="B170" s="7">
        <v>16030</v>
      </c>
      <c r="C170" s="7">
        <v>23670</v>
      </c>
      <c r="D170" s="7">
        <v>20680</v>
      </c>
      <c r="E170" s="7">
        <v>25660</v>
      </c>
      <c r="F170" s="7">
        <v>26230</v>
      </c>
      <c r="G170" s="7">
        <v>27870</v>
      </c>
      <c r="H170" s="7">
        <v>22250</v>
      </c>
      <c r="I170" s="7">
        <v>23180</v>
      </c>
      <c r="J170" s="7">
        <v>25990</v>
      </c>
      <c r="K170" s="7">
        <v>23780</v>
      </c>
      <c r="L170" s="3">
        <f t="shared" si="7"/>
        <v>235340</v>
      </c>
      <c r="M170" s="3">
        <v>209332.50319364946</v>
      </c>
      <c r="N170" s="3">
        <f t="shared" si="6"/>
        <v>235340</v>
      </c>
      <c r="O170" s="39">
        <v>20000</v>
      </c>
      <c r="P170" s="39">
        <v>30030</v>
      </c>
      <c r="Q170">
        <v>0</v>
      </c>
      <c r="R170" s="23" t="str">
        <f t="shared" si="8"/>
        <v>No</v>
      </c>
    </row>
    <row r="171" spans="1:18" x14ac:dyDescent="0.25">
      <c r="A171" s="1">
        <v>45795</v>
      </c>
      <c r="B171" s="7">
        <v>20480</v>
      </c>
      <c r="C171" s="7">
        <v>20450</v>
      </c>
      <c r="D171" s="7">
        <v>18530</v>
      </c>
      <c r="E171" s="7">
        <v>22310</v>
      </c>
      <c r="F171" s="7">
        <v>23550</v>
      </c>
      <c r="G171" s="7">
        <v>26690</v>
      </c>
      <c r="H171" s="7">
        <v>20500</v>
      </c>
      <c r="I171" s="7">
        <v>22270</v>
      </c>
      <c r="J171" s="7">
        <v>26720</v>
      </c>
      <c r="K171" s="7">
        <v>21620</v>
      </c>
      <c r="L171" s="3">
        <f t="shared" si="7"/>
        <v>223120</v>
      </c>
      <c r="M171" s="3">
        <v>219816.37028541201</v>
      </c>
      <c r="N171" s="3">
        <f t="shared" si="6"/>
        <v>223120</v>
      </c>
      <c r="O171" s="39">
        <v>20000</v>
      </c>
      <c r="P171" s="39">
        <v>30030</v>
      </c>
      <c r="Q171">
        <v>0</v>
      </c>
      <c r="R171" s="23" t="str">
        <f t="shared" si="8"/>
        <v>No</v>
      </c>
    </row>
    <row r="172" spans="1:18" x14ac:dyDescent="0.25">
      <c r="A172" s="1">
        <v>45796</v>
      </c>
      <c r="B172" s="7">
        <v>18860</v>
      </c>
      <c r="C172" s="7">
        <v>19220</v>
      </c>
      <c r="D172" s="7">
        <v>15450</v>
      </c>
      <c r="E172" s="7">
        <v>17330</v>
      </c>
      <c r="F172" s="7">
        <v>17990</v>
      </c>
      <c r="G172" s="7">
        <v>23350</v>
      </c>
      <c r="H172" s="7">
        <v>18810</v>
      </c>
      <c r="I172" s="7">
        <v>19750</v>
      </c>
      <c r="J172" s="7">
        <v>22720</v>
      </c>
      <c r="K172" s="7">
        <v>19060</v>
      </c>
      <c r="L172" s="3">
        <f t="shared" si="7"/>
        <v>192540</v>
      </c>
      <c r="M172" s="3">
        <v>181054.4472705189</v>
      </c>
      <c r="N172" s="3">
        <f t="shared" si="6"/>
        <v>192540</v>
      </c>
      <c r="O172" s="39">
        <v>7806</v>
      </c>
      <c r="P172" s="39">
        <v>30030</v>
      </c>
      <c r="Q172">
        <v>0</v>
      </c>
      <c r="R172" s="23" t="str">
        <f t="shared" si="8"/>
        <v>Yes</v>
      </c>
    </row>
    <row r="173" spans="1:18" x14ac:dyDescent="0.25">
      <c r="A173" s="1">
        <v>45797</v>
      </c>
      <c r="B173" s="7">
        <v>3990</v>
      </c>
      <c r="C173" s="7">
        <v>4170</v>
      </c>
      <c r="D173" s="7">
        <v>3730</v>
      </c>
      <c r="E173" s="7">
        <v>4510</v>
      </c>
      <c r="F173" s="7">
        <v>4780</v>
      </c>
      <c r="G173" s="7">
        <v>19420</v>
      </c>
      <c r="H173" s="7">
        <v>15340</v>
      </c>
      <c r="I173" s="7">
        <v>16080</v>
      </c>
      <c r="J173" s="7">
        <v>18460</v>
      </c>
      <c r="K173" s="7">
        <v>16080</v>
      </c>
      <c r="L173" s="3">
        <f t="shared" si="7"/>
        <v>106560</v>
      </c>
      <c r="M173" s="3">
        <v>136492.70196945805</v>
      </c>
      <c r="N173" s="3">
        <f t="shared" si="6"/>
        <v>136492.70196945805</v>
      </c>
      <c r="O173" s="39">
        <v>20000</v>
      </c>
      <c r="P173" s="39">
        <v>30030</v>
      </c>
      <c r="Q173" s="3">
        <v>39246</v>
      </c>
      <c r="R173" s="23" t="str">
        <f t="shared" si="8"/>
        <v>Yes</v>
      </c>
    </row>
    <row r="174" spans="1:18" x14ac:dyDescent="0.25">
      <c r="A174" s="1">
        <v>45798</v>
      </c>
      <c r="B174" s="7">
        <v>10000</v>
      </c>
      <c r="C174" s="7">
        <v>15280</v>
      </c>
      <c r="D174" s="7">
        <v>13400</v>
      </c>
      <c r="E174" s="7">
        <v>16280</v>
      </c>
      <c r="F174" s="7">
        <v>13400</v>
      </c>
      <c r="G174" s="7">
        <v>16280</v>
      </c>
      <c r="H174" s="7">
        <v>16910</v>
      </c>
      <c r="I174" s="7">
        <v>17860</v>
      </c>
      <c r="J174" s="7">
        <v>13910</v>
      </c>
      <c r="K174" s="7">
        <v>14760</v>
      </c>
      <c r="L174" s="3">
        <f t="shared" si="7"/>
        <v>148080</v>
      </c>
      <c r="M174" s="3">
        <v>121260.42448337418</v>
      </c>
      <c r="N174" s="3">
        <f t="shared" si="6"/>
        <v>148080</v>
      </c>
      <c r="O174" s="39">
        <v>20000</v>
      </c>
      <c r="P174" s="39">
        <v>30030</v>
      </c>
      <c r="Q174">
        <v>0</v>
      </c>
      <c r="R174" s="23" t="str">
        <f t="shared" si="8"/>
        <v>No</v>
      </c>
    </row>
    <row r="175" spans="1:18" x14ac:dyDescent="0.25">
      <c r="A175" s="1">
        <v>45799</v>
      </c>
      <c r="B175" s="7">
        <v>25110</v>
      </c>
      <c r="C175" s="7">
        <v>26200</v>
      </c>
      <c r="D175" s="7">
        <v>18720</v>
      </c>
      <c r="E175" s="7">
        <v>20010</v>
      </c>
      <c r="F175" s="7">
        <v>20500</v>
      </c>
      <c r="G175" s="7">
        <v>32050</v>
      </c>
      <c r="H175" s="7">
        <v>24810</v>
      </c>
      <c r="I175" s="7">
        <v>26350</v>
      </c>
      <c r="J175" s="7">
        <v>31480</v>
      </c>
      <c r="K175" s="7">
        <v>23900</v>
      </c>
      <c r="L175" s="3">
        <f t="shared" si="7"/>
        <v>249130</v>
      </c>
      <c r="M175" s="3">
        <v>249377.07147788876</v>
      </c>
      <c r="N175" s="3">
        <f t="shared" si="6"/>
        <v>249377.07147788876</v>
      </c>
      <c r="O175" s="39">
        <v>20000</v>
      </c>
      <c r="P175" s="39">
        <v>30030</v>
      </c>
      <c r="Q175">
        <v>0</v>
      </c>
      <c r="R175" s="23" t="str">
        <f t="shared" si="8"/>
        <v>No</v>
      </c>
    </row>
    <row r="176" spans="1:18" x14ac:dyDescent="0.25">
      <c r="A176" s="1">
        <v>45800</v>
      </c>
      <c r="B176" s="7">
        <v>25700</v>
      </c>
      <c r="C176" s="7">
        <v>27370</v>
      </c>
      <c r="D176" s="7">
        <v>21810</v>
      </c>
      <c r="E176" s="7">
        <v>24010</v>
      </c>
      <c r="F176" s="7">
        <v>24580</v>
      </c>
      <c r="G176" s="7">
        <v>33120</v>
      </c>
      <c r="H176" s="7">
        <v>25890</v>
      </c>
      <c r="I176" s="7">
        <v>27540</v>
      </c>
      <c r="J176" s="7">
        <v>30120</v>
      </c>
      <c r="K176" s="7">
        <v>26580</v>
      </c>
      <c r="L176" s="3">
        <f t="shared" si="7"/>
        <v>266720</v>
      </c>
      <c r="M176" s="3">
        <v>245322.36121606664</v>
      </c>
      <c r="N176" s="3">
        <f t="shared" si="6"/>
        <v>266720</v>
      </c>
      <c r="O176" s="39">
        <v>20000</v>
      </c>
      <c r="P176" s="39">
        <v>30030</v>
      </c>
      <c r="Q176">
        <v>0</v>
      </c>
      <c r="R176" s="23" t="str">
        <f t="shared" si="8"/>
        <v>No</v>
      </c>
    </row>
    <row r="177" spans="1:18" x14ac:dyDescent="0.25">
      <c r="A177" s="1">
        <v>45801</v>
      </c>
      <c r="B177" s="7">
        <v>23990</v>
      </c>
      <c r="C177" s="7">
        <v>24760</v>
      </c>
      <c r="D177" s="7">
        <v>19400</v>
      </c>
      <c r="E177" s="7">
        <v>21030</v>
      </c>
      <c r="F177" s="7">
        <v>21920</v>
      </c>
      <c r="G177" s="7">
        <v>29810</v>
      </c>
      <c r="H177" s="7">
        <v>23560</v>
      </c>
      <c r="I177" s="7">
        <v>25670</v>
      </c>
      <c r="J177" s="7">
        <v>29810</v>
      </c>
      <c r="K177" s="7">
        <v>24580</v>
      </c>
      <c r="L177" s="3">
        <f t="shared" si="7"/>
        <v>244530</v>
      </c>
      <c r="M177" s="3">
        <v>235993.8564419437</v>
      </c>
      <c r="N177" s="3">
        <f t="shared" si="6"/>
        <v>244530</v>
      </c>
      <c r="O177" s="39">
        <v>20000</v>
      </c>
      <c r="P177" s="39">
        <v>30030</v>
      </c>
      <c r="Q177">
        <v>0</v>
      </c>
      <c r="R177" s="23" t="str">
        <f t="shared" si="8"/>
        <v>No</v>
      </c>
    </row>
    <row r="178" spans="1:18" x14ac:dyDescent="0.25">
      <c r="A178" s="1">
        <v>45802</v>
      </c>
      <c r="B178" s="7">
        <v>30870</v>
      </c>
      <c r="C178" s="7">
        <v>32370</v>
      </c>
      <c r="D178" s="7">
        <v>23210</v>
      </c>
      <c r="E178" s="7">
        <v>24500</v>
      </c>
      <c r="F178" s="7">
        <v>25300</v>
      </c>
      <c r="G178" s="7">
        <v>40900</v>
      </c>
      <c r="H178" s="7">
        <v>31410</v>
      </c>
      <c r="I178" s="7">
        <v>34520</v>
      </c>
      <c r="J178" s="7">
        <v>39970</v>
      </c>
      <c r="K178" s="7">
        <v>33300</v>
      </c>
      <c r="L178" s="3">
        <f t="shared" si="7"/>
        <v>316350</v>
      </c>
      <c r="M178" s="3">
        <v>316041.95994760911</v>
      </c>
      <c r="N178" s="3">
        <f t="shared" si="6"/>
        <v>316350</v>
      </c>
      <c r="O178" s="39">
        <v>22000</v>
      </c>
      <c r="P178" s="39">
        <v>30030</v>
      </c>
      <c r="Q178">
        <v>0</v>
      </c>
      <c r="R178" s="23" t="str">
        <f>IF(Q178&gt;0,"Yes",IF(OR((O178+P178&lt;50000),O178&lt;22000,P178&lt;30030),"Yes","No"))</f>
        <v>No</v>
      </c>
    </row>
    <row r="179" spans="1:18" x14ac:dyDescent="0.25">
      <c r="A179" s="1">
        <v>45803</v>
      </c>
      <c r="B179" s="7">
        <v>29560</v>
      </c>
      <c r="C179" s="7">
        <v>29560</v>
      </c>
      <c r="D179" s="7">
        <v>24710</v>
      </c>
      <c r="E179" s="7">
        <v>25980</v>
      </c>
      <c r="F179" s="7">
        <v>27530</v>
      </c>
      <c r="G179" s="7">
        <v>35220</v>
      </c>
      <c r="H179" s="7">
        <v>28720</v>
      </c>
      <c r="I179" s="7">
        <v>29940</v>
      </c>
      <c r="J179" s="7">
        <v>36210</v>
      </c>
      <c r="K179" s="7">
        <v>29140</v>
      </c>
      <c r="L179" s="3">
        <f t="shared" si="7"/>
        <v>296570</v>
      </c>
      <c r="M179" s="3">
        <v>286092.00785730925</v>
      </c>
      <c r="N179" s="3">
        <f t="shared" si="6"/>
        <v>296570</v>
      </c>
      <c r="O179" s="39">
        <v>22000</v>
      </c>
      <c r="P179" s="39">
        <v>30030</v>
      </c>
      <c r="Q179">
        <v>0</v>
      </c>
      <c r="R179" s="23" t="str">
        <f t="shared" ref="R179:R242" si="9">IF(Q179&gt;0,"Yes",IF(OR((O179+P179&lt;50000),O179&lt;22000,P179&lt;30030),"Yes","No"))</f>
        <v>No</v>
      </c>
    </row>
    <row r="180" spans="1:18" x14ac:dyDescent="0.25">
      <c r="A180" s="1">
        <v>45804</v>
      </c>
      <c r="B180" s="7">
        <v>5310</v>
      </c>
      <c r="C180" s="7">
        <v>5590</v>
      </c>
      <c r="D180" s="7">
        <v>5000</v>
      </c>
      <c r="E180" s="7">
        <v>6190</v>
      </c>
      <c r="F180" s="7">
        <v>6530</v>
      </c>
      <c r="G180" s="7">
        <v>6570</v>
      </c>
      <c r="H180" s="7">
        <v>5300</v>
      </c>
      <c r="I180" s="7">
        <v>5710</v>
      </c>
      <c r="J180" s="7">
        <v>6400</v>
      </c>
      <c r="K180" s="7">
        <v>5530</v>
      </c>
      <c r="L180" s="3">
        <f t="shared" si="7"/>
        <v>58130</v>
      </c>
      <c r="M180" s="3">
        <v>42435.910819398348</v>
      </c>
      <c r="N180" s="3">
        <f t="shared" si="6"/>
        <v>58130</v>
      </c>
      <c r="O180" s="39">
        <v>22000</v>
      </c>
      <c r="P180" s="39">
        <v>30030</v>
      </c>
      <c r="Q180">
        <v>0</v>
      </c>
      <c r="R180" s="23" t="str">
        <f t="shared" si="9"/>
        <v>No</v>
      </c>
    </row>
    <row r="181" spans="1:18" x14ac:dyDescent="0.25">
      <c r="A181" s="1">
        <v>45805</v>
      </c>
      <c r="B181" s="7">
        <v>29230</v>
      </c>
      <c r="C181" s="7">
        <v>30820</v>
      </c>
      <c r="D181" s="7">
        <v>25430</v>
      </c>
      <c r="E181" s="7">
        <v>28350</v>
      </c>
      <c r="F181" s="7">
        <v>28940</v>
      </c>
      <c r="G181" s="7">
        <v>39140</v>
      </c>
      <c r="H181" s="7">
        <v>31260</v>
      </c>
      <c r="I181" s="7">
        <v>33070</v>
      </c>
      <c r="J181" s="7">
        <v>36940</v>
      </c>
      <c r="K181" s="7">
        <v>32280</v>
      </c>
      <c r="L181" s="3">
        <f t="shared" si="7"/>
        <v>315460</v>
      </c>
      <c r="M181" s="3">
        <v>310332.24948565842</v>
      </c>
      <c r="N181" s="3">
        <f t="shared" si="6"/>
        <v>315460</v>
      </c>
      <c r="O181" s="39">
        <v>22000</v>
      </c>
      <c r="P181" s="39">
        <v>22730</v>
      </c>
      <c r="Q181">
        <v>0</v>
      </c>
      <c r="R181" s="23" t="str">
        <f t="shared" si="9"/>
        <v>Yes</v>
      </c>
    </row>
    <row r="182" spans="1:18" x14ac:dyDescent="0.25">
      <c r="A182" s="1">
        <v>45806</v>
      </c>
      <c r="B182" s="7">
        <v>27670</v>
      </c>
      <c r="C182" s="7">
        <v>28150</v>
      </c>
      <c r="D182" s="7">
        <v>24280</v>
      </c>
      <c r="E182" s="7">
        <v>26160</v>
      </c>
      <c r="F182" s="7">
        <v>27480</v>
      </c>
      <c r="G182" s="7">
        <v>24200</v>
      </c>
      <c r="H182" s="7">
        <v>19560</v>
      </c>
      <c r="I182" s="7">
        <v>20460</v>
      </c>
      <c r="J182" s="7">
        <v>23700</v>
      </c>
      <c r="K182" s="7">
        <v>19750</v>
      </c>
      <c r="L182" s="3">
        <f t="shared" si="7"/>
        <v>241410</v>
      </c>
      <c r="M182" s="3">
        <v>280246.1641752022</v>
      </c>
      <c r="N182" s="3">
        <f t="shared" si="6"/>
        <v>280246.1641752022</v>
      </c>
      <c r="O182" s="39">
        <v>22000</v>
      </c>
      <c r="P182" s="39">
        <v>30030</v>
      </c>
      <c r="Q182" s="3">
        <v>53107</v>
      </c>
      <c r="R182" s="23" t="str">
        <f t="shared" si="9"/>
        <v>Yes</v>
      </c>
    </row>
    <row r="183" spans="1:18" x14ac:dyDescent="0.25">
      <c r="A183" s="1">
        <v>45807</v>
      </c>
      <c r="B183" s="7">
        <v>29150</v>
      </c>
      <c r="C183" s="7">
        <v>29530</v>
      </c>
      <c r="D183" s="7">
        <v>24540</v>
      </c>
      <c r="E183" s="7">
        <v>25820</v>
      </c>
      <c r="F183" s="7">
        <v>27380</v>
      </c>
      <c r="G183" s="7">
        <v>36900</v>
      </c>
      <c r="H183" s="7">
        <v>29280</v>
      </c>
      <c r="I183" s="7">
        <v>31480</v>
      </c>
      <c r="J183" s="7">
        <v>36710</v>
      </c>
      <c r="K183" s="7">
        <v>30060</v>
      </c>
      <c r="L183" s="3">
        <f t="shared" si="7"/>
        <v>300850</v>
      </c>
      <c r="M183" s="3">
        <v>290664.86110837915</v>
      </c>
      <c r="N183" s="3">
        <f t="shared" si="6"/>
        <v>300850</v>
      </c>
      <c r="O183" s="39">
        <v>22000</v>
      </c>
      <c r="P183" s="39">
        <v>30030</v>
      </c>
      <c r="Q183">
        <v>0</v>
      </c>
      <c r="R183" s="23" t="str">
        <f t="shared" si="9"/>
        <v>No</v>
      </c>
    </row>
    <row r="184" spans="1:18" x14ac:dyDescent="0.25">
      <c r="A184" s="1">
        <v>45808</v>
      </c>
      <c r="B184" s="7">
        <v>21660</v>
      </c>
      <c r="C184" s="7">
        <v>22880</v>
      </c>
      <c r="D184" s="7">
        <v>19600</v>
      </c>
      <c r="E184" s="7">
        <v>22490</v>
      </c>
      <c r="F184" s="7">
        <v>23410</v>
      </c>
      <c r="G184" s="7">
        <v>27780</v>
      </c>
      <c r="H184" s="7">
        <v>21540</v>
      </c>
      <c r="I184" s="7">
        <v>23250</v>
      </c>
      <c r="J184" s="7">
        <v>26570</v>
      </c>
      <c r="K184" s="7">
        <v>23660</v>
      </c>
      <c r="L184" s="3">
        <f t="shared" si="7"/>
        <v>232840</v>
      </c>
      <c r="M184" s="3">
        <v>210444.41873889873</v>
      </c>
      <c r="N184" s="3">
        <f t="shared" si="6"/>
        <v>232840</v>
      </c>
      <c r="O184" s="39">
        <v>22000</v>
      </c>
      <c r="P184" s="39">
        <v>30030</v>
      </c>
      <c r="Q184">
        <v>0</v>
      </c>
      <c r="R184" s="23" t="str">
        <f t="shared" si="9"/>
        <v>No</v>
      </c>
    </row>
    <row r="185" spans="1:18" ht="75" customHeight="1" x14ac:dyDescent="0.25">
      <c r="A185" s="1">
        <v>45809</v>
      </c>
      <c r="B185" s="7">
        <v>12280</v>
      </c>
      <c r="C185" s="7">
        <v>12980</v>
      </c>
      <c r="D185" s="7">
        <v>11600</v>
      </c>
      <c r="E185" s="7">
        <v>14180</v>
      </c>
      <c r="F185" s="7">
        <v>14950</v>
      </c>
      <c r="G185" s="7">
        <v>14570</v>
      </c>
      <c r="H185" s="7">
        <v>12030</v>
      </c>
      <c r="I185" s="7">
        <v>12780</v>
      </c>
      <c r="J185" s="7">
        <v>14250</v>
      </c>
      <c r="K185" s="7">
        <v>13110</v>
      </c>
      <c r="L185" s="3">
        <f t="shared" si="7"/>
        <v>132730</v>
      </c>
      <c r="M185" s="3">
        <v>119804.32164948454</v>
      </c>
      <c r="N185" s="3">
        <f t="shared" si="6"/>
        <v>132730</v>
      </c>
      <c r="O185" s="39">
        <v>22000</v>
      </c>
      <c r="P185" s="39">
        <v>30030</v>
      </c>
      <c r="Q185">
        <v>0</v>
      </c>
      <c r="R185" s="23" t="str">
        <f t="shared" si="9"/>
        <v>No</v>
      </c>
    </row>
    <row r="186" spans="1:18" x14ac:dyDescent="0.25">
      <c r="A186" s="1">
        <v>45810</v>
      </c>
      <c r="B186" s="7">
        <v>13570</v>
      </c>
      <c r="C186" s="7">
        <v>14380</v>
      </c>
      <c r="D186" s="7">
        <v>12900</v>
      </c>
      <c r="E186" s="7">
        <v>15740</v>
      </c>
      <c r="F186" s="7">
        <v>16690</v>
      </c>
      <c r="G186" s="7">
        <v>17010</v>
      </c>
      <c r="H186" s="7">
        <v>13440</v>
      </c>
      <c r="I186" s="7">
        <v>14470</v>
      </c>
      <c r="J186" s="7">
        <v>16210</v>
      </c>
      <c r="K186" s="7">
        <v>14930</v>
      </c>
      <c r="L186" s="3">
        <f t="shared" si="7"/>
        <v>149340</v>
      </c>
      <c r="M186" s="3">
        <v>135178.34782359679</v>
      </c>
      <c r="N186" s="3">
        <f t="shared" si="6"/>
        <v>149340</v>
      </c>
      <c r="O186" s="39">
        <v>22000</v>
      </c>
      <c r="P186" s="39">
        <v>23479</v>
      </c>
      <c r="Q186">
        <v>0</v>
      </c>
      <c r="R186" s="23" t="str">
        <f t="shared" si="9"/>
        <v>Yes</v>
      </c>
    </row>
    <row r="187" spans="1:18" x14ac:dyDescent="0.25">
      <c r="A187" s="1">
        <v>45811</v>
      </c>
      <c r="B187" s="7">
        <v>14870</v>
      </c>
      <c r="C187" s="7">
        <v>16100</v>
      </c>
      <c r="D187" s="7">
        <v>15300</v>
      </c>
      <c r="E187" s="7">
        <v>19040</v>
      </c>
      <c r="F187" s="7">
        <v>19750</v>
      </c>
      <c r="G187" s="7">
        <v>18160</v>
      </c>
      <c r="H187" s="7">
        <v>13400</v>
      </c>
      <c r="I187" s="7">
        <v>15330</v>
      </c>
      <c r="J187" s="7">
        <v>16700</v>
      </c>
      <c r="K187" s="7">
        <v>15720</v>
      </c>
      <c r="L187" s="3">
        <f t="shared" si="7"/>
        <v>164370</v>
      </c>
      <c r="M187" s="3">
        <v>163226.77542955329</v>
      </c>
      <c r="N187" s="3">
        <f t="shared" si="6"/>
        <v>164370</v>
      </c>
      <c r="O187" s="39">
        <v>22000</v>
      </c>
      <c r="P187" s="39">
        <v>30030</v>
      </c>
      <c r="Q187" s="3">
        <v>16449</v>
      </c>
      <c r="R187" s="23" t="str">
        <f t="shared" si="9"/>
        <v>Yes</v>
      </c>
    </row>
    <row r="188" spans="1:18" x14ac:dyDescent="0.25">
      <c r="A188" s="1">
        <v>45812</v>
      </c>
      <c r="B188" s="7">
        <v>14960</v>
      </c>
      <c r="C188" s="7">
        <v>16350</v>
      </c>
      <c r="D188" s="7">
        <v>21860</v>
      </c>
      <c r="E188" s="7">
        <v>25860</v>
      </c>
      <c r="F188" s="7">
        <v>27060</v>
      </c>
      <c r="G188" s="7">
        <v>30490</v>
      </c>
      <c r="H188" s="7">
        <v>23060</v>
      </c>
      <c r="I188" s="7">
        <v>25700</v>
      </c>
      <c r="J188" s="7">
        <v>28660</v>
      </c>
      <c r="K188" s="7">
        <v>26490</v>
      </c>
      <c r="L188" s="3">
        <f t="shared" si="7"/>
        <v>240490</v>
      </c>
      <c r="M188" s="3">
        <v>247161.37852233677</v>
      </c>
      <c r="N188" s="3">
        <f t="shared" si="6"/>
        <v>247161.37852233677</v>
      </c>
      <c r="O188" s="39">
        <v>22000</v>
      </c>
      <c r="P188" s="39">
        <v>30030</v>
      </c>
      <c r="Q188">
        <v>0</v>
      </c>
      <c r="R188" s="23" t="str">
        <f t="shared" si="9"/>
        <v>No</v>
      </c>
    </row>
    <row r="189" spans="1:18" x14ac:dyDescent="0.25">
      <c r="A189" s="1">
        <v>45813</v>
      </c>
      <c r="B189" s="7">
        <v>16620</v>
      </c>
      <c r="C189" s="7">
        <v>17200</v>
      </c>
      <c r="D189" s="7">
        <v>19680</v>
      </c>
      <c r="E189" s="7">
        <v>23590</v>
      </c>
      <c r="F189" s="7">
        <v>24940</v>
      </c>
      <c r="G189" s="7">
        <v>28030</v>
      </c>
      <c r="H189" s="7">
        <v>22160</v>
      </c>
      <c r="I189" s="7">
        <v>24020</v>
      </c>
      <c r="J189" s="7">
        <v>28010</v>
      </c>
      <c r="K189" s="7">
        <v>24650</v>
      </c>
      <c r="L189" s="3">
        <f t="shared" si="7"/>
        <v>228900</v>
      </c>
      <c r="M189" s="3">
        <v>239890.26958762886</v>
      </c>
      <c r="N189" s="3">
        <f t="shared" si="6"/>
        <v>239890.26958762886</v>
      </c>
      <c r="O189" s="39">
        <v>22000</v>
      </c>
      <c r="P189" s="39">
        <v>30030</v>
      </c>
      <c r="Q189">
        <v>0</v>
      </c>
      <c r="R189" s="23" t="str">
        <f t="shared" si="9"/>
        <v>No</v>
      </c>
    </row>
    <row r="190" spans="1:18" x14ac:dyDescent="0.25">
      <c r="A190" s="1">
        <v>45814</v>
      </c>
      <c r="B190" s="7">
        <v>17490</v>
      </c>
      <c r="C190" s="7">
        <v>18420</v>
      </c>
      <c r="D190" s="7">
        <v>21900</v>
      </c>
      <c r="E190" s="7">
        <v>26380</v>
      </c>
      <c r="F190" s="7">
        <v>27720</v>
      </c>
      <c r="G190" s="7">
        <v>30850</v>
      </c>
      <c r="H190" s="7">
        <v>24360</v>
      </c>
      <c r="I190" s="7">
        <v>26090</v>
      </c>
      <c r="J190" s="7">
        <v>29330</v>
      </c>
      <c r="K190" s="7">
        <v>26600</v>
      </c>
      <c r="L190" s="3">
        <f t="shared" si="7"/>
        <v>249140</v>
      </c>
      <c r="M190" s="3">
        <v>254125.93848797251</v>
      </c>
      <c r="N190" s="3">
        <f t="shared" si="6"/>
        <v>254125.93848797251</v>
      </c>
      <c r="O190" s="39">
        <v>22000</v>
      </c>
      <c r="P190" s="39">
        <v>30030</v>
      </c>
      <c r="Q190">
        <v>0</v>
      </c>
      <c r="R190" s="23" t="str">
        <f t="shared" si="9"/>
        <v>No</v>
      </c>
    </row>
    <row r="191" spans="1:18" x14ac:dyDescent="0.25">
      <c r="A191" s="1">
        <v>45815</v>
      </c>
      <c r="B191" s="7">
        <v>16240</v>
      </c>
      <c r="C191" s="7">
        <v>17120</v>
      </c>
      <c r="D191" s="7">
        <v>19830</v>
      </c>
      <c r="E191" s="7">
        <v>24140</v>
      </c>
      <c r="F191" s="7">
        <v>25410</v>
      </c>
      <c r="G191" s="7">
        <v>26650</v>
      </c>
      <c r="H191" s="7">
        <v>20740</v>
      </c>
      <c r="I191" s="7">
        <v>22380</v>
      </c>
      <c r="J191" s="7">
        <v>25430</v>
      </c>
      <c r="K191" s="7">
        <v>23180</v>
      </c>
      <c r="L191" s="3">
        <f t="shared" si="7"/>
        <v>221120</v>
      </c>
      <c r="M191" s="3">
        <v>217025.87027491405</v>
      </c>
      <c r="N191" s="3">
        <f t="shared" si="6"/>
        <v>221120</v>
      </c>
      <c r="O191" s="39">
        <v>22000</v>
      </c>
      <c r="P191" s="39">
        <v>30030</v>
      </c>
      <c r="Q191">
        <v>0</v>
      </c>
      <c r="R191" s="23" t="str">
        <f t="shared" si="9"/>
        <v>No</v>
      </c>
    </row>
    <row r="192" spans="1:18" x14ac:dyDescent="0.25">
      <c r="A192" s="1">
        <v>45816</v>
      </c>
      <c r="B192" s="7">
        <v>17080</v>
      </c>
      <c r="C192" s="7">
        <v>17910</v>
      </c>
      <c r="D192" s="7">
        <v>20430</v>
      </c>
      <c r="E192" s="7">
        <v>23830</v>
      </c>
      <c r="F192" s="7">
        <v>24140</v>
      </c>
      <c r="G192" s="7">
        <v>27840</v>
      </c>
      <c r="H192" s="7">
        <v>21050</v>
      </c>
      <c r="I192" s="7">
        <v>23380</v>
      </c>
      <c r="J192" s="7">
        <v>26150</v>
      </c>
      <c r="K192" s="7">
        <v>23770</v>
      </c>
      <c r="L192" s="3">
        <f t="shared" si="7"/>
        <v>225580</v>
      </c>
      <c r="M192" s="3">
        <v>238157.31254295536</v>
      </c>
      <c r="N192" s="3">
        <f t="shared" si="6"/>
        <v>238157.31254295536</v>
      </c>
      <c r="O192" s="39">
        <v>10000</v>
      </c>
      <c r="P192" s="39">
        <v>17929</v>
      </c>
      <c r="Q192">
        <v>0</v>
      </c>
      <c r="R192" s="23" t="str">
        <f t="shared" si="9"/>
        <v>Yes</v>
      </c>
    </row>
    <row r="193" spans="1:18" x14ac:dyDescent="0.25">
      <c r="A193" s="1">
        <v>45817</v>
      </c>
      <c r="B193" s="7">
        <v>16800</v>
      </c>
      <c r="C193" s="7">
        <v>16620</v>
      </c>
      <c r="D193" s="7">
        <v>15170</v>
      </c>
      <c r="E193" s="7">
        <v>18800</v>
      </c>
      <c r="F193" s="7">
        <v>19260</v>
      </c>
      <c r="G193" s="7">
        <v>7740</v>
      </c>
      <c r="H193" s="7">
        <v>21050</v>
      </c>
      <c r="I193" s="7">
        <v>6810</v>
      </c>
      <c r="J193" s="7">
        <v>26150</v>
      </c>
      <c r="K193" s="7">
        <v>7490</v>
      </c>
      <c r="L193" s="3">
        <f t="shared" si="7"/>
        <v>155890</v>
      </c>
      <c r="M193" s="3">
        <v>321238.39690721652</v>
      </c>
      <c r="N193" s="3">
        <f t="shared" si="6"/>
        <v>321238.39690721652</v>
      </c>
      <c r="O193" s="39">
        <v>22000</v>
      </c>
      <c r="P193" s="39">
        <v>30030</v>
      </c>
      <c r="Q193" s="3">
        <v>73985</v>
      </c>
      <c r="R193" s="23" t="str">
        <f t="shared" si="9"/>
        <v>Yes</v>
      </c>
    </row>
    <row r="194" spans="1:18" x14ac:dyDescent="0.25">
      <c r="A194" s="1">
        <v>45818</v>
      </c>
      <c r="B194" s="7">
        <v>23290</v>
      </c>
      <c r="C194" s="7">
        <v>23170</v>
      </c>
      <c r="D194" s="7">
        <v>20290</v>
      </c>
      <c r="E194" s="7">
        <v>25130</v>
      </c>
      <c r="F194" s="7">
        <v>26060</v>
      </c>
      <c r="G194" s="7">
        <v>30490</v>
      </c>
      <c r="H194" s="7">
        <v>23480</v>
      </c>
      <c r="I194" s="7">
        <v>25580</v>
      </c>
      <c r="J194" s="7">
        <v>29510</v>
      </c>
      <c r="K194" s="7">
        <v>25570</v>
      </c>
      <c r="L194" s="3">
        <f t="shared" si="7"/>
        <v>252570</v>
      </c>
      <c r="M194" s="3">
        <v>254321.16615120275</v>
      </c>
      <c r="N194" s="3">
        <f t="shared" si="6"/>
        <v>254321.16615120275</v>
      </c>
      <c r="O194" s="39">
        <v>22000</v>
      </c>
      <c r="P194" s="39">
        <v>30030</v>
      </c>
      <c r="Q194">
        <v>0</v>
      </c>
      <c r="R194" s="23" t="str">
        <f t="shared" si="9"/>
        <v>No</v>
      </c>
    </row>
    <row r="195" spans="1:18" x14ac:dyDescent="0.25">
      <c r="A195" s="1">
        <v>45819</v>
      </c>
      <c r="B195" s="7">
        <v>26380</v>
      </c>
      <c r="C195" s="7">
        <v>26690</v>
      </c>
      <c r="D195" s="7">
        <v>22770</v>
      </c>
      <c r="E195" s="7">
        <v>28540</v>
      </c>
      <c r="F195" s="7">
        <v>29700</v>
      </c>
      <c r="G195" s="7">
        <v>31380</v>
      </c>
      <c r="H195" s="7">
        <v>25020</v>
      </c>
      <c r="I195" s="7">
        <v>26600</v>
      </c>
      <c r="J195" s="7">
        <v>30150</v>
      </c>
      <c r="K195" s="7">
        <v>27180</v>
      </c>
      <c r="L195" s="3">
        <f t="shared" si="7"/>
        <v>274410</v>
      </c>
      <c r="M195" s="3">
        <v>271165.90738831618</v>
      </c>
      <c r="N195" s="3">
        <f t="shared" ref="N195:N258" si="10">IF(OR(O195&lt;24300,P195&lt;25700),MAX(L195,M195),L195)</f>
        <v>274410</v>
      </c>
      <c r="O195" s="39">
        <v>22000</v>
      </c>
      <c r="P195" s="39">
        <v>30030</v>
      </c>
      <c r="Q195">
        <v>0</v>
      </c>
      <c r="R195" s="23" t="str">
        <f t="shared" si="9"/>
        <v>No</v>
      </c>
    </row>
    <row r="196" spans="1:18" x14ac:dyDescent="0.25">
      <c r="A196" s="1">
        <v>45820</v>
      </c>
      <c r="B196" s="7">
        <v>17020</v>
      </c>
      <c r="C196" s="7">
        <v>17040</v>
      </c>
      <c r="D196" s="7">
        <v>15190</v>
      </c>
      <c r="E196" s="7">
        <v>18990</v>
      </c>
      <c r="F196" s="7">
        <v>19820</v>
      </c>
      <c r="G196" s="7">
        <v>21050</v>
      </c>
      <c r="H196" s="7">
        <v>16640</v>
      </c>
      <c r="I196" s="7">
        <v>17720</v>
      </c>
      <c r="J196" s="7">
        <v>19660</v>
      </c>
      <c r="K196" s="7">
        <v>18170</v>
      </c>
      <c r="L196" s="3">
        <f t="shared" ref="L196:L259" si="11">SUM(B196:K196)</f>
        <v>181300</v>
      </c>
      <c r="M196" s="3">
        <v>173235.7238831615</v>
      </c>
      <c r="N196" s="3">
        <f t="shared" si="10"/>
        <v>181300</v>
      </c>
      <c r="O196" s="39">
        <v>22000</v>
      </c>
      <c r="P196" s="39">
        <v>30030</v>
      </c>
      <c r="Q196">
        <v>0</v>
      </c>
      <c r="R196" s="23" t="str">
        <f t="shared" si="9"/>
        <v>No</v>
      </c>
    </row>
    <row r="197" spans="1:18" x14ac:dyDescent="0.25">
      <c r="A197" s="1">
        <v>45821</v>
      </c>
      <c r="B197" s="7">
        <v>28090</v>
      </c>
      <c r="C197" s="7">
        <v>27670</v>
      </c>
      <c r="D197" s="7">
        <v>24150</v>
      </c>
      <c r="E197" s="7">
        <v>30380</v>
      </c>
      <c r="F197" s="7">
        <v>29880</v>
      </c>
      <c r="G197" s="7">
        <v>37250</v>
      </c>
      <c r="H197" s="7">
        <v>29430</v>
      </c>
      <c r="I197" s="7">
        <v>31780</v>
      </c>
      <c r="J197" s="7">
        <v>35310</v>
      </c>
      <c r="K197" s="7">
        <v>32640</v>
      </c>
      <c r="L197" s="3">
        <f t="shared" si="11"/>
        <v>306580</v>
      </c>
      <c r="M197" s="3">
        <v>314182.45378006872</v>
      </c>
      <c r="N197" s="3">
        <f t="shared" si="10"/>
        <v>314182.45378006872</v>
      </c>
      <c r="O197" s="39">
        <v>22000</v>
      </c>
      <c r="P197" s="39">
        <v>27495</v>
      </c>
      <c r="Q197">
        <v>0</v>
      </c>
      <c r="R197" s="23" t="str">
        <f t="shared" si="9"/>
        <v>Yes</v>
      </c>
    </row>
    <row r="198" spans="1:18" x14ac:dyDescent="0.25">
      <c r="A198" s="1">
        <v>45822</v>
      </c>
      <c r="B198" s="7">
        <v>13840</v>
      </c>
      <c r="C198" s="7">
        <v>13770</v>
      </c>
      <c r="D198" s="7">
        <v>11990</v>
      </c>
      <c r="E198" s="7">
        <v>14610</v>
      </c>
      <c r="F198" s="7">
        <v>15440</v>
      </c>
      <c r="G198" s="7">
        <v>17080</v>
      </c>
      <c r="H198" s="7">
        <v>13480</v>
      </c>
      <c r="I198" s="7">
        <v>14400</v>
      </c>
      <c r="J198" s="7">
        <v>15660</v>
      </c>
      <c r="K198" s="7">
        <v>14690</v>
      </c>
      <c r="L198" s="3">
        <f t="shared" si="11"/>
        <v>144960</v>
      </c>
      <c r="M198" s="3">
        <v>137417.34604810999</v>
      </c>
      <c r="N198" s="3">
        <f t="shared" si="10"/>
        <v>144960</v>
      </c>
      <c r="O198" s="39">
        <v>15164</v>
      </c>
      <c r="P198" s="39">
        <v>30030</v>
      </c>
      <c r="Q198" s="3">
        <v>3996</v>
      </c>
      <c r="R198" s="23" t="str">
        <f t="shared" si="9"/>
        <v>Yes</v>
      </c>
    </row>
    <row r="199" spans="1:18" x14ac:dyDescent="0.25">
      <c r="A199" s="1">
        <v>45823</v>
      </c>
      <c r="B199" s="7">
        <v>18600</v>
      </c>
      <c r="C199" s="7">
        <v>18420</v>
      </c>
      <c r="D199" s="7">
        <v>16570</v>
      </c>
      <c r="E199" s="7">
        <v>20380</v>
      </c>
      <c r="F199" s="7">
        <v>21170</v>
      </c>
      <c r="G199" s="7">
        <v>29860</v>
      </c>
      <c r="H199" s="7">
        <v>29010</v>
      </c>
      <c r="I199" s="7">
        <v>30720</v>
      </c>
      <c r="J199" s="7">
        <v>35060</v>
      </c>
      <c r="K199" s="7">
        <v>32380</v>
      </c>
      <c r="L199" s="3">
        <f t="shared" si="11"/>
        <v>252170</v>
      </c>
      <c r="M199" s="3">
        <v>300407.52216494846</v>
      </c>
      <c r="N199" s="3">
        <f t="shared" si="10"/>
        <v>300407.52216494846</v>
      </c>
      <c r="O199" s="39">
        <v>10000</v>
      </c>
      <c r="P199" s="39">
        <v>30030</v>
      </c>
      <c r="Q199" s="3">
        <v>46386</v>
      </c>
      <c r="R199" s="23" t="str">
        <f t="shared" si="9"/>
        <v>Yes</v>
      </c>
    </row>
    <row r="200" spans="1:18" x14ac:dyDescent="0.25">
      <c r="A200" s="1">
        <v>45824</v>
      </c>
      <c r="B200" s="7">
        <v>16060</v>
      </c>
      <c r="C200" s="7">
        <v>15830</v>
      </c>
      <c r="D200" s="7">
        <v>14190</v>
      </c>
      <c r="E200" s="7">
        <v>17510</v>
      </c>
      <c r="F200" s="7">
        <v>18010</v>
      </c>
      <c r="G200" s="7">
        <v>25850</v>
      </c>
      <c r="H200" s="7">
        <v>23620</v>
      </c>
      <c r="I200" s="7">
        <v>24440</v>
      </c>
      <c r="J200" s="7">
        <v>28110</v>
      </c>
      <c r="K200" s="7">
        <v>25080</v>
      </c>
      <c r="L200" s="3">
        <f t="shared" si="11"/>
        <v>208700</v>
      </c>
      <c r="M200" s="3">
        <v>240693.77680412371</v>
      </c>
      <c r="N200" s="3">
        <f t="shared" si="10"/>
        <v>240693.77680412371</v>
      </c>
      <c r="O200" s="39">
        <v>9597</v>
      </c>
      <c r="P200" s="39">
        <v>30030</v>
      </c>
      <c r="Q200" s="3">
        <v>48143</v>
      </c>
      <c r="R200" s="23" t="str">
        <f t="shared" si="9"/>
        <v>Yes</v>
      </c>
    </row>
    <row r="201" spans="1:18" x14ac:dyDescent="0.25">
      <c r="A201" s="1">
        <v>45825</v>
      </c>
      <c r="B201" s="7">
        <v>14660</v>
      </c>
      <c r="C201" s="7">
        <v>14620</v>
      </c>
      <c r="D201" s="7">
        <v>13260</v>
      </c>
      <c r="E201" s="7">
        <v>16660</v>
      </c>
      <c r="F201" s="7">
        <v>16880</v>
      </c>
      <c r="G201" s="7">
        <v>30310</v>
      </c>
      <c r="H201" s="7">
        <v>25970</v>
      </c>
      <c r="I201" s="7">
        <v>26560</v>
      </c>
      <c r="J201" s="7">
        <v>29970</v>
      </c>
      <c r="K201" s="7">
        <v>27950</v>
      </c>
      <c r="L201" s="3">
        <f t="shared" si="11"/>
        <v>216840</v>
      </c>
      <c r="M201" s="3">
        <v>260482.88350515463</v>
      </c>
      <c r="N201" s="3">
        <f t="shared" si="10"/>
        <v>260482.88350515463</v>
      </c>
      <c r="O201" s="39">
        <v>13717</v>
      </c>
      <c r="P201" s="39">
        <v>30030</v>
      </c>
      <c r="Q201" s="3">
        <v>52101</v>
      </c>
      <c r="R201" s="23" t="str">
        <f t="shared" si="9"/>
        <v>Yes</v>
      </c>
    </row>
    <row r="202" spans="1:18" x14ac:dyDescent="0.25">
      <c r="A202" s="1">
        <v>45826</v>
      </c>
      <c r="B202" s="7">
        <v>17510</v>
      </c>
      <c r="C202" s="7">
        <v>18310</v>
      </c>
      <c r="D202" s="7">
        <v>16270</v>
      </c>
      <c r="E202" s="7">
        <v>20140</v>
      </c>
      <c r="F202" s="7">
        <v>20940</v>
      </c>
      <c r="G202" s="7">
        <v>30650</v>
      </c>
      <c r="H202" s="7">
        <v>27230</v>
      </c>
      <c r="I202" s="7">
        <v>25760</v>
      </c>
      <c r="J202" s="7">
        <v>28840</v>
      </c>
      <c r="K202" s="7">
        <v>26400</v>
      </c>
      <c r="L202" s="3">
        <f t="shared" si="11"/>
        <v>232050</v>
      </c>
      <c r="M202" s="3">
        <v>257884.27869415807</v>
      </c>
      <c r="N202" s="3">
        <f t="shared" si="10"/>
        <v>257884.27869415807</v>
      </c>
      <c r="O202" s="39">
        <v>22000</v>
      </c>
      <c r="P202" s="39">
        <v>30030</v>
      </c>
      <c r="Q202" s="3">
        <v>36105</v>
      </c>
      <c r="R202" s="23" t="str">
        <f t="shared" si="9"/>
        <v>Yes</v>
      </c>
    </row>
    <row r="203" spans="1:18" x14ac:dyDescent="0.25">
      <c r="A203" s="1">
        <v>45827</v>
      </c>
      <c r="B203" s="7">
        <v>11570</v>
      </c>
      <c r="C203" s="7">
        <v>11570</v>
      </c>
      <c r="D203" s="7">
        <v>10240</v>
      </c>
      <c r="E203" s="7">
        <v>12670</v>
      </c>
      <c r="F203" s="7">
        <v>13340</v>
      </c>
      <c r="G203" s="7">
        <v>13170</v>
      </c>
      <c r="H203" s="7">
        <v>11760</v>
      </c>
      <c r="I203" s="7">
        <v>11550</v>
      </c>
      <c r="J203" s="7">
        <v>12680</v>
      </c>
      <c r="K203" s="7">
        <v>11970</v>
      </c>
      <c r="L203" s="3">
        <f t="shared" si="11"/>
        <v>120520</v>
      </c>
      <c r="M203" s="3">
        <v>108665.04656357389</v>
      </c>
      <c r="N203" s="3">
        <f t="shared" si="10"/>
        <v>120520</v>
      </c>
      <c r="O203" s="39">
        <v>22000</v>
      </c>
      <c r="P203" s="39">
        <v>30030</v>
      </c>
      <c r="Q203">
        <v>0</v>
      </c>
      <c r="R203" s="23" t="str">
        <f t="shared" si="9"/>
        <v>No</v>
      </c>
    </row>
    <row r="204" spans="1:18" x14ac:dyDescent="0.25">
      <c r="A204" s="1">
        <v>45828</v>
      </c>
      <c r="B204" s="7">
        <v>17480</v>
      </c>
      <c r="C204" s="7">
        <v>17350</v>
      </c>
      <c r="D204" s="7">
        <v>15360</v>
      </c>
      <c r="E204" s="7">
        <v>18790</v>
      </c>
      <c r="F204" s="7">
        <v>19980</v>
      </c>
      <c r="G204" s="7">
        <v>20650</v>
      </c>
      <c r="H204" s="7">
        <v>17460</v>
      </c>
      <c r="I204" s="7">
        <v>17460</v>
      </c>
      <c r="J204" s="7">
        <v>19770</v>
      </c>
      <c r="K204" s="7">
        <v>18030</v>
      </c>
      <c r="L204" s="3">
        <f t="shared" si="11"/>
        <v>182330</v>
      </c>
      <c r="M204" s="3">
        <v>165016.91617983964</v>
      </c>
      <c r="N204" s="3">
        <f t="shared" si="10"/>
        <v>182330</v>
      </c>
      <c r="O204" s="39">
        <v>22000</v>
      </c>
      <c r="P204" s="39">
        <v>30030</v>
      </c>
      <c r="Q204">
        <v>0</v>
      </c>
      <c r="R204" s="23" t="str">
        <f t="shared" si="9"/>
        <v>No</v>
      </c>
    </row>
    <row r="205" spans="1:18" x14ac:dyDescent="0.25">
      <c r="A205" s="1">
        <v>45829</v>
      </c>
      <c r="B205" s="7">
        <v>28500</v>
      </c>
      <c r="C205" s="7">
        <v>28420</v>
      </c>
      <c r="D205" s="7">
        <v>24570</v>
      </c>
      <c r="E205" s="7">
        <v>30100</v>
      </c>
      <c r="F205" s="7">
        <v>31490</v>
      </c>
      <c r="G205" s="7">
        <v>34890</v>
      </c>
      <c r="H205" s="7">
        <v>29520</v>
      </c>
      <c r="I205" s="7">
        <v>29420</v>
      </c>
      <c r="J205" s="7">
        <v>33750</v>
      </c>
      <c r="K205" s="7">
        <v>30960</v>
      </c>
      <c r="L205" s="3">
        <f>SUM(B205:K205)</f>
        <v>301620</v>
      </c>
      <c r="M205" s="3">
        <v>289047.32136311568</v>
      </c>
      <c r="N205" s="3">
        <f t="shared" si="10"/>
        <v>301620</v>
      </c>
      <c r="O205" s="39">
        <v>22000</v>
      </c>
      <c r="P205" s="39">
        <v>30030</v>
      </c>
      <c r="Q205">
        <v>0</v>
      </c>
      <c r="R205" s="23" t="str">
        <f t="shared" si="9"/>
        <v>No</v>
      </c>
    </row>
    <row r="206" spans="1:18" x14ac:dyDescent="0.25">
      <c r="A206" s="1">
        <v>45830</v>
      </c>
      <c r="B206" s="7">
        <v>23960</v>
      </c>
      <c r="C206" s="7">
        <v>23860</v>
      </c>
      <c r="D206" s="7">
        <v>20880</v>
      </c>
      <c r="E206" s="7">
        <v>25650</v>
      </c>
      <c r="F206" s="7">
        <v>26740</v>
      </c>
      <c r="G206" s="7">
        <v>28590</v>
      </c>
      <c r="H206" s="7">
        <v>24720</v>
      </c>
      <c r="I206" s="7">
        <v>24110</v>
      </c>
      <c r="J206" s="7">
        <v>27050</v>
      </c>
      <c r="K206" s="7">
        <v>25010</v>
      </c>
      <c r="L206" s="3">
        <f t="shared" si="11"/>
        <v>250570</v>
      </c>
      <c r="M206" s="3">
        <v>238859.85521191297</v>
      </c>
      <c r="N206" s="3">
        <f t="shared" si="10"/>
        <v>250570</v>
      </c>
      <c r="O206" s="39">
        <v>18744</v>
      </c>
      <c r="P206" s="39">
        <v>30030</v>
      </c>
      <c r="Q206">
        <v>0</v>
      </c>
      <c r="R206" s="23" t="str">
        <f t="shared" si="9"/>
        <v>Yes</v>
      </c>
    </row>
    <row r="207" spans="1:18" x14ac:dyDescent="0.25">
      <c r="A207" s="1">
        <v>45831</v>
      </c>
      <c r="B207" s="7">
        <v>24880</v>
      </c>
      <c r="C207" s="7">
        <v>23970</v>
      </c>
      <c r="D207" s="7">
        <v>20630</v>
      </c>
      <c r="E207" s="7">
        <v>24470</v>
      </c>
      <c r="F207" s="7">
        <v>26540</v>
      </c>
      <c r="G207" s="7">
        <v>30980</v>
      </c>
      <c r="H207" s="7">
        <v>25490</v>
      </c>
      <c r="I207" s="7">
        <v>26520</v>
      </c>
      <c r="J207" s="7">
        <v>30220</v>
      </c>
      <c r="K207" s="7">
        <v>27080</v>
      </c>
      <c r="L207" s="3">
        <f t="shared" si="11"/>
        <v>260780</v>
      </c>
      <c r="M207" s="3">
        <v>256787.0438430699</v>
      </c>
      <c r="N207" s="3">
        <f t="shared" si="10"/>
        <v>260780</v>
      </c>
      <c r="O207" s="39">
        <v>10000</v>
      </c>
      <c r="P207" s="39">
        <v>30030</v>
      </c>
      <c r="Q207" s="3">
        <v>2697</v>
      </c>
      <c r="R207" s="23" t="str">
        <f t="shared" si="9"/>
        <v>Yes</v>
      </c>
    </row>
    <row r="208" spans="1:18" x14ac:dyDescent="0.25">
      <c r="A208" s="1">
        <v>45832</v>
      </c>
      <c r="B208" s="7">
        <v>14650</v>
      </c>
      <c r="C208" s="7">
        <v>14550</v>
      </c>
      <c r="D208" s="7">
        <v>13220</v>
      </c>
      <c r="E208" s="7">
        <v>16350</v>
      </c>
      <c r="F208" s="7">
        <v>16960</v>
      </c>
      <c r="G208" s="7">
        <v>19660</v>
      </c>
      <c r="H208" s="7">
        <v>16830</v>
      </c>
      <c r="I208" s="7">
        <v>16780</v>
      </c>
      <c r="J208" s="7">
        <v>19120</v>
      </c>
      <c r="K208" s="7">
        <v>17480</v>
      </c>
      <c r="L208" s="3">
        <f t="shared" si="11"/>
        <v>165600</v>
      </c>
      <c r="M208" s="3">
        <v>157181.03161512027</v>
      </c>
      <c r="N208" s="3">
        <f t="shared" si="10"/>
        <v>165600</v>
      </c>
      <c r="O208" s="39">
        <v>10000</v>
      </c>
      <c r="P208" s="39">
        <v>27338</v>
      </c>
      <c r="Q208" s="3">
        <v>31439</v>
      </c>
      <c r="R208" s="23" t="str">
        <f t="shared" si="9"/>
        <v>Yes</v>
      </c>
    </row>
    <row r="209" spans="1:18" x14ac:dyDescent="0.25">
      <c r="A209" s="1">
        <v>45833</v>
      </c>
      <c r="B209" s="7">
        <v>17110</v>
      </c>
      <c r="C209" s="7">
        <v>16870</v>
      </c>
      <c r="D209" s="7">
        <v>15370</v>
      </c>
      <c r="E209" s="7">
        <v>19210</v>
      </c>
      <c r="F209" s="7">
        <v>19610</v>
      </c>
      <c r="G209" s="7">
        <v>34920</v>
      </c>
      <c r="H209" s="7">
        <v>29440</v>
      </c>
      <c r="I209" s="7">
        <v>29820</v>
      </c>
      <c r="J209" s="7">
        <v>35330</v>
      </c>
      <c r="K209" s="7">
        <v>30170</v>
      </c>
      <c r="L209" s="3">
        <f t="shared" si="11"/>
        <v>247850</v>
      </c>
      <c r="M209" s="3">
        <v>298610.95690148906</v>
      </c>
      <c r="N209" s="3">
        <f t="shared" si="10"/>
        <v>298610.95690148906</v>
      </c>
      <c r="O209" s="39">
        <v>18317</v>
      </c>
      <c r="P209" s="39">
        <v>25000</v>
      </c>
      <c r="Q209" s="3">
        <v>71205</v>
      </c>
      <c r="R209" s="23" t="str">
        <f t="shared" si="9"/>
        <v>Yes</v>
      </c>
    </row>
    <row r="210" spans="1:18" x14ac:dyDescent="0.25">
      <c r="A210" s="1">
        <v>45834</v>
      </c>
      <c r="B210" s="7">
        <v>28600</v>
      </c>
      <c r="C210" s="7">
        <v>28630</v>
      </c>
      <c r="D210" s="7">
        <v>25350</v>
      </c>
      <c r="E210" s="7">
        <v>31190</v>
      </c>
      <c r="F210" s="7">
        <v>32410</v>
      </c>
      <c r="G210" s="7">
        <v>34260</v>
      </c>
      <c r="H210" s="7">
        <v>29430</v>
      </c>
      <c r="I210" s="7">
        <v>28780</v>
      </c>
      <c r="J210" s="7">
        <v>31540</v>
      </c>
      <c r="K210" s="7">
        <v>29660</v>
      </c>
      <c r="L210" s="3">
        <f t="shared" si="11"/>
        <v>299850</v>
      </c>
      <c r="M210" s="3">
        <v>288312.54536082479</v>
      </c>
      <c r="N210" s="3">
        <f t="shared" si="10"/>
        <v>299850</v>
      </c>
      <c r="O210" s="39">
        <v>22000</v>
      </c>
      <c r="P210" s="39">
        <v>25000</v>
      </c>
      <c r="Q210" s="3">
        <v>17352</v>
      </c>
      <c r="R210" s="23" t="str">
        <f t="shared" si="9"/>
        <v>Yes</v>
      </c>
    </row>
    <row r="211" spans="1:18" x14ac:dyDescent="0.25">
      <c r="A211" s="1">
        <v>45835</v>
      </c>
      <c r="B211" s="7">
        <v>30360</v>
      </c>
      <c r="C211" s="7">
        <v>29860</v>
      </c>
      <c r="D211" s="7">
        <v>26020</v>
      </c>
      <c r="E211" s="7">
        <v>31740</v>
      </c>
      <c r="F211" s="7">
        <v>32320</v>
      </c>
      <c r="G211" s="7">
        <v>35630</v>
      </c>
      <c r="H211" s="7">
        <v>30200</v>
      </c>
      <c r="I211" s="7">
        <v>29930</v>
      </c>
      <c r="J211" s="7">
        <v>33560</v>
      </c>
      <c r="K211" s="7">
        <v>30300</v>
      </c>
      <c r="L211" s="3">
        <f t="shared" si="11"/>
        <v>309920</v>
      </c>
      <c r="M211" s="3">
        <v>314152.21426116832</v>
      </c>
      <c r="N211" s="3">
        <f t="shared" si="10"/>
        <v>314152.21426116832</v>
      </c>
      <c r="O211" s="39">
        <v>22000</v>
      </c>
      <c r="P211" s="39">
        <v>25000</v>
      </c>
      <c r="Q211" s="3">
        <v>18908</v>
      </c>
      <c r="R211" s="23" t="str">
        <f t="shared" si="9"/>
        <v>Yes</v>
      </c>
    </row>
    <row r="212" spans="1:18" x14ac:dyDescent="0.25">
      <c r="A212" s="1">
        <v>45836</v>
      </c>
      <c r="B212" s="7">
        <v>23170</v>
      </c>
      <c r="C212" s="7">
        <v>22560</v>
      </c>
      <c r="D212" s="7">
        <v>20130</v>
      </c>
      <c r="E212" s="7">
        <v>24230</v>
      </c>
      <c r="F212" s="7">
        <v>25970</v>
      </c>
      <c r="G212" s="7">
        <v>27970</v>
      </c>
      <c r="H212" s="7">
        <v>24220</v>
      </c>
      <c r="I212" s="7">
        <v>24080</v>
      </c>
      <c r="J212" s="7">
        <v>28040</v>
      </c>
      <c r="K212" s="7">
        <v>24880</v>
      </c>
      <c r="L212" s="3">
        <f t="shared" si="11"/>
        <v>245250</v>
      </c>
      <c r="M212" s="3">
        <v>242946.95326460482</v>
      </c>
      <c r="N212" s="3">
        <f t="shared" si="10"/>
        <v>245250</v>
      </c>
      <c r="O212" s="39">
        <v>22000</v>
      </c>
      <c r="P212" s="39">
        <v>25000</v>
      </c>
      <c r="Q212" s="3">
        <v>14622</v>
      </c>
      <c r="R212" s="23" t="str">
        <f t="shared" si="9"/>
        <v>Yes</v>
      </c>
    </row>
    <row r="213" spans="1:18" x14ac:dyDescent="0.25">
      <c r="A213" s="1">
        <v>45837</v>
      </c>
      <c r="B213" s="7">
        <v>25580</v>
      </c>
      <c r="C213" s="7">
        <v>25320</v>
      </c>
      <c r="D213" s="7">
        <v>21970</v>
      </c>
      <c r="E213" s="7">
        <v>26670</v>
      </c>
      <c r="F213" s="7">
        <v>27760</v>
      </c>
      <c r="G213" s="7">
        <v>30830</v>
      </c>
      <c r="H213" s="7">
        <v>25930</v>
      </c>
      <c r="I213" s="7">
        <v>25980</v>
      </c>
      <c r="J213" s="7">
        <v>29550</v>
      </c>
      <c r="K213" s="7">
        <v>26260</v>
      </c>
      <c r="L213" s="3">
        <f t="shared" si="11"/>
        <v>265850</v>
      </c>
      <c r="M213" s="3">
        <v>286401.80652920966</v>
      </c>
      <c r="N213" s="3">
        <f t="shared" si="10"/>
        <v>286401.80652920966</v>
      </c>
      <c r="O213" s="39">
        <v>22000</v>
      </c>
      <c r="P213" s="39">
        <v>25000</v>
      </c>
      <c r="Q213" s="3">
        <v>17237</v>
      </c>
      <c r="R213" s="23" t="str">
        <f t="shared" si="9"/>
        <v>Yes</v>
      </c>
    </row>
    <row r="214" spans="1:18" x14ac:dyDescent="0.25">
      <c r="A214" s="1">
        <v>45838</v>
      </c>
      <c r="B214" s="7">
        <v>13140</v>
      </c>
      <c r="C214" s="7">
        <v>13110</v>
      </c>
      <c r="D214" s="7">
        <v>11550</v>
      </c>
      <c r="E214" s="7">
        <v>14230</v>
      </c>
      <c r="F214" s="7">
        <v>14880</v>
      </c>
      <c r="G214" s="7">
        <v>15380</v>
      </c>
      <c r="H214" s="7">
        <v>12910</v>
      </c>
      <c r="I214" s="7">
        <v>13040</v>
      </c>
      <c r="J214" s="7">
        <v>14760</v>
      </c>
      <c r="K214" s="7">
        <v>13390</v>
      </c>
      <c r="L214" s="3">
        <f t="shared" si="11"/>
        <v>136390</v>
      </c>
      <c r="M214" s="3">
        <v>206263.42611683847</v>
      </c>
      <c r="N214" s="3">
        <f t="shared" si="10"/>
        <v>206263.42611683847</v>
      </c>
      <c r="O214" s="39">
        <v>22000</v>
      </c>
      <c r="P214" s="39">
        <v>25398</v>
      </c>
      <c r="Q214" s="3">
        <v>7218</v>
      </c>
      <c r="R214" s="23" t="str">
        <f t="shared" si="9"/>
        <v>Yes</v>
      </c>
    </row>
    <row r="215" spans="1:18" x14ac:dyDescent="0.25">
      <c r="A215" s="1">
        <v>45839</v>
      </c>
      <c r="B215" s="7">
        <v>31570</v>
      </c>
      <c r="C215" s="7">
        <v>31100</v>
      </c>
      <c r="D215" s="7">
        <v>27530</v>
      </c>
      <c r="E215" s="7">
        <v>33500</v>
      </c>
      <c r="F215" s="7">
        <v>34860</v>
      </c>
      <c r="G215" s="7">
        <v>39940</v>
      </c>
      <c r="H215" s="7">
        <v>33510</v>
      </c>
      <c r="I215" s="7">
        <v>33880</v>
      </c>
      <c r="J215" s="7">
        <v>38510</v>
      </c>
      <c r="K215" s="7">
        <v>34070</v>
      </c>
      <c r="L215" s="3">
        <f t="shared" si="11"/>
        <v>338470</v>
      </c>
      <c r="M215" s="3">
        <v>361114.41585810075</v>
      </c>
      <c r="N215" s="3">
        <f t="shared" si="10"/>
        <v>361114.41585810075</v>
      </c>
      <c r="O215" s="39">
        <v>22000</v>
      </c>
      <c r="P215" s="39">
        <v>30030</v>
      </c>
      <c r="Q215" s="3">
        <v>19723</v>
      </c>
      <c r="R215" s="23" t="str">
        <f t="shared" si="9"/>
        <v>Yes</v>
      </c>
    </row>
    <row r="216" spans="1:18" x14ac:dyDescent="0.25">
      <c r="A216" s="1">
        <v>45840</v>
      </c>
      <c r="B216" s="7">
        <v>27930</v>
      </c>
      <c r="C216" s="7">
        <v>28360</v>
      </c>
      <c r="D216" s="7">
        <v>24440</v>
      </c>
      <c r="E216" s="7">
        <v>30350</v>
      </c>
      <c r="F216" s="7">
        <v>31200</v>
      </c>
      <c r="G216" s="7">
        <v>36150</v>
      </c>
      <c r="H216" s="7">
        <v>31350</v>
      </c>
      <c r="I216" s="7">
        <v>31240</v>
      </c>
      <c r="J216" s="7">
        <v>35780</v>
      </c>
      <c r="K216" s="7">
        <v>32240</v>
      </c>
      <c r="L216" s="3">
        <f t="shared" si="11"/>
        <v>309040</v>
      </c>
      <c r="M216" s="3">
        <v>313140.81980054989</v>
      </c>
      <c r="N216" s="3">
        <f t="shared" si="10"/>
        <v>313140.81980054989</v>
      </c>
      <c r="O216" s="39">
        <v>22000</v>
      </c>
      <c r="P216" s="39">
        <v>30030</v>
      </c>
      <c r="Q216">
        <v>0</v>
      </c>
      <c r="R216" s="23" t="str">
        <f t="shared" si="9"/>
        <v>No</v>
      </c>
    </row>
    <row r="217" spans="1:18" x14ac:dyDescent="0.25">
      <c r="A217" s="1">
        <v>45841</v>
      </c>
      <c r="B217" s="7">
        <v>28730</v>
      </c>
      <c r="C217" s="7">
        <v>28250</v>
      </c>
      <c r="D217" s="7">
        <v>25130</v>
      </c>
      <c r="E217" s="7">
        <v>30310</v>
      </c>
      <c r="F217" s="7">
        <v>31740</v>
      </c>
      <c r="G217" s="7">
        <v>37740</v>
      </c>
      <c r="H217" s="7">
        <v>31640</v>
      </c>
      <c r="I217" s="7">
        <v>32680</v>
      </c>
      <c r="J217" s="7">
        <v>37990</v>
      </c>
      <c r="K217" s="7">
        <v>33290</v>
      </c>
      <c r="L217" s="3">
        <f t="shared" si="11"/>
        <v>317500</v>
      </c>
      <c r="M217" s="3">
        <v>322615.24257332459</v>
      </c>
      <c r="N217" s="3">
        <f t="shared" si="10"/>
        <v>322615.24257332459</v>
      </c>
      <c r="O217" s="39">
        <v>21236</v>
      </c>
      <c r="P217" s="39">
        <v>30030</v>
      </c>
      <c r="Q217">
        <v>0</v>
      </c>
      <c r="R217" s="23" t="str">
        <f t="shared" si="9"/>
        <v>Yes</v>
      </c>
    </row>
    <row r="218" spans="1:18" x14ac:dyDescent="0.25">
      <c r="A218" s="1">
        <v>45842</v>
      </c>
      <c r="B218" s="7">
        <v>16800</v>
      </c>
      <c r="C218" s="7">
        <v>12240</v>
      </c>
      <c r="D218" s="7">
        <v>13810</v>
      </c>
      <c r="E218" s="7">
        <v>17720</v>
      </c>
      <c r="F218" s="7">
        <v>19120</v>
      </c>
      <c r="G218" s="7">
        <v>24580</v>
      </c>
      <c r="H218" s="7">
        <v>20610</v>
      </c>
      <c r="I218" s="7">
        <v>21220</v>
      </c>
      <c r="J218" s="7">
        <v>23950</v>
      </c>
      <c r="K218" s="7">
        <v>21720</v>
      </c>
      <c r="L218" s="3">
        <f t="shared" si="11"/>
        <v>191770</v>
      </c>
      <c r="M218" s="3">
        <v>205155.19215269745</v>
      </c>
      <c r="N218" s="3">
        <f t="shared" si="10"/>
        <v>205155.19215269745</v>
      </c>
      <c r="O218" s="39">
        <v>22000</v>
      </c>
      <c r="P218" s="39">
        <v>26527</v>
      </c>
      <c r="Q218" s="3">
        <v>6331</v>
      </c>
      <c r="R218" s="23" t="str">
        <f t="shared" si="9"/>
        <v>Yes</v>
      </c>
    </row>
    <row r="219" spans="1:18" x14ac:dyDescent="0.25">
      <c r="A219" s="1">
        <v>45843</v>
      </c>
      <c r="B219" s="7">
        <v>24890</v>
      </c>
      <c r="C219" s="7">
        <v>12270</v>
      </c>
      <c r="D219" s="7">
        <v>20490</v>
      </c>
      <c r="E219" s="7">
        <v>26600</v>
      </c>
      <c r="F219" s="7">
        <v>28270</v>
      </c>
      <c r="G219" s="7">
        <v>30480</v>
      </c>
      <c r="H219" s="7">
        <v>25760</v>
      </c>
      <c r="I219" s="7">
        <v>25970</v>
      </c>
      <c r="J219" s="7">
        <v>28790</v>
      </c>
      <c r="K219" s="7">
        <v>26490</v>
      </c>
      <c r="L219" s="3">
        <f t="shared" si="11"/>
        <v>250010</v>
      </c>
      <c r="M219" s="3">
        <v>267098.73468154838</v>
      </c>
      <c r="N219" s="3">
        <f t="shared" si="10"/>
        <v>267098.73468154838</v>
      </c>
      <c r="O219" s="39">
        <v>22000</v>
      </c>
      <c r="P219" s="39">
        <v>30030</v>
      </c>
      <c r="Q219" s="3">
        <v>3276</v>
      </c>
      <c r="R219" s="23" t="str">
        <f t="shared" si="9"/>
        <v>Yes</v>
      </c>
    </row>
    <row r="220" spans="1:18" x14ac:dyDescent="0.25">
      <c r="A220" s="1">
        <v>45844</v>
      </c>
      <c r="B220" s="7">
        <v>19180</v>
      </c>
      <c r="C220" s="7">
        <v>9430</v>
      </c>
      <c r="D220" s="7">
        <v>15680</v>
      </c>
      <c r="E220" s="7">
        <v>19670</v>
      </c>
      <c r="F220" s="7">
        <v>20980</v>
      </c>
      <c r="G220" s="7">
        <v>23050</v>
      </c>
      <c r="H220" s="7">
        <v>18920</v>
      </c>
      <c r="I220" s="7">
        <v>19260</v>
      </c>
      <c r="J220" s="7">
        <v>22230</v>
      </c>
      <c r="K220" s="7">
        <v>19370</v>
      </c>
      <c r="L220" s="3">
        <f t="shared" si="11"/>
        <v>187770</v>
      </c>
      <c r="M220" s="3">
        <v>197180.82549614596</v>
      </c>
      <c r="N220" s="3">
        <f t="shared" si="10"/>
        <v>197180.82549614596</v>
      </c>
      <c r="O220" s="39">
        <v>10919</v>
      </c>
      <c r="P220" s="39">
        <v>27402</v>
      </c>
      <c r="Q220">
        <v>0</v>
      </c>
      <c r="R220" s="23" t="str">
        <f t="shared" si="9"/>
        <v>Yes</v>
      </c>
    </row>
    <row r="221" spans="1:18" x14ac:dyDescent="0.25">
      <c r="A221" s="1">
        <v>45845</v>
      </c>
      <c r="B221" s="7">
        <v>14410</v>
      </c>
      <c r="C221" s="7">
        <v>15680</v>
      </c>
      <c r="D221" s="7">
        <v>12640</v>
      </c>
      <c r="E221" s="7">
        <v>15610</v>
      </c>
      <c r="F221" s="7">
        <v>16140</v>
      </c>
      <c r="G221" s="7">
        <v>17860</v>
      </c>
      <c r="H221" s="7">
        <v>15120</v>
      </c>
      <c r="I221" s="7">
        <v>15070</v>
      </c>
      <c r="J221" s="7">
        <v>16530</v>
      </c>
      <c r="K221" s="7">
        <v>15460</v>
      </c>
      <c r="L221" s="3">
        <f t="shared" si="11"/>
        <v>154520</v>
      </c>
      <c r="M221" s="3">
        <v>168419.65887982934</v>
      </c>
      <c r="N221" s="3">
        <f t="shared" si="10"/>
        <v>168419.65887982934</v>
      </c>
      <c r="O221" s="39">
        <v>24000</v>
      </c>
      <c r="P221" s="39">
        <v>30030</v>
      </c>
      <c r="Q221" s="3">
        <v>46128</v>
      </c>
      <c r="R221" s="23" t="str">
        <f>IF(Q221&gt;0,"Yes",IF(OR((O221+P221&lt;50000),O221&lt;24000,P221&lt;30030),"Yes","No"))</f>
        <v>Yes</v>
      </c>
    </row>
    <row r="222" spans="1:18" x14ac:dyDescent="0.25">
      <c r="A222" s="1">
        <v>45846</v>
      </c>
      <c r="B222" s="7">
        <v>30730</v>
      </c>
      <c r="C222" s="7">
        <v>30260</v>
      </c>
      <c r="D222" s="7">
        <v>26350</v>
      </c>
      <c r="E222" s="7">
        <v>33750</v>
      </c>
      <c r="F222" s="7">
        <v>35440</v>
      </c>
      <c r="G222" s="7">
        <v>40340</v>
      </c>
      <c r="H222" s="7">
        <v>34130</v>
      </c>
      <c r="I222" s="7">
        <v>33720</v>
      </c>
      <c r="J222" s="7">
        <v>36630</v>
      </c>
      <c r="K222" s="7">
        <v>34530</v>
      </c>
      <c r="L222" s="3">
        <f t="shared" si="11"/>
        <v>335880</v>
      </c>
      <c r="M222" s="3">
        <v>336302.69478763815</v>
      </c>
      <c r="N222" s="3">
        <f t="shared" si="10"/>
        <v>336302.69478763815</v>
      </c>
      <c r="O222" s="39">
        <v>24000</v>
      </c>
      <c r="P222" s="39">
        <v>30030</v>
      </c>
      <c r="Q222">
        <v>0</v>
      </c>
      <c r="R222" s="23" t="str">
        <f t="shared" ref="R222:R285" si="12">IF(Q222&gt;0,"Yes",IF(OR((O222+P222&lt;50000),O222&lt;24000,P222&lt;30030),"Yes","No"))</f>
        <v>No</v>
      </c>
    </row>
    <row r="223" spans="1:18" x14ac:dyDescent="0.25">
      <c r="A223" s="1">
        <v>45847</v>
      </c>
      <c r="B223" s="7">
        <v>25490</v>
      </c>
      <c r="C223" s="7">
        <v>25050</v>
      </c>
      <c r="D223" s="7">
        <v>21710</v>
      </c>
      <c r="E223" s="7">
        <v>27610</v>
      </c>
      <c r="F223" s="7">
        <v>28320</v>
      </c>
      <c r="G223" s="7">
        <v>32270</v>
      </c>
      <c r="H223" s="7">
        <v>27020</v>
      </c>
      <c r="I223" s="7">
        <v>27680</v>
      </c>
      <c r="J223" s="7">
        <v>30990</v>
      </c>
      <c r="K223" s="7">
        <v>27700</v>
      </c>
      <c r="L223" s="3">
        <f t="shared" si="11"/>
        <v>273840</v>
      </c>
      <c r="M223" s="3">
        <v>268966.04991989001</v>
      </c>
      <c r="N223" s="3">
        <f t="shared" si="10"/>
        <v>273840</v>
      </c>
      <c r="O223" s="39">
        <v>24000</v>
      </c>
      <c r="P223" s="39">
        <v>30030</v>
      </c>
      <c r="Q223">
        <v>0</v>
      </c>
      <c r="R223" s="23" t="str">
        <f t="shared" si="12"/>
        <v>No</v>
      </c>
    </row>
    <row r="224" spans="1:18" x14ac:dyDescent="0.25">
      <c r="A224" s="1">
        <v>45848</v>
      </c>
      <c r="B224" s="7">
        <v>21600</v>
      </c>
      <c r="C224" s="7">
        <v>20560</v>
      </c>
      <c r="D224" s="7">
        <v>17890</v>
      </c>
      <c r="E224" s="7">
        <v>22930</v>
      </c>
      <c r="F224" s="7">
        <v>23450</v>
      </c>
      <c r="G224" s="7">
        <v>25310</v>
      </c>
      <c r="H224" s="7">
        <v>21280</v>
      </c>
      <c r="I224" s="7">
        <v>21630</v>
      </c>
      <c r="J224" s="7">
        <v>24190</v>
      </c>
      <c r="K224" s="7">
        <v>22210</v>
      </c>
      <c r="L224" s="3">
        <f>SUM(B224:K224)</f>
        <v>221050</v>
      </c>
      <c r="M224" s="3">
        <v>205322.23367752743</v>
      </c>
      <c r="N224" s="3">
        <f t="shared" si="10"/>
        <v>221050</v>
      </c>
      <c r="O224" s="39">
        <v>24000</v>
      </c>
      <c r="P224" s="39">
        <v>29154</v>
      </c>
      <c r="Q224">
        <v>0</v>
      </c>
      <c r="R224" s="23" t="str">
        <f t="shared" si="12"/>
        <v>Yes</v>
      </c>
    </row>
    <row r="225" spans="1:18" x14ac:dyDescent="0.25">
      <c r="A225" s="1">
        <v>45849</v>
      </c>
      <c r="B225" s="7">
        <v>24940</v>
      </c>
      <c r="C225" s="7">
        <v>23830</v>
      </c>
      <c r="D225" s="7">
        <v>20520</v>
      </c>
      <c r="E225" s="7">
        <v>26410</v>
      </c>
      <c r="F225" s="7">
        <v>26670</v>
      </c>
      <c r="G225" s="7">
        <v>27950</v>
      </c>
      <c r="H225" s="7">
        <v>15570</v>
      </c>
      <c r="I225" s="7">
        <v>23680</v>
      </c>
      <c r="J225" s="7">
        <v>25930</v>
      </c>
      <c r="K225" s="7">
        <v>24390</v>
      </c>
      <c r="L225" s="3">
        <f t="shared" si="11"/>
        <v>239890</v>
      </c>
      <c r="M225" s="3">
        <v>234850.59696945301</v>
      </c>
      <c r="N225" s="3">
        <f t="shared" si="10"/>
        <v>239890</v>
      </c>
      <c r="O225" s="39">
        <v>24000</v>
      </c>
      <c r="P225" s="39">
        <v>30030</v>
      </c>
      <c r="Q225" s="3">
        <v>1819</v>
      </c>
      <c r="R225" s="23" t="str">
        <f t="shared" si="12"/>
        <v>Yes</v>
      </c>
    </row>
    <row r="226" spans="1:18" x14ac:dyDescent="0.25">
      <c r="A226" s="1">
        <v>45850</v>
      </c>
      <c r="B226" s="7">
        <v>20420</v>
      </c>
      <c r="C226" s="7">
        <v>19290</v>
      </c>
      <c r="D226" s="7">
        <v>17150</v>
      </c>
      <c r="E226" s="7">
        <v>21340</v>
      </c>
      <c r="F226" s="7">
        <v>22070</v>
      </c>
      <c r="G226" s="7">
        <v>24900</v>
      </c>
      <c r="H226" s="7">
        <v>21040</v>
      </c>
      <c r="I226" s="7">
        <v>21120</v>
      </c>
      <c r="J226" s="7">
        <v>24050</v>
      </c>
      <c r="K226" s="7">
        <v>20990</v>
      </c>
      <c r="L226" s="3">
        <f t="shared" si="11"/>
        <v>212370</v>
      </c>
      <c r="M226" s="3">
        <v>200899.03381696221</v>
      </c>
      <c r="N226" s="3">
        <f t="shared" si="10"/>
        <v>212370</v>
      </c>
      <c r="O226" s="39">
        <v>24000</v>
      </c>
      <c r="P226" s="39">
        <v>30030</v>
      </c>
      <c r="Q226">
        <v>0</v>
      </c>
      <c r="R226" s="23" t="str">
        <f t="shared" si="12"/>
        <v>No</v>
      </c>
    </row>
    <row r="227" spans="1:18" x14ac:dyDescent="0.25">
      <c r="A227" s="1">
        <v>45851</v>
      </c>
      <c r="B227" s="7">
        <v>25920</v>
      </c>
      <c r="C227" s="7">
        <v>25010</v>
      </c>
      <c r="D227" s="7">
        <v>26000</v>
      </c>
      <c r="E227" s="7">
        <v>27400</v>
      </c>
      <c r="F227" s="7">
        <v>25670</v>
      </c>
      <c r="G227" s="7">
        <v>32260</v>
      </c>
      <c r="H227" s="7">
        <v>25120</v>
      </c>
      <c r="I227" s="7">
        <v>27250</v>
      </c>
      <c r="J227" s="7">
        <v>30390</v>
      </c>
      <c r="K227" s="7">
        <v>28530</v>
      </c>
      <c r="L227" s="3">
        <f t="shared" si="11"/>
        <v>273550</v>
      </c>
      <c r="M227" s="3">
        <v>259508.71282443157</v>
      </c>
      <c r="N227" s="3">
        <f t="shared" si="10"/>
        <v>273550</v>
      </c>
      <c r="O227" s="39">
        <v>23633</v>
      </c>
      <c r="P227" s="39">
        <v>26449</v>
      </c>
      <c r="Q227">
        <v>0</v>
      </c>
      <c r="R227" s="23" t="str">
        <f t="shared" si="12"/>
        <v>Yes</v>
      </c>
    </row>
    <row r="228" spans="1:18" x14ac:dyDescent="0.25">
      <c r="A228" s="1">
        <v>45852</v>
      </c>
      <c r="B228" s="7">
        <v>27060</v>
      </c>
      <c r="C228" s="7">
        <v>26340</v>
      </c>
      <c r="D228" s="7">
        <v>22940</v>
      </c>
      <c r="E228" s="7">
        <v>29610</v>
      </c>
      <c r="F228" s="7">
        <v>28160</v>
      </c>
      <c r="G228" s="7">
        <v>33510</v>
      </c>
      <c r="H228" s="7">
        <v>28320</v>
      </c>
      <c r="I228" s="7">
        <v>28760</v>
      </c>
      <c r="J228" s="7">
        <v>32400</v>
      </c>
      <c r="K228" s="7">
        <v>29370</v>
      </c>
      <c r="L228" s="3">
        <f t="shared" si="11"/>
        <v>286470</v>
      </c>
      <c r="M228" s="3">
        <v>283472.78524357284</v>
      </c>
      <c r="N228" s="3">
        <f t="shared" si="10"/>
        <v>286470</v>
      </c>
      <c r="O228" s="39">
        <v>12000</v>
      </c>
      <c r="P228" s="39">
        <v>12617</v>
      </c>
      <c r="Q228" s="3">
        <v>5629</v>
      </c>
      <c r="R228" s="23" t="str">
        <f t="shared" si="12"/>
        <v>Yes</v>
      </c>
    </row>
    <row r="229" spans="1:18" x14ac:dyDescent="0.25">
      <c r="A229" s="1">
        <v>45853</v>
      </c>
      <c r="B229" s="7">
        <v>5160</v>
      </c>
      <c r="C229" s="7">
        <v>5300</v>
      </c>
      <c r="D229" s="7">
        <v>4980</v>
      </c>
      <c r="E229" s="7">
        <v>6030</v>
      </c>
      <c r="F229" s="7">
        <v>6160</v>
      </c>
      <c r="G229" s="7">
        <v>6700</v>
      </c>
      <c r="H229" s="7">
        <v>5680</v>
      </c>
      <c r="I229" s="7">
        <v>5720</v>
      </c>
      <c r="J229" s="7">
        <v>6180</v>
      </c>
      <c r="K229" s="7">
        <v>5850</v>
      </c>
      <c r="L229" s="3">
        <f t="shared" si="11"/>
        <v>57760</v>
      </c>
      <c r="M229" s="3">
        <v>49058.785387677199</v>
      </c>
      <c r="N229" s="3">
        <f t="shared" si="10"/>
        <v>57760</v>
      </c>
      <c r="O229">
        <v>10483</v>
      </c>
      <c r="P229">
        <v>24897</v>
      </c>
      <c r="Q229" s="3">
        <v>23889</v>
      </c>
      <c r="R229" s="23" t="str">
        <f t="shared" si="12"/>
        <v>Yes</v>
      </c>
    </row>
    <row r="230" spans="1:18" ht="74.25" customHeight="1" x14ac:dyDescent="0.25">
      <c r="A230" s="1">
        <v>45854</v>
      </c>
      <c r="B230" s="7">
        <v>18380</v>
      </c>
      <c r="C230" s="7">
        <v>17640</v>
      </c>
      <c r="D230" s="7">
        <v>16170</v>
      </c>
      <c r="E230" s="7">
        <v>20410</v>
      </c>
      <c r="F230" s="7">
        <v>20260</v>
      </c>
      <c r="G230" s="7">
        <v>25770</v>
      </c>
      <c r="H230" s="7">
        <v>22000</v>
      </c>
      <c r="I230" s="7">
        <v>21890</v>
      </c>
      <c r="J230" s="7">
        <v>24570</v>
      </c>
      <c r="K230" s="7">
        <v>22730</v>
      </c>
      <c r="L230" s="3">
        <f t="shared" si="11"/>
        <v>209820</v>
      </c>
      <c r="M230" s="3">
        <v>252700.65099516805</v>
      </c>
      <c r="N230" s="3">
        <f t="shared" si="10"/>
        <v>252700.65099516805</v>
      </c>
      <c r="O230">
        <v>20611</v>
      </c>
      <c r="P230">
        <v>26094</v>
      </c>
      <c r="Q230" s="3">
        <v>65945</v>
      </c>
      <c r="R230" s="23" t="str">
        <f t="shared" si="12"/>
        <v>Yes</v>
      </c>
    </row>
    <row r="231" spans="1:18" x14ac:dyDescent="0.25">
      <c r="A231" s="1">
        <v>45855</v>
      </c>
      <c r="B231" s="7">
        <v>6720</v>
      </c>
      <c r="C231" s="7">
        <v>6900</v>
      </c>
      <c r="D231" s="7">
        <v>6210</v>
      </c>
      <c r="E231" s="7">
        <v>7860</v>
      </c>
      <c r="F231" s="7">
        <v>7610</v>
      </c>
      <c r="G231" s="7">
        <v>8210</v>
      </c>
      <c r="H231" s="7">
        <v>7050</v>
      </c>
      <c r="I231" s="7">
        <v>7030</v>
      </c>
      <c r="J231" s="7">
        <v>8150</v>
      </c>
      <c r="K231" s="7">
        <v>7310</v>
      </c>
      <c r="L231" s="3">
        <f t="shared" si="11"/>
        <v>73050</v>
      </c>
      <c r="M231" s="3">
        <v>62244.615386414167</v>
      </c>
      <c r="N231" s="3">
        <f t="shared" si="10"/>
        <v>73050</v>
      </c>
      <c r="O231">
        <v>24000</v>
      </c>
      <c r="P231">
        <v>24000</v>
      </c>
      <c r="Q231" s="3">
        <v>1012</v>
      </c>
      <c r="R231" s="23" t="str">
        <f t="shared" si="12"/>
        <v>Yes</v>
      </c>
    </row>
    <row r="232" spans="1:18" x14ac:dyDescent="0.25">
      <c r="A232" s="1">
        <v>45856</v>
      </c>
      <c r="B232" s="7">
        <v>25260</v>
      </c>
      <c r="C232" s="7">
        <v>25580</v>
      </c>
      <c r="D232" s="7">
        <v>23090</v>
      </c>
      <c r="E232" s="7">
        <v>29030</v>
      </c>
      <c r="F232" s="7">
        <v>26730</v>
      </c>
      <c r="G232" s="7">
        <v>29880</v>
      </c>
      <c r="H232" s="7">
        <v>25380</v>
      </c>
      <c r="I232" s="7">
        <v>25360</v>
      </c>
      <c r="J232" s="7">
        <v>29240</v>
      </c>
      <c r="K232" s="7">
        <v>26110</v>
      </c>
      <c r="L232" s="3">
        <f t="shared" si="11"/>
        <v>265660</v>
      </c>
      <c r="M232" s="3">
        <v>255769.43769760401</v>
      </c>
      <c r="N232" s="3">
        <f t="shared" si="10"/>
        <v>265660</v>
      </c>
      <c r="O232">
        <v>24000</v>
      </c>
      <c r="P232">
        <v>29511</v>
      </c>
      <c r="Q232">
        <v>0</v>
      </c>
      <c r="R232" s="23" t="str">
        <f t="shared" si="12"/>
        <v>Yes</v>
      </c>
    </row>
    <row r="233" spans="1:18" x14ac:dyDescent="0.25">
      <c r="A233" s="1">
        <v>45857</v>
      </c>
      <c r="B233" s="7">
        <v>24280</v>
      </c>
      <c r="C233" s="7">
        <v>25090</v>
      </c>
      <c r="D233" s="7">
        <v>22030</v>
      </c>
      <c r="E233" s="7">
        <v>27900</v>
      </c>
      <c r="F233" s="7">
        <v>25440</v>
      </c>
      <c r="G233" s="7">
        <v>29480</v>
      </c>
      <c r="H233" s="7">
        <v>25390</v>
      </c>
      <c r="I233" s="7">
        <v>25180</v>
      </c>
      <c r="J233" s="7">
        <v>28230</v>
      </c>
      <c r="K233" s="7">
        <v>26200</v>
      </c>
      <c r="L233" s="3">
        <f t="shared" si="11"/>
        <v>259220</v>
      </c>
      <c r="M233" s="3">
        <v>250629.4687915672</v>
      </c>
      <c r="N233" s="3">
        <f t="shared" si="10"/>
        <v>259220</v>
      </c>
      <c r="O233">
        <v>24000</v>
      </c>
      <c r="P233">
        <v>30030</v>
      </c>
      <c r="Q233">
        <v>0</v>
      </c>
      <c r="R233" s="23" t="str">
        <f t="shared" si="12"/>
        <v>No</v>
      </c>
    </row>
    <row r="234" spans="1:18" x14ac:dyDescent="0.25">
      <c r="A234" s="1">
        <v>45858</v>
      </c>
      <c r="B234" s="7">
        <v>31440</v>
      </c>
      <c r="C234" s="7">
        <v>32610</v>
      </c>
      <c r="D234" s="7">
        <v>27430</v>
      </c>
      <c r="E234" s="7">
        <v>36860</v>
      </c>
      <c r="F234" s="7">
        <v>34730</v>
      </c>
      <c r="G234" s="7">
        <v>40380</v>
      </c>
      <c r="H234" s="7">
        <v>34270</v>
      </c>
      <c r="I234" s="7">
        <v>34380</v>
      </c>
      <c r="J234" s="7">
        <v>38850</v>
      </c>
      <c r="K234" s="7">
        <v>35320</v>
      </c>
      <c r="L234" s="3">
        <f t="shared" si="11"/>
        <v>346270</v>
      </c>
      <c r="M234" s="3">
        <v>344604.01163827081</v>
      </c>
      <c r="N234" s="3">
        <f t="shared" si="10"/>
        <v>346270</v>
      </c>
      <c r="O234">
        <v>24000</v>
      </c>
      <c r="P234">
        <v>30030</v>
      </c>
      <c r="Q234">
        <v>0</v>
      </c>
      <c r="R234" s="23" t="str">
        <f t="shared" si="12"/>
        <v>No</v>
      </c>
    </row>
    <row r="235" spans="1:18" x14ac:dyDescent="0.25">
      <c r="A235" s="1">
        <v>45859</v>
      </c>
      <c r="B235" s="7">
        <v>33240</v>
      </c>
      <c r="C235" s="7">
        <v>33330</v>
      </c>
      <c r="D235" s="7">
        <v>29550</v>
      </c>
      <c r="E235" s="7">
        <v>38160</v>
      </c>
      <c r="F235" s="7">
        <v>38850</v>
      </c>
      <c r="G235" s="7">
        <v>42700</v>
      </c>
      <c r="H235" s="7">
        <v>37050</v>
      </c>
      <c r="I235" s="7">
        <v>36970</v>
      </c>
      <c r="J235" s="7">
        <v>43890</v>
      </c>
      <c r="K235" s="7">
        <v>37820</v>
      </c>
      <c r="L235" s="3">
        <f t="shared" si="11"/>
        <v>371560</v>
      </c>
      <c r="M235" s="3">
        <v>360326.98177829199</v>
      </c>
      <c r="N235" s="3">
        <f t="shared" si="10"/>
        <v>371560</v>
      </c>
      <c r="O235">
        <v>24000</v>
      </c>
      <c r="P235">
        <v>30030</v>
      </c>
      <c r="Q235">
        <v>0</v>
      </c>
      <c r="R235" s="23" t="str">
        <f t="shared" si="12"/>
        <v>No</v>
      </c>
    </row>
    <row r="236" spans="1:18" x14ac:dyDescent="0.25">
      <c r="A236" s="1">
        <v>45860</v>
      </c>
      <c r="B236" s="7">
        <v>29620</v>
      </c>
      <c r="C236" s="7">
        <v>28910</v>
      </c>
      <c r="D236" s="7">
        <v>25740</v>
      </c>
      <c r="E236" s="7">
        <v>32770</v>
      </c>
      <c r="F236" s="7">
        <v>34180</v>
      </c>
      <c r="G236" s="7">
        <v>35420</v>
      </c>
      <c r="H236" s="7">
        <v>30380</v>
      </c>
      <c r="I236" s="7">
        <v>29590</v>
      </c>
      <c r="J236" s="7">
        <v>34390</v>
      </c>
      <c r="K236" s="7">
        <v>29270</v>
      </c>
      <c r="L236" s="3">
        <f t="shared" si="11"/>
        <v>310270</v>
      </c>
      <c r="M236" s="3">
        <v>305472.83417315502</v>
      </c>
      <c r="N236" s="3">
        <f t="shared" si="10"/>
        <v>310270</v>
      </c>
      <c r="O236">
        <v>24000</v>
      </c>
      <c r="P236">
        <v>30030</v>
      </c>
      <c r="Q236">
        <v>0</v>
      </c>
      <c r="R236" s="23" t="str">
        <f t="shared" si="12"/>
        <v>No</v>
      </c>
    </row>
    <row r="237" spans="1:18" x14ac:dyDescent="0.25">
      <c r="A237" s="1">
        <v>45861</v>
      </c>
      <c r="B237" s="7">
        <v>25310</v>
      </c>
      <c r="C237" s="7">
        <v>25150</v>
      </c>
      <c r="D237" s="7">
        <v>21720</v>
      </c>
      <c r="E237" s="7">
        <v>28890</v>
      </c>
      <c r="F237" s="7">
        <v>29380</v>
      </c>
      <c r="G237" s="7">
        <v>29340</v>
      </c>
      <c r="H237" s="7">
        <v>25600</v>
      </c>
      <c r="I237" s="7">
        <v>25570</v>
      </c>
      <c r="J237" s="7">
        <v>31700</v>
      </c>
      <c r="K237" s="7">
        <v>26490</v>
      </c>
      <c r="L237" s="3">
        <f t="shared" si="11"/>
        <v>269150</v>
      </c>
      <c r="M237" s="3">
        <v>275868.16591457429</v>
      </c>
      <c r="N237" s="3">
        <f t="shared" si="10"/>
        <v>275868.16591457429</v>
      </c>
      <c r="O237">
        <v>23800</v>
      </c>
      <c r="P237">
        <v>29054</v>
      </c>
      <c r="Q237" s="3">
        <v>15344</v>
      </c>
      <c r="R237" s="23" t="str">
        <f t="shared" si="12"/>
        <v>Yes</v>
      </c>
    </row>
    <row r="238" spans="1:18" x14ac:dyDescent="0.25">
      <c r="A238" s="1">
        <v>45862</v>
      </c>
      <c r="B238" s="7">
        <v>26650</v>
      </c>
      <c r="C238" s="7">
        <v>27180</v>
      </c>
      <c r="D238" s="7">
        <v>23580</v>
      </c>
      <c r="E238" s="7">
        <v>31550</v>
      </c>
      <c r="F238" s="7">
        <v>31710</v>
      </c>
      <c r="G238" s="7">
        <v>35520</v>
      </c>
      <c r="H238" s="7">
        <v>30280</v>
      </c>
      <c r="I238" s="7">
        <v>30470</v>
      </c>
      <c r="J238" s="7">
        <v>36020</v>
      </c>
      <c r="K238" s="7">
        <v>31200</v>
      </c>
      <c r="L238" s="3">
        <f t="shared" si="11"/>
        <v>304160</v>
      </c>
      <c r="M238" s="3">
        <v>304809.31272397964</v>
      </c>
      <c r="N238" s="3">
        <f t="shared" si="10"/>
        <v>304809.31272397964</v>
      </c>
      <c r="O238">
        <v>24000</v>
      </c>
      <c r="P238">
        <v>30030</v>
      </c>
      <c r="Q238">
        <v>0</v>
      </c>
      <c r="R238" s="23" t="str">
        <f t="shared" si="12"/>
        <v>No</v>
      </c>
    </row>
    <row r="239" spans="1:18" x14ac:dyDescent="0.25">
      <c r="A239" s="1">
        <v>45863</v>
      </c>
      <c r="B239" s="7">
        <v>27600</v>
      </c>
      <c r="C239" s="7">
        <v>28290</v>
      </c>
      <c r="D239" s="7">
        <v>24030</v>
      </c>
      <c r="E239" s="7">
        <v>31690</v>
      </c>
      <c r="F239" s="7">
        <v>32060</v>
      </c>
      <c r="G239" s="7">
        <v>37480</v>
      </c>
      <c r="H239" s="7">
        <v>32460</v>
      </c>
      <c r="I239" s="7">
        <v>32240</v>
      </c>
      <c r="J239" s="7">
        <v>38530</v>
      </c>
      <c r="K239" s="7">
        <v>32470</v>
      </c>
      <c r="L239" s="3">
        <f t="shared" si="11"/>
        <v>316850</v>
      </c>
      <c r="M239" s="3">
        <v>318305.67076093075</v>
      </c>
      <c r="N239" s="3">
        <f t="shared" si="10"/>
        <v>318305.67076093075</v>
      </c>
      <c r="O239">
        <v>22851</v>
      </c>
      <c r="P239">
        <v>30030</v>
      </c>
      <c r="Q239">
        <v>0</v>
      </c>
      <c r="R239" s="23" t="str">
        <f t="shared" si="12"/>
        <v>Yes</v>
      </c>
    </row>
    <row r="240" spans="1:18" x14ac:dyDescent="0.25">
      <c r="A240" s="1">
        <v>45864</v>
      </c>
      <c r="B240" s="7">
        <v>29300</v>
      </c>
      <c r="C240" s="7">
        <v>29520</v>
      </c>
      <c r="D240" s="7">
        <v>25410</v>
      </c>
      <c r="E240" s="7">
        <v>33330</v>
      </c>
      <c r="F240" s="7">
        <v>33330</v>
      </c>
      <c r="G240" s="7">
        <v>37050</v>
      </c>
      <c r="H240" s="7">
        <v>32010</v>
      </c>
      <c r="I240" s="7">
        <v>32070</v>
      </c>
      <c r="J240" s="7">
        <v>37530</v>
      </c>
      <c r="K240" s="7">
        <v>32650</v>
      </c>
      <c r="L240" s="3">
        <f t="shared" si="11"/>
        <v>322200</v>
      </c>
      <c r="M240" s="3">
        <v>324270.39682829246</v>
      </c>
      <c r="N240" s="3">
        <f t="shared" si="10"/>
        <v>324270.39682829246</v>
      </c>
      <c r="O240">
        <v>24000</v>
      </c>
      <c r="P240">
        <v>30030</v>
      </c>
      <c r="Q240">
        <v>0</v>
      </c>
      <c r="R240" s="23" t="str">
        <f t="shared" si="12"/>
        <v>No</v>
      </c>
    </row>
    <row r="241" spans="1:18" x14ac:dyDescent="0.25">
      <c r="A241" s="1">
        <v>45865</v>
      </c>
      <c r="B241" s="7">
        <v>32470</v>
      </c>
      <c r="C241" s="7">
        <v>32750</v>
      </c>
      <c r="D241" s="7">
        <v>28350</v>
      </c>
      <c r="E241" s="7">
        <v>37480</v>
      </c>
      <c r="F241" s="7">
        <v>37820</v>
      </c>
      <c r="G241" s="7">
        <v>41900</v>
      </c>
      <c r="H241" s="7">
        <v>35980</v>
      </c>
      <c r="I241" s="7">
        <v>34790</v>
      </c>
      <c r="J241" s="7">
        <v>42440</v>
      </c>
      <c r="K241" s="7">
        <v>35360</v>
      </c>
      <c r="L241" s="3">
        <f t="shared" si="11"/>
        <v>359340</v>
      </c>
      <c r="M241" s="3">
        <v>341065.11998909415</v>
      </c>
      <c r="N241" s="3">
        <f t="shared" si="10"/>
        <v>359340</v>
      </c>
      <c r="O241">
        <v>24000</v>
      </c>
      <c r="P241">
        <v>30030</v>
      </c>
      <c r="Q241">
        <v>0</v>
      </c>
      <c r="R241" s="23" t="str">
        <f t="shared" si="12"/>
        <v>No</v>
      </c>
    </row>
    <row r="242" spans="1:18" x14ac:dyDescent="0.25">
      <c r="A242" s="1">
        <v>45866</v>
      </c>
      <c r="B242" s="7">
        <v>24940</v>
      </c>
      <c r="C242" s="7">
        <v>25170</v>
      </c>
      <c r="D242" s="7">
        <v>22060</v>
      </c>
      <c r="E242" s="7">
        <v>28900</v>
      </c>
      <c r="F242" s="7">
        <v>29950</v>
      </c>
      <c r="G242" s="7">
        <v>34210</v>
      </c>
      <c r="H242" s="7">
        <v>30610</v>
      </c>
      <c r="I242" s="7">
        <v>29520</v>
      </c>
      <c r="J242" s="7">
        <v>35040</v>
      </c>
      <c r="K242" s="7">
        <v>30550</v>
      </c>
      <c r="L242" s="3">
        <f>SUM(B242:K242)</f>
        <v>290950</v>
      </c>
      <c r="M242" s="3">
        <v>293095.50506023824</v>
      </c>
      <c r="N242" s="3">
        <f t="shared" si="10"/>
        <v>293095.50506023824</v>
      </c>
      <c r="O242">
        <v>20667</v>
      </c>
      <c r="P242">
        <v>30030</v>
      </c>
      <c r="Q242" s="3">
        <v>11670</v>
      </c>
      <c r="R242" s="23" t="str">
        <f t="shared" si="12"/>
        <v>Yes</v>
      </c>
    </row>
    <row r="243" spans="1:18" x14ac:dyDescent="0.25">
      <c r="A243" s="1">
        <v>45867</v>
      </c>
      <c r="B243" s="7">
        <v>30600</v>
      </c>
      <c r="C243" s="7">
        <v>30870</v>
      </c>
      <c r="D243" s="7">
        <v>26950</v>
      </c>
      <c r="E243" s="7">
        <v>35360</v>
      </c>
      <c r="F243" s="7">
        <v>35250</v>
      </c>
      <c r="G243" s="7">
        <v>39900</v>
      </c>
      <c r="H243" s="7">
        <v>33560</v>
      </c>
      <c r="I243" s="7">
        <v>33980</v>
      </c>
      <c r="J243" s="7">
        <v>39670</v>
      </c>
      <c r="K243" s="7">
        <v>34550</v>
      </c>
      <c r="L243" s="3">
        <f t="shared" si="11"/>
        <v>340690</v>
      </c>
      <c r="M243" s="3">
        <v>340248.49096552155</v>
      </c>
      <c r="N243" s="3">
        <f t="shared" si="10"/>
        <v>340690</v>
      </c>
      <c r="O243">
        <v>24000</v>
      </c>
      <c r="P243">
        <v>30030</v>
      </c>
      <c r="Q243">
        <v>0</v>
      </c>
      <c r="R243" s="23" t="str">
        <f t="shared" si="12"/>
        <v>No</v>
      </c>
    </row>
    <row r="244" spans="1:18" x14ac:dyDescent="0.25">
      <c r="A244" s="1">
        <v>45868</v>
      </c>
      <c r="B244" s="7">
        <v>30800</v>
      </c>
      <c r="C244" s="7">
        <v>30910</v>
      </c>
      <c r="D244" s="7">
        <v>26760</v>
      </c>
      <c r="E244" s="7">
        <v>34890</v>
      </c>
      <c r="F244" s="7">
        <v>36000</v>
      </c>
      <c r="G244" s="7">
        <v>37170</v>
      </c>
      <c r="H244" s="7">
        <v>32820</v>
      </c>
      <c r="I244" s="7">
        <v>32310</v>
      </c>
      <c r="J244" s="7">
        <v>39550</v>
      </c>
      <c r="K244" s="7">
        <v>33330</v>
      </c>
      <c r="L244" s="3">
        <f t="shared" si="11"/>
        <v>334540</v>
      </c>
      <c r="M244" s="3">
        <v>342394.15345179226</v>
      </c>
      <c r="N244" s="3">
        <f t="shared" si="10"/>
        <v>342394.15345179226</v>
      </c>
      <c r="O244" s="38">
        <v>24000</v>
      </c>
      <c r="P244" s="38">
        <v>27361</v>
      </c>
      <c r="Q244" s="3">
        <v>8515</v>
      </c>
      <c r="R244" s="23" t="str">
        <f t="shared" si="12"/>
        <v>Yes</v>
      </c>
    </row>
    <row r="245" spans="1:18" x14ac:dyDescent="0.25">
      <c r="A245" s="1">
        <v>45869</v>
      </c>
      <c r="B245" s="7">
        <v>26560</v>
      </c>
      <c r="C245" s="7">
        <v>26330</v>
      </c>
      <c r="D245" s="7">
        <v>22520</v>
      </c>
      <c r="E245" s="7">
        <v>30190</v>
      </c>
      <c r="F245" s="7">
        <v>30920</v>
      </c>
      <c r="G245" s="7">
        <v>33410</v>
      </c>
      <c r="H245" s="7">
        <v>28990</v>
      </c>
      <c r="I245" s="7">
        <v>29350</v>
      </c>
      <c r="J245" s="7">
        <v>35530</v>
      </c>
      <c r="K245" s="7">
        <v>30320</v>
      </c>
      <c r="L245" s="3">
        <f t="shared" si="11"/>
        <v>294120</v>
      </c>
      <c r="M245" s="3">
        <v>286672.28567149636</v>
      </c>
      <c r="N245" s="3">
        <f t="shared" si="10"/>
        <v>294120</v>
      </c>
      <c r="O245">
        <v>24000</v>
      </c>
      <c r="P245">
        <v>26709</v>
      </c>
      <c r="Q245" s="3">
        <v>1854</v>
      </c>
      <c r="R245" s="23" t="str">
        <f t="shared" si="12"/>
        <v>Yes</v>
      </c>
    </row>
    <row r="246" spans="1:18" x14ac:dyDescent="0.25">
      <c r="A246" s="1">
        <v>45870</v>
      </c>
      <c r="B246" s="7">
        <v>19310</v>
      </c>
      <c r="C246" s="7">
        <v>18860</v>
      </c>
      <c r="D246" s="7">
        <v>16120</v>
      </c>
      <c r="E246" s="7">
        <v>20920</v>
      </c>
      <c r="F246" s="7">
        <v>20930</v>
      </c>
      <c r="G246" s="7">
        <v>33490</v>
      </c>
      <c r="H246" s="7">
        <v>28150</v>
      </c>
      <c r="I246" s="7">
        <v>28660</v>
      </c>
      <c r="J246" s="7">
        <v>33290</v>
      </c>
      <c r="K246" s="7">
        <v>28930</v>
      </c>
      <c r="L246" s="3">
        <f t="shared" si="11"/>
        <v>248660</v>
      </c>
      <c r="M246" s="3">
        <v>304156.91307529254</v>
      </c>
      <c r="N246" s="3">
        <f t="shared" si="10"/>
        <v>304156.91307529254</v>
      </c>
      <c r="O246">
        <v>13933</v>
      </c>
      <c r="P246">
        <v>24000</v>
      </c>
      <c r="Q246" s="3">
        <v>52102</v>
      </c>
      <c r="R246" s="23" t="str">
        <f t="shared" si="12"/>
        <v>Yes</v>
      </c>
    </row>
    <row r="247" spans="1:18" x14ac:dyDescent="0.25">
      <c r="A247" s="1">
        <v>45871</v>
      </c>
      <c r="B247" s="7">
        <v>13240</v>
      </c>
      <c r="C247" s="7">
        <v>12200</v>
      </c>
      <c r="D247" s="7">
        <v>11580</v>
      </c>
      <c r="E247" s="7">
        <v>14460</v>
      </c>
      <c r="F247" s="7">
        <v>14610</v>
      </c>
      <c r="G247" s="7">
        <v>22090</v>
      </c>
      <c r="H247" s="7">
        <v>18520</v>
      </c>
      <c r="I247" s="7">
        <v>18830</v>
      </c>
      <c r="J247" s="7">
        <v>22490</v>
      </c>
      <c r="K247" s="7">
        <v>19010</v>
      </c>
      <c r="L247" s="3">
        <f t="shared" si="11"/>
        <v>167030</v>
      </c>
      <c r="M247" s="3">
        <v>183769.57616888895</v>
      </c>
      <c r="N247" s="3">
        <f t="shared" si="10"/>
        <v>183769.57616888895</v>
      </c>
      <c r="O247">
        <v>11550</v>
      </c>
      <c r="P247">
        <v>30030</v>
      </c>
      <c r="Q247" s="3">
        <v>33042</v>
      </c>
      <c r="R247" s="23" t="str">
        <f t="shared" si="12"/>
        <v>Yes</v>
      </c>
    </row>
    <row r="248" spans="1:18" x14ac:dyDescent="0.25">
      <c r="A248" s="1">
        <v>45872</v>
      </c>
      <c r="B248" s="7">
        <v>13760</v>
      </c>
      <c r="C248" s="7">
        <v>11980</v>
      </c>
      <c r="D248" s="7">
        <v>12120</v>
      </c>
      <c r="E248" s="7">
        <v>15030</v>
      </c>
      <c r="F248" s="7">
        <v>15410</v>
      </c>
      <c r="G248" s="7">
        <v>18960</v>
      </c>
      <c r="H248" s="7">
        <v>16330</v>
      </c>
      <c r="I248" s="7">
        <v>16540</v>
      </c>
      <c r="J248" s="7">
        <v>20250</v>
      </c>
      <c r="K248" s="7">
        <v>16610</v>
      </c>
      <c r="L248" s="3">
        <f t="shared" si="11"/>
        <v>156990</v>
      </c>
      <c r="M248" s="3">
        <v>159683.88580214826</v>
      </c>
      <c r="N248" s="3">
        <f t="shared" si="10"/>
        <v>159683.88580214826</v>
      </c>
      <c r="O248">
        <v>12000</v>
      </c>
      <c r="P248">
        <v>30030</v>
      </c>
      <c r="Q248" s="3">
        <v>25486</v>
      </c>
      <c r="R248" s="23" t="str">
        <f t="shared" si="12"/>
        <v>Yes</v>
      </c>
    </row>
    <row r="249" spans="1:18" x14ac:dyDescent="0.25">
      <c r="A249" s="1">
        <v>45873</v>
      </c>
      <c r="B249" s="7">
        <v>14500</v>
      </c>
      <c r="C249" s="7">
        <v>10880</v>
      </c>
      <c r="D249" s="7">
        <v>12970</v>
      </c>
      <c r="E249" s="7">
        <v>16690</v>
      </c>
      <c r="F249" s="7">
        <v>15570</v>
      </c>
      <c r="G249" s="7">
        <v>18680</v>
      </c>
      <c r="H249" s="7">
        <v>16530</v>
      </c>
      <c r="I249" s="7">
        <v>16210</v>
      </c>
      <c r="J249" s="7">
        <v>18170</v>
      </c>
      <c r="K249" s="7">
        <v>17120</v>
      </c>
      <c r="L249" s="3">
        <f>SUM(B249:K249)</f>
        <v>157320</v>
      </c>
      <c r="M249" s="3">
        <v>154032.66401335763</v>
      </c>
      <c r="N249" s="3">
        <f t="shared" si="10"/>
        <v>157320</v>
      </c>
      <c r="O249">
        <v>22643</v>
      </c>
      <c r="P249">
        <v>30030</v>
      </c>
      <c r="Q249" s="3">
        <v>7600</v>
      </c>
      <c r="R249" s="23" t="str">
        <f t="shared" si="12"/>
        <v>Yes</v>
      </c>
    </row>
    <row r="250" spans="1:18" x14ac:dyDescent="0.25">
      <c r="A250" s="1">
        <v>45874</v>
      </c>
      <c r="B250" s="7">
        <v>25420</v>
      </c>
      <c r="C250" s="7">
        <v>25670</v>
      </c>
      <c r="D250" s="7">
        <v>22130</v>
      </c>
      <c r="E250" s="7">
        <v>28300</v>
      </c>
      <c r="F250" s="7">
        <v>28520</v>
      </c>
      <c r="G250" s="7">
        <v>30770</v>
      </c>
      <c r="H250" s="7">
        <v>26640</v>
      </c>
      <c r="I250" s="7">
        <v>26650</v>
      </c>
      <c r="J250" s="7">
        <v>30350</v>
      </c>
      <c r="K250" s="7">
        <v>27390</v>
      </c>
      <c r="L250" s="3">
        <f t="shared" si="11"/>
        <v>271840</v>
      </c>
      <c r="M250" s="3">
        <v>262783.64420791448</v>
      </c>
      <c r="N250" s="3">
        <f t="shared" si="10"/>
        <v>271840</v>
      </c>
      <c r="O250">
        <v>23267</v>
      </c>
      <c r="P250">
        <v>29988</v>
      </c>
      <c r="Q250">
        <v>0</v>
      </c>
      <c r="R250" s="23" t="str">
        <f t="shared" si="12"/>
        <v>Yes</v>
      </c>
    </row>
    <row r="251" spans="1:18" x14ac:dyDescent="0.25">
      <c r="A251" s="1">
        <v>45875</v>
      </c>
      <c r="B251" s="7">
        <v>18790</v>
      </c>
      <c r="C251" s="7">
        <v>18450</v>
      </c>
      <c r="D251" s="7">
        <v>16470</v>
      </c>
      <c r="E251" s="7">
        <v>21030</v>
      </c>
      <c r="F251" s="7">
        <v>21590</v>
      </c>
      <c r="G251" s="7">
        <v>22730</v>
      </c>
      <c r="H251" s="7">
        <v>19610</v>
      </c>
      <c r="I251" s="7">
        <v>19750</v>
      </c>
      <c r="J251" s="7">
        <v>23380</v>
      </c>
      <c r="K251" s="7">
        <v>20410</v>
      </c>
      <c r="L251" s="3">
        <f t="shared" si="11"/>
        <v>202210</v>
      </c>
      <c r="M251" s="3">
        <v>191343.37856623717</v>
      </c>
      <c r="N251" s="3">
        <f t="shared" si="10"/>
        <v>202210</v>
      </c>
      <c r="O251">
        <v>24000</v>
      </c>
      <c r="P251">
        <v>30030</v>
      </c>
      <c r="Q251">
        <v>0</v>
      </c>
      <c r="R251" s="23" t="str">
        <f t="shared" si="12"/>
        <v>No</v>
      </c>
    </row>
    <row r="252" spans="1:18" x14ac:dyDescent="0.25">
      <c r="A252" s="1">
        <v>45876</v>
      </c>
      <c r="B252" s="7">
        <v>24100</v>
      </c>
      <c r="C252" s="7">
        <v>22950</v>
      </c>
      <c r="D252" s="7">
        <v>20650</v>
      </c>
      <c r="E252" s="7">
        <v>25790</v>
      </c>
      <c r="F252" s="7">
        <v>26210</v>
      </c>
      <c r="G252" s="7">
        <v>33220</v>
      </c>
      <c r="H252" s="7">
        <v>28880</v>
      </c>
      <c r="I252" s="7">
        <v>28640</v>
      </c>
      <c r="J252" s="7">
        <v>33460</v>
      </c>
      <c r="K252" s="7">
        <v>29670</v>
      </c>
      <c r="L252" s="3">
        <f t="shared" si="11"/>
        <v>273570</v>
      </c>
      <c r="M252" s="3">
        <v>272766.08222481498</v>
      </c>
      <c r="N252" s="3">
        <f t="shared" si="10"/>
        <v>273570</v>
      </c>
      <c r="O252">
        <v>19583</v>
      </c>
      <c r="P252">
        <v>30030</v>
      </c>
      <c r="Q252" s="3">
        <v>16868</v>
      </c>
      <c r="R252" s="23" t="str">
        <f t="shared" si="12"/>
        <v>Yes</v>
      </c>
    </row>
    <row r="253" spans="1:18" ht="63" customHeight="1" x14ac:dyDescent="0.25">
      <c r="A253" s="1">
        <v>45877</v>
      </c>
      <c r="B253" s="7">
        <v>15370</v>
      </c>
      <c r="C253" s="7">
        <v>15350</v>
      </c>
      <c r="D253" s="7">
        <v>13900</v>
      </c>
      <c r="E253" s="7">
        <v>17700</v>
      </c>
      <c r="F253" s="7">
        <v>17670</v>
      </c>
      <c r="G253" s="7">
        <v>26070</v>
      </c>
      <c r="H253" s="7">
        <v>22220</v>
      </c>
      <c r="I253" s="7">
        <v>22530</v>
      </c>
      <c r="J253" s="7">
        <v>25490</v>
      </c>
      <c r="K253" s="7">
        <v>22740</v>
      </c>
      <c r="L253" s="3">
        <f t="shared" si="11"/>
        <v>199040</v>
      </c>
      <c r="M253" s="3">
        <v>218996.74600511781</v>
      </c>
      <c r="N253" s="3">
        <f t="shared" si="10"/>
        <v>218996.74600511781</v>
      </c>
      <c r="O253">
        <v>12000</v>
      </c>
      <c r="P253">
        <v>30030</v>
      </c>
      <c r="Q253" s="3">
        <v>34952</v>
      </c>
      <c r="R253" s="23" t="str">
        <f t="shared" si="12"/>
        <v>Yes</v>
      </c>
    </row>
    <row r="254" spans="1:18" x14ac:dyDescent="0.25">
      <c r="A254" s="1">
        <v>45878</v>
      </c>
      <c r="B254" s="7">
        <v>13190</v>
      </c>
      <c r="C254" s="7">
        <v>13230</v>
      </c>
      <c r="D254" s="7">
        <v>11820</v>
      </c>
      <c r="E254" s="7">
        <v>15090</v>
      </c>
      <c r="F254" s="7">
        <v>15010</v>
      </c>
      <c r="G254" s="7">
        <v>16800</v>
      </c>
      <c r="H254" s="7">
        <v>14750</v>
      </c>
      <c r="I254" s="7">
        <v>14350</v>
      </c>
      <c r="J254" s="7">
        <v>16450</v>
      </c>
      <c r="K254" s="7">
        <v>15040</v>
      </c>
      <c r="L254" s="3">
        <f t="shared" si="11"/>
        <v>145730</v>
      </c>
      <c r="M254" s="3">
        <v>139940.73075281459</v>
      </c>
      <c r="N254" s="3">
        <f t="shared" si="10"/>
        <v>145730</v>
      </c>
      <c r="O254">
        <v>12000</v>
      </c>
      <c r="P254">
        <v>26793</v>
      </c>
      <c r="Q254" s="3">
        <v>25494</v>
      </c>
      <c r="R254" s="23" t="str">
        <f t="shared" si="12"/>
        <v>Yes</v>
      </c>
    </row>
    <row r="255" spans="1:18" x14ac:dyDescent="0.25">
      <c r="A255" s="1">
        <v>45879</v>
      </c>
      <c r="B255" s="7">
        <v>11250</v>
      </c>
      <c r="C255" s="7">
        <v>11040</v>
      </c>
      <c r="D255" s="7">
        <v>9860</v>
      </c>
      <c r="E255" s="7">
        <v>12450</v>
      </c>
      <c r="F255" s="7">
        <v>12720</v>
      </c>
      <c r="G255" s="7">
        <v>12950</v>
      </c>
      <c r="H255" s="7">
        <v>11220</v>
      </c>
      <c r="I255" s="7">
        <v>11190</v>
      </c>
      <c r="J255" s="7">
        <v>13040</v>
      </c>
      <c r="K255" s="7">
        <v>11590</v>
      </c>
      <c r="L255" s="3">
        <f t="shared" si="11"/>
        <v>117310</v>
      </c>
      <c r="M255" s="3">
        <v>100653.00408843387</v>
      </c>
      <c r="N255" s="3">
        <f t="shared" si="10"/>
        <v>117310</v>
      </c>
      <c r="O255">
        <v>22233</v>
      </c>
      <c r="P255">
        <v>30030</v>
      </c>
      <c r="Q255">
        <v>219</v>
      </c>
      <c r="R255" s="23" t="str">
        <f t="shared" si="12"/>
        <v>Yes</v>
      </c>
    </row>
    <row r="256" spans="1:18" x14ac:dyDescent="0.25">
      <c r="A256" s="1">
        <v>45880</v>
      </c>
      <c r="B256" s="7">
        <v>24540</v>
      </c>
      <c r="C256" s="7">
        <v>24180</v>
      </c>
      <c r="D256" s="7">
        <v>21270</v>
      </c>
      <c r="E256" s="7">
        <v>26660</v>
      </c>
      <c r="F256" s="7">
        <v>27410</v>
      </c>
      <c r="G256" s="7">
        <v>30530</v>
      </c>
      <c r="H256" s="7">
        <v>26010</v>
      </c>
      <c r="I256" s="7">
        <v>26330</v>
      </c>
      <c r="J256" s="7">
        <v>32000</v>
      </c>
      <c r="K256" s="7">
        <v>26580</v>
      </c>
      <c r="L256" s="3">
        <f t="shared" si="11"/>
        <v>265510</v>
      </c>
      <c r="M256" s="3">
        <v>256120.19621300796</v>
      </c>
      <c r="N256" s="3">
        <f t="shared" si="10"/>
        <v>265510</v>
      </c>
      <c r="O256">
        <v>24000</v>
      </c>
      <c r="P256">
        <v>30030</v>
      </c>
      <c r="Q256">
        <v>0</v>
      </c>
      <c r="R256" s="23" t="str">
        <f t="shared" si="12"/>
        <v>No</v>
      </c>
    </row>
    <row r="257" spans="1:18" x14ac:dyDescent="0.25">
      <c r="A257" s="1">
        <v>45881</v>
      </c>
      <c r="B257" s="7">
        <v>12310</v>
      </c>
      <c r="C257" s="7">
        <v>12340</v>
      </c>
      <c r="D257" s="7">
        <v>10550</v>
      </c>
      <c r="E257" s="7">
        <v>13410</v>
      </c>
      <c r="F257" s="7">
        <v>13590</v>
      </c>
      <c r="G257" s="7">
        <v>14100</v>
      </c>
      <c r="H257" s="7">
        <v>12070</v>
      </c>
      <c r="I257" s="7">
        <v>12110</v>
      </c>
      <c r="J257" s="7">
        <v>14210</v>
      </c>
      <c r="K257" s="7">
        <v>12330</v>
      </c>
      <c r="L257" s="3">
        <f t="shared" si="11"/>
        <v>127020</v>
      </c>
      <c r="M257" s="3">
        <v>110273.73061941269</v>
      </c>
      <c r="N257" s="3">
        <f t="shared" si="10"/>
        <v>127020</v>
      </c>
      <c r="O257">
        <v>24000</v>
      </c>
      <c r="P257">
        <v>30030</v>
      </c>
      <c r="Q257">
        <v>0</v>
      </c>
      <c r="R257" s="23" t="str">
        <f t="shared" si="12"/>
        <v>No</v>
      </c>
    </row>
    <row r="258" spans="1:18" x14ac:dyDescent="0.25">
      <c r="A258" s="1">
        <v>45882</v>
      </c>
      <c r="B258" s="7">
        <v>22050</v>
      </c>
      <c r="C258" s="7">
        <v>22120</v>
      </c>
      <c r="D258" s="7">
        <v>19210</v>
      </c>
      <c r="E258" s="7">
        <v>24820</v>
      </c>
      <c r="F258" s="7">
        <v>24750</v>
      </c>
      <c r="G258" s="7">
        <v>9040</v>
      </c>
      <c r="H258" s="7">
        <v>7760</v>
      </c>
      <c r="I258" s="7">
        <v>7840</v>
      </c>
      <c r="J258" s="7">
        <v>9190</v>
      </c>
      <c r="K258" s="7">
        <v>8140</v>
      </c>
      <c r="L258" s="3">
        <f t="shared" si="11"/>
        <v>154920</v>
      </c>
      <c r="M258" s="3">
        <v>223502.40937415999</v>
      </c>
      <c r="N258" s="3">
        <f t="shared" si="10"/>
        <v>223502.40937415999</v>
      </c>
      <c r="O258">
        <v>24000</v>
      </c>
      <c r="P258">
        <v>13847</v>
      </c>
      <c r="Q258" s="3">
        <v>74908</v>
      </c>
      <c r="R258" s="23" t="str">
        <f t="shared" si="12"/>
        <v>Yes</v>
      </c>
    </row>
    <row r="259" spans="1:18" x14ac:dyDescent="0.25">
      <c r="A259" s="1">
        <v>45883</v>
      </c>
      <c r="B259" s="7">
        <v>23930</v>
      </c>
      <c r="C259" s="7">
        <v>23990</v>
      </c>
      <c r="D259" s="7">
        <v>21010</v>
      </c>
      <c r="E259" s="7">
        <v>26810</v>
      </c>
      <c r="F259" s="7">
        <v>27240</v>
      </c>
      <c r="G259" s="7">
        <v>29830</v>
      </c>
      <c r="H259" s="7">
        <v>25490</v>
      </c>
      <c r="I259" s="7">
        <v>25830</v>
      </c>
      <c r="J259" s="7">
        <v>31120</v>
      </c>
      <c r="K259" s="7">
        <v>26930</v>
      </c>
      <c r="L259" s="3">
        <f t="shared" si="11"/>
        <v>262180</v>
      </c>
      <c r="M259" s="3">
        <v>257706.69974375796</v>
      </c>
      <c r="N259" s="3">
        <f t="shared" ref="N259:N322" si="13">IF(OR(O259&lt;24300,P259&lt;25700),MAX(L259,M259),L259)</f>
        <v>262180</v>
      </c>
      <c r="O259">
        <v>24000</v>
      </c>
      <c r="P259">
        <v>27844</v>
      </c>
      <c r="Q259" s="3">
        <v>2411</v>
      </c>
      <c r="R259" s="23" t="str">
        <f t="shared" si="12"/>
        <v>Yes</v>
      </c>
    </row>
    <row r="260" spans="1:18" ht="45" customHeight="1" x14ac:dyDescent="0.25">
      <c r="A260" s="1">
        <v>45884</v>
      </c>
      <c r="B260" s="7">
        <v>25290</v>
      </c>
      <c r="C260" s="7">
        <v>24360</v>
      </c>
      <c r="D260" s="7">
        <v>20810</v>
      </c>
      <c r="E260" s="7">
        <v>26820</v>
      </c>
      <c r="F260" s="7">
        <v>28050</v>
      </c>
      <c r="G260" s="7">
        <v>31360</v>
      </c>
      <c r="H260" s="7">
        <v>27520</v>
      </c>
      <c r="I260" s="7">
        <v>26820</v>
      </c>
      <c r="J260" s="7">
        <v>32020</v>
      </c>
      <c r="K260" s="7">
        <v>26800</v>
      </c>
      <c r="L260" s="3">
        <f t="shared" ref="L260:L323" si="14">SUM(B260:K260)</f>
        <v>269850</v>
      </c>
      <c r="M260" s="3">
        <v>288173.6931589545</v>
      </c>
      <c r="N260" s="3">
        <f t="shared" si="13"/>
        <v>288173.6931589545</v>
      </c>
      <c r="O260">
        <v>22000</v>
      </c>
      <c r="P260">
        <v>25240</v>
      </c>
      <c r="Q260" s="3">
        <v>29378</v>
      </c>
      <c r="R260" s="23" t="str">
        <f t="shared" si="12"/>
        <v>Yes</v>
      </c>
    </row>
    <row r="261" spans="1:18" x14ac:dyDescent="0.25">
      <c r="A261" s="1">
        <v>45885</v>
      </c>
      <c r="B261" s="7">
        <v>24170</v>
      </c>
      <c r="C261" s="7">
        <v>24510</v>
      </c>
      <c r="D261" s="7">
        <v>19530</v>
      </c>
      <c r="E261" s="7">
        <v>26670</v>
      </c>
      <c r="F261" s="7">
        <v>26450</v>
      </c>
      <c r="G261" s="7">
        <v>29560</v>
      </c>
      <c r="H261" s="7">
        <v>24080</v>
      </c>
      <c r="I261" s="7">
        <v>24860</v>
      </c>
      <c r="J261" s="7">
        <v>28120</v>
      </c>
      <c r="K261" s="7">
        <v>25650</v>
      </c>
      <c r="L261" s="3">
        <f t="shared" si="14"/>
        <v>253600</v>
      </c>
      <c r="M261" s="3">
        <v>246580.86725065118</v>
      </c>
      <c r="N261" s="3">
        <f t="shared" si="13"/>
        <v>253600</v>
      </c>
      <c r="O261">
        <v>24000</v>
      </c>
      <c r="P261">
        <v>30030</v>
      </c>
      <c r="Q261">
        <v>0</v>
      </c>
      <c r="R261" s="23" t="str">
        <f t="shared" si="12"/>
        <v>No</v>
      </c>
    </row>
    <row r="262" spans="1:18" ht="43.5" customHeight="1" x14ac:dyDescent="0.25">
      <c r="A262" s="1">
        <v>45886</v>
      </c>
      <c r="B262" s="7">
        <v>13200</v>
      </c>
      <c r="C262" s="7">
        <v>12850</v>
      </c>
      <c r="D262" s="7">
        <v>10800</v>
      </c>
      <c r="E262" s="7">
        <v>14490</v>
      </c>
      <c r="F262" s="7">
        <v>14870</v>
      </c>
      <c r="G262" s="7">
        <v>0</v>
      </c>
      <c r="H262" s="7">
        <v>0</v>
      </c>
      <c r="I262" s="7">
        <v>0</v>
      </c>
      <c r="J262" s="7">
        <v>0</v>
      </c>
      <c r="K262" s="7">
        <v>0</v>
      </c>
      <c r="L262" s="3">
        <f t="shared" si="14"/>
        <v>66210</v>
      </c>
      <c r="M262" s="3">
        <v>154369.57337714301</v>
      </c>
      <c r="N262" s="3">
        <f t="shared" si="13"/>
        <v>154369.57337714301</v>
      </c>
      <c r="O262">
        <v>24000</v>
      </c>
      <c r="P262">
        <v>0</v>
      </c>
      <c r="Q262" s="3">
        <v>78753</v>
      </c>
      <c r="R262" s="23" t="str">
        <f t="shared" si="12"/>
        <v>Yes</v>
      </c>
    </row>
    <row r="263" spans="1:18" x14ac:dyDescent="0.25">
      <c r="A263" s="1">
        <v>45887</v>
      </c>
      <c r="B263" s="7">
        <v>27700</v>
      </c>
      <c r="C263" s="7">
        <v>27380</v>
      </c>
      <c r="D263" s="7">
        <v>22480</v>
      </c>
      <c r="E263" s="7">
        <v>30410</v>
      </c>
      <c r="F263" s="7">
        <v>30560</v>
      </c>
      <c r="G263" s="7">
        <v>30420</v>
      </c>
      <c r="H263" s="7">
        <v>26620</v>
      </c>
      <c r="I263" s="7">
        <v>27040</v>
      </c>
      <c r="J263" s="7">
        <v>29760</v>
      </c>
      <c r="K263" s="7">
        <v>27880</v>
      </c>
      <c r="L263" s="3">
        <f t="shared" si="14"/>
        <v>280250</v>
      </c>
      <c r="M263" s="3">
        <v>272231.42171272088</v>
      </c>
      <c r="N263" s="3">
        <f t="shared" si="13"/>
        <v>280250</v>
      </c>
      <c r="O263">
        <v>24000</v>
      </c>
      <c r="P263">
        <v>30030</v>
      </c>
      <c r="Q263">
        <v>0</v>
      </c>
      <c r="R263" s="23" t="str">
        <f t="shared" si="12"/>
        <v>No</v>
      </c>
    </row>
    <row r="264" spans="1:18" x14ac:dyDescent="0.25">
      <c r="A264" s="1">
        <v>45888</v>
      </c>
      <c r="B264" s="7">
        <v>23670</v>
      </c>
      <c r="C264" s="7">
        <v>22810</v>
      </c>
      <c r="D264" s="7">
        <v>19060</v>
      </c>
      <c r="E264" s="7">
        <v>25170</v>
      </c>
      <c r="F264" s="7">
        <v>25430</v>
      </c>
      <c r="G264" s="7">
        <v>31710</v>
      </c>
      <c r="H264" s="7">
        <v>26440</v>
      </c>
      <c r="I264" s="7">
        <v>27010</v>
      </c>
      <c r="J264" s="7">
        <v>31870</v>
      </c>
      <c r="K264" s="7">
        <v>27600</v>
      </c>
      <c r="L264" s="3">
        <f t="shared" si="14"/>
        <v>260770</v>
      </c>
      <c r="M264" s="3">
        <v>265442.63144956814</v>
      </c>
      <c r="N264" s="3">
        <f t="shared" si="13"/>
        <v>265442.63144956814</v>
      </c>
      <c r="O264">
        <v>17967</v>
      </c>
      <c r="P264">
        <v>29863</v>
      </c>
      <c r="Q264" s="3">
        <v>18295</v>
      </c>
      <c r="R264" s="23" t="str">
        <f t="shared" si="12"/>
        <v>Yes</v>
      </c>
    </row>
    <row r="265" spans="1:18" x14ac:dyDescent="0.25">
      <c r="A265" s="1">
        <v>45889</v>
      </c>
      <c r="B265" s="7">
        <v>27240</v>
      </c>
      <c r="C265" s="7">
        <v>26940</v>
      </c>
      <c r="D265" s="7">
        <v>23890</v>
      </c>
      <c r="E265" s="7">
        <v>29550</v>
      </c>
      <c r="F265" s="7">
        <v>30220</v>
      </c>
      <c r="G265" s="7">
        <v>34670</v>
      </c>
      <c r="H265" s="7">
        <v>29530</v>
      </c>
      <c r="I265" s="7">
        <v>29880</v>
      </c>
      <c r="J265" s="7">
        <v>34420</v>
      </c>
      <c r="K265" s="7">
        <v>30580</v>
      </c>
      <c r="L265" s="3">
        <f>SUM(B265:K265)</f>
        <v>296920</v>
      </c>
      <c r="M265" s="3">
        <v>296717.44163474999</v>
      </c>
      <c r="N265" s="3">
        <f t="shared" si="13"/>
        <v>296920</v>
      </c>
      <c r="O265">
        <v>24000</v>
      </c>
      <c r="P265">
        <v>30030</v>
      </c>
      <c r="Q265">
        <v>0</v>
      </c>
      <c r="R265" s="23" t="str">
        <f t="shared" si="12"/>
        <v>No</v>
      </c>
    </row>
    <row r="266" spans="1:18" x14ac:dyDescent="0.25">
      <c r="A266" s="1">
        <v>45890</v>
      </c>
      <c r="B266" s="7">
        <v>18970</v>
      </c>
      <c r="C266" s="7">
        <v>18890</v>
      </c>
      <c r="D266" s="7">
        <v>16660</v>
      </c>
      <c r="E266" s="7">
        <v>21130</v>
      </c>
      <c r="F266" s="7">
        <v>21400</v>
      </c>
      <c r="G266" s="7">
        <v>22530</v>
      </c>
      <c r="H266" s="7">
        <v>18980</v>
      </c>
      <c r="I266" s="7">
        <v>18940</v>
      </c>
      <c r="J266" s="7">
        <v>21670</v>
      </c>
      <c r="K266" s="7">
        <v>19570</v>
      </c>
      <c r="L266" s="3">
        <f t="shared" si="14"/>
        <v>198740</v>
      </c>
      <c r="M266" s="3">
        <v>181357.94431981686</v>
      </c>
      <c r="N266" s="3">
        <f t="shared" si="13"/>
        <v>198740</v>
      </c>
      <c r="O266">
        <v>24000</v>
      </c>
      <c r="P266">
        <v>30030</v>
      </c>
      <c r="Q266">
        <v>0</v>
      </c>
      <c r="R266" s="23" t="str">
        <f t="shared" si="12"/>
        <v>No</v>
      </c>
    </row>
    <row r="267" spans="1:18" x14ac:dyDescent="0.25">
      <c r="A267" s="1">
        <v>45891</v>
      </c>
      <c r="B267" s="7">
        <v>27600</v>
      </c>
      <c r="C267" s="7">
        <v>27630</v>
      </c>
      <c r="D267" s="7">
        <v>23890</v>
      </c>
      <c r="E267" s="7">
        <v>30150</v>
      </c>
      <c r="F267" s="7">
        <v>30410</v>
      </c>
      <c r="G267" s="7">
        <v>34840</v>
      </c>
      <c r="H267" s="7">
        <v>29590</v>
      </c>
      <c r="I267" s="7">
        <v>29500</v>
      </c>
      <c r="J267" s="7">
        <v>33250</v>
      </c>
      <c r="K267" s="7">
        <v>30470</v>
      </c>
      <c r="L267" s="3">
        <f t="shared" si="14"/>
        <v>297330</v>
      </c>
      <c r="M267" s="3">
        <v>295623.81786001206</v>
      </c>
      <c r="N267" s="3">
        <f t="shared" si="13"/>
        <v>297330</v>
      </c>
      <c r="O267">
        <v>24000</v>
      </c>
      <c r="P267">
        <v>30030</v>
      </c>
      <c r="Q267">
        <v>0</v>
      </c>
      <c r="R267" s="23" t="str">
        <f t="shared" si="12"/>
        <v>No</v>
      </c>
    </row>
    <row r="268" spans="1:18" x14ac:dyDescent="0.25">
      <c r="A268" s="1">
        <v>45892</v>
      </c>
      <c r="B268" s="7">
        <v>20310</v>
      </c>
      <c r="C268" s="7">
        <v>19750</v>
      </c>
      <c r="D268" s="7">
        <v>17890</v>
      </c>
      <c r="E268" s="7">
        <v>22160</v>
      </c>
      <c r="F268" s="7">
        <v>23050</v>
      </c>
      <c r="G268" s="7">
        <v>23770</v>
      </c>
      <c r="H268" s="7">
        <v>20350</v>
      </c>
      <c r="I268" s="7">
        <v>20340</v>
      </c>
      <c r="J268" s="7">
        <v>24020</v>
      </c>
      <c r="K268" s="7">
        <v>21150</v>
      </c>
      <c r="L268" s="3">
        <f>SUM(B268:K268)</f>
        <v>212790</v>
      </c>
      <c r="M268" s="3">
        <v>193837.57318430018</v>
      </c>
      <c r="N268" s="3">
        <f t="shared" si="13"/>
        <v>212790</v>
      </c>
      <c r="O268">
        <v>24000</v>
      </c>
      <c r="P268">
        <v>30030</v>
      </c>
      <c r="Q268">
        <v>0</v>
      </c>
      <c r="R268" s="23" t="str">
        <f t="shared" si="12"/>
        <v>No</v>
      </c>
    </row>
    <row r="269" spans="1:18" x14ac:dyDescent="0.25">
      <c r="A269" s="1">
        <v>45893</v>
      </c>
      <c r="B269" s="7">
        <v>11940</v>
      </c>
      <c r="C269" s="7">
        <v>11860</v>
      </c>
      <c r="D269" s="7">
        <v>10700</v>
      </c>
      <c r="E269" s="7">
        <v>13590</v>
      </c>
      <c r="F269" s="7">
        <v>13910</v>
      </c>
      <c r="G269" s="7">
        <v>14530</v>
      </c>
      <c r="H269" s="7">
        <v>12260</v>
      </c>
      <c r="I269" s="7">
        <v>12290</v>
      </c>
      <c r="J269" s="7">
        <v>14320</v>
      </c>
      <c r="K269" s="7">
        <v>12770</v>
      </c>
      <c r="L269" s="3">
        <f>SUM(B269:K269)</f>
        <v>128170</v>
      </c>
      <c r="M269" s="3">
        <v>112570.83991794905</v>
      </c>
      <c r="N269" s="3">
        <f t="shared" si="13"/>
        <v>128170</v>
      </c>
      <c r="O269">
        <v>24000</v>
      </c>
      <c r="P269">
        <v>30030</v>
      </c>
      <c r="Q269">
        <v>0</v>
      </c>
      <c r="R269" s="23" t="str">
        <f t="shared" si="12"/>
        <v>No</v>
      </c>
    </row>
    <row r="270" spans="1:18" x14ac:dyDescent="0.25">
      <c r="A270" s="1">
        <v>45894</v>
      </c>
      <c r="B270" s="7">
        <v>24540</v>
      </c>
      <c r="C270" s="7">
        <v>24130</v>
      </c>
      <c r="D270" s="7">
        <v>21720</v>
      </c>
      <c r="E270" s="7">
        <v>27310</v>
      </c>
      <c r="F270" s="7">
        <v>28090</v>
      </c>
      <c r="G270" s="7">
        <v>26980</v>
      </c>
      <c r="H270" s="7">
        <v>22900</v>
      </c>
      <c r="I270" s="7">
        <v>22730</v>
      </c>
      <c r="J270" s="7">
        <v>26510</v>
      </c>
      <c r="K270" s="7">
        <v>23650</v>
      </c>
      <c r="L270" s="3">
        <f t="shared" si="14"/>
        <v>248560</v>
      </c>
      <c r="M270" s="3">
        <v>263014.02096655028</v>
      </c>
      <c r="N270" s="3">
        <f t="shared" si="13"/>
        <v>263014.02096655028</v>
      </c>
      <c r="O270">
        <v>24000</v>
      </c>
      <c r="P270">
        <v>27694</v>
      </c>
      <c r="Q270" s="3">
        <v>15187</v>
      </c>
      <c r="R270" s="23" t="str">
        <f t="shared" si="12"/>
        <v>Yes</v>
      </c>
    </row>
    <row r="271" spans="1:18" x14ac:dyDescent="0.25">
      <c r="A271" s="1">
        <v>45895</v>
      </c>
      <c r="B271" s="7">
        <v>28520</v>
      </c>
      <c r="C271" s="7">
        <v>28800</v>
      </c>
      <c r="D271" s="7">
        <v>25380</v>
      </c>
      <c r="E271" s="7">
        <v>32140</v>
      </c>
      <c r="F271" s="7">
        <v>32420</v>
      </c>
      <c r="G271" s="7">
        <v>35630</v>
      </c>
      <c r="H271" s="7">
        <v>30190</v>
      </c>
      <c r="I271" s="7">
        <v>29930</v>
      </c>
      <c r="J271" s="7">
        <v>34030</v>
      </c>
      <c r="K271" s="7">
        <v>30960</v>
      </c>
      <c r="L271" s="3">
        <f t="shared" si="14"/>
        <v>308000</v>
      </c>
      <c r="M271" s="3">
        <v>299657.24216528988</v>
      </c>
      <c r="N271" s="3">
        <f t="shared" si="13"/>
        <v>308000</v>
      </c>
      <c r="O271">
        <v>24000</v>
      </c>
      <c r="P271">
        <v>30030</v>
      </c>
      <c r="Q271">
        <v>0</v>
      </c>
      <c r="R271" s="23" t="str">
        <f t="shared" si="12"/>
        <v>No</v>
      </c>
    </row>
    <row r="272" spans="1:18" x14ac:dyDescent="0.25">
      <c r="A272" s="1">
        <v>45896</v>
      </c>
      <c r="B272" s="7">
        <v>23550</v>
      </c>
      <c r="C272" s="7">
        <v>23420</v>
      </c>
      <c r="D272" s="7">
        <v>21030</v>
      </c>
      <c r="E272" s="7">
        <v>26570</v>
      </c>
      <c r="F272" s="7">
        <v>26950</v>
      </c>
      <c r="G272" s="7">
        <v>27080</v>
      </c>
      <c r="H272" s="7">
        <v>23050</v>
      </c>
      <c r="I272" s="7">
        <v>22830</v>
      </c>
      <c r="J272" s="7">
        <v>26020</v>
      </c>
      <c r="K272" s="7">
        <v>23900</v>
      </c>
      <c r="L272" s="3">
        <f t="shared" si="14"/>
        <v>244400</v>
      </c>
      <c r="M272" s="3">
        <v>224410.43337586406</v>
      </c>
      <c r="N272" s="3">
        <f t="shared" si="13"/>
        <v>244400</v>
      </c>
      <c r="O272">
        <v>24000</v>
      </c>
      <c r="P272">
        <v>27986</v>
      </c>
      <c r="Q272" s="3">
        <v>5816</v>
      </c>
      <c r="R272" s="23" t="str">
        <f t="shared" si="12"/>
        <v>Yes</v>
      </c>
    </row>
    <row r="273" spans="1:18" x14ac:dyDescent="0.25">
      <c r="A273" s="1">
        <v>45897</v>
      </c>
      <c r="B273" s="7">
        <v>22930</v>
      </c>
      <c r="C273" s="7">
        <v>22970</v>
      </c>
      <c r="D273" s="7">
        <v>20300</v>
      </c>
      <c r="E273" s="7">
        <v>25580</v>
      </c>
      <c r="F273" s="7">
        <v>26100</v>
      </c>
      <c r="G273" s="7">
        <v>28760</v>
      </c>
      <c r="H273" s="7">
        <v>24310</v>
      </c>
      <c r="I273" s="7">
        <v>24320</v>
      </c>
      <c r="J273" s="7">
        <v>27640</v>
      </c>
      <c r="K273" s="7">
        <v>25600</v>
      </c>
      <c r="L273" s="3">
        <f t="shared" si="14"/>
        <v>248510</v>
      </c>
      <c r="M273" s="3">
        <v>240448.4177095367</v>
      </c>
      <c r="N273" s="3">
        <f t="shared" si="13"/>
        <v>248510</v>
      </c>
      <c r="O273">
        <v>24000</v>
      </c>
      <c r="P273">
        <v>30030</v>
      </c>
      <c r="Q273">
        <v>0</v>
      </c>
      <c r="R273" s="23" t="str">
        <f t="shared" si="12"/>
        <v>No</v>
      </c>
    </row>
    <row r="274" spans="1:18" x14ac:dyDescent="0.25">
      <c r="A274" s="1">
        <v>45898</v>
      </c>
      <c r="B274" s="7">
        <v>25960</v>
      </c>
      <c r="C274" s="7">
        <v>25170</v>
      </c>
      <c r="D274" s="7">
        <v>21490</v>
      </c>
      <c r="E274" s="7">
        <v>27470</v>
      </c>
      <c r="F274" s="7">
        <v>28670</v>
      </c>
      <c r="G274" s="7">
        <v>32230</v>
      </c>
      <c r="H274" s="7">
        <v>26570</v>
      </c>
      <c r="I274" s="7">
        <v>27100</v>
      </c>
      <c r="J274" s="7">
        <v>32630</v>
      </c>
      <c r="K274" s="7">
        <v>27280</v>
      </c>
      <c r="L274" s="3">
        <f t="shared" si="14"/>
        <v>274570</v>
      </c>
      <c r="M274" s="3">
        <v>280213.71006793925</v>
      </c>
      <c r="N274" s="3">
        <f t="shared" si="13"/>
        <v>280213.71006793925</v>
      </c>
      <c r="O274">
        <v>23333</v>
      </c>
      <c r="P274">
        <v>30030</v>
      </c>
      <c r="Q274">
        <v>359</v>
      </c>
      <c r="R274" s="23" t="str">
        <f t="shared" si="12"/>
        <v>Yes</v>
      </c>
    </row>
    <row r="275" spans="1:18" x14ac:dyDescent="0.25">
      <c r="A275" s="1">
        <v>45899</v>
      </c>
      <c r="B275" s="7">
        <v>21440</v>
      </c>
      <c r="C275" s="7">
        <v>21040</v>
      </c>
      <c r="D275" s="7">
        <v>18920</v>
      </c>
      <c r="E275" s="7">
        <v>23480</v>
      </c>
      <c r="F275" s="7">
        <v>24070</v>
      </c>
      <c r="G275" s="7">
        <v>25740</v>
      </c>
      <c r="H275" s="7">
        <v>21470</v>
      </c>
      <c r="I275" s="7">
        <v>21610</v>
      </c>
      <c r="J275" s="7">
        <v>25850</v>
      </c>
      <c r="K275" s="7">
        <v>22100</v>
      </c>
      <c r="L275" s="3">
        <f t="shared" si="14"/>
        <v>225720</v>
      </c>
      <c r="M275" s="3">
        <v>210750.29008056768</v>
      </c>
      <c r="N275" s="3">
        <f t="shared" si="13"/>
        <v>225720</v>
      </c>
      <c r="O275">
        <v>24000</v>
      </c>
      <c r="P275">
        <v>30030</v>
      </c>
      <c r="Q275">
        <v>0</v>
      </c>
      <c r="R275" s="23" t="str">
        <f t="shared" si="12"/>
        <v>No</v>
      </c>
    </row>
    <row r="276" spans="1:18" x14ac:dyDescent="0.25">
      <c r="A276" s="1">
        <v>45900</v>
      </c>
      <c r="B276" s="7">
        <v>8030</v>
      </c>
      <c r="C276" s="7">
        <v>7980</v>
      </c>
      <c r="D276" s="7">
        <v>7140</v>
      </c>
      <c r="E276" s="7">
        <v>9040</v>
      </c>
      <c r="F276" s="7">
        <v>9150</v>
      </c>
      <c r="G276" s="7">
        <v>9560</v>
      </c>
      <c r="H276" s="7">
        <v>8040</v>
      </c>
      <c r="I276" s="7">
        <v>8060</v>
      </c>
      <c r="J276" s="7">
        <v>9260</v>
      </c>
      <c r="K276" s="7">
        <v>8330</v>
      </c>
      <c r="L276" s="3">
        <f t="shared" si="14"/>
        <v>84590</v>
      </c>
      <c r="M276" s="3">
        <v>76465.941289605602</v>
      </c>
      <c r="N276" s="3">
        <f t="shared" si="13"/>
        <v>84590</v>
      </c>
      <c r="O276">
        <v>24000</v>
      </c>
      <c r="P276">
        <v>30030</v>
      </c>
      <c r="Q276">
        <v>0</v>
      </c>
      <c r="R276" s="23" t="str">
        <f t="shared" si="12"/>
        <v>No</v>
      </c>
    </row>
    <row r="277" spans="1:18" x14ac:dyDescent="0.25">
      <c r="A277" s="1">
        <v>45901</v>
      </c>
      <c r="B277" s="7">
        <v>25630</v>
      </c>
      <c r="C277" s="7">
        <v>25820</v>
      </c>
      <c r="D277" s="7">
        <v>21630</v>
      </c>
      <c r="E277" s="7">
        <v>27450</v>
      </c>
      <c r="F277" s="7">
        <v>27430</v>
      </c>
      <c r="G277" s="7">
        <v>32120</v>
      </c>
      <c r="H277" s="7">
        <v>26610</v>
      </c>
      <c r="I277" s="7">
        <v>27080</v>
      </c>
      <c r="J277" s="7">
        <v>31460</v>
      </c>
      <c r="K277" s="7">
        <v>27830</v>
      </c>
      <c r="L277" s="3">
        <f t="shared" si="14"/>
        <v>273060</v>
      </c>
      <c r="M277" s="3">
        <v>277318.36623711343</v>
      </c>
      <c r="N277" s="3">
        <f t="shared" si="13"/>
        <v>277318.36623711343</v>
      </c>
      <c r="O277">
        <v>24000</v>
      </c>
      <c r="P277">
        <v>30030</v>
      </c>
      <c r="Q277">
        <v>0</v>
      </c>
      <c r="R277" s="23" t="str">
        <f t="shared" si="12"/>
        <v>No</v>
      </c>
    </row>
    <row r="278" spans="1:18" x14ac:dyDescent="0.25">
      <c r="A278" s="1">
        <v>45902</v>
      </c>
      <c r="B278" s="7">
        <v>15990</v>
      </c>
      <c r="C278" s="7">
        <v>15200</v>
      </c>
      <c r="D278" s="7">
        <v>13890</v>
      </c>
      <c r="E278" s="7">
        <v>17210</v>
      </c>
      <c r="F278" s="7">
        <v>17730</v>
      </c>
      <c r="G278" s="7">
        <v>29160</v>
      </c>
      <c r="H278" s="7">
        <v>23920</v>
      </c>
      <c r="I278" s="7">
        <v>23880</v>
      </c>
      <c r="J278" s="7">
        <v>27450</v>
      </c>
      <c r="K278" s="7">
        <v>23310</v>
      </c>
      <c r="L278" s="3">
        <f t="shared" si="14"/>
        <v>207740</v>
      </c>
      <c r="M278" s="3">
        <v>239143.48802978234</v>
      </c>
      <c r="N278" s="3">
        <f t="shared" si="13"/>
        <v>239143.48802978234</v>
      </c>
      <c r="O278">
        <v>16433</v>
      </c>
      <c r="P278">
        <v>30030</v>
      </c>
      <c r="Q278" s="3">
        <v>27636</v>
      </c>
      <c r="R278" s="23" t="str">
        <f t="shared" si="12"/>
        <v>Yes</v>
      </c>
    </row>
    <row r="279" spans="1:18" x14ac:dyDescent="0.25">
      <c r="A279" s="1">
        <v>45903</v>
      </c>
      <c r="B279" s="7">
        <v>22220</v>
      </c>
      <c r="C279" s="7">
        <v>22910</v>
      </c>
      <c r="D279" s="7">
        <v>19590</v>
      </c>
      <c r="E279" s="7">
        <v>24020</v>
      </c>
      <c r="F279" s="7">
        <v>25010</v>
      </c>
      <c r="G279" s="7">
        <v>26800</v>
      </c>
      <c r="H279" s="7">
        <v>22870</v>
      </c>
      <c r="I279" s="7">
        <v>22820</v>
      </c>
      <c r="J279" s="7">
        <v>27280</v>
      </c>
      <c r="K279" s="7">
        <v>23580</v>
      </c>
      <c r="L279" s="3">
        <f t="shared" si="14"/>
        <v>237100</v>
      </c>
      <c r="M279" s="3">
        <v>217827.18619702177</v>
      </c>
      <c r="N279" s="3">
        <f t="shared" si="13"/>
        <v>237100</v>
      </c>
      <c r="O279">
        <v>24000</v>
      </c>
      <c r="P279">
        <v>30030</v>
      </c>
      <c r="Q279">
        <v>0</v>
      </c>
      <c r="R279" s="23" t="str">
        <f t="shared" si="12"/>
        <v>No</v>
      </c>
    </row>
    <row r="280" spans="1:18" x14ac:dyDescent="0.25">
      <c r="A280" s="1">
        <v>45904</v>
      </c>
      <c r="B280" s="7">
        <v>28790</v>
      </c>
      <c r="C280" s="7">
        <v>29170</v>
      </c>
      <c r="D280" s="7">
        <v>24910</v>
      </c>
      <c r="E280" s="7">
        <v>31530</v>
      </c>
      <c r="F280" s="7">
        <v>31170</v>
      </c>
      <c r="G280" s="7">
        <v>35050</v>
      </c>
      <c r="H280" s="7">
        <v>29530</v>
      </c>
      <c r="I280" s="7">
        <v>28990</v>
      </c>
      <c r="J280" s="7">
        <v>32670</v>
      </c>
      <c r="K280" s="7">
        <v>29330</v>
      </c>
      <c r="L280" s="3">
        <f t="shared" si="14"/>
        <v>301140</v>
      </c>
      <c r="M280" s="3">
        <v>293424.36769759451</v>
      </c>
      <c r="N280" s="3">
        <f t="shared" si="13"/>
        <v>301140</v>
      </c>
      <c r="O280">
        <v>24000</v>
      </c>
      <c r="P280">
        <v>30030</v>
      </c>
      <c r="Q280">
        <v>0</v>
      </c>
      <c r="R280" s="23" t="str">
        <f t="shared" si="12"/>
        <v>No</v>
      </c>
    </row>
    <row r="281" spans="1:18" x14ac:dyDescent="0.25">
      <c r="A281" s="1">
        <v>45905</v>
      </c>
      <c r="B281" s="7">
        <v>17580</v>
      </c>
      <c r="C281" s="7">
        <v>17570</v>
      </c>
      <c r="D281" s="7">
        <v>15630</v>
      </c>
      <c r="E281" s="7">
        <v>19800</v>
      </c>
      <c r="F281" s="7">
        <v>19860</v>
      </c>
      <c r="G281" s="7">
        <v>21310</v>
      </c>
      <c r="H281" s="7">
        <v>17550</v>
      </c>
      <c r="I281" s="7">
        <v>17740</v>
      </c>
      <c r="J281" s="7">
        <v>20290</v>
      </c>
      <c r="K281" s="7">
        <v>18320</v>
      </c>
      <c r="L281" s="3">
        <f t="shared" si="14"/>
        <v>185650</v>
      </c>
      <c r="M281" s="3">
        <v>171349.86294387167</v>
      </c>
      <c r="N281" s="3">
        <f t="shared" si="13"/>
        <v>185650</v>
      </c>
      <c r="O281">
        <v>24000</v>
      </c>
      <c r="P281">
        <v>30030</v>
      </c>
      <c r="Q281">
        <v>0</v>
      </c>
      <c r="R281" s="23" t="str">
        <f t="shared" si="12"/>
        <v>No</v>
      </c>
    </row>
    <row r="282" spans="1:18" x14ac:dyDescent="0.25">
      <c r="A282" s="1">
        <v>45906</v>
      </c>
      <c r="B282" s="7">
        <v>20680</v>
      </c>
      <c r="C282" s="7">
        <v>20930</v>
      </c>
      <c r="D282" s="7">
        <v>17650</v>
      </c>
      <c r="E282" s="7">
        <v>22330</v>
      </c>
      <c r="F282" s="7">
        <v>21840</v>
      </c>
      <c r="G282" s="7">
        <v>23110</v>
      </c>
      <c r="H282" s="7">
        <v>18520</v>
      </c>
      <c r="I282" s="7">
        <v>19150</v>
      </c>
      <c r="J282" s="7">
        <v>21560</v>
      </c>
      <c r="K282" s="7">
        <v>20140</v>
      </c>
      <c r="L282" s="3">
        <f t="shared" si="14"/>
        <v>205910</v>
      </c>
      <c r="M282" s="3">
        <v>184201.36050973655</v>
      </c>
      <c r="N282" s="3">
        <f t="shared" si="13"/>
        <v>205910</v>
      </c>
      <c r="O282">
        <v>24000</v>
      </c>
      <c r="P282">
        <v>30030</v>
      </c>
      <c r="Q282">
        <v>0</v>
      </c>
      <c r="R282" s="23" t="str">
        <f t="shared" si="12"/>
        <v>No</v>
      </c>
    </row>
    <row r="283" spans="1:18" x14ac:dyDescent="0.25">
      <c r="A283" s="1">
        <v>45907</v>
      </c>
      <c r="B283" s="7">
        <v>15440</v>
      </c>
      <c r="C283" s="7">
        <v>15480</v>
      </c>
      <c r="D283" s="7">
        <v>14010</v>
      </c>
      <c r="E283" s="7">
        <v>17670</v>
      </c>
      <c r="F283" s="7">
        <v>17810</v>
      </c>
      <c r="G283" s="7">
        <v>26350</v>
      </c>
      <c r="H283" s="7">
        <v>21490</v>
      </c>
      <c r="I283" s="7">
        <v>21840</v>
      </c>
      <c r="J283" s="7">
        <v>25760</v>
      </c>
      <c r="K283" s="7">
        <v>22190</v>
      </c>
      <c r="L283" s="3">
        <f t="shared" si="14"/>
        <v>198040</v>
      </c>
      <c r="M283" s="3">
        <v>222644.89664948452</v>
      </c>
      <c r="N283" s="3">
        <f t="shared" si="13"/>
        <v>222644.89664948452</v>
      </c>
      <c r="O283">
        <v>12500</v>
      </c>
      <c r="P283">
        <v>30030</v>
      </c>
      <c r="Q283" s="3">
        <v>35557</v>
      </c>
      <c r="R283" s="23" t="str">
        <f t="shared" si="12"/>
        <v>Yes</v>
      </c>
    </row>
    <row r="284" spans="1:18" x14ac:dyDescent="0.25">
      <c r="A284" s="1">
        <v>45908</v>
      </c>
      <c r="B284" s="7">
        <v>24550</v>
      </c>
      <c r="C284" s="7">
        <v>24580</v>
      </c>
      <c r="D284" s="7">
        <v>21790</v>
      </c>
      <c r="E284" s="7">
        <v>27380</v>
      </c>
      <c r="F284" s="7">
        <v>27810</v>
      </c>
      <c r="G284" s="7">
        <v>29710</v>
      </c>
      <c r="H284" s="7">
        <v>24540</v>
      </c>
      <c r="I284" s="7">
        <v>25110</v>
      </c>
      <c r="J284" s="7">
        <v>29430</v>
      </c>
      <c r="K284" s="7">
        <v>25890</v>
      </c>
      <c r="L284" s="3">
        <f t="shared" si="14"/>
        <v>260790</v>
      </c>
      <c r="M284" s="3">
        <v>244755.19495990835</v>
      </c>
      <c r="N284" s="3">
        <f t="shared" si="13"/>
        <v>260790</v>
      </c>
      <c r="O284">
        <v>24000</v>
      </c>
      <c r="P284">
        <v>30030</v>
      </c>
      <c r="Q284">
        <v>0</v>
      </c>
      <c r="R284" s="23" t="str">
        <f t="shared" si="12"/>
        <v>No</v>
      </c>
    </row>
    <row r="285" spans="1:18" ht="78.75" customHeight="1" x14ac:dyDescent="0.25">
      <c r="A285" s="1">
        <v>45909</v>
      </c>
      <c r="B285" s="7">
        <v>10010</v>
      </c>
      <c r="C285" s="7">
        <v>10060</v>
      </c>
      <c r="D285" s="7">
        <v>8840</v>
      </c>
      <c r="E285" s="7">
        <v>11220</v>
      </c>
      <c r="F285" s="7">
        <v>11380</v>
      </c>
      <c r="G285" s="7">
        <v>11770</v>
      </c>
      <c r="H285" s="7">
        <v>9820</v>
      </c>
      <c r="I285" s="7">
        <v>9750</v>
      </c>
      <c r="J285" s="7">
        <v>11120</v>
      </c>
      <c r="K285" s="7">
        <v>9910</v>
      </c>
      <c r="L285" s="3">
        <f t="shared" si="14"/>
        <v>103880</v>
      </c>
      <c r="M285" s="3">
        <v>92689.814662084755</v>
      </c>
      <c r="N285" s="3">
        <f t="shared" si="13"/>
        <v>103880</v>
      </c>
      <c r="O285">
        <v>24000</v>
      </c>
      <c r="P285">
        <v>27325</v>
      </c>
      <c r="Q285" s="3">
        <v>2659</v>
      </c>
      <c r="R285" s="23" t="str">
        <f t="shared" si="12"/>
        <v>Yes</v>
      </c>
    </row>
    <row r="286" spans="1:18" x14ac:dyDescent="0.25">
      <c r="A286" s="1">
        <v>45910</v>
      </c>
      <c r="B286" s="7">
        <v>32670</v>
      </c>
      <c r="C286" s="7">
        <v>33280</v>
      </c>
      <c r="D286" s="7">
        <v>29040</v>
      </c>
      <c r="E286" s="7">
        <v>36240</v>
      </c>
      <c r="F286" s="7">
        <v>36850</v>
      </c>
      <c r="G286" s="7">
        <v>41130</v>
      </c>
      <c r="H286" s="7">
        <v>34520</v>
      </c>
      <c r="I286" s="7">
        <v>34510</v>
      </c>
      <c r="J286" s="7">
        <v>40880</v>
      </c>
      <c r="K286" s="7">
        <v>36690</v>
      </c>
      <c r="L286" s="3">
        <f t="shared" si="14"/>
        <v>355810</v>
      </c>
      <c r="M286" s="3">
        <v>347352.91454753728</v>
      </c>
      <c r="N286" s="3">
        <f t="shared" si="13"/>
        <v>355810</v>
      </c>
      <c r="O286">
        <v>24000</v>
      </c>
      <c r="P286">
        <v>29059</v>
      </c>
      <c r="Q286">
        <v>254</v>
      </c>
      <c r="R286" s="23" t="str">
        <f t="shared" ref="R286:R349" si="15">IF(Q286&gt;0,"Yes",IF(OR((O286+P286&lt;50000),O286&lt;24000,P286&lt;30030),"Yes","No"))</f>
        <v>Yes</v>
      </c>
    </row>
    <row r="287" spans="1:18" x14ac:dyDescent="0.25">
      <c r="A287" s="1">
        <v>45911</v>
      </c>
      <c r="B287" s="7">
        <v>23100</v>
      </c>
      <c r="C287" s="7">
        <v>22650</v>
      </c>
      <c r="D287" s="7">
        <v>20080</v>
      </c>
      <c r="E287" s="7">
        <v>25070</v>
      </c>
      <c r="F287" s="7">
        <v>25880</v>
      </c>
      <c r="G287" s="7">
        <v>26880</v>
      </c>
      <c r="H287" s="7">
        <v>22500</v>
      </c>
      <c r="I287" s="7">
        <v>22530</v>
      </c>
      <c r="J287" s="7">
        <v>26250</v>
      </c>
      <c r="K287" s="7">
        <v>23460</v>
      </c>
      <c r="L287" s="3">
        <f t="shared" si="14"/>
        <v>238400</v>
      </c>
      <c r="M287" s="3">
        <v>222351.95137457046</v>
      </c>
      <c r="N287" s="3">
        <f t="shared" si="13"/>
        <v>238400</v>
      </c>
      <c r="O287">
        <v>24000</v>
      </c>
      <c r="P287">
        <v>23217</v>
      </c>
      <c r="Q287" s="3">
        <v>12460</v>
      </c>
      <c r="R287" s="23" t="str">
        <f t="shared" si="15"/>
        <v>Yes</v>
      </c>
    </row>
    <row r="288" spans="1:18" x14ac:dyDescent="0.25">
      <c r="A288" s="1">
        <v>45912</v>
      </c>
      <c r="B288" s="7">
        <v>20370</v>
      </c>
      <c r="C288" s="7">
        <v>20360</v>
      </c>
      <c r="D288" s="7">
        <v>17770</v>
      </c>
      <c r="E288" s="7">
        <v>22130</v>
      </c>
      <c r="F288" s="7">
        <v>22980</v>
      </c>
      <c r="G288" s="7">
        <v>18340</v>
      </c>
      <c r="H288" s="7">
        <v>15420</v>
      </c>
      <c r="I288" s="7">
        <v>15460</v>
      </c>
      <c r="J288" s="7">
        <v>18190</v>
      </c>
      <c r="K288" s="7">
        <v>15730</v>
      </c>
      <c r="L288" s="3">
        <f t="shared" si="14"/>
        <v>186750</v>
      </c>
      <c r="M288" s="3">
        <v>227990.44092210763</v>
      </c>
      <c r="N288" s="3">
        <f t="shared" si="13"/>
        <v>227990.44092210763</v>
      </c>
      <c r="O288">
        <v>24000</v>
      </c>
      <c r="P288">
        <v>20939</v>
      </c>
      <c r="Q288" s="3">
        <v>31957</v>
      </c>
      <c r="R288" s="23" t="str">
        <f t="shared" si="15"/>
        <v>Yes</v>
      </c>
    </row>
    <row r="289" spans="1:18" x14ac:dyDescent="0.25">
      <c r="A289" s="1">
        <v>45913</v>
      </c>
      <c r="B289" s="7">
        <v>22990</v>
      </c>
      <c r="C289" s="7">
        <v>23020</v>
      </c>
      <c r="D289" s="7">
        <v>20370</v>
      </c>
      <c r="E289" s="7">
        <v>25640</v>
      </c>
      <c r="F289" s="7">
        <v>25250</v>
      </c>
      <c r="G289" s="7">
        <v>29440</v>
      </c>
      <c r="H289" s="7">
        <v>25860</v>
      </c>
      <c r="I289" s="7">
        <v>29320</v>
      </c>
      <c r="J289" s="7">
        <v>29030</v>
      </c>
      <c r="K289" s="7">
        <v>25990</v>
      </c>
      <c r="L289" s="3">
        <f t="shared" si="14"/>
        <v>256910</v>
      </c>
      <c r="M289" s="3">
        <v>256725.02872279496</v>
      </c>
      <c r="N289" s="3">
        <f t="shared" si="13"/>
        <v>256910</v>
      </c>
      <c r="O289">
        <v>24000</v>
      </c>
      <c r="P289">
        <v>30030</v>
      </c>
      <c r="Q289">
        <v>0</v>
      </c>
      <c r="R289" s="23" t="str">
        <f t="shared" si="15"/>
        <v>No</v>
      </c>
    </row>
    <row r="290" spans="1:18" x14ac:dyDescent="0.25">
      <c r="A290" s="1">
        <v>45914</v>
      </c>
      <c r="B290" s="7">
        <v>28300</v>
      </c>
      <c r="C290" s="7">
        <v>27850</v>
      </c>
      <c r="D290" s="7">
        <v>25120</v>
      </c>
      <c r="E290" s="7">
        <v>31400</v>
      </c>
      <c r="F290" s="7">
        <v>32320</v>
      </c>
      <c r="G290" s="7">
        <v>24180</v>
      </c>
      <c r="H290" s="7">
        <v>28150</v>
      </c>
      <c r="I290" s="7">
        <v>28630</v>
      </c>
      <c r="J290" s="7">
        <v>34080</v>
      </c>
      <c r="K290" s="7">
        <v>29030</v>
      </c>
      <c r="L290" s="3">
        <f t="shared" si="14"/>
        <v>289060</v>
      </c>
      <c r="M290" s="3">
        <v>285836.9020904926</v>
      </c>
      <c r="N290" s="3">
        <f t="shared" si="13"/>
        <v>289060</v>
      </c>
      <c r="O290">
        <v>24000</v>
      </c>
      <c r="P290">
        <v>30030</v>
      </c>
      <c r="Q290">
        <v>0</v>
      </c>
      <c r="R290" s="23" t="str">
        <f t="shared" si="15"/>
        <v>No</v>
      </c>
    </row>
    <row r="291" spans="1:18" x14ac:dyDescent="0.25">
      <c r="A291" s="1">
        <v>45915</v>
      </c>
      <c r="B291" s="7">
        <v>21650</v>
      </c>
      <c r="C291" s="7">
        <v>21520</v>
      </c>
      <c r="D291" s="7">
        <v>19240</v>
      </c>
      <c r="E291" s="7">
        <v>24640</v>
      </c>
      <c r="F291" s="7">
        <v>24610</v>
      </c>
      <c r="G291" s="7">
        <v>26090</v>
      </c>
      <c r="H291" s="7">
        <v>21640</v>
      </c>
      <c r="I291" s="7">
        <v>21830</v>
      </c>
      <c r="J291" s="7">
        <v>24330</v>
      </c>
      <c r="K291" s="7">
        <v>22540</v>
      </c>
      <c r="L291" s="3">
        <f t="shared" si="14"/>
        <v>228090</v>
      </c>
      <c r="M291" s="3">
        <v>211590.99513172969</v>
      </c>
      <c r="N291" s="3">
        <f t="shared" si="13"/>
        <v>228090</v>
      </c>
      <c r="O291">
        <v>24000</v>
      </c>
      <c r="P291">
        <v>29854</v>
      </c>
      <c r="Q291">
        <v>18</v>
      </c>
      <c r="R291" s="23" t="str">
        <f t="shared" si="15"/>
        <v>Yes</v>
      </c>
    </row>
    <row r="292" spans="1:18" x14ac:dyDescent="0.25">
      <c r="A292" s="1">
        <v>45916</v>
      </c>
      <c r="B292" s="7">
        <v>22000</v>
      </c>
      <c r="C292" s="7">
        <v>21490</v>
      </c>
      <c r="D292" s="7">
        <v>19750</v>
      </c>
      <c r="E292" s="7">
        <v>24270</v>
      </c>
      <c r="F292" s="7">
        <v>25040</v>
      </c>
      <c r="G292" s="7">
        <v>26600</v>
      </c>
      <c r="H292" s="7">
        <v>22090</v>
      </c>
      <c r="I292" s="7">
        <v>22570</v>
      </c>
      <c r="J292" s="7">
        <v>24450</v>
      </c>
      <c r="K292" s="7">
        <v>23060</v>
      </c>
      <c r="L292" s="3">
        <f t="shared" si="14"/>
        <v>231320</v>
      </c>
      <c r="M292" s="3">
        <v>227221.89624856814</v>
      </c>
      <c r="N292" s="3">
        <f t="shared" si="13"/>
        <v>231320</v>
      </c>
      <c r="O292">
        <v>24000</v>
      </c>
      <c r="P292">
        <v>28495</v>
      </c>
      <c r="Q292" s="3">
        <v>2666</v>
      </c>
      <c r="R292" s="23" t="str">
        <f t="shared" si="15"/>
        <v>Yes</v>
      </c>
    </row>
    <row r="293" spans="1:18" x14ac:dyDescent="0.25">
      <c r="A293" s="1">
        <v>45917</v>
      </c>
      <c r="B293" s="7">
        <v>12460</v>
      </c>
      <c r="C293" s="7">
        <v>12330</v>
      </c>
      <c r="D293" s="7">
        <v>11180</v>
      </c>
      <c r="E293" s="7">
        <v>14000</v>
      </c>
      <c r="F293" s="7">
        <v>14370</v>
      </c>
      <c r="G293" s="7">
        <v>15830</v>
      </c>
      <c r="H293" s="7">
        <v>13040</v>
      </c>
      <c r="I293" s="7">
        <v>13360</v>
      </c>
      <c r="J293" s="7">
        <v>16000</v>
      </c>
      <c r="K293" s="7">
        <v>13640</v>
      </c>
      <c r="L293" s="3">
        <f t="shared" si="14"/>
        <v>136210</v>
      </c>
      <c r="M293" s="3">
        <v>131517.29043528062</v>
      </c>
      <c r="N293" s="3">
        <f t="shared" si="13"/>
        <v>136210</v>
      </c>
      <c r="O293">
        <v>12000</v>
      </c>
      <c r="P293">
        <v>28878</v>
      </c>
      <c r="Q293" s="3">
        <v>22088</v>
      </c>
      <c r="R293" s="23" t="str">
        <f t="shared" si="15"/>
        <v>Yes</v>
      </c>
    </row>
    <row r="294" spans="1:18" x14ac:dyDescent="0.25">
      <c r="A294" s="1">
        <v>45918</v>
      </c>
      <c r="B294" s="7">
        <v>17750</v>
      </c>
      <c r="C294" s="7">
        <v>17630</v>
      </c>
      <c r="D294" s="7">
        <v>15770</v>
      </c>
      <c r="E294" s="7">
        <v>19670</v>
      </c>
      <c r="F294" s="7">
        <v>20390</v>
      </c>
      <c r="G294" s="7">
        <v>21670</v>
      </c>
      <c r="H294" s="7">
        <v>18270</v>
      </c>
      <c r="I294" s="7">
        <v>18360</v>
      </c>
      <c r="J294" s="7">
        <v>21300</v>
      </c>
      <c r="K294" s="7">
        <v>19090</v>
      </c>
      <c r="L294" s="3">
        <f t="shared" si="14"/>
        <v>189900</v>
      </c>
      <c r="M294" s="3">
        <v>176139.95902061858</v>
      </c>
      <c r="N294" s="3">
        <f t="shared" si="13"/>
        <v>189900</v>
      </c>
      <c r="O294">
        <v>24000</v>
      </c>
      <c r="P294">
        <v>30030</v>
      </c>
      <c r="Q294">
        <v>0</v>
      </c>
      <c r="R294" s="23" t="str">
        <f t="shared" si="15"/>
        <v>No</v>
      </c>
    </row>
    <row r="295" spans="1:18" x14ac:dyDescent="0.25">
      <c r="A295" s="1">
        <v>45919</v>
      </c>
      <c r="B295" s="7">
        <v>27010</v>
      </c>
      <c r="C295" s="7">
        <v>27350</v>
      </c>
      <c r="D295" s="7">
        <v>23320</v>
      </c>
      <c r="E295" s="7">
        <v>29690</v>
      </c>
      <c r="F295" s="7">
        <v>29810</v>
      </c>
      <c r="G295" s="7">
        <v>35150</v>
      </c>
      <c r="H295" s="7">
        <v>29090</v>
      </c>
      <c r="I295" s="7">
        <v>30090</v>
      </c>
      <c r="J295" s="7">
        <v>32930</v>
      </c>
      <c r="K295" s="7">
        <v>31380</v>
      </c>
      <c r="L295" s="3">
        <f t="shared" si="14"/>
        <v>295820</v>
      </c>
      <c r="M295" s="3">
        <v>298776.39968499431</v>
      </c>
      <c r="N295" s="3">
        <f t="shared" si="13"/>
        <v>298776.39968499431</v>
      </c>
      <c r="O295">
        <v>24000</v>
      </c>
      <c r="P295">
        <v>30030</v>
      </c>
      <c r="Q295">
        <v>0</v>
      </c>
      <c r="R295" s="23" t="str">
        <f t="shared" si="15"/>
        <v>No</v>
      </c>
    </row>
    <row r="296" spans="1:18" x14ac:dyDescent="0.25">
      <c r="A296" s="1">
        <v>45920</v>
      </c>
      <c r="B296" s="7">
        <v>22120</v>
      </c>
      <c r="C296" s="7">
        <v>22140</v>
      </c>
      <c r="D296" s="7">
        <v>19210</v>
      </c>
      <c r="E296" s="7">
        <v>23940</v>
      </c>
      <c r="F296" s="7">
        <v>24660</v>
      </c>
      <c r="G296" s="7">
        <v>26250</v>
      </c>
      <c r="H296" s="7">
        <v>21950</v>
      </c>
      <c r="I296" s="7">
        <v>22310</v>
      </c>
      <c r="J296" s="7">
        <v>24980</v>
      </c>
      <c r="K296" s="7">
        <v>23080</v>
      </c>
      <c r="L296" s="3">
        <f t="shared" si="14"/>
        <v>230640</v>
      </c>
      <c r="M296" s="3">
        <v>219448.11678121422</v>
      </c>
      <c r="N296" s="3">
        <f t="shared" si="13"/>
        <v>230640</v>
      </c>
      <c r="O296">
        <v>24000</v>
      </c>
      <c r="P296">
        <v>30030</v>
      </c>
      <c r="Q296">
        <v>0</v>
      </c>
      <c r="R296" s="23" t="str">
        <f t="shared" si="15"/>
        <v>No</v>
      </c>
    </row>
    <row r="297" spans="1:18" x14ac:dyDescent="0.25">
      <c r="A297" s="1">
        <v>45921</v>
      </c>
      <c r="B297" s="7">
        <v>26400</v>
      </c>
      <c r="C297" s="7">
        <v>26290</v>
      </c>
      <c r="D297" s="7">
        <v>23170</v>
      </c>
      <c r="E297" s="7">
        <v>28760</v>
      </c>
      <c r="F297" s="7">
        <v>30590</v>
      </c>
      <c r="G297" s="7">
        <v>33320</v>
      </c>
      <c r="H297" s="7">
        <v>28370</v>
      </c>
      <c r="I297" s="7">
        <v>27830</v>
      </c>
      <c r="J297" s="7">
        <v>30010</v>
      </c>
      <c r="K297" s="7">
        <v>28960</v>
      </c>
      <c r="L297" s="3">
        <f t="shared" si="14"/>
        <v>283700</v>
      </c>
      <c r="M297" s="3">
        <v>283543.24538946158</v>
      </c>
      <c r="N297" s="3">
        <f t="shared" si="13"/>
        <v>283700</v>
      </c>
      <c r="O297">
        <v>24000</v>
      </c>
      <c r="P297">
        <v>30030</v>
      </c>
      <c r="Q297">
        <v>0</v>
      </c>
      <c r="R297" s="23" t="str">
        <f t="shared" si="15"/>
        <v>No</v>
      </c>
    </row>
    <row r="298" spans="1:18" x14ac:dyDescent="0.25">
      <c r="A298" s="1">
        <v>45922</v>
      </c>
      <c r="B298" s="7">
        <v>24900</v>
      </c>
      <c r="C298" s="7">
        <v>25650</v>
      </c>
      <c r="D298" s="7">
        <v>22290</v>
      </c>
      <c r="E298" s="7">
        <v>28290</v>
      </c>
      <c r="F298" s="7">
        <v>28230</v>
      </c>
      <c r="G298" s="7">
        <v>41310</v>
      </c>
      <c r="H298" s="7">
        <v>34330</v>
      </c>
      <c r="I298" s="7">
        <v>34760</v>
      </c>
      <c r="J298" s="7">
        <v>38620</v>
      </c>
      <c r="K298" s="7">
        <v>36100</v>
      </c>
      <c r="L298" s="3">
        <f t="shared" si="14"/>
        <v>314480</v>
      </c>
      <c r="M298" s="3">
        <v>362768.3902634593</v>
      </c>
      <c r="N298" s="3">
        <f t="shared" si="13"/>
        <v>362768.3902634593</v>
      </c>
      <c r="O298">
        <v>17817</v>
      </c>
      <c r="P298">
        <v>30030</v>
      </c>
      <c r="Q298" s="3">
        <v>36041</v>
      </c>
      <c r="R298" s="23" t="str">
        <f t="shared" si="15"/>
        <v>Yes</v>
      </c>
    </row>
    <row r="299" spans="1:18" x14ac:dyDescent="0.25">
      <c r="A299" s="1">
        <v>45923</v>
      </c>
      <c r="B299" s="7">
        <v>21180</v>
      </c>
      <c r="C299" s="7">
        <v>21160</v>
      </c>
      <c r="D299" s="7">
        <v>19570</v>
      </c>
      <c r="E299" s="7">
        <v>24840</v>
      </c>
      <c r="F299" s="7">
        <v>24900</v>
      </c>
      <c r="G299" s="7">
        <v>45370</v>
      </c>
      <c r="H299" s="7">
        <v>37320</v>
      </c>
      <c r="I299" s="7">
        <v>37980</v>
      </c>
      <c r="J299" s="7">
        <v>42300</v>
      </c>
      <c r="K299" s="7">
        <v>38970</v>
      </c>
      <c r="L299" s="3">
        <f t="shared" si="14"/>
        <v>313590</v>
      </c>
      <c r="M299" s="3">
        <v>385882.12179266894</v>
      </c>
      <c r="N299" s="3">
        <f t="shared" si="13"/>
        <v>385882.12179266894</v>
      </c>
      <c r="O299">
        <v>12000</v>
      </c>
      <c r="P299">
        <v>29804</v>
      </c>
      <c r="Q299" s="3">
        <v>61626</v>
      </c>
      <c r="R299" s="23" t="str">
        <f t="shared" si="15"/>
        <v>Yes</v>
      </c>
    </row>
    <row r="300" spans="1:18" ht="135" customHeight="1" x14ac:dyDescent="0.25">
      <c r="A300" s="1">
        <v>45924</v>
      </c>
      <c r="B300" s="7">
        <v>17350</v>
      </c>
      <c r="C300" s="7">
        <v>17010</v>
      </c>
      <c r="D300" s="7">
        <v>16110</v>
      </c>
      <c r="E300" s="7">
        <v>20160</v>
      </c>
      <c r="F300" s="7">
        <v>20580</v>
      </c>
      <c r="G300" s="7">
        <v>31150</v>
      </c>
      <c r="H300" s="7">
        <v>25740</v>
      </c>
      <c r="I300" s="7">
        <v>26390</v>
      </c>
      <c r="J300" s="7">
        <v>31450</v>
      </c>
      <c r="K300" s="7">
        <v>26700</v>
      </c>
      <c r="L300" s="3">
        <f t="shared" si="14"/>
        <v>232640</v>
      </c>
      <c r="M300" s="3">
        <v>306290.17150630016</v>
      </c>
      <c r="N300" s="3">
        <f t="shared" si="13"/>
        <v>306290.17150630016</v>
      </c>
      <c r="O300">
        <v>12000</v>
      </c>
      <c r="P300">
        <v>24000</v>
      </c>
      <c r="Q300" s="3">
        <v>85924</v>
      </c>
      <c r="R300" s="23" t="str">
        <f t="shared" si="15"/>
        <v>Yes</v>
      </c>
    </row>
    <row r="301" spans="1:18" ht="105.75" customHeight="1" x14ac:dyDescent="0.25">
      <c r="A301" s="1">
        <v>45925</v>
      </c>
      <c r="B301" s="7">
        <v>18490</v>
      </c>
      <c r="C301" s="7">
        <v>18290</v>
      </c>
      <c r="D301" s="7">
        <v>16780</v>
      </c>
      <c r="E301" s="7">
        <v>20930</v>
      </c>
      <c r="F301" s="7">
        <v>21300</v>
      </c>
      <c r="G301" s="7">
        <v>21760</v>
      </c>
      <c r="H301" s="7">
        <v>18330</v>
      </c>
      <c r="I301" s="7">
        <v>18590</v>
      </c>
      <c r="J301" s="7">
        <v>21060</v>
      </c>
      <c r="K301" s="7">
        <v>18730</v>
      </c>
      <c r="L301" s="3">
        <f t="shared" si="14"/>
        <v>194260</v>
      </c>
      <c r="M301" s="3">
        <v>201511.74799541812</v>
      </c>
      <c r="N301" s="3">
        <f t="shared" si="13"/>
        <v>201511.74799541812</v>
      </c>
      <c r="O301">
        <v>24000</v>
      </c>
      <c r="P301">
        <v>24000</v>
      </c>
      <c r="Q301" s="3">
        <v>8076</v>
      </c>
      <c r="R301" s="23" t="str">
        <f t="shared" si="15"/>
        <v>Yes</v>
      </c>
    </row>
    <row r="302" spans="1:18" ht="123" customHeight="1" x14ac:dyDescent="0.25">
      <c r="A302" s="1">
        <v>45926</v>
      </c>
      <c r="B302" s="7">
        <v>19650</v>
      </c>
      <c r="C302" s="7">
        <v>20270</v>
      </c>
      <c r="D302" s="7">
        <v>18610</v>
      </c>
      <c r="E302" s="7">
        <v>23460</v>
      </c>
      <c r="F302" s="7">
        <v>24810</v>
      </c>
      <c r="G302" s="7">
        <v>14380</v>
      </c>
      <c r="H302" s="7">
        <v>12150</v>
      </c>
      <c r="I302" s="7">
        <v>12450</v>
      </c>
      <c r="J302" s="7">
        <v>15350</v>
      </c>
      <c r="K302" s="7">
        <v>12830</v>
      </c>
      <c r="L302" s="3">
        <f t="shared" si="14"/>
        <v>173960</v>
      </c>
      <c r="M302" s="3">
        <v>246405.73613974801</v>
      </c>
      <c r="N302" s="3">
        <f t="shared" si="13"/>
        <v>246405.73613974801</v>
      </c>
      <c r="O302">
        <v>23000</v>
      </c>
      <c r="P302">
        <v>18067</v>
      </c>
      <c r="Q302" s="3">
        <v>57420</v>
      </c>
      <c r="R302" s="23" t="str">
        <f t="shared" si="15"/>
        <v>Yes</v>
      </c>
    </row>
    <row r="303" spans="1:18" x14ac:dyDescent="0.25">
      <c r="A303" s="1">
        <v>45927</v>
      </c>
      <c r="B303" s="7">
        <v>19750</v>
      </c>
      <c r="C303" s="7">
        <v>20300</v>
      </c>
      <c r="D303" s="7">
        <v>17790</v>
      </c>
      <c r="E303" s="7">
        <v>22770</v>
      </c>
      <c r="F303" s="7">
        <v>22900</v>
      </c>
      <c r="G303" s="7">
        <v>23420</v>
      </c>
      <c r="H303" s="7">
        <v>19440</v>
      </c>
      <c r="I303" s="7">
        <v>20540</v>
      </c>
      <c r="J303" s="7">
        <v>22530</v>
      </c>
      <c r="K303" s="7">
        <v>20920</v>
      </c>
      <c r="L303" s="3">
        <f t="shared" si="14"/>
        <v>210360</v>
      </c>
      <c r="M303" s="3">
        <v>216264.14599083623</v>
      </c>
      <c r="N303" s="3">
        <f t="shared" si="13"/>
        <v>216264.14599083623</v>
      </c>
      <c r="O303">
        <v>24000</v>
      </c>
      <c r="P303">
        <v>29821</v>
      </c>
      <c r="Q303">
        <v>36</v>
      </c>
      <c r="R303" s="23" t="str">
        <f t="shared" si="15"/>
        <v>Yes</v>
      </c>
    </row>
    <row r="304" spans="1:18" x14ac:dyDescent="0.25">
      <c r="A304" s="1">
        <v>45928</v>
      </c>
      <c r="B304" s="7">
        <v>26700</v>
      </c>
      <c r="C304" s="7">
        <v>26570</v>
      </c>
      <c r="D304" s="7">
        <v>23920</v>
      </c>
      <c r="E304" s="7">
        <v>30240</v>
      </c>
      <c r="F304" s="7">
        <v>30930</v>
      </c>
      <c r="G304" s="7">
        <v>32180</v>
      </c>
      <c r="H304" s="7">
        <v>27270</v>
      </c>
      <c r="I304" s="7">
        <v>27170</v>
      </c>
      <c r="J304" s="7">
        <v>29880</v>
      </c>
      <c r="K304" s="7">
        <v>27730</v>
      </c>
      <c r="L304" s="3">
        <f t="shared" si="14"/>
        <v>282590</v>
      </c>
      <c r="M304" s="3">
        <v>274710.63760022906</v>
      </c>
      <c r="N304" s="3">
        <f t="shared" si="13"/>
        <v>282590</v>
      </c>
      <c r="O304">
        <v>24000</v>
      </c>
      <c r="P304">
        <v>30030</v>
      </c>
      <c r="Q304">
        <v>0</v>
      </c>
      <c r="R304" s="23" t="str">
        <f t="shared" si="15"/>
        <v>No</v>
      </c>
    </row>
    <row r="305" spans="1:18" x14ac:dyDescent="0.25">
      <c r="A305" s="1">
        <v>45929</v>
      </c>
      <c r="B305" s="7">
        <v>29320</v>
      </c>
      <c r="C305" s="7">
        <v>29550</v>
      </c>
      <c r="D305" s="7">
        <v>25210</v>
      </c>
      <c r="E305" s="7">
        <v>31940</v>
      </c>
      <c r="F305" s="7">
        <v>31870</v>
      </c>
      <c r="G305" s="7">
        <v>25730</v>
      </c>
      <c r="H305" s="7">
        <v>21840</v>
      </c>
      <c r="I305" s="7">
        <v>21920</v>
      </c>
      <c r="J305" s="7">
        <v>24700</v>
      </c>
      <c r="K305" s="7">
        <v>22540</v>
      </c>
      <c r="L305" s="3">
        <f t="shared" si="14"/>
        <v>264620</v>
      </c>
      <c r="M305" s="3">
        <v>319830.36494845361</v>
      </c>
      <c r="N305" s="3">
        <f t="shared" si="13"/>
        <v>319830.36494845361</v>
      </c>
      <c r="O305">
        <v>24000</v>
      </c>
      <c r="P305">
        <v>23857</v>
      </c>
      <c r="Q305" s="3">
        <v>90850</v>
      </c>
      <c r="R305" s="23" t="str">
        <f t="shared" si="15"/>
        <v>Yes</v>
      </c>
    </row>
    <row r="306" spans="1:18" x14ac:dyDescent="0.25">
      <c r="A306" s="1">
        <v>45930</v>
      </c>
      <c r="B306" s="7">
        <v>22620</v>
      </c>
      <c r="C306" s="7">
        <v>22230</v>
      </c>
      <c r="D306" s="7">
        <v>19940</v>
      </c>
      <c r="E306" s="7">
        <v>24970</v>
      </c>
      <c r="F306" s="7">
        <v>25560</v>
      </c>
      <c r="G306" s="7">
        <v>24140</v>
      </c>
      <c r="H306" s="7">
        <v>22840</v>
      </c>
      <c r="I306" s="7">
        <v>23030</v>
      </c>
      <c r="J306" s="7">
        <v>27110</v>
      </c>
      <c r="K306" s="7">
        <v>23580</v>
      </c>
      <c r="L306" s="3">
        <f t="shared" si="14"/>
        <v>236020</v>
      </c>
      <c r="M306" s="3">
        <v>222274.09879725086</v>
      </c>
      <c r="N306" s="3">
        <f t="shared" si="13"/>
        <v>236020</v>
      </c>
      <c r="O306">
        <v>24000</v>
      </c>
      <c r="P306">
        <v>30030</v>
      </c>
      <c r="Q306">
        <v>0</v>
      </c>
      <c r="R306" s="23" t="str">
        <f t="shared" si="15"/>
        <v>No</v>
      </c>
    </row>
    <row r="307" spans="1:18" x14ac:dyDescent="0.25">
      <c r="A307" s="1">
        <v>45931</v>
      </c>
      <c r="B307" s="7">
        <v>30140</v>
      </c>
      <c r="C307" s="7">
        <v>29070</v>
      </c>
      <c r="D307" s="7">
        <v>25640</v>
      </c>
      <c r="E307" s="7">
        <v>31530</v>
      </c>
      <c r="F307" s="7">
        <v>33160</v>
      </c>
      <c r="G307" s="7">
        <v>38100</v>
      </c>
      <c r="H307" s="7">
        <v>32390</v>
      </c>
      <c r="I307" s="7">
        <v>32920</v>
      </c>
      <c r="J307" s="7">
        <v>38980</v>
      </c>
      <c r="K307" s="7">
        <v>33340</v>
      </c>
      <c r="L307" s="3">
        <f t="shared" si="14"/>
        <v>325270</v>
      </c>
      <c r="M307" s="3">
        <v>335121.82100896054</v>
      </c>
      <c r="N307" s="3">
        <f t="shared" si="13"/>
        <v>335121.82100896054</v>
      </c>
      <c r="O307">
        <v>24000</v>
      </c>
      <c r="P307">
        <v>30030</v>
      </c>
      <c r="Q307">
        <v>0</v>
      </c>
      <c r="R307" s="23" t="str">
        <f t="shared" si="15"/>
        <v>No</v>
      </c>
    </row>
    <row r="308" spans="1:18" x14ac:dyDescent="0.25">
      <c r="A308" s="1">
        <v>45932</v>
      </c>
      <c r="B308" s="7">
        <v>32040</v>
      </c>
      <c r="C308" s="7">
        <v>31180</v>
      </c>
      <c r="D308" s="7">
        <v>27240</v>
      </c>
      <c r="E308" s="7">
        <v>33940</v>
      </c>
      <c r="F308" s="7">
        <v>31130</v>
      </c>
      <c r="G308" s="7">
        <v>39360</v>
      </c>
      <c r="H308" s="7">
        <v>32670</v>
      </c>
      <c r="I308" s="7">
        <v>33110</v>
      </c>
      <c r="J308" s="7">
        <v>38100</v>
      </c>
      <c r="K308" s="7">
        <v>33590</v>
      </c>
      <c r="L308" s="3">
        <f t="shared" si="14"/>
        <v>332360</v>
      </c>
      <c r="M308" s="3">
        <v>353220.22926881717</v>
      </c>
      <c r="N308" s="3">
        <f t="shared" si="13"/>
        <v>353220.22926881717</v>
      </c>
      <c r="O308">
        <v>24000</v>
      </c>
      <c r="P308">
        <v>30030</v>
      </c>
      <c r="Q308">
        <v>0</v>
      </c>
      <c r="R308" s="23" t="str">
        <f t="shared" si="15"/>
        <v>No</v>
      </c>
    </row>
    <row r="309" spans="1:18" x14ac:dyDescent="0.25">
      <c r="A309" s="1">
        <v>45933</v>
      </c>
      <c r="B309" s="7">
        <v>26250</v>
      </c>
      <c r="C309" s="7">
        <v>25230</v>
      </c>
      <c r="D309" s="7">
        <v>22760</v>
      </c>
      <c r="E309" s="7">
        <v>27750</v>
      </c>
      <c r="F309" s="7">
        <v>29170</v>
      </c>
      <c r="G309" s="7">
        <v>32120</v>
      </c>
      <c r="H309" s="7">
        <v>27090</v>
      </c>
      <c r="I309" s="7">
        <v>27520</v>
      </c>
      <c r="J309" s="7">
        <v>33270</v>
      </c>
      <c r="K309" s="7">
        <v>27630</v>
      </c>
      <c r="L309" s="3">
        <f t="shared" si="14"/>
        <v>278790</v>
      </c>
      <c r="M309" s="3">
        <v>282429.36304659501</v>
      </c>
      <c r="N309" s="3">
        <f t="shared" si="13"/>
        <v>282429.36304659501</v>
      </c>
      <c r="O309">
        <v>24000</v>
      </c>
      <c r="P309">
        <v>30030</v>
      </c>
      <c r="Q309">
        <v>0</v>
      </c>
      <c r="R309" s="23" t="str">
        <f t="shared" si="15"/>
        <v>No</v>
      </c>
    </row>
    <row r="310" spans="1:18" x14ac:dyDescent="0.25">
      <c r="A310" s="1">
        <v>45934</v>
      </c>
      <c r="B310" s="7">
        <v>2830</v>
      </c>
      <c r="C310" s="7">
        <v>2770</v>
      </c>
      <c r="D310" s="7">
        <v>2500</v>
      </c>
      <c r="E310" s="7">
        <v>3150</v>
      </c>
      <c r="F310" s="7">
        <v>3240</v>
      </c>
      <c r="G310" s="7">
        <v>2650</v>
      </c>
      <c r="H310" s="7">
        <v>5530</v>
      </c>
      <c r="I310" s="7">
        <v>7970</v>
      </c>
      <c r="J310" s="7">
        <v>6490</v>
      </c>
      <c r="K310" s="7">
        <v>7620</v>
      </c>
      <c r="L310" s="3">
        <f t="shared" si="14"/>
        <v>44750</v>
      </c>
      <c r="M310" s="3">
        <v>93643.283372759863</v>
      </c>
      <c r="N310" s="3">
        <f t="shared" si="13"/>
        <v>93643.283372759863</v>
      </c>
      <c r="O310">
        <v>8500</v>
      </c>
      <c r="P310">
        <v>30030</v>
      </c>
      <c r="Q310" s="3">
        <v>31573</v>
      </c>
      <c r="R310" s="23" t="str">
        <f t="shared" si="15"/>
        <v>Yes</v>
      </c>
    </row>
    <row r="311" spans="1:18" x14ac:dyDescent="0.25">
      <c r="A311" s="1">
        <v>45935</v>
      </c>
      <c r="B311" s="7">
        <v>20260</v>
      </c>
      <c r="C311" s="7">
        <v>20280</v>
      </c>
      <c r="D311" s="7">
        <v>18010</v>
      </c>
      <c r="E311" s="7">
        <v>22860</v>
      </c>
      <c r="F311" s="7">
        <v>22960</v>
      </c>
      <c r="G311" s="7">
        <v>23960</v>
      </c>
      <c r="H311" s="7">
        <v>20450</v>
      </c>
      <c r="I311" s="7">
        <v>20020</v>
      </c>
      <c r="J311" s="7">
        <v>22380</v>
      </c>
      <c r="K311" s="7">
        <v>20600</v>
      </c>
      <c r="L311" s="3">
        <f t="shared" si="14"/>
        <v>211780</v>
      </c>
      <c r="M311" s="3">
        <v>197128.82735752687</v>
      </c>
      <c r="N311" s="3">
        <f t="shared" si="13"/>
        <v>211780</v>
      </c>
      <c r="O311">
        <v>24000</v>
      </c>
      <c r="P311">
        <v>30030</v>
      </c>
      <c r="Q311">
        <v>0</v>
      </c>
      <c r="R311" s="23" t="str">
        <f t="shared" si="15"/>
        <v>No</v>
      </c>
    </row>
    <row r="312" spans="1:18" x14ac:dyDescent="0.25">
      <c r="A312" s="1">
        <v>45936</v>
      </c>
      <c r="B312" s="7">
        <v>13330</v>
      </c>
      <c r="C312" s="7">
        <v>13080</v>
      </c>
      <c r="D312" s="7">
        <v>11740</v>
      </c>
      <c r="E312" s="7">
        <v>14780</v>
      </c>
      <c r="F312" s="7">
        <v>15090</v>
      </c>
      <c r="G312" s="7">
        <v>15040</v>
      </c>
      <c r="H312" s="7">
        <v>12800</v>
      </c>
      <c r="I312" s="7">
        <v>12930</v>
      </c>
      <c r="J312" s="7">
        <v>14990</v>
      </c>
      <c r="K312" s="7">
        <v>13170</v>
      </c>
      <c r="L312" s="3">
        <f t="shared" si="14"/>
        <v>136950</v>
      </c>
      <c r="M312" s="3">
        <v>125096.08331362007</v>
      </c>
      <c r="N312" s="3">
        <f t="shared" si="13"/>
        <v>136950</v>
      </c>
      <c r="O312">
        <v>24000</v>
      </c>
      <c r="P312">
        <v>30030</v>
      </c>
      <c r="Q312">
        <v>0</v>
      </c>
      <c r="R312" s="23" t="str">
        <f t="shared" si="15"/>
        <v>No</v>
      </c>
    </row>
    <row r="313" spans="1:18" x14ac:dyDescent="0.25">
      <c r="A313" s="1">
        <v>45937</v>
      </c>
      <c r="B313" s="7">
        <v>28070</v>
      </c>
      <c r="C313" s="7">
        <v>27620</v>
      </c>
      <c r="D313" s="7">
        <v>24600</v>
      </c>
      <c r="E313" s="7">
        <v>31190</v>
      </c>
      <c r="F313" s="7">
        <v>31440</v>
      </c>
      <c r="G313" s="7">
        <v>33500</v>
      </c>
      <c r="H313" s="7">
        <v>27430</v>
      </c>
      <c r="I313" s="7">
        <v>28420</v>
      </c>
      <c r="J313" s="7">
        <v>31630</v>
      </c>
      <c r="K313" s="7">
        <v>28970</v>
      </c>
      <c r="L313" s="3">
        <f t="shared" si="14"/>
        <v>292870</v>
      </c>
      <c r="M313" s="3">
        <v>327458.88360663078</v>
      </c>
      <c r="N313" s="3">
        <f t="shared" si="13"/>
        <v>327458.88360663078</v>
      </c>
      <c r="O313">
        <v>24000</v>
      </c>
      <c r="P313">
        <v>28654</v>
      </c>
      <c r="Q313">
        <v>0</v>
      </c>
      <c r="R313" s="23" t="str">
        <f t="shared" si="15"/>
        <v>Yes</v>
      </c>
    </row>
    <row r="314" spans="1:18" x14ac:dyDescent="0.25">
      <c r="A314" s="1">
        <v>45938</v>
      </c>
      <c r="B314" s="7">
        <v>26940</v>
      </c>
      <c r="C314" s="7">
        <v>26600</v>
      </c>
      <c r="D314" s="7">
        <v>23940</v>
      </c>
      <c r="E314" s="7">
        <v>30260</v>
      </c>
      <c r="F314" s="7">
        <v>30660</v>
      </c>
      <c r="G314" s="7">
        <v>33080</v>
      </c>
      <c r="H314" s="7">
        <v>27380</v>
      </c>
      <c r="I314" s="7">
        <v>28080</v>
      </c>
      <c r="J314" s="7">
        <v>33070</v>
      </c>
      <c r="K314" s="7">
        <v>28390</v>
      </c>
      <c r="L314" s="3">
        <f t="shared" si="14"/>
        <v>288400</v>
      </c>
      <c r="M314" s="3">
        <v>287966.26956899639</v>
      </c>
      <c r="N314" s="3">
        <f t="shared" si="13"/>
        <v>288400</v>
      </c>
      <c r="O314">
        <v>24000</v>
      </c>
      <c r="P314">
        <v>30030</v>
      </c>
      <c r="Q314">
        <v>0</v>
      </c>
      <c r="R314" s="23" t="str">
        <f t="shared" si="15"/>
        <v>No</v>
      </c>
    </row>
    <row r="315" spans="1:18" x14ac:dyDescent="0.25">
      <c r="A315" s="1">
        <v>45939</v>
      </c>
      <c r="B315" s="7">
        <v>26270</v>
      </c>
      <c r="C315" s="7">
        <v>25580</v>
      </c>
      <c r="D315" s="7">
        <v>23330</v>
      </c>
      <c r="E315" s="7">
        <v>29350</v>
      </c>
      <c r="F315" s="7">
        <v>30280</v>
      </c>
      <c r="G315" s="7">
        <v>35800</v>
      </c>
      <c r="H315" s="7">
        <v>31240</v>
      </c>
      <c r="I315" s="7">
        <v>30980</v>
      </c>
      <c r="J315" s="7">
        <v>37250</v>
      </c>
      <c r="K315" s="7">
        <v>32010</v>
      </c>
      <c r="L315" s="3">
        <f t="shared" si="14"/>
        <v>302090</v>
      </c>
      <c r="M315" s="3">
        <v>319171.42671505373</v>
      </c>
      <c r="N315" s="3">
        <f t="shared" si="13"/>
        <v>319171.42671505373</v>
      </c>
      <c r="O315">
        <v>19333</v>
      </c>
      <c r="P315">
        <v>30030</v>
      </c>
      <c r="Q315" s="3">
        <v>23378</v>
      </c>
      <c r="R315" s="23" t="str">
        <f t="shared" si="15"/>
        <v>Yes</v>
      </c>
    </row>
    <row r="316" spans="1:18" x14ac:dyDescent="0.25">
      <c r="A316" s="1">
        <v>45940</v>
      </c>
      <c r="B316" s="7">
        <v>29940</v>
      </c>
      <c r="C316" s="7">
        <v>31070</v>
      </c>
      <c r="D316" s="7">
        <v>26860</v>
      </c>
      <c r="E316" s="7">
        <v>34090</v>
      </c>
      <c r="F316" s="7">
        <v>34460</v>
      </c>
      <c r="G316" s="7">
        <v>38210</v>
      </c>
      <c r="H316" s="7">
        <v>32200</v>
      </c>
      <c r="I316" s="7">
        <v>32400</v>
      </c>
      <c r="J316" s="7">
        <v>37590</v>
      </c>
      <c r="K316" s="7">
        <v>32810</v>
      </c>
      <c r="L316" s="3">
        <f t="shared" si="14"/>
        <v>329630</v>
      </c>
      <c r="M316" s="3">
        <v>342142.58583781368</v>
      </c>
      <c r="N316" s="3">
        <f t="shared" si="13"/>
        <v>342142.58583781368</v>
      </c>
      <c r="O316">
        <v>22167</v>
      </c>
      <c r="P316">
        <v>30030</v>
      </c>
      <c r="Q316" s="3">
        <v>3128</v>
      </c>
      <c r="R316" s="23" t="str">
        <f t="shared" si="15"/>
        <v>Yes</v>
      </c>
    </row>
    <row r="317" spans="1:18" x14ac:dyDescent="0.25">
      <c r="A317" s="1">
        <v>45941</v>
      </c>
      <c r="B317" s="7">
        <v>29730</v>
      </c>
      <c r="C317" s="7">
        <v>29350</v>
      </c>
      <c r="D317" s="7">
        <v>27220</v>
      </c>
      <c r="E317" s="7">
        <v>34180</v>
      </c>
      <c r="F317" s="7">
        <v>35040</v>
      </c>
      <c r="G317" s="7">
        <v>37970</v>
      </c>
      <c r="H317" s="7">
        <v>32090</v>
      </c>
      <c r="I317" s="7">
        <v>31980</v>
      </c>
      <c r="J317" s="7">
        <v>37720</v>
      </c>
      <c r="K317" s="7">
        <v>32280</v>
      </c>
      <c r="L317" s="3">
        <f t="shared" si="14"/>
        <v>327560</v>
      </c>
      <c r="M317" s="3">
        <v>340413.41627598566</v>
      </c>
      <c r="N317" s="3">
        <f t="shared" si="13"/>
        <v>340413.41627598566</v>
      </c>
      <c r="O317">
        <v>24000</v>
      </c>
      <c r="P317">
        <v>30030</v>
      </c>
      <c r="Q317">
        <v>0</v>
      </c>
      <c r="R317" s="23" t="str">
        <f t="shared" si="15"/>
        <v>No</v>
      </c>
    </row>
    <row r="318" spans="1:18" x14ac:dyDescent="0.25">
      <c r="A318" s="1">
        <v>45942</v>
      </c>
      <c r="B318" s="7">
        <v>11350</v>
      </c>
      <c r="C318" s="7">
        <v>11140</v>
      </c>
      <c r="D318" s="7">
        <v>10010</v>
      </c>
      <c r="E318" s="7">
        <v>12590</v>
      </c>
      <c r="F318" s="7">
        <v>12960</v>
      </c>
      <c r="G318" s="7">
        <v>11310</v>
      </c>
      <c r="H318" s="7">
        <v>9530</v>
      </c>
      <c r="I318" s="7">
        <v>9520</v>
      </c>
      <c r="J318" s="7">
        <v>11200</v>
      </c>
      <c r="K318" s="7">
        <v>9770</v>
      </c>
      <c r="L318" s="3">
        <f t="shared" si="14"/>
        <v>109380</v>
      </c>
      <c r="M318" s="3">
        <v>100592.60317204299</v>
      </c>
      <c r="N318" s="3">
        <f t="shared" si="13"/>
        <v>109380</v>
      </c>
      <c r="O318">
        <v>24000</v>
      </c>
      <c r="P318">
        <v>26902</v>
      </c>
      <c r="Q318" s="3">
        <v>10973</v>
      </c>
      <c r="R318" s="23" t="str">
        <f t="shared" si="15"/>
        <v>Yes</v>
      </c>
    </row>
    <row r="319" spans="1:18" x14ac:dyDescent="0.25">
      <c r="A319" s="1">
        <v>45943</v>
      </c>
      <c r="B319" s="7">
        <v>31600</v>
      </c>
      <c r="C319" s="7">
        <v>30520</v>
      </c>
      <c r="D319" s="7">
        <v>27730</v>
      </c>
      <c r="E319" s="7">
        <v>34710</v>
      </c>
      <c r="F319" s="7">
        <v>35540</v>
      </c>
      <c r="G319" s="7">
        <v>39870</v>
      </c>
      <c r="H319" s="7">
        <v>33980</v>
      </c>
      <c r="I319" s="7">
        <v>34130</v>
      </c>
      <c r="J319" s="7">
        <v>40120</v>
      </c>
      <c r="K319" s="7">
        <v>35030</v>
      </c>
      <c r="L319" s="3">
        <f t="shared" si="14"/>
        <v>343230</v>
      </c>
      <c r="M319" s="3">
        <v>365907.46759677411</v>
      </c>
      <c r="N319" s="3">
        <f t="shared" si="13"/>
        <v>365907.46759677411</v>
      </c>
      <c r="O319">
        <v>24000</v>
      </c>
      <c r="P319">
        <v>30030</v>
      </c>
      <c r="Q319">
        <v>0</v>
      </c>
      <c r="R319" s="23" t="str">
        <f t="shared" si="15"/>
        <v>No</v>
      </c>
    </row>
    <row r="320" spans="1:18" x14ac:dyDescent="0.25">
      <c r="A320" s="1">
        <v>45944</v>
      </c>
      <c r="B320" s="7">
        <v>19250</v>
      </c>
      <c r="C320" s="7">
        <v>18820</v>
      </c>
      <c r="D320" s="7">
        <v>16870</v>
      </c>
      <c r="E320" s="7">
        <v>21110</v>
      </c>
      <c r="F320" s="7">
        <v>21710</v>
      </c>
      <c r="G320" s="7">
        <v>22220</v>
      </c>
      <c r="H320" s="7">
        <v>18800</v>
      </c>
      <c r="I320" s="7">
        <v>18540</v>
      </c>
      <c r="J320" s="7">
        <v>21730</v>
      </c>
      <c r="K320" s="7">
        <v>18680</v>
      </c>
      <c r="L320" s="3">
        <f t="shared" si="14"/>
        <v>197730</v>
      </c>
      <c r="M320" s="3">
        <v>189368.29837634409</v>
      </c>
      <c r="N320" s="3">
        <f t="shared" si="13"/>
        <v>197730</v>
      </c>
      <c r="O320">
        <v>24000</v>
      </c>
      <c r="P320">
        <v>30030</v>
      </c>
      <c r="Q320">
        <v>0</v>
      </c>
      <c r="R320" s="23" t="str">
        <f t="shared" si="15"/>
        <v>No</v>
      </c>
    </row>
    <row r="321" spans="1:18" x14ac:dyDescent="0.25">
      <c r="A321" s="1">
        <v>45945</v>
      </c>
      <c r="B321" s="7">
        <v>28170</v>
      </c>
      <c r="C321" s="7">
        <v>27600</v>
      </c>
      <c r="D321" s="7">
        <v>25000</v>
      </c>
      <c r="E321" s="7">
        <v>30820</v>
      </c>
      <c r="F321" s="7">
        <v>32600</v>
      </c>
      <c r="G321" s="7">
        <v>35020</v>
      </c>
      <c r="H321" s="7">
        <v>30490</v>
      </c>
      <c r="I321" s="7">
        <v>30600</v>
      </c>
      <c r="J321" s="7">
        <v>30490</v>
      </c>
      <c r="K321" s="7">
        <v>30100</v>
      </c>
      <c r="L321" s="3">
        <f t="shared" si="14"/>
        <v>300890</v>
      </c>
      <c r="M321" s="3">
        <v>323052.94024462363</v>
      </c>
      <c r="N321" s="3">
        <f t="shared" si="13"/>
        <v>323052.94024462363</v>
      </c>
      <c r="O321">
        <v>24000</v>
      </c>
      <c r="P321">
        <v>30030</v>
      </c>
      <c r="Q321">
        <v>0</v>
      </c>
      <c r="R321" s="23" t="str">
        <f t="shared" si="15"/>
        <v>No</v>
      </c>
    </row>
    <row r="322" spans="1:18" x14ac:dyDescent="0.25">
      <c r="A322" s="1">
        <v>45946</v>
      </c>
      <c r="B322" s="7">
        <v>20790</v>
      </c>
      <c r="C322" s="7">
        <v>20480</v>
      </c>
      <c r="D322" s="7">
        <v>17980</v>
      </c>
      <c r="E322" s="7">
        <v>22820</v>
      </c>
      <c r="F322" s="7">
        <v>22880</v>
      </c>
      <c r="G322" s="7">
        <v>25070</v>
      </c>
      <c r="H322" s="7">
        <v>20600</v>
      </c>
      <c r="I322" s="7">
        <v>20810</v>
      </c>
      <c r="J322" s="7">
        <v>25280</v>
      </c>
      <c r="K322" s="7">
        <v>21260</v>
      </c>
      <c r="L322" s="3">
        <f t="shared" si="14"/>
        <v>217970</v>
      </c>
      <c r="M322" s="3">
        <v>222992.26113888886</v>
      </c>
      <c r="N322" s="3">
        <f t="shared" si="13"/>
        <v>222992.26113888886</v>
      </c>
      <c r="O322">
        <v>24000</v>
      </c>
      <c r="P322">
        <v>30030</v>
      </c>
      <c r="Q322">
        <v>0</v>
      </c>
      <c r="R322" s="23" t="str">
        <f t="shared" si="15"/>
        <v>No</v>
      </c>
    </row>
    <row r="323" spans="1:18" x14ac:dyDescent="0.25">
      <c r="A323" s="1">
        <v>45947</v>
      </c>
      <c r="B323" s="7">
        <v>31320</v>
      </c>
      <c r="C323" s="7">
        <v>31230</v>
      </c>
      <c r="D323" s="7">
        <v>27790</v>
      </c>
      <c r="E323" s="7">
        <v>35300</v>
      </c>
      <c r="F323" s="7">
        <v>35440</v>
      </c>
      <c r="G323" s="7">
        <v>37670</v>
      </c>
      <c r="H323" s="7">
        <v>31870</v>
      </c>
      <c r="I323" s="7">
        <v>31680</v>
      </c>
      <c r="J323" s="7">
        <v>36370</v>
      </c>
      <c r="K323" s="7">
        <v>32560</v>
      </c>
      <c r="L323" s="3">
        <f t="shared" si="14"/>
        <v>331230</v>
      </c>
      <c r="M323" s="3">
        <v>335026.22789247311</v>
      </c>
      <c r="N323" s="3">
        <f t="shared" ref="N323:N386" si="16">IF(OR(O323&lt;24300,P323&lt;25700),MAX(L323,M323),L323)</f>
        <v>335026.22789247311</v>
      </c>
      <c r="O323">
        <v>24000</v>
      </c>
      <c r="P323">
        <v>30030</v>
      </c>
      <c r="Q323">
        <v>0</v>
      </c>
      <c r="R323" s="23" t="str">
        <f t="shared" si="15"/>
        <v>No</v>
      </c>
    </row>
    <row r="324" spans="1:18" x14ac:dyDescent="0.25">
      <c r="A324" s="1">
        <v>45948</v>
      </c>
      <c r="B324" s="7">
        <v>25260</v>
      </c>
      <c r="C324" s="7">
        <v>24470</v>
      </c>
      <c r="D324" s="7">
        <v>22440</v>
      </c>
      <c r="E324" s="7">
        <v>27730</v>
      </c>
      <c r="F324" s="7">
        <v>28400</v>
      </c>
      <c r="G324" s="7">
        <v>32100</v>
      </c>
      <c r="H324" s="7">
        <v>26740</v>
      </c>
      <c r="I324" s="7">
        <v>27340</v>
      </c>
      <c r="J324" s="7">
        <v>32090</v>
      </c>
      <c r="K324" s="7">
        <v>27130</v>
      </c>
      <c r="L324" s="3">
        <f t="shared" ref="L324:L387" si="17">SUM(B324:K324)</f>
        <v>273700</v>
      </c>
      <c r="M324" s="3">
        <v>289771.04762365588</v>
      </c>
      <c r="N324" s="3">
        <f t="shared" si="16"/>
        <v>289771.04762365588</v>
      </c>
      <c r="O324">
        <v>24000</v>
      </c>
      <c r="P324">
        <v>30030</v>
      </c>
      <c r="Q324">
        <v>0</v>
      </c>
      <c r="R324" s="23" t="str">
        <f t="shared" si="15"/>
        <v>No</v>
      </c>
    </row>
    <row r="325" spans="1:18" x14ac:dyDescent="0.25">
      <c r="A325" s="1">
        <v>45949</v>
      </c>
      <c r="B325" s="7">
        <v>18190</v>
      </c>
      <c r="C325" s="7">
        <v>17120</v>
      </c>
      <c r="D325" s="7">
        <v>15970</v>
      </c>
      <c r="E325" s="7">
        <v>19870</v>
      </c>
      <c r="F325" s="7">
        <v>20890</v>
      </c>
      <c r="G325" s="7">
        <v>22110</v>
      </c>
      <c r="H325" s="7">
        <v>18910</v>
      </c>
      <c r="I325" s="7">
        <v>18880</v>
      </c>
      <c r="J325" s="7">
        <v>22220</v>
      </c>
      <c r="K325" s="7">
        <v>18970</v>
      </c>
      <c r="L325" s="3">
        <f t="shared" si="17"/>
        <v>193130</v>
      </c>
      <c r="M325" s="3">
        <v>189241.22947759851</v>
      </c>
      <c r="N325" s="3">
        <f t="shared" si="16"/>
        <v>193130</v>
      </c>
      <c r="O325">
        <v>24000</v>
      </c>
      <c r="P325">
        <v>30030</v>
      </c>
      <c r="Q325">
        <v>0</v>
      </c>
      <c r="R325" s="23" t="str">
        <f t="shared" si="15"/>
        <v>No</v>
      </c>
    </row>
    <row r="326" spans="1:18" x14ac:dyDescent="0.25">
      <c r="A326" s="1">
        <v>45950</v>
      </c>
      <c r="B326" s="7">
        <v>25240</v>
      </c>
      <c r="C326" s="7">
        <v>23900</v>
      </c>
      <c r="D326" s="7">
        <v>22240</v>
      </c>
      <c r="E326" s="7">
        <v>27830</v>
      </c>
      <c r="F326" s="7">
        <v>25870</v>
      </c>
      <c r="G326" s="7">
        <v>29020</v>
      </c>
      <c r="H326" s="7">
        <v>24690</v>
      </c>
      <c r="I326" s="7">
        <v>24620</v>
      </c>
      <c r="J326" s="7">
        <v>28174</v>
      </c>
      <c r="K326" s="7">
        <v>24744</v>
      </c>
      <c r="L326" s="3">
        <f t="shared" si="17"/>
        <v>256328</v>
      </c>
      <c r="M326" s="3">
        <v>250241.12895519711</v>
      </c>
      <c r="N326" s="3">
        <f t="shared" si="16"/>
        <v>256328</v>
      </c>
      <c r="O326">
        <v>24000</v>
      </c>
      <c r="P326">
        <v>30030</v>
      </c>
      <c r="Q326">
        <v>0</v>
      </c>
      <c r="R326" s="23" t="str">
        <f t="shared" si="15"/>
        <v>No</v>
      </c>
    </row>
    <row r="327" spans="1:18" x14ac:dyDescent="0.25">
      <c r="A327" s="1">
        <v>45951</v>
      </c>
      <c r="B327" s="7">
        <v>14580</v>
      </c>
      <c r="C327" s="7">
        <v>14370</v>
      </c>
      <c r="D327" s="7">
        <v>12720</v>
      </c>
      <c r="E327" s="7">
        <v>16030</v>
      </c>
      <c r="F327" s="7">
        <v>16270</v>
      </c>
      <c r="G327" s="7">
        <v>19600</v>
      </c>
      <c r="H327" s="7">
        <v>16800</v>
      </c>
      <c r="I327" s="7">
        <v>16580</v>
      </c>
      <c r="J327" s="7">
        <v>18840</v>
      </c>
      <c r="K327" s="7">
        <v>16810</v>
      </c>
      <c r="L327" s="3">
        <f t="shared" si="17"/>
        <v>162600</v>
      </c>
      <c r="M327" s="3">
        <v>160985.63624462366</v>
      </c>
      <c r="N327" s="3">
        <f t="shared" si="16"/>
        <v>162600</v>
      </c>
      <c r="O327">
        <v>18733</v>
      </c>
      <c r="P327">
        <v>30030</v>
      </c>
      <c r="Q327" s="3">
        <v>20377</v>
      </c>
      <c r="R327" s="23" t="str">
        <f t="shared" si="15"/>
        <v>Yes</v>
      </c>
    </row>
    <row r="328" spans="1:18" x14ac:dyDescent="0.25">
      <c r="A328" s="1">
        <v>45952</v>
      </c>
      <c r="B328" s="7">
        <v>16180</v>
      </c>
      <c r="C328" s="7">
        <v>16150</v>
      </c>
      <c r="D328" s="7">
        <v>13780</v>
      </c>
      <c r="E328" s="7">
        <v>17450</v>
      </c>
      <c r="F328" s="7">
        <v>17220</v>
      </c>
      <c r="G328" s="7">
        <v>21190</v>
      </c>
      <c r="H328" s="7">
        <v>17550</v>
      </c>
      <c r="I328" s="7">
        <v>17720</v>
      </c>
      <c r="J328" s="7">
        <v>20170</v>
      </c>
      <c r="K328" s="7">
        <v>17620</v>
      </c>
      <c r="L328" s="3">
        <f t="shared" si="17"/>
        <v>175030</v>
      </c>
      <c r="M328" s="3">
        <v>191341.28034677418</v>
      </c>
      <c r="N328" s="3">
        <f t="shared" si="16"/>
        <v>191341.28034677418</v>
      </c>
      <c r="O328">
        <v>22533</v>
      </c>
      <c r="P328">
        <v>28637</v>
      </c>
      <c r="Q328" s="3">
        <v>20345</v>
      </c>
      <c r="R328" s="23" t="str">
        <f t="shared" si="15"/>
        <v>Yes</v>
      </c>
    </row>
    <row r="329" spans="1:18" x14ac:dyDescent="0.25">
      <c r="A329" s="1">
        <v>45953</v>
      </c>
      <c r="B329" s="7">
        <v>22010</v>
      </c>
      <c r="C329" s="7">
        <v>21690</v>
      </c>
      <c r="D329" s="7">
        <v>19340</v>
      </c>
      <c r="E329" s="7">
        <v>24320</v>
      </c>
      <c r="F329" s="7">
        <v>24710</v>
      </c>
      <c r="G329" s="7">
        <v>25430</v>
      </c>
      <c r="H329" s="7">
        <v>21570</v>
      </c>
      <c r="I329" s="7">
        <v>21630</v>
      </c>
      <c r="J329" s="7">
        <v>24940</v>
      </c>
      <c r="K329" s="7">
        <v>21750</v>
      </c>
      <c r="L329" s="3">
        <f t="shared" si="17"/>
        <v>227390</v>
      </c>
      <c r="M329" s="3">
        <v>218092.03141845879</v>
      </c>
      <c r="N329" s="3">
        <f t="shared" si="16"/>
        <v>227390</v>
      </c>
      <c r="O329">
        <v>24000</v>
      </c>
      <c r="P329">
        <v>30030</v>
      </c>
      <c r="Q329">
        <v>0</v>
      </c>
      <c r="R329" s="23" t="str">
        <f t="shared" si="15"/>
        <v>No</v>
      </c>
    </row>
    <row r="330" spans="1:18" x14ac:dyDescent="0.25">
      <c r="A330" s="1">
        <v>45954</v>
      </c>
      <c r="B330" s="7">
        <v>16490</v>
      </c>
      <c r="C330" s="7">
        <v>16030</v>
      </c>
      <c r="D330" s="7">
        <v>14660</v>
      </c>
      <c r="E330" s="7">
        <v>18580</v>
      </c>
      <c r="F330" s="7">
        <v>18960</v>
      </c>
      <c r="G330" s="7">
        <v>19250</v>
      </c>
      <c r="H330" s="7">
        <v>16370</v>
      </c>
      <c r="I330" s="7">
        <v>16330</v>
      </c>
      <c r="J330" s="7">
        <v>18780</v>
      </c>
      <c r="K330" s="7">
        <v>16660</v>
      </c>
      <c r="L330" s="3">
        <f t="shared" si="17"/>
        <v>172110</v>
      </c>
      <c r="M330" s="3">
        <v>157223.36430286738</v>
      </c>
      <c r="N330" s="3">
        <f t="shared" si="16"/>
        <v>172110</v>
      </c>
      <c r="O330">
        <v>24000</v>
      </c>
      <c r="P330">
        <v>30030</v>
      </c>
      <c r="Q330">
        <v>0</v>
      </c>
      <c r="R330" s="23" t="str">
        <f t="shared" si="15"/>
        <v>No</v>
      </c>
    </row>
    <row r="331" spans="1:18" x14ac:dyDescent="0.25">
      <c r="A331" s="1">
        <v>45955</v>
      </c>
      <c r="B331" s="7">
        <v>23150</v>
      </c>
      <c r="C331" s="7">
        <v>23510</v>
      </c>
      <c r="D331" s="7">
        <v>20830</v>
      </c>
      <c r="E331" s="7">
        <v>27160</v>
      </c>
      <c r="F331" s="7">
        <v>26900</v>
      </c>
      <c r="G331" s="7">
        <v>30330</v>
      </c>
      <c r="H331" s="7">
        <v>25370</v>
      </c>
      <c r="I331" s="7">
        <v>25840</v>
      </c>
      <c r="J331" s="7">
        <v>29210</v>
      </c>
      <c r="K331" s="7">
        <v>26670</v>
      </c>
      <c r="L331" s="3">
        <f t="shared" si="17"/>
        <v>258970</v>
      </c>
      <c r="M331" s="3">
        <v>271473.45928136201</v>
      </c>
      <c r="N331" s="3">
        <f t="shared" si="16"/>
        <v>271473.45928136201</v>
      </c>
      <c r="O331">
        <v>24000</v>
      </c>
      <c r="P331">
        <v>30030</v>
      </c>
      <c r="Q331">
        <v>0</v>
      </c>
      <c r="R331" s="23" t="str">
        <f t="shared" si="15"/>
        <v>No</v>
      </c>
    </row>
    <row r="332" spans="1:18" x14ac:dyDescent="0.25">
      <c r="A332" s="1">
        <v>45956</v>
      </c>
      <c r="B332" s="7">
        <v>8760</v>
      </c>
      <c r="C332" s="7">
        <v>8690</v>
      </c>
      <c r="D332" s="7">
        <v>7750</v>
      </c>
      <c r="E332" s="7">
        <v>9830</v>
      </c>
      <c r="F332" s="7">
        <v>10010</v>
      </c>
      <c r="G332" s="7">
        <v>10440</v>
      </c>
      <c r="H332" s="7">
        <v>8640</v>
      </c>
      <c r="I332" s="7">
        <v>8590</v>
      </c>
      <c r="J332" s="7">
        <v>9970</v>
      </c>
      <c r="K332" s="7">
        <v>8740</v>
      </c>
      <c r="L332" s="3">
        <f t="shared" si="17"/>
        <v>91420</v>
      </c>
      <c r="M332" s="3">
        <v>78025.799601254475</v>
      </c>
      <c r="N332" s="3">
        <f t="shared" si="16"/>
        <v>91420</v>
      </c>
      <c r="O332">
        <v>24000</v>
      </c>
      <c r="P332">
        <v>30030</v>
      </c>
      <c r="Q332">
        <v>0</v>
      </c>
      <c r="R332" s="23" t="str">
        <f t="shared" si="15"/>
        <v>No</v>
      </c>
    </row>
    <row r="333" spans="1:18" x14ac:dyDescent="0.25">
      <c r="A333" s="1">
        <v>45957</v>
      </c>
      <c r="B333" s="7">
        <v>27310</v>
      </c>
      <c r="C333" s="7">
        <v>27150</v>
      </c>
      <c r="D333" s="7">
        <v>24060</v>
      </c>
      <c r="E333" s="7">
        <v>30380</v>
      </c>
      <c r="F333" s="7">
        <v>31020</v>
      </c>
      <c r="G333" s="7">
        <v>33840</v>
      </c>
      <c r="H333" s="7">
        <v>28410</v>
      </c>
      <c r="I333" s="7">
        <v>28590</v>
      </c>
      <c r="J333" s="7">
        <v>33600</v>
      </c>
      <c r="K333" s="7">
        <v>29050</v>
      </c>
      <c r="L333" s="3">
        <f t="shared" si="17"/>
        <v>293410</v>
      </c>
      <c r="M333" s="3">
        <v>297183.51107616496</v>
      </c>
      <c r="N333" s="3">
        <f t="shared" si="16"/>
        <v>297183.51107616496</v>
      </c>
      <c r="O333">
        <v>24000</v>
      </c>
      <c r="P333">
        <v>30030</v>
      </c>
      <c r="Q333">
        <v>0</v>
      </c>
      <c r="R333" s="23" t="str">
        <f t="shared" si="15"/>
        <v>No</v>
      </c>
    </row>
    <row r="334" spans="1:18" x14ac:dyDescent="0.25">
      <c r="A334" s="1">
        <v>45958</v>
      </c>
      <c r="B334" s="7">
        <v>13870</v>
      </c>
      <c r="C334" s="7">
        <v>13510</v>
      </c>
      <c r="D334" s="7">
        <v>12180</v>
      </c>
      <c r="E334" s="7">
        <v>15270</v>
      </c>
      <c r="F334" s="7">
        <v>15740</v>
      </c>
      <c r="G334" s="7">
        <v>16940</v>
      </c>
      <c r="H334" s="7">
        <v>13900</v>
      </c>
      <c r="I334" s="7">
        <v>14100</v>
      </c>
      <c r="J334" s="7">
        <v>16650</v>
      </c>
      <c r="K334" s="7">
        <v>14080</v>
      </c>
      <c r="L334" s="3">
        <f t="shared" si="17"/>
        <v>146240</v>
      </c>
      <c r="M334" s="3">
        <v>141408.69891129032</v>
      </c>
      <c r="N334" s="3">
        <f t="shared" si="16"/>
        <v>146240</v>
      </c>
      <c r="O334">
        <v>24000</v>
      </c>
      <c r="P334">
        <v>30030</v>
      </c>
      <c r="Q334">
        <v>0</v>
      </c>
      <c r="R334" s="23" t="str">
        <f t="shared" si="15"/>
        <v>No</v>
      </c>
    </row>
    <row r="335" spans="1:18" x14ac:dyDescent="0.25">
      <c r="A335" s="1">
        <v>45959</v>
      </c>
      <c r="B335" s="7">
        <v>26990</v>
      </c>
      <c r="C335" s="7">
        <v>26430</v>
      </c>
      <c r="D335" s="7">
        <v>23900</v>
      </c>
      <c r="E335" s="7">
        <v>29550</v>
      </c>
      <c r="F335" s="7">
        <v>30360</v>
      </c>
      <c r="G335" s="7">
        <v>32530</v>
      </c>
      <c r="H335" s="7">
        <v>27050</v>
      </c>
      <c r="I335" s="7">
        <v>27480</v>
      </c>
      <c r="J335" s="7">
        <v>32290</v>
      </c>
      <c r="K335" s="7">
        <v>27180</v>
      </c>
      <c r="L335" s="3">
        <f t="shared" si="17"/>
        <v>283760</v>
      </c>
      <c r="M335" s="3">
        <v>277460.68599014333</v>
      </c>
      <c r="N335" s="3">
        <f t="shared" si="16"/>
        <v>283760</v>
      </c>
      <c r="O335">
        <v>24000</v>
      </c>
      <c r="P335">
        <v>30030</v>
      </c>
      <c r="Q335">
        <v>0</v>
      </c>
      <c r="R335" s="23" t="str">
        <f t="shared" si="15"/>
        <v>No</v>
      </c>
    </row>
    <row r="336" spans="1:18" x14ac:dyDescent="0.25">
      <c r="A336" s="1">
        <v>45960</v>
      </c>
      <c r="B336" s="7">
        <v>26670</v>
      </c>
      <c r="C336" s="7">
        <v>26570</v>
      </c>
      <c r="D336" s="7">
        <v>23580</v>
      </c>
      <c r="E336" s="7">
        <v>28690</v>
      </c>
      <c r="F336" s="7">
        <v>29250</v>
      </c>
      <c r="G336" s="7">
        <v>32650</v>
      </c>
      <c r="H336" s="7">
        <v>27730</v>
      </c>
      <c r="I336" s="7">
        <v>27380</v>
      </c>
      <c r="J336" s="7">
        <v>31660</v>
      </c>
      <c r="K336" s="7">
        <v>27700</v>
      </c>
      <c r="L336" s="3">
        <f t="shared" si="17"/>
        <v>281880</v>
      </c>
      <c r="M336" s="3">
        <v>283215.09183333325</v>
      </c>
      <c r="N336" s="3">
        <f t="shared" si="16"/>
        <v>283215.09183333325</v>
      </c>
      <c r="O336">
        <v>24000</v>
      </c>
      <c r="P336">
        <v>30030</v>
      </c>
      <c r="Q336">
        <v>0</v>
      </c>
      <c r="R336" s="23" t="str">
        <f t="shared" si="15"/>
        <v>No</v>
      </c>
    </row>
    <row r="337" spans="1:18" x14ac:dyDescent="0.25">
      <c r="A337" s="1">
        <v>45961</v>
      </c>
      <c r="B337" s="7">
        <v>10510</v>
      </c>
      <c r="C337" s="7">
        <v>10380</v>
      </c>
      <c r="D337" s="7">
        <v>9410</v>
      </c>
      <c r="E337" s="7">
        <v>11900</v>
      </c>
      <c r="F337" s="7">
        <v>12120</v>
      </c>
      <c r="G337" s="7">
        <v>12600</v>
      </c>
      <c r="H337" s="7">
        <v>10520</v>
      </c>
      <c r="I337" s="7">
        <v>10390</v>
      </c>
      <c r="J337" s="7">
        <v>11690</v>
      </c>
      <c r="K337" s="7">
        <v>10480</v>
      </c>
      <c r="L337" s="3">
        <f t="shared" si="17"/>
        <v>110000</v>
      </c>
      <c r="M337" s="3">
        <v>94131.74088261649</v>
      </c>
      <c r="N337" s="3">
        <f t="shared" si="16"/>
        <v>110000</v>
      </c>
      <c r="O337">
        <v>24000</v>
      </c>
      <c r="P337">
        <v>30030</v>
      </c>
      <c r="Q337">
        <v>0</v>
      </c>
      <c r="R337" s="23" t="str">
        <f t="shared" si="15"/>
        <v>No</v>
      </c>
    </row>
    <row r="338" spans="1:18" x14ac:dyDescent="0.25">
      <c r="A338" s="1">
        <v>45962</v>
      </c>
      <c r="B338" s="7">
        <v>29960</v>
      </c>
      <c r="C338" s="7">
        <v>29480</v>
      </c>
      <c r="D338" s="7">
        <v>25130</v>
      </c>
      <c r="E338" s="7">
        <v>29440</v>
      </c>
      <c r="F338" s="7">
        <v>30740</v>
      </c>
      <c r="G338" s="7">
        <v>36440</v>
      </c>
      <c r="H338" s="7">
        <v>30320</v>
      </c>
      <c r="I338" s="7">
        <v>31330</v>
      </c>
      <c r="J338" s="7">
        <v>37070</v>
      </c>
      <c r="K338" s="7">
        <v>31020</v>
      </c>
      <c r="L338" s="3">
        <f t="shared" si="17"/>
        <v>310930</v>
      </c>
      <c r="M338" s="3">
        <v>322574.67137295828</v>
      </c>
      <c r="N338" s="3">
        <f t="shared" si="16"/>
        <v>322574.67137295828</v>
      </c>
      <c r="O338">
        <v>24000</v>
      </c>
      <c r="P338">
        <v>30030</v>
      </c>
      <c r="Q338">
        <v>0</v>
      </c>
      <c r="R338" s="23" t="str">
        <f t="shared" si="15"/>
        <v>No</v>
      </c>
    </row>
    <row r="339" spans="1:18" x14ac:dyDescent="0.25">
      <c r="A339" s="1">
        <v>45963</v>
      </c>
      <c r="B339" s="7">
        <v>22140</v>
      </c>
      <c r="C339" s="7">
        <v>21910</v>
      </c>
      <c r="D339" s="7">
        <v>18970</v>
      </c>
      <c r="E339" s="7">
        <v>24250</v>
      </c>
      <c r="F339" s="7">
        <v>24550</v>
      </c>
      <c r="G339" s="7">
        <v>34450</v>
      </c>
      <c r="H339" s="7">
        <v>28830</v>
      </c>
      <c r="I339" s="7">
        <v>29160</v>
      </c>
      <c r="J339" s="7">
        <v>33820</v>
      </c>
      <c r="K339" s="7">
        <v>29500</v>
      </c>
      <c r="L339" s="3">
        <f t="shared" si="17"/>
        <v>267580</v>
      </c>
      <c r="M339" s="3">
        <v>298380.84323221358</v>
      </c>
      <c r="N339" s="3">
        <f t="shared" si="16"/>
        <v>298380.84323221358</v>
      </c>
      <c r="O339">
        <v>14600</v>
      </c>
      <c r="P339">
        <v>29488</v>
      </c>
      <c r="Q339" s="3">
        <v>48530</v>
      </c>
      <c r="R339" s="23" t="str">
        <f t="shared" si="15"/>
        <v>Yes</v>
      </c>
    </row>
    <row r="340" spans="1:18" x14ac:dyDescent="0.25">
      <c r="A340" s="1">
        <v>45964</v>
      </c>
      <c r="B340" s="7">
        <v>25030</v>
      </c>
      <c r="C340" s="7">
        <v>24800</v>
      </c>
      <c r="D340" s="7">
        <v>21840</v>
      </c>
      <c r="E340" s="7">
        <v>25490</v>
      </c>
      <c r="F340" s="7">
        <v>26340</v>
      </c>
      <c r="G340" s="7">
        <v>30730</v>
      </c>
      <c r="H340" s="7">
        <v>25740</v>
      </c>
      <c r="I340" s="7">
        <v>25950</v>
      </c>
      <c r="J340" s="7">
        <v>30480</v>
      </c>
      <c r="K340" s="7">
        <v>25510</v>
      </c>
      <c r="L340" s="3">
        <f t="shared" si="17"/>
        <v>261910</v>
      </c>
      <c r="M340" s="3">
        <v>277767.89728565229</v>
      </c>
      <c r="N340" s="3">
        <f t="shared" si="16"/>
        <v>277767.89728565229</v>
      </c>
      <c r="O340">
        <v>24000</v>
      </c>
      <c r="P340">
        <v>29921</v>
      </c>
      <c r="Q340">
        <v>167</v>
      </c>
      <c r="R340" s="23" t="str">
        <f t="shared" si="15"/>
        <v>Yes</v>
      </c>
    </row>
    <row r="341" spans="1:18" x14ac:dyDescent="0.25">
      <c r="A341" s="1">
        <v>45965</v>
      </c>
      <c r="B341" s="7">
        <v>21460</v>
      </c>
      <c r="C341" s="7">
        <v>21260</v>
      </c>
      <c r="D341" s="7">
        <v>18580</v>
      </c>
      <c r="E341" s="7">
        <v>22810</v>
      </c>
      <c r="F341" s="7">
        <v>23150</v>
      </c>
      <c r="G341" s="7">
        <v>25400</v>
      </c>
      <c r="H341" s="7">
        <v>21160</v>
      </c>
      <c r="I341" s="7">
        <v>21090</v>
      </c>
      <c r="J341" s="7">
        <v>24320</v>
      </c>
      <c r="K341" s="7">
        <v>21190</v>
      </c>
      <c r="L341" s="3">
        <f t="shared" si="17"/>
        <v>220420</v>
      </c>
      <c r="M341" s="3">
        <v>218082.14679333096</v>
      </c>
      <c r="N341" s="3">
        <f t="shared" si="16"/>
        <v>220420</v>
      </c>
      <c r="O341">
        <v>24000</v>
      </c>
      <c r="P341">
        <v>24490</v>
      </c>
      <c r="Q341">
        <v>0</v>
      </c>
      <c r="R341" s="23" t="str">
        <f t="shared" si="15"/>
        <v>Yes</v>
      </c>
    </row>
    <row r="342" spans="1:18" x14ac:dyDescent="0.25">
      <c r="A342" s="1">
        <v>45966</v>
      </c>
      <c r="B342" s="7">
        <v>29560</v>
      </c>
      <c r="C342" s="7">
        <v>30110</v>
      </c>
      <c r="D342" s="7">
        <v>26680</v>
      </c>
      <c r="E342" s="7">
        <v>32100</v>
      </c>
      <c r="F342" s="7">
        <v>32290</v>
      </c>
      <c r="G342" s="7">
        <v>35740</v>
      </c>
      <c r="H342" s="7">
        <v>30100</v>
      </c>
      <c r="I342" s="7">
        <v>29840</v>
      </c>
      <c r="J342" s="7">
        <v>33280</v>
      </c>
      <c r="K342" s="7">
        <v>30250</v>
      </c>
      <c r="L342" s="3">
        <f t="shared" si="17"/>
        <v>309950</v>
      </c>
      <c r="M342" s="3">
        <v>324670.7001589248</v>
      </c>
      <c r="N342" s="3">
        <f t="shared" si="16"/>
        <v>324670.7001589248</v>
      </c>
      <c r="O342">
        <v>24000</v>
      </c>
      <c r="P342">
        <v>25977</v>
      </c>
      <c r="Q342" s="3">
        <v>30356</v>
      </c>
      <c r="R342" s="23" t="str">
        <f t="shared" si="15"/>
        <v>Yes</v>
      </c>
    </row>
    <row r="343" spans="1:18" x14ac:dyDescent="0.25">
      <c r="A343" s="1">
        <v>45967</v>
      </c>
      <c r="B343" s="7">
        <v>28060</v>
      </c>
      <c r="C343" s="7">
        <v>28060</v>
      </c>
      <c r="D343" s="7">
        <v>25040</v>
      </c>
      <c r="E343" s="7">
        <v>29990</v>
      </c>
      <c r="F343" s="7">
        <v>30650</v>
      </c>
      <c r="G343" s="7">
        <v>36100</v>
      </c>
      <c r="H343" s="7">
        <v>30710</v>
      </c>
      <c r="I343" s="7">
        <v>30680</v>
      </c>
      <c r="J343" s="7">
        <v>34590</v>
      </c>
      <c r="K343" s="7">
        <v>31200</v>
      </c>
      <c r="L343" s="3">
        <f t="shared" si="17"/>
        <v>305080</v>
      </c>
      <c r="M343" s="3">
        <v>317108.3613803506</v>
      </c>
      <c r="N343" s="3">
        <f t="shared" si="16"/>
        <v>317108.3613803506</v>
      </c>
      <c r="O343">
        <v>24000</v>
      </c>
      <c r="P343">
        <v>30030</v>
      </c>
      <c r="Q343">
        <v>0</v>
      </c>
      <c r="R343" s="23" t="str">
        <f t="shared" si="15"/>
        <v>No</v>
      </c>
    </row>
    <row r="344" spans="1:18" x14ac:dyDescent="0.25">
      <c r="A344" s="1">
        <v>45968</v>
      </c>
      <c r="B344" s="7">
        <v>31770</v>
      </c>
      <c r="C344" s="7">
        <v>31490</v>
      </c>
      <c r="D344" s="7">
        <v>27090</v>
      </c>
      <c r="E344" s="7">
        <v>32140</v>
      </c>
      <c r="F344" s="7">
        <v>33160</v>
      </c>
      <c r="G344" s="7">
        <v>40450</v>
      </c>
      <c r="H344" s="7">
        <v>34430</v>
      </c>
      <c r="I344" s="7">
        <v>34270</v>
      </c>
      <c r="J344" s="7">
        <v>39700</v>
      </c>
      <c r="K344" s="7">
        <v>34630</v>
      </c>
      <c r="L344" s="3">
        <f t="shared" si="17"/>
        <v>339130</v>
      </c>
      <c r="M344" s="3">
        <v>358880.55156975193</v>
      </c>
      <c r="N344" s="3">
        <f t="shared" si="16"/>
        <v>358880.55156975193</v>
      </c>
      <c r="O344">
        <v>20550</v>
      </c>
      <c r="P344">
        <v>30030</v>
      </c>
      <c r="Q344" s="3">
        <v>14054</v>
      </c>
      <c r="R344" s="23" t="str">
        <f t="shared" si="15"/>
        <v>Yes</v>
      </c>
    </row>
    <row r="345" spans="1:18" x14ac:dyDescent="0.25">
      <c r="A345" s="1">
        <v>45969</v>
      </c>
      <c r="B345" s="7">
        <v>18490</v>
      </c>
      <c r="C345" s="7">
        <v>17930</v>
      </c>
      <c r="D345" s="7">
        <v>16240</v>
      </c>
      <c r="E345" s="7">
        <v>21390</v>
      </c>
      <c r="F345" s="7">
        <v>21600</v>
      </c>
      <c r="G345" s="7">
        <v>28710</v>
      </c>
      <c r="H345" s="7">
        <v>23540</v>
      </c>
      <c r="I345" s="7">
        <v>23950</v>
      </c>
      <c r="J345" s="7">
        <v>28400</v>
      </c>
      <c r="K345" s="7">
        <v>23090</v>
      </c>
      <c r="L345" s="3">
        <f t="shared" si="17"/>
        <v>223340</v>
      </c>
      <c r="M345" s="3">
        <v>253389.58534144436</v>
      </c>
      <c r="N345" s="3">
        <f t="shared" si="16"/>
        <v>253389.58534144436</v>
      </c>
      <c r="O345">
        <v>19833</v>
      </c>
      <c r="P345">
        <v>30030</v>
      </c>
      <c r="Q345" s="3">
        <v>31458</v>
      </c>
      <c r="R345" s="23" t="str">
        <f t="shared" si="15"/>
        <v>Yes</v>
      </c>
    </row>
    <row r="346" spans="1:18" x14ac:dyDescent="0.25">
      <c r="A346" s="1">
        <v>45970</v>
      </c>
      <c r="B346" s="7">
        <v>19720</v>
      </c>
      <c r="C346" s="7">
        <v>19420</v>
      </c>
      <c r="D346" s="7">
        <v>16260</v>
      </c>
      <c r="E346" s="7">
        <v>21930</v>
      </c>
      <c r="F346" s="7">
        <v>22260</v>
      </c>
      <c r="G346" s="7">
        <v>23790</v>
      </c>
      <c r="H346" s="7">
        <v>19670</v>
      </c>
      <c r="I346" s="7">
        <v>19830</v>
      </c>
      <c r="J346" s="7">
        <v>22620</v>
      </c>
      <c r="K346" s="7">
        <v>20040</v>
      </c>
      <c r="L346" s="3">
        <f t="shared" si="17"/>
        <v>205540</v>
      </c>
      <c r="M346" s="3">
        <v>192237.61280789215</v>
      </c>
      <c r="N346" s="3">
        <f t="shared" si="16"/>
        <v>205540</v>
      </c>
      <c r="O346">
        <v>24000</v>
      </c>
      <c r="P346">
        <v>30030</v>
      </c>
      <c r="Q346">
        <v>0</v>
      </c>
      <c r="R346" s="23" t="str">
        <f t="shared" si="15"/>
        <v>No</v>
      </c>
    </row>
    <row r="347" spans="1:18" x14ac:dyDescent="0.25">
      <c r="A347" s="1">
        <v>45971</v>
      </c>
      <c r="B347" s="7">
        <v>6560</v>
      </c>
      <c r="C347" s="7">
        <v>6050</v>
      </c>
      <c r="D347" s="7">
        <v>5840</v>
      </c>
      <c r="E347" s="7">
        <v>7400</v>
      </c>
      <c r="F347" s="7">
        <v>7370</v>
      </c>
      <c r="G347" s="7">
        <v>34210</v>
      </c>
      <c r="H347" s="7">
        <v>28620</v>
      </c>
      <c r="I347" s="7">
        <v>28710</v>
      </c>
      <c r="J347" s="7">
        <v>32730</v>
      </c>
      <c r="K347" s="7">
        <v>28800</v>
      </c>
      <c r="L347" s="3">
        <f t="shared" si="17"/>
        <v>186290</v>
      </c>
      <c r="M347" s="3">
        <v>294485.05766566214</v>
      </c>
      <c r="N347" s="3">
        <f t="shared" si="16"/>
        <v>294485.05766566214</v>
      </c>
      <c r="O347">
        <v>9033</v>
      </c>
      <c r="P347">
        <v>30030</v>
      </c>
      <c r="Q347" s="3">
        <v>103868</v>
      </c>
      <c r="R347" s="23" t="str">
        <f t="shared" si="15"/>
        <v>Yes</v>
      </c>
    </row>
    <row r="348" spans="1:18" x14ac:dyDescent="0.25">
      <c r="A348" s="1">
        <v>45972</v>
      </c>
      <c r="B348" s="7">
        <v>20050</v>
      </c>
      <c r="C348" s="7">
        <v>19920</v>
      </c>
      <c r="D348" s="7">
        <v>17370</v>
      </c>
      <c r="E348" s="7">
        <v>22730</v>
      </c>
      <c r="F348" s="7">
        <v>22750</v>
      </c>
      <c r="G348" s="7">
        <v>24090</v>
      </c>
      <c r="H348" s="7">
        <v>20020</v>
      </c>
      <c r="I348" s="7">
        <v>19960</v>
      </c>
      <c r="J348" s="7">
        <v>22490</v>
      </c>
      <c r="K348" s="7">
        <v>20140</v>
      </c>
      <c r="L348" s="3">
        <f t="shared" si="17"/>
        <v>209520</v>
      </c>
      <c r="M348" s="3">
        <v>194762.82844050883</v>
      </c>
      <c r="N348" s="3">
        <f t="shared" si="16"/>
        <v>209520</v>
      </c>
      <c r="O348">
        <v>24000</v>
      </c>
      <c r="P348">
        <v>30030</v>
      </c>
      <c r="Q348">
        <v>0</v>
      </c>
      <c r="R348" s="23" t="str">
        <f t="shared" si="15"/>
        <v>No</v>
      </c>
    </row>
    <row r="349" spans="1:18" x14ac:dyDescent="0.25">
      <c r="A349" s="1">
        <v>45973</v>
      </c>
      <c r="B349" s="7">
        <v>24050</v>
      </c>
      <c r="C349" s="7">
        <v>23780</v>
      </c>
      <c r="D349" s="7">
        <v>20240</v>
      </c>
      <c r="E349" s="7">
        <v>26740</v>
      </c>
      <c r="F349" s="7">
        <v>24170</v>
      </c>
      <c r="G349" s="7">
        <v>29490</v>
      </c>
      <c r="H349" s="7">
        <v>24160</v>
      </c>
      <c r="I349" s="7">
        <v>24650</v>
      </c>
      <c r="J349" s="7">
        <v>28640</v>
      </c>
      <c r="K349" s="7">
        <v>24310</v>
      </c>
      <c r="L349" s="3">
        <f t="shared" si="17"/>
        <v>250230</v>
      </c>
      <c r="M349" s="3">
        <v>248110.25442466416</v>
      </c>
      <c r="N349" s="3">
        <f t="shared" si="16"/>
        <v>250230</v>
      </c>
      <c r="O349">
        <v>24000</v>
      </c>
      <c r="P349">
        <v>30030</v>
      </c>
      <c r="Q349">
        <v>0</v>
      </c>
      <c r="R349" s="23" t="str">
        <f t="shared" si="15"/>
        <v>No</v>
      </c>
    </row>
    <row r="350" spans="1:18" x14ac:dyDescent="0.25">
      <c r="A350" s="1">
        <v>45974</v>
      </c>
      <c r="B350" s="7">
        <v>23840</v>
      </c>
      <c r="C350" s="7">
        <v>23600</v>
      </c>
      <c r="D350" s="7">
        <v>19750</v>
      </c>
      <c r="E350" s="7">
        <v>26740</v>
      </c>
      <c r="F350" s="7">
        <v>27280</v>
      </c>
      <c r="G350" s="7">
        <v>29760</v>
      </c>
      <c r="H350" s="7">
        <v>25270</v>
      </c>
      <c r="I350" s="7">
        <v>24880</v>
      </c>
      <c r="J350" s="7">
        <v>28210</v>
      </c>
      <c r="K350" s="7">
        <v>25280</v>
      </c>
      <c r="L350" s="3">
        <f t="shared" si="17"/>
        <v>254610</v>
      </c>
      <c r="M350" s="3">
        <v>259147.67584917782</v>
      </c>
      <c r="N350" s="3">
        <f t="shared" si="16"/>
        <v>259147.67584917782</v>
      </c>
      <c r="O350">
        <v>24000</v>
      </c>
      <c r="P350">
        <v>30030</v>
      </c>
      <c r="Q350">
        <v>0</v>
      </c>
      <c r="R350" s="23" t="str">
        <f t="shared" ref="R350:R413" si="18">IF(Q350&gt;0,"Yes",IF(OR((O350+P350&lt;50000),O350&lt;24000,P350&lt;30030),"Yes","No"))</f>
        <v>No</v>
      </c>
    </row>
    <row r="351" spans="1:18" x14ac:dyDescent="0.25">
      <c r="A351" s="1">
        <v>45975</v>
      </c>
      <c r="B351" s="7">
        <v>29470</v>
      </c>
      <c r="C351" s="7">
        <v>29370</v>
      </c>
      <c r="D351" s="7">
        <v>24740</v>
      </c>
      <c r="E351" s="7">
        <v>32070</v>
      </c>
      <c r="F351" s="7">
        <v>33220</v>
      </c>
      <c r="G351" s="7">
        <v>35720</v>
      </c>
      <c r="H351" s="7">
        <v>29490</v>
      </c>
      <c r="I351" s="7">
        <v>29650</v>
      </c>
      <c r="J351" s="7">
        <v>33340</v>
      </c>
      <c r="K351" s="7">
        <v>29210</v>
      </c>
      <c r="L351" s="3">
        <f t="shared" si="17"/>
        <v>306280</v>
      </c>
      <c r="M351" s="3">
        <v>314208.85489309707</v>
      </c>
      <c r="N351" s="3">
        <f t="shared" si="16"/>
        <v>314208.85489309707</v>
      </c>
      <c r="O351">
        <v>24000</v>
      </c>
      <c r="P351">
        <v>30030</v>
      </c>
      <c r="Q351">
        <v>0</v>
      </c>
      <c r="R351" s="23" t="str">
        <f t="shared" si="18"/>
        <v>No</v>
      </c>
    </row>
    <row r="352" spans="1:18" x14ac:dyDescent="0.25">
      <c r="A352" s="1">
        <v>45976</v>
      </c>
      <c r="B352" s="7">
        <v>21660</v>
      </c>
      <c r="C352" s="7">
        <v>21870</v>
      </c>
      <c r="D352" s="7">
        <v>18940</v>
      </c>
      <c r="E352" s="7">
        <v>24280</v>
      </c>
      <c r="F352" s="7">
        <v>24090</v>
      </c>
      <c r="G352" s="7">
        <v>25570</v>
      </c>
      <c r="H352" s="7">
        <v>20910</v>
      </c>
      <c r="I352" s="7">
        <v>20980</v>
      </c>
      <c r="J352" s="7">
        <v>24020</v>
      </c>
      <c r="K352" s="7">
        <v>20930</v>
      </c>
      <c r="L352" s="3">
        <f t="shared" si="17"/>
        <v>223250</v>
      </c>
      <c r="M352" s="3">
        <v>211009.87950709474</v>
      </c>
      <c r="N352" s="3">
        <f t="shared" si="16"/>
        <v>223250</v>
      </c>
      <c r="O352">
        <v>24000</v>
      </c>
      <c r="P352">
        <v>30030</v>
      </c>
      <c r="Q352">
        <v>0</v>
      </c>
      <c r="R352" s="23" t="str">
        <f t="shared" si="18"/>
        <v>No</v>
      </c>
    </row>
    <row r="353" spans="1:18" x14ac:dyDescent="0.25">
      <c r="A353" s="1">
        <v>45977</v>
      </c>
      <c r="B353" s="7">
        <v>19380</v>
      </c>
      <c r="C353" s="7">
        <v>19170</v>
      </c>
      <c r="D353" s="7">
        <v>16590</v>
      </c>
      <c r="E353" s="7">
        <v>21660</v>
      </c>
      <c r="F353" s="7">
        <v>22010</v>
      </c>
      <c r="G353" s="7">
        <v>25610</v>
      </c>
      <c r="H353" s="7">
        <v>21410</v>
      </c>
      <c r="I353" s="7">
        <v>21660</v>
      </c>
      <c r="J353" s="7">
        <v>25120</v>
      </c>
      <c r="K353" s="7">
        <v>24980</v>
      </c>
      <c r="L353" s="3">
        <f>SUM(B353:K353)</f>
        <v>217590</v>
      </c>
      <c r="M353" s="3">
        <v>217154.23817681344</v>
      </c>
      <c r="N353" s="3">
        <f t="shared" si="16"/>
        <v>217590</v>
      </c>
      <c r="O353">
        <v>19767</v>
      </c>
      <c r="P353">
        <v>30030</v>
      </c>
      <c r="Q353" s="3">
        <v>8021</v>
      </c>
      <c r="R353" s="23" t="str">
        <f t="shared" si="18"/>
        <v>Yes</v>
      </c>
    </row>
    <row r="354" spans="1:18" x14ac:dyDescent="0.25">
      <c r="A354" s="1">
        <v>45978</v>
      </c>
      <c r="B354" s="7">
        <v>32520</v>
      </c>
      <c r="C354" s="7">
        <v>32000</v>
      </c>
      <c r="D354" s="7">
        <v>27920</v>
      </c>
      <c r="E354" s="7">
        <v>36740</v>
      </c>
      <c r="F354" s="7">
        <v>36840</v>
      </c>
      <c r="G354" s="7">
        <v>40350</v>
      </c>
      <c r="H354" s="7">
        <v>33790</v>
      </c>
      <c r="I354" s="7">
        <v>33990</v>
      </c>
      <c r="J354" s="7">
        <v>38380</v>
      </c>
      <c r="K354" s="7">
        <v>34460</v>
      </c>
      <c r="L354" s="3">
        <f t="shared" si="17"/>
        <v>346990</v>
      </c>
      <c r="M354" s="3">
        <v>359746.24472865422</v>
      </c>
      <c r="N354" s="3">
        <f t="shared" si="16"/>
        <v>359746.24472865422</v>
      </c>
      <c r="O354">
        <v>24000</v>
      </c>
      <c r="P354">
        <v>30030</v>
      </c>
      <c r="Q354">
        <v>0</v>
      </c>
      <c r="R354" s="23" t="str">
        <f t="shared" si="18"/>
        <v>No</v>
      </c>
    </row>
    <row r="355" spans="1:18" x14ac:dyDescent="0.25">
      <c r="A355" s="1">
        <v>45979</v>
      </c>
      <c r="B355" s="7">
        <v>17540</v>
      </c>
      <c r="C355" s="7">
        <v>17420</v>
      </c>
      <c r="D355" s="7">
        <v>16060</v>
      </c>
      <c r="E355" s="7">
        <v>20580</v>
      </c>
      <c r="F355" s="7">
        <v>20720</v>
      </c>
      <c r="G355" s="7">
        <v>25580</v>
      </c>
      <c r="H355" s="7">
        <v>21840</v>
      </c>
      <c r="I355" s="7">
        <v>21980</v>
      </c>
      <c r="J355" s="7">
        <v>24650</v>
      </c>
      <c r="K355" s="7">
        <v>22870</v>
      </c>
      <c r="L355" s="3">
        <f t="shared" si="17"/>
        <v>209240</v>
      </c>
      <c r="M355" s="3">
        <v>244655.79936360236</v>
      </c>
      <c r="N355" s="3">
        <f t="shared" si="16"/>
        <v>244655.79936360236</v>
      </c>
      <c r="O355">
        <v>12000</v>
      </c>
      <c r="P355">
        <v>26117</v>
      </c>
      <c r="Q355" s="3">
        <v>71653</v>
      </c>
      <c r="R355" s="23" t="str">
        <f t="shared" si="18"/>
        <v>Yes</v>
      </c>
    </row>
    <row r="356" spans="1:18" x14ac:dyDescent="0.25">
      <c r="A356" s="1">
        <v>45980</v>
      </c>
      <c r="B356" s="7">
        <v>13460</v>
      </c>
      <c r="C356" s="7">
        <v>13340</v>
      </c>
      <c r="D356" s="7">
        <v>11990</v>
      </c>
      <c r="E356" s="7">
        <v>15170</v>
      </c>
      <c r="F356" s="7">
        <v>15240</v>
      </c>
      <c r="G356" s="7">
        <v>17180</v>
      </c>
      <c r="H356" s="7">
        <v>14490</v>
      </c>
      <c r="I356" s="7">
        <v>14280</v>
      </c>
      <c r="J356" s="7">
        <v>16260</v>
      </c>
      <c r="K356" s="7">
        <v>14470</v>
      </c>
      <c r="L356" s="3">
        <f t="shared" si="17"/>
        <v>145880</v>
      </c>
      <c r="M356" s="3">
        <v>132328.95131769808</v>
      </c>
      <c r="N356" s="3">
        <f t="shared" si="16"/>
        <v>145880</v>
      </c>
      <c r="O356">
        <v>12017</v>
      </c>
      <c r="P356">
        <v>30030</v>
      </c>
      <c r="Q356" s="3">
        <v>29429</v>
      </c>
      <c r="R356" s="23" t="str">
        <f t="shared" si="18"/>
        <v>Yes</v>
      </c>
    </row>
    <row r="357" spans="1:18" x14ac:dyDescent="0.25">
      <c r="A357" s="1">
        <v>45981</v>
      </c>
      <c r="B357" s="7">
        <v>15350</v>
      </c>
      <c r="C357" s="7">
        <v>15270</v>
      </c>
      <c r="D357" s="7">
        <v>13910</v>
      </c>
      <c r="E357" s="7">
        <v>17680</v>
      </c>
      <c r="F357" s="7">
        <v>17690</v>
      </c>
      <c r="G357" s="7">
        <v>22690</v>
      </c>
      <c r="H357" s="7">
        <v>19180</v>
      </c>
      <c r="I357" s="7">
        <v>18860</v>
      </c>
      <c r="J357" s="7">
        <v>20790</v>
      </c>
      <c r="K357" s="7">
        <v>14460</v>
      </c>
      <c r="L357" s="3">
        <f t="shared" si="17"/>
        <v>175880</v>
      </c>
      <c r="M357" s="3">
        <v>185576.40005579262</v>
      </c>
      <c r="N357" s="3">
        <f t="shared" si="16"/>
        <v>185576.40005579262</v>
      </c>
      <c r="O357">
        <v>10417</v>
      </c>
      <c r="P357">
        <v>30030</v>
      </c>
      <c r="Q357" s="3">
        <v>43716</v>
      </c>
      <c r="R357" s="23" t="str">
        <f t="shared" si="18"/>
        <v>Yes</v>
      </c>
    </row>
    <row r="358" spans="1:18" x14ac:dyDescent="0.25">
      <c r="A358" s="1">
        <v>45982</v>
      </c>
      <c r="B358" s="7">
        <v>25150</v>
      </c>
      <c r="C358" s="7">
        <v>25220</v>
      </c>
      <c r="D358" s="7">
        <v>21520</v>
      </c>
      <c r="E358" s="7">
        <v>28710</v>
      </c>
      <c r="F358" s="7">
        <v>25610</v>
      </c>
      <c r="G358" s="7">
        <v>30240</v>
      </c>
      <c r="H358" s="7">
        <v>25100</v>
      </c>
      <c r="I358" s="7">
        <v>25070</v>
      </c>
      <c r="J358" s="7">
        <v>28230</v>
      </c>
      <c r="K358" s="7">
        <v>25510</v>
      </c>
      <c r="L358" s="3">
        <f t="shared" si="17"/>
        <v>260360</v>
      </c>
      <c r="M358" s="3">
        <v>262040.86097977523</v>
      </c>
      <c r="N358" s="3">
        <f t="shared" si="16"/>
        <v>262040.86097977523</v>
      </c>
      <c r="O358">
        <v>24000</v>
      </c>
      <c r="P358">
        <v>30030</v>
      </c>
      <c r="Q358">
        <v>0</v>
      </c>
      <c r="R358" s="23" t="str">
        <f t="shared" si="18"/>
        <v>No</v>
      </c>
    </row>
    <row r="359" spans="1:18" x14ac:dyDescent="0.25">
      <c r="A359" s="1">
        <v>45983</v>
      </c>
      <c r="B359" s="7">
        <v>29960</v>
      </c>
      <c r="C359" s="7">
        <v>29660</v>
      </c>
      <c r="D359" s="7">
        <v>24690</v>
      </c>
      <c r="E359" s="7">
        <v>32870</v>
      </c>
      <c r="F359" s="7">
        <v>33430</v>
      </c>
      <c r="G359" s="7">
        <v>32400</v>
      </c>
      <c r="H359" s="7">
        <v>27600</v>
      </c>
      <c r="I359" s="7">
        <v>27470</v>
      </c>
      <c r="J359" s="7">
        <v>31380</v>
      </c>
      <c r="K359" s="7">
        <v>27920</v>
      </c>
      <c r="L359" s="3">
        <f t="shared" si="17"/>
        <v>297380</v>
      </c>
      <c r="M359" s="3">
        <v>325287.3651358753</v>
      </c>
      <c r="N359" s="3">
        <f t="shared" si="16"/>
        <v>325287.3651358753</v>
      </c>
      <c r="O359">
        <v>24000</v>
      </c>
      <c r="P359">
        <v>28902</v>
      </c>
      <c r="Q359" s="3">
        <v>13777</v>
      </c>
      <c r="R359" s="23" t="str">
        <f t="shared" si="18"/>
        <v>Yes</v>
      </c>
    </row>
    <row r="360" spans="1:18" x14ac:dyDescent="0.25">
      <c r="A360" s="1">
        <v>45984</v>
      </c>
      <c r="B360" s="7">
        <v>23060</v>
      </c>
      <c r="C360" s="7">
        <v>23120</v>
      </c>
      <c r="D360" s="7">
        <v>19150</v>
      </c>
      <c r="E360" s="7">
        <v>26170</v>
      </c>
      <c r="F360" s="7">
        <v>26470</v>
      </c>
      <c r="G360" s="7">
        <v>28340</v>
      </c>
      <c r="H360" s="7">
        <v>23590</v>
      </c>
      <c r="I360" s="7">
        <v>23740</v>
      </c>
      <c r="J360" s="7">
        <v>27290</v>
      </c>
      <c r="K360" s="7">
        <v>24050</v>
      </c>
      <c r="L360" s="3">
        <f t="shared" si="17"/>
        <v>244980</v>
      </c>
      <c r="M360" s="3">
        <v>240700.79266627284</v>
      </c>
      <c r="N360" s="3">
        <f t="shared" si="16"/>
        <v>244980</v>
      </c>
      <c r="O360">
        <v>24000</v>
      </c>
      <c r="P360">
        <v>30030</v>
      </c>
      <c r="Q360">
        <v>0</v>
      </c>
      <c r="R360" s="23" t="str">
        <f t="shared" si="18"/>
        <v>No</v>
      </c>
    </row>
    <row r="361" spans="1:18" x14ac:dyDescent="0.25">
      <c r="A361" s="1">
        <v>45985</v>
      </c>
      <c r="B361" s="7">
        <v>28840</v>
      </c>
      <c r="C361" s="7">
        <v>28420</v>
      </c>
      <c r="D361" s="7">
        <v>24870</v>
      </c>
      <c r="E361" s="7">
        <v>32320</v>
      </c>
      <c r="F361" s="7">
        <v>32800</v>
      </c>
      <c r="G361" s="7">
        <v>35810</v>
      </c>
      <c r="H361" s="7">
        <v>30040</v>
      </c>
      <c r="I361" s="7">
        <v>30130</v>
      </c>
      <c r="J361" s="7">
        <v>35260</v>
      </c>
      <c r="K361" s="7">
        <v>30830</v>
      </c>
      <c r="L361" s="3">
        <f t="shared" si="17"/>
        <v>309320</v>
      </c>
      <c r="M361" s="3">
        <v>325976.06030840718</v>
      </c>
      <c r="N361" s="3">
        <f t="shared" si="16"/>
        <v>325976.06030840718</v>
      </c>
      <c r="O361">
        <v>23167</v>
      </c>
      <c r="P361">
        <v>30030</v>
      </c>
      <c r="Q361">
        <v>405</v>
      </c>
      <c r="R361" s="23" t="str">
        <f t="shared" si="18"/>
        <v>Yes</v>
      </c>
    </row>
    <row r="362" spans="1:18" x14ac:dyDescent="0.25">
      <c r="A362" s="1">
        <v>45986</v>
      </c>
      <c r="B362" s="7">
        <v>27590</v>
      </c>
      <c r="C362" s="7">
        <v>27760</v>
      </c>
      <c r="D362" s="7">
        <v>24730</v>
      </c>
      <c r="E362" s="7">
        <v>31570</v>
      </c>
      <c r="F362" s="7">
        <v>31520</v>
      </c>
      <c r="G362" s="7">
        <v>33280</v>
      </c>
      <c r="H362" s="7">
        <v>27780</v>
      </c>
      <c r="I362" s="7">
        <v>27780</v>
      </c>
      <c r="J362" s="7">
        <v>31080</v>
      </c>
      <c r="K362" s="7">
        <v>28110</v>
      </c>
      <c r="L362" s="3">
        <f t="shared" si="17"/>
        <v>291200</v>
      </c>
      <c r="M362" s="3">
        <v>297869.31239754311</v>
      </c>
      <c r="N362" s="3">
        <f t="shared" si="16"/>
        <v>297869.31239754311</v>
      </c>
      <c r="O362">
        <v>24000</v>
      </c>
      <c r="P362">
        <v>30030</v>
      </c>
      <c r="Q362">
        <v>0</v>
      </c>
      <c r="R362" s="23" t="str">
        <f t="shared" si="18"/>
        <v>No</v>
      </c>
    </row>
    <row r="363" spans="1:18" x14ac:dyDescent="0.25">
      <c r="A363" s="1">
        <v>45987</v>
      </c>
      <c r="B363" s="7">
        <v>25120</v>
      </c>
      <c r="C363" s="7">
        <v>24970</v>
      </c>
      <c r="D363" s="7">
        <v>22380</v>
      </c>
      <c r="E363" s="7">
        <v>28180</v>
      </c>
      <c r="F363" s="7">
        <v>28580</v>
      </c>
      <c r="G363" s="7">
        <v>29880</v>
      </c>
      <c r="H363" s="7">
        <v>24850</v>
      </c>
      <c r="I363" s="7">
        <v>25030</v>
      </c>
      <c r="J363" s="7">
        <v>28170</v>
      </c>
      <c r="K363" s="7">
        <v>25220</v>
      </c>
      <c r="L363" s="3">
        <f t="shared" si="17"/>
        <v>262380</v>
      </c>
      <c r="M363" s="3">
        <v>262086.94034276833</v>
      </c>
      <c r="N363" s="3">
        <f t="shared" si="16"/>
        <v>262380</v>
      </c>
      <c r="O363">
        <v>24000</v>
      </c>
      <c r="P363">
        <v>30030</v>
      </c>
      <c r="Q363">
        <v>0</v>
      </c>
      <c r="R363" s="23" t="str">
        <f t="shared" si="18"/>
        <v>No</v>
      </c>
    </row>
    <row r="364" spans="1:18" x14ac:dyDescent="0.25">
      <c r="A364" s="1">
        <v>45988</v>
      </c>
      <c r="B364" s="7">
        <v>23280</v>
      </c>
      <c r="C364" s="7">
        <v>23260</v>
      </c>
      <c r="D364" s="7">
        <v>20390</v>
      </c>
      <c r="E364" s="7">
        <v>25770</v>
      </c>
      <c r="F364" s="7">
        <v>26140</v>
      </c>
      <c r="G364" s="7">
        <v>29150</v>
      </c>
      <c r="H364" s="7">
        <v>23840</v>
      </c>
      <c r="I364" s="7">
        <v>24720</v>
      </c>
      <c r="J364" s="7">
        <v>28660</v>
      </c>
      <c r="K364" s="7">
        <v>24670</v>
      </c>
      <c r="L364" s="3">
        <f t="shared" si="17"/>
        <v>249880</v>
      </c>
      <c r="M364" s="3">
        <v>257148.13092796219</v>
      </c>
      <c r="N364" s="3">
        <f t="shared" si="16"/>
        <v>257148.13092796219</v>
      </c>
      <c r="O364">
        <v>24000</v>
      </c>
      <c r="P364">
        <v>30030</v>
      </c>
      <c r="Q364">
        <v>0</v>
      </c>
      <c r="R364" s="23" t="str">
        <f t="shared" si="18"/>
        <v>No</v>
      </c>
    </row>
    <row r="365" spans="1:18" x14ac:dyDescent="0.25">
      <c r="A365" s="1">
        <v>45989</v>
      </c>
      <c r="B365" s="7">
        <v>25440</v>
      </c>
      <c r="C365" s="7">
        <v>23680</v>
      </c>
      <c r="D365" s="7">
        <v>22120</v>
      </c>
      <c r="E365" s="7">
        <v>26830</v>
      </c>
      <c r="F365" s="7">
        <v>28390</v>
      </c>
      <c r="G365" s="7">
        <v>31470</v>
      </c>
      <c r="H365" s="7">
        <v>26240</v>
      </c>
      <c r="I365" s="7">
        <v>27170</v>
      </c>
      <c r="J365" s="7">
        <v>31820</v>
      </c>
      <c r="K365" s="7">
        <v>26880</v>
      </c>
      <c r="L365" s="3">
        <f t="shared" si="17"/>
        <v>270040</v>
      </c>
      <c r="M365" s="3">
        <v>284427.1138198605</v>
      </c>
      <c r="N365" s="3">
        <f t="shared" si="16"/>
        <v>284427.1138198605</v>
      </c>
      <c r="O365">
        <v>24000</v>
      </c>
      <c r="P365">
        <v>30030</v>
      </c>
      <c r="Q365">
        <v>0</v>
      </c>
      <c r="R365" s="23" t="str">
        <f t="shared" si="18"/>
        <v>No</v>
      </c>
    </row>
    <row r="366" spans="1:18" x14ac:dyDescent="0.25">
      <c r="A366" s="1">
        <v>45990</v>
      </c>
      <c r="B366" s="7">
        <v>6840</v>
      </c>
      <c r="C366" s="7">
        <v>6820</v>
      </c>
      <c r="D366" s="7">
        <v>6090</v>
      </c>
      <c r="E366" s="7">
        <v>7710</v>
      </c>
      <c r="F366" s="7">
        <v>7780</v>
      </c>
      <c r="G366" s="7">
        <v>8050</v>
      </c>
      <c r="H366" s="7">
        <v>6690</v>
      </c>
      <c r="I366" s="7">
        <v>6670</v>
      </c>
      <c r="J366" s="7">
        <v>7580</v>
      </c>
      <c r="K366" s="7">
        <v>6710</v>
      </c>
      <c r="L366" s="3">
        <f t="shared" si="17"/>
        <v>70940</v>
      </c>
      <c r="M366" s="3">
        <v>58555.724814299996</v>
      </c>
      <c r="N366" s="3">
        <f t="shared" si="16"/>
        <v>70940</v>
      </c>
      <c r="O366">
        <v>24000</v>
      </c>
      <c r="P366">
        <v>30030</v>
      </c>
      <c r="Q366">
        <v>0</v>
      </c>
      <c r="R366" s="23" t="str">
        <f t="shared" si="18"/>
        <v>No</v>
      </c>
    </row>
    <row r="367" spans="1:18" x14ac:dyDescent="0.25">
      <c r="A367" s="1">
        <v>45991</v>
      </c>
      <c r="B367" s="7">
        <v>22960</v>
      </c>
      <c r="C367" s="7">
        <v>22680</v>
      </c>
      <c r="D367" s="7">
        <v>20540</v>
      </c>
      <c r="E367" s="7">
        <v>26040</v>
      </c>
      <c r="F367" s="7">
        <v>25820</v>
      </c>
      <c r="G367" s="7">
        <v>27700</v>
      </c>
      <c r="H367" s="7">
        <v>22070</v>
      </c>
      <c r="I367" s="7">
        <v>22630</v>
      </c>
      <c r="J367" s="7">
        <v>25520</v>
      </c>
      <c r="K367" s="7">
        <v>22840</v>
      </c>
      <c r="L367" s="3">
        <f t="shared" si="17"/>
        <v>238800</v>
      </c>
      <c r="M367" s="3">
        <v>239902.97091567807</v>
      </c>
      <c r="N367" s="3">
        <f t="shared" si="16"/>
        <v>239902.97091567807</v>
      </c>
      <c r="O367">
        <v>24000</v>
      </c>
      <c r="P367">
        <v>30030</v>
      </c>
      <c r="Q367">
        <v>0</v>
      </c>
      <c r="R367" s="23" t="str">
        <f t="shared" si="18"/>
        <v>No</v>
      </c>
    </row>
    <row r="368" spans="1:18" x14ac:dyDescent="0.25">
      <c r="A368" s="1">
        <v>45992</v>
      </c>
      <c r="B368" s="7">
        <v>18930</v>
      </c>
      <c r="C368" s="7">
        <v>18780</v>
      </c>
      <c r="D368" s="7">
        <v>16560</v>
      </c>
      <c r="E368" s="7">
        <v>20920</v>
      </c>
      <c r="F368" s="7">
        <v>20890</v>
      </c>
      <c r="G368" s="7">
        <v>21660</v>
      </c>
      <c r="H368" s="7">
        <v>17450</v>
      </c>
      <c r="I368" s="7">
        <v>17610</v>
      </c>
      <c r="J368" s="7">
        <v>19420</v>
      </c>
      <c r="K368" s="7">
        <v>17450</v>
      </c>
      <c r="L368" s="3">
        <f>SUM(B368:K368)</f>
        <v>189670</v>
      </c>
      <c r="M368" s="3">
        <v>174948.66666666666</v>
      </c>
      <c r="N368" s="3">
        <f t="shared" si="16"/>
        <v>189670</v>
      </c>
      <c r="O368">
        <v>24000</v>
      </c>
      <c r="P368">
        <v>30030</v>
      </c>
      <c r="Q368">
        <v>0</v>
      </c>
      <c r="R368" s="23" t="str">
        <f t="shared" si="18"/>
        <v>No</v>
      </c>
    </row>
    <row r="369" spans="1:18" x14ac:dyDescent="0.25">
      <c r="A369" s="1">
        <v>45993</v>
      </c>
      <c r="B369" s="7">
        <v>22530</v>
      </c>
      <c r="C369" s="7">
        <v>22620</v>
      </c>
      <c r="D369" s="7">
        <v>20480</v>
      </c>
      <c r="E369" s="7">
        <v>25970</v>
      </c>
      <c r="F369" s="7">
        <v>26250</v>
      </c>
      <c r="G369" s="7">
        <v>27620</v>
      </c>
      <c r="H369" s="7">
        <v>23180</v>
      </c>
      <c r="I369" s="7">
        <v>23200</v>
      </c>
      <c r="J369" s="7">
        <v>26230</v>
      </c>
      <c r="K369" s="7">
        <v>23420</v>
      </c>
      <c r="L369" s="3">
        <f t="shared" si="17"/>
        <v>241500</v>
      </c>
      <c r="M369" s="3">
        <v>233851.83333333337</v>
      </c>
      <c r="N369" s="3">
        <f t="shared" si="16"/>
        <v>241500</v>
      </c>
      <c r="O369">
        <v>22250</v>
      </c>
      <c r="P369">
        <v>30030</v>
      </c>
      <c r="Q369" s="3">
        <v>5710</v>
      </c>
      <c r="R369" s="23" t="str">
        <f t="shared" si="18"/>
        <v>Yes</v>
      </c>
    </row>
    <row r="370" spans="1:18" x14ac:dyDescent="0.25">
      <c r="A370" s="1">
        <v>45994</v>
      </c>
      <c r="B370" s="7">
        <v>18230</v>
      </c>
      <c r="C370" s="7">
        <v>17950</v>
      </c>
      <c r="D370" s="7">
        <v>16310</v>
      </c>
      <c r="E370" s="7">
        <v>20120</v>
      </c>
      <c r="F370" s="7">
        <v>20100</v>
      </c>
      <c r="G370" s="7">
        <v>20840</v>
      </c>
      <c r="H370" s="7">
        <v>17260</v>
      </c>
      <c r="I370" s="7">
        <v>17580</v>
      </c>
      <c r="J370" s="7">
        <v>20870</v>
      </c>
      <c r="K370" s="7">
        <v>18160</v>
      </c>
      <c r="L370" s="3">
        <f t="shared" si="17"/>
        <v>187420</v>
      </c>
      <c r="M370" s="3">
        <v>181382.33333333334</v>
      </c>
      <c r="N370" s="3">
        <f t="shared" si="16"/>
        <v>187420</v>
      </c>
      <c r="O370">
        <v>24000</v>
      </c>
      <c r="P370">
        <v>30030</v>
      </c>
      <c r="Q370">
        <v>0</v>
      </c>
      <c r="R370" s="23" t="str">
        <f t="shared" si="18"/>
        <v>No</v>
      </c>
    </row>
    <row r="371" spans="1:18" x14ac:dyDescent="0.25">
      <c r="A371" s="1">
        <v>45995</v>
      </c>
      <c r="B371" s="7">
        <v>26380</v>
      </c>
      <c r="C371" s="7">
        <v>26340</v>
      </c>
      <c r="D371" s="7">
        <v>23460</v>
      </c>
      <c r="E371" s="7">
        <v>30180</v>
      </c>
      <c r="F371" s="7">
        <v>29510</v>
      </c>
      <c r="G371" s="7">
        <v>33870</v>
      </c>
      <c r="H371" s="7">
        <v>27420</v>
      </c>
      <c r="I371" s="7">
        <v>28520</v>
      </c>
      <c r="J371" s="7">
        <v>32830</v>
      </c>
      <c r="K371" s="7">
        <v>28770</v>
      </c>
      <c r="L371" s="3">
        <f t="shared" si="17"/>
        <v>287280</v>
      </c>
      <c r="M371" s="3">
        <v>299667.33333333331</v>
      </c>
      <c r="N371" s="3">
        <f t="shared" si="16"/>
        <v>299667.33333333331</v>
      </c>
      <c r="O371">
        <v>23550</v>
      </c>
      <c r="P371">
        <v>30030</v>
      </c>
      <c r="Q371" s="3">
        <v>5552</v>
      </c>
      <c r="R371" s="23" t="str">
        <f t="shared" si="18"/>
        <v>Yes</v>
      </c>
    </row>
    <row r="372" spans="1:18" x14ac:dyDescent="0.25">
      <c r="A372" s="1">
        <v>45996</v>
      </c>
      <c r="B372" s="7">
        <v>16650</v>
      </c>
      <c r="C372" s="7">
        <v>16110</v>
      </c>
      <c r="D372" s="7">
        <v>14880</v>
      </c>
      <c r="E372" s="7">
        <v>18310</v>
      </c>
      <c r="F372" s="7">
        <v>18670</v>
      </c>
      <c r="G372" s="7">
        <v>19130</v>
      </c>
      <c r="H372" s="7">
        <v>15050</v>
      </c>
      <c r="I372" s="7">
        <v>15740</v>
      </c>
      <c r="J372" s="7">
        <v>17720</v>
      </c>
      <c r="K372" s="7">
        <v>15190</v>
      </c>
      <c r="L372" s="3">
        <f t="shared" si="17"/>
        <v>167450</v>
      </c>
      <c r="M372" s="3">
        <v>166975.99999999997</v>
      </c>
      <c r="N372" s="3">
        <f t="shared" si="16"/>
        <v>167450</v>
      </c>
      <c r="O372">
        <v>24000</v>
      </c>
      <c r="P372">
        <v>30030</v>
      </c>
      <c r="Q372">
        <v>0</v>
      </c>
      <c r="R372" s="23" t="str">
        <f t="shared" si="18"/>
        <v>No</v>
      </c>
    </row>
    <row r="373" spans="1:18" x14ac:dyDescent="0.25">
      <c r="A373" s="1">
        <v>45997</v>
      </c>
      <c r="B373" s="7">
        <v>21260</v>
      </c>
      <c r="C373" s="7">
        <v>21200</v>
      </c>
      <c r="D373" s="7">
        <v>19090</v>
      </c>
      <c r="E373" s="7">
        <v>23950</v>
      </c>
      <c r="F373" s="7">
        <v>14300</v>
      </c>
      <c r="G373" s="7">
        <v>25020</v>
      </c>
      <c r="H373" s="7">
        <v>20810</v>
      </c>
      <c r="I373" s="7">
        <v>20850</v>
      </c>
      <c r="J373" s="7">
        <v>23720</v>
      </c>
      <c r="K373" s="7">
        <v>20960</v>
      </c>
      <c r="L373" s="3">
        <f t="shared" si="17"/>
        <v>211160</v>
      </c>
      <c r="M373" s="3">
        <v>203425.50000000003</v>
      </c>
      <c r="N373" s="3">
        <f t="shared" si="16"/>
        <v>211160</v>
      </c>
      <c r="O373">
        <v>24000</v>
      </c>
      <c r="P373">
        <v>30030</v>
      </c>
      <c r="Q373">
        <v>0</v>
      </c>
      <c r="R373" s="23" t="str">
        <f t="shared" si="18"/>
        <v>No</v>
      </c>
    </row>
    <row r="374" spans="1:18" x14ac:dyDescent="0.25">
      <c r="A374" s="1">
        <v>45998</v>
      </c>
      <c r="B374" s="7">
        <v>17730</v>
      </c>
      <c r="C374" s="7">
        <v>17410</v>
      </c>
      <c r="D374" s="7">
        <v>17480</v>
      </c>
      <c r="E374" s="7">
        <v>21780</v>
      </c>
      <c r="F374" s="7">
        <v>21770</v>
      </c>
      <c r="G374" s="7">
        <v>24050</v>
      </c>
      <c r="H374" s="7">
        <v>19630</v>
      </c>
      <c r="I374" s="7">
        <v>20370</v>
      </c>
      <c r="J374" s="7">
        <v>23820</v>
      </c>
      <c r="K374" s="7">
        <v>19740</v>
      </c>
      <c r="L374" s="3">
        <f t="shared" si="17"/>
        <v>203780</v>
      </c>
      <c r="M374" s="3">
        <v>240837.16666666672</v>
      </c>
      <c r="N374" s="3">
        <f t="shared" si="16"/>
        <v>240837.16666666672</v>
      </c>
      <c r="O374">
        <v>21750</v>
      </c>
      <c r="P374">
        <v>29103</v>
      </c>
      <c r="Q374" s="3">
        <v>24724</v>
      </c>
      <c r="R374" s="23" t="str">
        <f t="shared" si="18"/>
        <v>Yes</v>
      </c>
    </row>
    <row r="375" spans="1:18" x14ac:dyDescent="0.25">
      <c r="A375" s="1">
        <v>45999</v>
      </c>
      <c r="B375" s="7">
        <v>24570</v>
      </c>
      <c r="C375" s="7">
        <v>24340</v>
      </c>
      <c r="D375" s="7">
        <v>21950</v>
      </c>
      <c r="E375" s="7">
        <v>27440</v>
      </c>
      <c r="F375" s="7">
        <v>27790</v>
      </c>
      <c r="G375" s="7">
        <v>29260</v>
      </c>
      <c r="H375" s="7">
        <v>23670</v>
      </c>
      <c r="I375" s="7">
        <v>24440</v>
      </c>
      <c r="J375" s="7">
        <v>27780</v>
      </c>
      <c r="K375" s="7">
        <v>23970</v>
      </c>
      <c r="L375" s="3">
        <f t="shared" si="17"/>
        <v>255210</v>
      </c>
      <c r="M375" s="3">
        <v>251353.83333333334</v>
      </c>
      <c r="N375" s="3">
        <f t="shared" si="16"/>
        <v>255210</v>
      </c>
      <c r="O375">
        <v>24000</v>
      </c>
      <c r="P375">
        <v>30030</v>
      </c>
      <c r="Q375">
        <v>0</v>
      </c>
      <c r="R375" s="23" t="str">
        <f t="shared" si="18"/>
        <v>No</v>
      </c>
    </row>
    <row r="376" spans="1:18" x14ac:dyDescent="0.25">
      <c r="A376" s="1">
        <v>46000</v>
      </c>
      <c r="B376" s="7">
        <v>19270</v>
      </c>
      <c r="C376" s="7">
        <v>19230</v>
      </c>
      <c r="D376" s="7">
        <v>17290</v>
      </c>
      <c r="E376" s="7">
        <v>21810</v>
      </c>
      <c r="F376" s="7">
        <v>21910</v>
      </c>
      <c r="G376" s="7">
        <v>22690</v>
      </c>
      <c r="H376" s="7">
        <v>18840</v>
      </c>
      <c r="I376" s="7">
        <v>18860</v>
      </c>
      <c r="J376" s="7">
        <v>21420</v>
      </c>
      <c r="K376" s="7">
        <v>19000</v>
      </c>
      <c r="L376" s="3">
        <f t="shared" si="17"/>
        <v>200320</v>
      </c>
      <c r="M376" s="3">
        <v>187646.49999999997</v>
      </c>
      <c r="N376" s="3">
        <f t="shared" si="16"/>
        <v>200320</v>
      </c>
      <c r="O376">
        <v>24000</v>
      </c>
      <c r="P376">
        <v>30030</v>
      </c>
      <c r="Q376">
        <v>0</v>
      </c>
      <c r="R376" s="23" t="str">
        <f t="shared" si="18"/>
        <v>No</v>
      </c>
    </row>
    <row r="377" spans="1:18" x14ac:dyDescent="0.25">
      <c r="A377" s="1">
        <v>46001</v>
      </c>
      <c r="B377" s="7">
        <v>29690</v>
      </c>
      <c r="C377" s="7">
        <v>29160</v>
      </c>
      <c r="D377" s="7">
        <v>26220</v>
      </c>
      <c r="E377" s="7">
        <v>33210</v>
      </c>
      <c r="F377" s="7">
        <v>32520</v>
      </c>
      <c r="G377" s="7">
        <v>35280</v>
      </c>
      <c r="H377" s="7">
        <v>29010</v>
      </c>
      <c r="I377" s="7">
        <v>29600</v>
      </c>
      <c r="J377" s="7">
        <v>34410</v>
      </c>
      <c r="K377" s="7">
        <v>28850</v>
      </c>
      <c r="L377" s="3">
        <f t="shared" si="17"/>
        <v>307950</v>
      </c>
      <c r="M377" s="3">
        <v>333191.00000000006</v>
      </c>
      <c r="N377" s="3">
        <f t="shared" si="16"/>
        <v>333191.00000000006</v>
      </c>
      <c r="O377">
        <v>24000</v>
      </c>
      <c r="P377">
        <v>30030</v>
      </c>
      <c r="Q377">
        <v>0</v>
      </c>
      <c r="R377" s="23" t="str">
        <f t="shared" si="18"/>
        <v>No</v>
      </c>
    </row>
    <row r="378" spans="1:18" x14ac:dyDescent="0.25">
      <c r="A378" s="1">
        <v>46002</v>
      </c>
      <c r="B378" s="7">
        <v>12360</v>
      </c>
      <c r="C378" s="7">
        <v>12100</v>
      </c>
      <c r="D378" s="7">
        <v>10970</v>
      </c>
      <c r="E378" s="7">
        <v>13810</v>
      </c>
      <c r="F378" s="7">
        <v>13890</v>
      </c>
      <c r="G378" s="7">
        <v>14320</v>
      </c>
      <c r="H378" s="7">
        <v>11890</v>
      </c>
      <c r="I378" s="7">
        <v>11850</v>
      </c>
      <c r="J378" s="7">
        <v>13310</v>
      </c>
      <c r="K378" s="7">
        <v>11830</v>
      </c>
      <c r="L378" s="3">
        <f t="shared" si="17"/>
        <v>126330</v>
      </c>
      <c r="M378" s="3">
        <v>110573.16666666667</v>
      </c>
      <c r="N378" s="3">
        <f t="shared" si="16"/>
        <v>126330</v>
      </c>
      <c r="O378">
        <v>24000</v>
      </c>
      <c r="P378">
        <v>30030</v>
      </c>
      <c r="Q378">
        <v>0</v>
      </c>
      <c r="R378" s="23" t="str">
        <f t="shared" si="18"/>
        <v>No</v>
      </c>
    </row>
    <row r="379" spans="1:18" x14ac:dyDescent="0.25">
      <c r="A379" s="1">
        <v>46003</v>
      </c>
      <c r="B379" s="7">
        <v>19700</v>
      </c>
      <c r="C379" s="7">
        <v>19880</v>
      </c>
      <c r="D379" s="7">
        <v>17680</v>
      </c>
      <c r="E379" s="7">
        <v>22610</v>
      </c>
      <c r="F379" s="7">
        <v>22220</v>
      </c>
      <c r="G379" s="7">
        <v>23370</v>
      </c>
      <c r="H379" s="7">
        <v>19590</v>
      </c>
      <c r="I379" s="7">
        <v>19310</v>
      </c>
      <c r="J379" s="7">
        <v>20860</v>
      </c>
      <c r="K379" s="7">
        <v>19370</v>
      </c>
      <c r="L379" s="3">
        <f t="shared" si="17"/>
        <v>204590</v>
      </c>
      <c r="M379" s="3">
        <v>203411.16666666666</v>
      </c>
      <c r="N379" s="3">
        <f t="shared" si="16"/>
        <v>204590</v>
      </c>
      <c r="O379">
        <v>24000</v>
      </c>
      <c r="P379">
        <v>30030</v>
      </c>
      <c r="Q379">
        <v>0</v>
      </c>
      <c r="R379" s="23" t="str">
        <f t="shared" si="18"/>
        <v>No</v>
      </c>
    </row>
    <row r="380" spans="1:18" x14ac:dyDescent="0.25">
      <c r="A380" s="1">
        <v>46004</v>
      </c>
      <c r="B380" s="7">
        <v>18930</v>
      </c>
      <c r="C380" s="7">
        <v>18890</v>
      </c>
      <c r="D380" s="7">
        <v>16600</v>
      </c>
      <c r="E380" s="7">
        <v>21150</v>
      </c>
      <c r="F380" s="7">
        <v>20610</v>
      </c>
      <c r="G380" s="7">
        <v>6980</v>
      </c>
      <c r="H380" s="7">
        <v>5680</v>
      </c>
      <c r="I380" s="7">
        <v>5840</v>
      </c>
      <c r="J380" s="7">
        <v>6630</v>
      </c>
      <c r="K380" s="7">
        <v>5590</v>
      </c>
      <c r="L380" s="3">
        <f t="shared" si="17"/>
        <v>126900</v>
      </c>
      <c r="M380" s="3">
        <v>194576.16666666666</v>
      </c>
      <c r="N380" s="3">
        <f t="shared" si="16"/>
        <v>194576.16666666666</v>
      </c>
      <c r="O380">
        <v>24000</v>
      </c>
      <c r="P380">
        <v>15620</v>
      </c>
      <c r="Q380" s="3">
        <v>80690</v>
      </c>
      <c r="R380" s="23" t="str">
        <f t="shared" si="18"/>
        <v>Yes</v>
      </c>
    </row>
    <row r="381" spans="1:18" x14ac:dyDescent="0.25">
      <c r="A381" s="1">
        <v>46005</v>
      </c>
      <c r="B381" s="7">
        <v>20920</v>
      </c>
      <c r="C381" s="7">
        <v>20670</v>
      </c>
      <c r="D381" s="7">
        <v>18700</v>
      </c>
      <c r="E381" s="7">
        <v>23420</v>
      </c>
      <c r="F381" s="7">
        <v>23340</v>
      </c>
      <c r="G381" s="7">
        <v>24780</v>
      </c>
      <c r="H381" s="7">
        <v>19550</v>
      </c>
      <c r="I381" s="7">
        <v>20580</v>
      </c>
      <c r="J381" s="7">
        <v>23270</v>
      </c>
      <c r="K381" s="7">
        <v>19970</v>
      </c>
      <c r="L381" s="3">
        <f t="shared" si="17"/>
        <v>215200</v>
      </c>
      <c r="M381" s="3">
        <v>211703.5</v>
      </c>
      <c r="N381" s="3">
        <f t="shared" si="16"/>
        <v>215200</v>
      </c>
      <c r="O381">
        <v>24000</v>
      </c>
      <c r="P381">
        <v>30030</v>
      </c>
      <c r="Q381">
        <v>0</v>
      </c>
      <c r="R381" s="23" t="str">
        <f t="shared" si="18"/>
        <v>No</v>
      </c>
    </row>
    <row r="382" spans="1:18" x14ac:dyDescent="0.25">
      <c r="A382" s="1">
        <v>46006</v>
      </c>
      <c r="B382" s="7">
        <v>22450</v>
      </c>
      <c r="C382" s="7">
        <v>22380</v>
      </c>
      <c r="D382" s="7">
        <v>20060</v>
      </c>
      <c r="E382" s="7">
        <v>25300</v>
      </c>
      <c r="F382" s="7">
        <v>25450</v>
      </c>
      <c r="G382" s="7">
        <v>26430</v>
      </c>
      <c r="H382" s="7">
        <v>21480</v>
      </c>
      <c r="I382" s="7">
        <v>21930</v>
      </c>
      <c r="J382" s="7">
        <v>24320</v>
      </c>
      <c r="K382" s="7">
        <v>21650</v>
      </c>
      <c r="L382" s="3">
        <f t="shared" si="17"/>
        <v>231450</v>
      </c>
      <c r="M382" s="3">
        <v>223667.50000000003</v>
      </c>
      <c r="N382" s="3">
        <f t="shared" si="16"/>
        <v>231450</v>
      </c>
      <c r="O382">
        <v>24000</v>
      </c>
      <c r="P382">
        <v>30030</v>
      </c>
      <c r="Q382">
        <v>0</v>
      </c>
      <c r="R382" s="23" t="str">
        <f t="shared" si="18"/>
        <v>No</v>
      </c>
    </row>
    <row r="383" spans="1:18" x14ac:dyDescent="0.25">
      <c r="A383" s="1">
        <v>46007</v>
      </c>
      <c r="B383" s="7">
        <v>19950</v>
      </c>
      <c r="C383" s="7">
        <v>19790</v>
      </c>
      <c r="D383" s="7">
        <v>17940</v>
      </c>
      <c r="E383" s="7">
        <v>22610</v>
      </c>
      <c r="F383" s="7">
        <v>23320</v>
      </c>
      <c r="G383" s="7">
        <v>23620</v>
      </c>
      <c r="H383" s="7">
        <v>19690</v>
      </c>
      <c r="I383" s="7">
        <v>19690</v>
      </c>
      <c r="J383" s="7">
        <v>21820</v>
      </c>
      <c r="K383" s="7">
        <v>19580</v>
      </c>
      <c r="L383" s="3">
        <f t="shared" si="17"/>
        <v>208010</v>
      </c>
      <c r="M383" s="3">
        <v>195925.16666666666</v>
      </c>
      <c r="N383" s="3">
        <f t="shared" si="16"/>
        <v>208010</v>
      </c>
      <c r="O383">
        <v>24000</v>
      </c>
      <c r="P383">
        <v>30030</v>
      </c>
      <c r="Q383">
        <v>0</v>
      </c>
      <c r="R383" s="23" t="str">
        <f t="shared" si="18"/>
        <v>No</v>
      </c>
    </row>
    <row r="384" spans="1:18" x14ac:dyDescent="0.25">
      <c r="A384" s="1">
        <v>46008</v>
      </c>
      <c r="B384" s="7">
        <v>27390</v>
      </c>
      <c r="C384" s="7">
        <v>27520</v>
      </c>
      <c r="D384" s="7">
        <v>25280</v>
      </c>
      <c r="E384" s="7">
        <v>32420</v>
      </c>
      <c r="F384" s="7">
        <v>33020</v>
      </c>
      <c r="G384" s="7">
        <v>34580</v>
      </c>
      <c r="H384" s="7">
        <v>29420</v>
      </c>
      <c r="I384" s="7">
        <v>29110</v>
      </c>
      <c r="J384" s="7">
        <v>32740</v>
      </c>
      <c r="K384" s="7">
        <v>28910</v>
      </c>
      <c r="L384" s="3">
        <f t="shared" si="17"/>
        <v>300390</v>
      </c>
      <c r="M384" s="3">
        <v>313407.66666666663</v>
      </c>
      <c r="N384" s="3">
        <f t="shared" si="16"/>
        <v>313407.66666666663</v>
      </c>
      <c r="O384">
        <v>24000</v>
      </c>
      <c r="P384">
        <v>30030</v>
      </c>
      <c r="Q384">
        <v>0</v>
      </c>
      <c r="R384" s="23" t="str">
        <f t="shared" si="18"/>
        <v>No</v>
      </c>
    </row>
    <row r="385" spans="1:18" x14ac:dyDescent="0.25">
      <c r="A385" s="1">
        <v>46009</v>
      </c>
      <c r="B385" s="7">
        <v>28370</v>
      </c>
      <c r="C385" s="7">
        <v>28790</v>
      </c>
      <c r="D385" s="7">
        <v>26030</v>
      </c>
      <c r="E385" s="7">
        <v>33410</v>
      </c>
      <c r="F385" s="7">
        <v>34030</v>
      </c>
      <c r="G385" s="7">
        <v>36260</v>
      </c>
      <c r="H385" s="7">
        <v>30690</v>
      </c>
      <c r="I385" s="7">
        <v>30820</v>
      </c>
      <c r="J385" s="7">
        <v>35260</v>
      </c>
      <c r="K385" s="7">
        <v>30270</v>
      </c>
      <c r="L385" s="3">
        <f t="shared" si="17"/>
        <v>313930</v>
      </c>
      <c r="M385" s="3">
        <v>332860.99999999994</v>
      </c>
      <c r="N385" s="3">
        <f t="shared" si="16"/>
        <v>332860.99999999994</v>
      </c>
      <c r="O385">
        <v>24000</v>
      </c>
      <c r="P385">
        <v>30030</v>
      </c>
      <c r="Q385">
        <v>0</v>
      </c>
      <c r="R385" s="23" t="str">
        <f t="shared" si="18"/>
        <v>No</v>
      </c>
    </row>
    <row r="386" spans="1:18" x14ac:dyDescent="0.25">
      <c r="A386" s="1">
        <v>46010</v>
      </c>
      <c r="B386" s="7">
        <v>19980</v>
      </c>
      <c r="C386" s="7">
        <v>20040</v>
      </c>
      <c r="D386" s="7">
        <v>18030</v>
      </c>
      <c r="E386" s="7">
        <v>22980</v>
      </c>
      <c r="F386" s="7">
        <v>23240</v>
      </c>
      <c r="G386" s="7">
        <v>23700</v>
      </c>
      <c r="H386" s="7">
        <v>19870</v>
      </c>
      <c r="I386" s="7">
        <v>19360</v>
      </c>
      <c r="J386" s="7">
        <v>21870</v>
      </c>
      <c r="K386" s="7">
        <v>18780</v>
      </c>
      <c r="L386" s="3">
        <f t="shared" si="17"/>
        <v>207850</v>
      </c>
      <c r="M386" s="3">
        <v>198377.5</v>
      </c>
      <c r="N386" s="3">
        <f t="shared" si="16"/>
        <v>207850</v>
      </c>
      <c r="O386">
        <v>24000</v>
      </c>
      <c r="P386">
        <v>30030</v>
      </c>
      <c r="Q386">
        <v>0</v>
      </c>
      <c r="R386" s="23" t="str">
        <f t="shared" si="18"/>
        <v>No</v>
      </c>
    </row>
    <row r="387" spans="1:18" x14ac:dyDescent="0.25">
      <c r="A387" s="1">
        <v>46011</v>
      </c>
      <c r="B387" s="7">
        <v>18560</v>
      </c>
      <c r="C387" s="7">
        <v>18640</v>
      </c>
      <c r="D387" s="7">
        <v>16760</v>
      </c>
      <c r="E387" s="7">
        <v>21330</v>
      </c>
      <c r="F387" s="7">
        <v>21700</v>
      </c>
      <c r="G387" s="7">
        <v>22080</v>
      </c>
      <c r="H387" s="7">
        <v>18560</v>
      </c>
      <c r="I387" s="7">
        <v>18300</v>
      </c>
      <c r="J387" s="7">
        <v>21390</v>
      </c>
      <c r="K387" s="7">
        <v>18490</v>
      </c>
      <c r="L387" s="3">
        <f t="shared" si="17"/>
        <v>195810</v>
      </c>
      <c r="M387" s="3">
        <v>178679.33333333334</v>
      </c>
      <c r="N387" s="3">
        <f t="shared" ref="N387:N450" si="19">IF(OR(O387&lt;24300,P387&lt;25700),MAX(L387,M387),L387)</f>
        <v>195810</v>
      </c>
      <c r="O387">
        <v>24000</v>
      </c>
      <c r="P387">
        <v>30030</v>
      </c>
      <c r="Q387">
        <v>0</v>
      </c>
      <c r="R387" s="23" t="str">
        <f t="shared" si="18"/>
        <v>No</v>
      </c>
    </row>
    <row r="388" spans="1:18" x14ac:dyDescent="0.25">
      <c r="A388" s="1">
        <v>46012</v>
      </c>
      <c r="B388" s="7">
        <v>18540</v>
      </c>
      <c r="C388" s="7">
        <v>18650</v>
      </c>
      <c r="D388" s="7">
        <v>16730</v>
      </c>
      <c r="E388" s="7">
        <v>21130</v>
      </c>
      <c r="F388" s="7">
        <v>21570</v>
      </c>
      <c r="G388" s="7">
        <v>21780</v>
      </c>
      <c r="H388" s="7">
        <v>18030</v>
      </c>
      <c r="I388" s="7">
        <v>18040</v>
      </c>
      <c r="J388" s="7">
        <v>21520</v>
      </c>
      <c r="K388" s="7">
        <v>18530</v>
      </c>
      <c r="L388" s="3">
        <f t="shared" ref="L388:L451" si="20">SUM(B388:K388)</f>
        <v>194520</v>
      </c>
      <c r="M388" s="3">
        <v>188742.66666666669</v>
      </c>
      <c r="N388" s="3">
        <f t="shared" si="19"/>
        <v>194520</v>
      </c>
      <c r="O388">
        <v>24000</v>
      </c>
      <c r="P388">
        <v>30030</v>
      </c>
      <c r="Q388">
        <v>0</v>
      </c>
      <c r="R388" s="23" t="str">
        <f t="shared" si="18"/>
        <v>No</v>
      </c>
    </row>
    <row r="389" spans="1:18" x14ac:dyDescent="0.25">
      <c r="A389" s="1">
        <v>46013</v>
      </c>
      <c r="B389" s="7">
        <v>24880</v>
      </c>
      <c r="C389" s="7">
        <v>24920</v>
      </c>
      <c r="D389" s="7">
        <v>22230</v>
      </c>
      <c r="E389" s="7">
        <v>28140</v>
      </c>
      <c r="F389" s="7">
        <v>28370</v>
      </c>
      <c r="G389" s="7">
        <v>29710</v>
      </c>
      <c r="H389" s="7">
        <v>24390</v>
      </c>
      <c r="I389" s="7">
        <v>24900</v>
      </c>
      <c r="J389" s="7">
        <v>30070</v>
      </c>
      <c r="K389" s="7">
        <v>25900</v>
      </c>
      <c r="L389" s="3">
        <f t="shared" si="20"/>
        <v>263510</v>
      </c>
      <c r="M389" s="3">
        <v>268627.5</v>
      </c>
      <c r="N389" s="3">
        <f t="shared" si="19"/>
        <v>268627.5</v>
      </c>
      <c r="O389">
        <v>24000</v>
      </c>
      <c r="P389">
        <v>27100</v>
      </c>
      <c r="Q389" s="3">
        <v>6655</v>
      </c>
      <c r="R389" s="23" t="str">
        <f t="shared" si="18"/>
        <v>Yes</v>
      </c>
    </row>
    <row r="390" spans="1:18" x14ac:dyDescent="0.25">
      <c r="A390" s="1">
        <v>46014</v>
      </c>
      <c r="B390" s="7">
        <v>22320</v>
      </c>
      <c r="C390" s="7">
        <v>22220</v>
      </c>
      <c r="D390" s="7">
        <v>20230</v>
      </c>
      <c r="E390" s="7">
        <v>25550</v>
      </c>
      <c r="F390" s="7">
        <v>26200</v>
      </c>
      <c r="G390" s="7">
        <v>26780</v>
      </c>
      <c r="H390" s="7">
        <v>22170</v>
      </c>
      <c r="I390" s="7">
        <v>22450</v>
      </c>
      <c r="J390" s="7">
        <v>26290</v>
      </c>
      <c r="K390" s="7">
        <v>23390</v>
      </c>
      <c r="L390" s="3">
        <f t="shared" si="20"/>
        <v>237600</v>
      </c>
      <c r="M390" s="3">
        <v>224517.66666666666</v>
      </c>
      <c r="N390" s="3">
        <f t="shared" si="19"/>
        <v>237600</v>
      </c>
      <c r="O390">
        <v>24000</v>
      </c>
      <c r="P390">
        <v>30030</v>
      </c>
      <c r="Q390">
        <v>0</v>
      </c>
      <c r="R390" s="23" t="str">
        <f t="shared" si="18"/>
        <v>No</v>
      </c>
    </row>
    <row r="391" spans="1:18" x14ac:dyDescent="0.25">
      <c r="A391" s="1">
        <v>46015</v>
      </c>
      <c r="B391" s="7">
        <v>27770</v>
      </c>
      <c r="C391" s="7">
        <v>28010</v>
      </c>
      <c r="D391" s="7">
        <v>25400</v>
      </c>
      <c r="E391" s="7">
        <v>32610</v>
      </c>
      <c r="F391" s="7">
        <v>33030</v>
      </c>
      <c r="G391" s="7">
        <v>34360</v>
      </c>
      <c r="H391" s="7">
        <v>28920</v>
      </c>
      <c r="I391" s="7">
        <v>29420</v>
      </c>
      <c r="J391" s="7">
        <v>34170</v>
      </c>
      <c r="K391" s="7">
        <v>31110</v>
      </c>
      <c r="L391" s="3">
        <f t="shared" si="20"/>
        <v>304800</v>
      </c>
      <c r="M391" s="3">
        <v>303559.16666666674</v>
      </c>
      <c r="N391" s="3">
        <f t="shared" si="19"/>
        <v>304800</v>
      </c>
      <c r="O391">
        <v>24000</v>
      </c>
      <c r="P391">
        <v>30030</v>
      </c>
      <c r="Q391">
        <v>0</v>
      </c>
      <c r="R391" s="23" t="str">
        <f t="shared" si="18"/>
        <v>No</v>
      </c>
    </row>
    <row r="392" spans="1:18" x14ac:dyDescent="0.25">
      <c r="A392" s="1">
        <v>46016</v>
      </c>
      <c r="B392" s="7">
        <v>26680</v>
      </c>
      <c r="C392" s="7">
        <v>26770</v>
      </c>
      <c r="D392" s="7">
        <v>24500</v>
      </c>
      <c r="E392" s="7">
        <v>31230</v>
      </c>
      <c r="F392" s="7">
        <v>31790</v>
      </c>
      <c r="G392" s="7">
        <v>32750</v>
      </c>
      <c r="H392" s="7">
        <v>27410</v>
      </c>
      <c r="I392" s="7">
        <v>27970</v>
      </c>
      <c r="J392" s="7">
        <v>32770</v>
      </c>
      <c r="K392" s="7">
        <v>29210</v>
      </c>
      <c r="L392" s="3">
        <f t="shared" si="20"/>
        <v>291080</v>
      </c>
      <c r="M392" s="3">
        <v>291080.83333333331</v>
      </c>
      <c r="N392" s="3">
        <f t="shared" si="19"/>
        <v>291080.83333333331</v>
      </c>
      <c r="O392">
        <v>24000</v>
      </c>
      <c r="P392">
        <v>30030</v>
      </c>
      <c r="Q392">
        <v>0</v>
      </c>
      <c r="R392" s="23" t="str">
        <f t="shared" si="18"/>
        <v>No</v>
      </c>
    </row>
    <row r="393" spans="1:18" x14ac:dyDescent="0.25">
      <c r="A393" s="1">
        <v>46017</v>
      </c>
      <c r="B393" s="7">
        <v>22210</v>
      </c>
      <c r="C393" s="7">
        <v>22010</v>
      </c>
      <c r="D393" s="7">
        <v>20130</v>
      </c>
      <c r="E393" s="7">
        <v>25330</v>
      </c>
      <c r="F393" s="7">
        <v>25760</v>
      </c>
      <c r="G393" s="7">
        <v>27150</v>
      </c>
      <c r="H393" s="7">
        <v>22010</v>
      </c>
      <c r="I393" s="7">
        <v>23230</v>
      </c>
      <c r="J393" s="7">
        <v>28100</v>
      </c>
      <c r="K393" s="7">
        <v>23660</v>
      </c>
      <c r="L393" s="3">
        <f t="shared" si="20"/>
        <v>239590</v>
      </c>
      <c r="M393" s="3">
        <v>244318.16666666669</v>
      </c>
      <c r="N393" s="3">
        <f t="shared" si="19"/>
        <v>244318.16666666669</v>
      </c>
      <c r="O393">
        <v>24000</v>
      </c>
      <c r="P393">
        <v>30030</v>
      </c>
      <c r="Q393">
        <v>0</v>
      </c>
      <c r="R393" s="23" t="str">
        <f t="shared" si="18"/>
        <v>No</v>
      </c>
    </row>
    <row r="394" spans="1:18" x14ac:dyDescent="0.25">
      <c r="A394" s="1">
        <v>46018</v>
      </c>
      <c r="B394" s="7">
        <v>16600</v>
      </c>
      <c r="C394" s="7">
        <v>16580</v>
      </c>
      <c r="D394" s="7">
        <v>14860</v>
      </c>
      <c r="E394" s="7">
        <v>18770</v>
      </c>
      <c r="F394" s="7">
        <v>19320</v>
      </c>
      <c r="G394" s="7">
        <v>19560</v>
      </c>
      <c r="H394" s="7">
        <v>16340</v>
      </c>
      <c r="I394" s="7">
        <v>16500</v>
      </c>
      <c r="J394" s="7">
        <v>19330</v>
      </c>
      <c r="K394" s="7">
        <v>17250</v>
      </c>
      <c r="L394" s="3">
        <f t="shared" si="20"/>
        <v>175110</v>
      </c>
      <c r="M394" s="3">
        <v>152374.33333333334</v>
      </c>
      <c r="N394" s="3">
        <f t="shared" si="19"/>
        <v>175110</v>
      </c>
      <c r="O394">
        <v>24000</v>
      </c>
      <c r="P394">
        <v>30030</v>
      </c>
      <c r="Q394">
        <v>0</v>
      </c>
      <c r="R394" s="23" t="str">
        <f t="shared" si="18"/>
        <v>No</v>
      </c>
    </row>
    <row r="395" spans="1:18" x14ac:dyDescent="0.25">
      <c r="A395" s="1">
        <v>46019</v>
      </c>
      <c r="B395" s="7">
        <v>29610</v>
      </c>
      <c r="C395" s="7">
        <v>29780</v>
      </c>
      <c r="D395" s="7">
        <v>27040</v>
      </c>
      <c r="E395" s="7">
        <v>34240</v>
      </c>
      <c r="F395" s="7">
        <v>35300</v>
      </c>
      <c r="G395" s="7">
        <v>35720</v>
      </c>
      <c r="H395" s="7">
        <v>30610</v>
      </c>
      <c r="I395" s="7">
        <v>30560</v>
      </c>
      <c r="J395" s="7">
        <v>36240</v>
      </c>
      <c r="K395" s="7">
        <v>32220</v>
      </c>
      <c r="L395" s="3">
        <f t="shared" si="20"/>
        <v>321320</v>
      </c>
      <c r="M395" s="3">
        <v>325469.5</v>
      </c>
      <c r="N395" s="3">
        <f t="shared" si="19"/>
        <v>325469.5</v>
      </c>
      <c r="O395">
        <v>24000</v>
      </c>
      <c r="P395">
        <v>30030</v>
      </c>
      <c r="Q395">
        <v>0</v>
      </c>
      <c r="R395" s="23" t="str">
        <f t="shared" si="18"/>
        <v>No</v>
      </c>
    </row>
    <row r="396" spans="1:18" x14ac:dyDescent="0.25">
      <c r="A396" s="1">
        <v>46020</v>
      </c>
      <c r="B396" s="7">
        <v>19390</v>
      </c>
      <c r="C396" s="7">
        <v>18920</v>
      </c>
      <c r="D396" s="7">
        <v>17650</v>
      </c>
      <c r="E396" s="7">
        <v>22200</v>
      </c>
      <c r="F396" s="7">
        <v>22320</v>
      </c>
      <c r="G396" s="7">
        <v>22930</v>
      </c>
      <c r="H396" s="7">
        <v>18740</v>
      </c>
      <c r="I396" s="7">
        <v>19300</v>
      </c>
      <c r="J396" s="7">
        <v>23210</v>
      </c>
      <c r="K396" s="7">
        <v>19920</v>
      </c>
      <c r="L396" s="3">
        <f t="shared" si="20"/>
        <v>204580</v>
      </c>
      <c r="M396" s="3">
        <v>201552.83333333331</v>
      </c>
      <c r="N396" s="3">
        <f t="shared" si="19"/>
        <v>204580</v>
      </c>
      <c r="O396">
        <v>24000</v>
      </c>
      <c r="P396">
        <v>30030</v>
      </c>
      <c r="Q396">
        <v>0</v>
      </c>
      <c r="R396" s="23" t="str">
        <f t="shared" si="18"/>
        <v>No</v>
      </c>
    </row>
    <row r="397" spans="1:18" x14ac:dyDescent="0.25">
      <c r="A397" s="1">
        <v>46021</v>
      </c>
      <c r="B397" s="7">
        <v>17950</v>
      </c>
      <c r="C397" s="7">
        <v>17840</v>
      </c>
      <c r="D397" s="7">
        <v>16370</v>
      </c>
      <c r="E397" s="7">
        <v>20610</v>
      </c>
      <c r="F397" s="7">
        <v>21370</v>
      </c>
      <c r="G397" s="7">
        <v>2410</v>
      </c>
      <c r="H397" s="7">
        <v>2040</v>
      </c>
      <c r="I397" s="7">
        <v>2050</v>
      </c>
      <c r="J397" s="7">
        <v>2380</v>
      </c>
      <c r="K397" s="7">
        <v>2130</v>
      </c>
      <c r="L397" s="3">
        <f t="shared" si="20"/>
        <v>105150</v>
      </c>
      <c r="M397" s="3">
        <v>176164.66666666666</v>
      </c>
      <c r="N397" s="3">
        <f t="shared" si="19"/>
        <v>176164.66666666666</v>
      </c>
      <c r="O397">
        <v>22900</v>
      </c>
      <c r="P397">
        <v>8675</v>
      </c>
      <c r="Q397" s="3">
        <v>84858</v>
      </c>
      <c r="R397" s="23" t="str">
        <f t="shared" si="18"/>
        <v>Yes</v>
      </c>
    </row>
    <row r="398" spans="1:18" ht="45" customHeight="1" x14ac:dyDescent="0.25">
      <c r="A398" s="1">
        <v>46022</v>
      </c>
      <c r="B398" s="7">
        <v>19390</v>
      </c>
      <c r="C398" s="7">
        <v>19080</v>
      </c>
      <c r="D398" s="7">
        <v>17850</v>
      </c>
      <c r="E398" s="7">
        <v>22300</v>
      </c>
      <c r="F398" s="7">
        <v>23060</v>
      </c>
      <c r="G398" s="7">
        <v>3920</v>
      </c>
      <c r="H398" s="7">
        <v>3330</v>
      </c>
      <c r="I398" s="7">
        <v>3230</v>
      </c>
      <c r="J398" s="7">
        <v>3460</v>
      </c>
      <c r="K398" s="7">
        <v>3310</v>
      </c>
      <c r="L398" s="3">
        <f t="shared" si="20"/>
        <v>118930</v>
      </c>
      <c r="M398" s="3">
        <v>209765.16666666666</v>
      </c>
      <c r="N398" s="3">
        <f t="shared" si="19"/>
        <v>209765.16666666666</v>
      </c>
      <c r="O398">
        <v>24000</v>
      </c>
      <c r="P398">
        <v>11092</v>
      </c>
      <c r="Q398" s="3">
        <v>98923</v>
      </c>
      <c r="R398" s="23" t="str">
        <f t="shared" si="18"/>
        <v>Yes</v>
      </c>
    </row>
    <row r="399" spans="1:18" x14ac:dyDescent="0.25">
      <c r="A399" s="1">
        <v>46023</v>
      </c>
      <c r="B399" s="7">
        <v>16380</v>
      </c>
      <c r="C399" s="7">
        <v>16320</v>
      </c>
      <c r="D399" s="7">
        <v>14710</v>
      </c>
      <c r="E399" s="7">
        <v>18510</v>
      </c>
      <c r="F399" s="7">
        <v>19180</v>
      </c>
      <c r="G399" s="7">
        <v>19330</v>
      </c>
      <c r="H399" s="7">
        <v>16430</v>
      </c>
      <c r="I399" s="7">
        <v>16370</v>
      </c>
      <c r="J399" s="7">
        <v>18620</v>
      </c>
      <c r="K399" s="7">
        <v>16910</v>
      </c>
      <c r="L399" s="3">
        <f t="shared" si="20"/>
        <v>172760</v>
      </c>
      <c r="M399" s="3">
        <v>155399.33333333334</v>
      </c>
      <c r="N399" s="3">
        <f t="shared" si="19"/>
        <v>172760</v>
      </c>
      <c r="O399">
        <v>24000</v>
      </c>
      <c r="P399">
        <v>30030</v>
      </c>
      <c r="Q399">
        <v>0</v>
      </c>
      <c r="R399" s="23" t="str">
        <f t="shared" si="18"/>
        <v>No</v>
      </c>
    </row>
    <row r="400" spans="1:18" x14ac:dyDescent="0.25">
      <c r="A400" s="1">
        <v>46024</v>
      </c>
      <c r="B400" s="7">
        <v>27910</v>
      </c>
      <c r="C400" s="7">
        <v>27890</v>
      </c>
      <c r="D400" s="7">
        <v>25310</v>
      </c>
      <c r="E400" s="7">
        <v>32000</v>
      </c>
      <c r="F400" s="7">
        <v>32610</v>
      </c>
      <c r="G400" s="7">
        <v>29320</v>
      </c>
      <c r="H400" s="7">
        <v>24920</v>
      </c>
      <c r="I400" s="7">
        <v>24900</v>
      </c>
      <c r="J400" s="7">
        <v>28570</v>
      </c>
      <c r="K400" s="7">
        <v>25410</v>
      </c>
      <c r="L400" s="3">
        <f t="shared" si="20"/>
        <v>278840</v>
      </c>
      <c r="M400" s="3">
        <v>295942.16666666669</v>
      </c>
      <c r="N400" s="3">
        <f t="shared" si="19"/>
        <v>295942.16666666669</v>
      </c>
      <c r="O400">
        <v>24000</v>
      </c>
      <c r="P400">
        <v>25054</v>
      </c>
      <c r="Q400" s="3">
        <v>38570</v>
      </c>
      <c r="R400" s="23" t="str">
        <f t="shared" si="18"/>
        <v>Yes</v>
      </c>
    </row>
    <row r="401" spans="1:18" x14ac:dyDescent="0.25">
      <c r="A401" s="1">
        <v>46025</v>
      </c>
      <c r="B401" s="7">
        <v>25720</v>
      </c>
      <c r="C401" s="7">
        <v>25690</v>
      </c>
      <c r="D401" s="7">
        <v>23260</v>
      </c>
      <c r="E401" s="7">
        <v>29470</v>
      </c>
      <c r="F401" s="7">
        <v>29910</v>
      </c>
      <c r="G401" s="7">
        <v>30730</v>
      </c>
      <c r="H401" s="7">
        <v>25810</v>
      </c>
      <c r="I401" s="7">
        <v>25940</v>
      </c>
      <c r="J401" s="7">
        <v>29840</v>
      </c>
      <c r="K401" s="7">
        <v>26580</v>
      </c>
      <c r="L401" s="3">
        <f t="shared" si="20"/>
        <v>272950</v>
      </c>
      <c r="M401" s="3">
        <v>262414</v>
      </c>
      <c r="N401" s="3">
        <f t="shared" si="19"/>
        <v>272950</v>
      </c>
      <c r="O401">
        <v>24000</v>
      </c>
      <c r="P401">
        <v>29446</v>
      </c>
      <c r="Q401">
        <v>250</v>
      </c>
      <c r="R401" s="23" t="str">
        <f t="shared" si="18"/>
        <v>Yes</v>
      </c>
    </row>
    <row r="402" spans="1:18" x14ac:dyDescent="0.25">
      <c r="A402" s="1">
        <v>46026</v>
      </c>
      <c r="B402" s="7">
        <v>18390</v>
      </c>
      <c r="C402" s="7">
        <v>18340</v>
      </c>
      <c r="D402" s="7">
        <v>16570</v>
      </c>
      <c r="E402" s="7">
        <v>20830</v>
      </c>
      <c r="F402" s="7">
        <v>21600</v>
      </c>
      <c r="G402" s="7">
        <v>21740</v>
      </c>
      <c r="H402" s="7">
        <v>18570</v>
      </c>
      <c r="I402" s="7">
        <v>18510</v>
      </c>
      <c r="J402" s="7">
        <v>21670</v>
      </c>
      <c r="K402" s="7">
        <v>19280</v>
      </c>
      <c r="L402" s="3">
        <f t="shared" si="20"/>
        <v>195500</v>
      </c>
      <c r="M402" s="3">
        <v>173030.49999999997</v>
      </c>
      <c r="N402" s="3">
        <f t="shared" si="19"/>
        <v>195500</v>
      </c>
      <c r="O402">
        <v>24000</v>
      </c>
      <c r="P402">
        <v>30030</v>
      </c>
      <c r="Q402">
        <v>0</v>
      </c>
      <c r="R402" s="23" t="str">
        <f t="shared" si="18"/>
        <v>No</v>
      </c>
    </row>
    <row r="403" spans="1:18" x14ac:dyDescent="0.25">
      <c r="A403" s="1">
        <v>46027</v>
      </c>
      <c r="B403" s="7">
        <v>26190</v>
      </c>
      <c r="C403" s="7">
        <v>26080</v>
      </c>
      <c r="D403" s="7">
        <v>23700</v>
      </c>
      <c r="E403" s="7">
        <v>29710</v>
      </c>
      <c r="F403" s="7">
        <v>30720</v>
      </c>
      <c r="G403" s="7">
        <v>31520</v>
      </c>
      <c r="H403" s="7">
        <v>26660</v>
      </c>
      <c r="I403" s="7">
        <v>26940</v>
      </c>
      <c r="J403" s="7">
        <v>31800</v>
      </c>
      <c r="K403" s="7">
        <v>27810</v>
      </c>
      <c r="L403" s="3">
        <f t="shared" si="20"/>
        <v>281130</v>
      </c>
      <c r="M403" s="3">
        <v>269841.83333333331</v>
      </c>
      <c r="N403" s="3">
        <f t="shared" si="19"/>
        <v>281130</v>
      </c>
      <c r="O403">
        <v>24000</v>
      </c>
      <c r="P403">
        <v>29201</v>
      </c>
      <c r="Q403">
        <v>627</v>
      </c>
      <c r="R403" s="23" t="str">
        <f t="shared" si="18"/>
        <v>Yes</v>
      </c>
    </row>
    <row r="404" spans="1:18" x14ac:dyDescent="0.25">
      <c r="A404" s="1">
        <v>46028</v>
      </c>
      <c r="B404" s="7">
        <v>26690</v>
      </c>
      <c r="C404" s="7">
        <v>23550</v>
      </c>
      <c r="D404" s="7">
        <v>21310</v>
      </c>
      <c r="E404" s="7">
        <v>26900</v>
      </c>
      <c r="F404" s="7">
        <v>27660</v>
      </c>
      <c r="G404" s="7">
        <v>27850</v>
      </c>
      <c r="H404" s="7">
        <v>23930</v>
      </c>
      <c r="I404" s="7">
        <v>23610</v>
      </c>
      <c r="J404" s="7">
        <v>27410</v>
      </c>
      <c r="K404" s="7">
        <v>24650</v>
      </c>
      <c r="L404" s="3">
        <f t="shared" si="20"/>
        <v>253560</v>
      </c>
      <c r="M404" s="3">
        <v>241938.83333333334</v>
      </c>
      <c r="N404" s="3">
        <f t="shared" si="19"/>
        <v>253560</v>
      </c>
      <c r="O404">
        <v>24000</v>
      </c>
      <c r="P404">
        <v>28640</v>
      </c>
      <c r="Q404" s="3">
        <v>3502</v>
      </c>
      <c r="R404" s="23" t="str">
        <f t="shared" si="18"/>
        <v>Yes</v>
      </c>
    </row>
    <row r="405" spans="1:18" x14ac:dyDescent="0.25">
      <c r="A405" s="1">
        <v>46029</v>
      </c>
      <c r="B405" s="7">
        <v>25770</v>
      </c>
      <c r="C405" s="7">
        <v>25670</v>
      </c>
      <c r="D405" s="7">
        <v>23160</v>
      </c>
      <c r="E405" s="7">
        <v>29420</v>
      </c>
      <c r="F405" s="7">
        <v>30100</v>
      </c>
      <c r="G405" s="7">
        <v>29760</v>
      </c>
      <c r="H405" s="7">
        <v>25050</v>
      </c>
      <c r="I405" s="7">
        <v>25250</v>
      </c>
      <c r="J405" s="7">
        <v>29410</v>
      </c>
      <c r="K405" s="7">
        <v>26380</v>
      </c>
      <c r="L405" s="3">
        <f t="shared" si="20"/>
        <v>269970</v>
      </c>
      <c r="M405" s="3">
        <v>280723.99999999994</v>
      </c>
      <c r="N405" s="3">
        <f t="shared" si="19"/>
        <v>280723.99999999994</v>
      </c>
      <c r="O405">
        <v>24000</v>
      </c>
      <c r="P405">
        <v>26723</v>
      </c>
      <c r="Q405" s="3">
        <v>9833</v>
      </c>
      <c r="R405" s="23" t="str">
        <f t="shared" si="18"/>
        <v>Yes</v>
      </c>
    </row>
    <row r="406" spans="1:18" x14ac:dyDescent="0.25">
      <c r="A406" s="1">
        <v>46030</v>
      </c>
      <c r="B406" s="7">
        <v>20120</v>
      </c>
      <c r="C406" s="7">
        <v>20330</v>
      </c>
      <c r="D406" s="7">
        <v>18150</v>
      </c>
      <c r="E406" s="7">
        <v>23460</v>
      </c>
      <c r="F406" s="7">
        <v>23410</v>
      </c>
      <c r="G406" s="7">
        <v>24380</v>
      </c>
      <c r="H406" s="7">
        <v>21160</v>
      </c>
      <c r="I406" s="7">
        <v>20680</v>
      </c>
      <c r="J406" s="7">
        <v>23050</v>
      </c>
      <c r="K406" s="7">
        <v>21550</v>
      </c>
      <c r="L406" s="3">
        <f t="shared" si="20"/>
        <v>216290</v>
      </c>
      <c r="M406" s="3">
        <v>218386.5</v>
      </c>
      <c r="N406" s="3">
        <f t="shared" si="19"/>
        <v>218386.5</v>
      </c>
      <c r="O406">
        <v>24000</v>
      </c>
      <c r="P406">
        <v>30030</v>
      </c>
      <c r="Q406">
        <v>0</v>
      </c>
      <c r="R406" s="23" t="str">
        <f t="shared" si="18"/>
        <v>No</v>
      </c>
    </row>
    <row r="407" spans="1:18" ht="88.5" customHeight="1" x14ac:dyDescent="0.25">
      <c r="A407" s="1">
        <v>46031</v>
      </c>
      <c r="B407" s="7">
        <v>24000</v>
      </c>
      <c r="C407" s="7">
        <v>23750</v>
      </c>
      <c r="D407" s="7">
        <v>21550</v>
      </c>
      <c r="E407" s="7">
        <v>27190</v>
      </c>
      <c r="F407" s="7">
        <v>27790</v>
      </c>
      <c r="G407" s="7">
        <v>27840</v>
      </c>
      <c r="H407" s="7">
        <v>23770</v>
      </c>
      <c r="I407" s="7">
        <v>23460</v>
      </c>
      <c r="J407" s="7">
        <v>26950</v>
      </c>
      <c r="K407" s="7">
        <v>23820</v>
      </c>
      <c r="L407" s="3">
        <f t="shared" si="20"/>
        <v>250120</v>
      </c>
      <c r="M407" s="3">
        <v>249694.16666666669</v>
      </c>
      <c r="N407" s="3">
        <f t="shared" si="19"/>
        <v>250120</v>
      </c>
      <c r="O407">
        <v>24000</v>
      </c>
      <c r="P407">
        <v>26982</v>
      </c>
      <c r="Q407" s="3">
        <v>23651</v>
      </c>
      <c r="R407" s="23" t="str">
        <f t="shared" si="18"/>
        <v>Yes</v>
      </c>
    </row>
    <row r="408" spans="1:18" x14ac:dyDescent="0.25">
      <c r="A408" s="1">
        <v>46032</v>
      </c>
      <c r="B408" s="7">
        <v>27530</v>
      </c>
      <c r="C408" s="7">
        <v>27050</v>
      </c>
      <c r="D408" s="7">
        <v>24630</v>
      </c>
      <c r="E408" s="7">
        <v>30800</v>
      </c>
      <c r="F408" s="7">
        <v>31750</v>
      </c>
      <c r="G408" s="7">
        <v>30800</v>
      </c>
      <c r="H408" s="7">
        <v>26220</v>
      </c>
      <c r="I408" s="7">
        <v>26280</v>
      </c>
      <c r="J408" s="7">
        <v>30960</v>
      </c>
      <c r="K408" s="7">
        <v>26770</v>
      </c>
      <c r="L408" s="3">
        <f t="shared" si="20"/>
        <v>282790</v>
      </c>
      <c r="M408" s="3">
        <v>299888</v>
      </c>
      <c r="N408" s="3">
        <f t="shared" si="19"/>
        <v>299888</v>
      </c>
      <c r="O408">
        <v>24000</v>
      </c>
      <c r="P408">
        <v>30030</v>
      </c>
      <c r="Q408">
        <v>0</v>
      </c>
      <c r="R408" s="23" t="str">
        <f t="shared" si="18"/>
        <v>No</v>
      </c>
    </row>
    <row r="409" spans="1:18" x14ac:dyDescent="0.25">
      <c r="A409" s="1">
        <v>46033</v>
      </c>
      <c r="B409" s="7">
        <v>15240</v>
      </c>
      <c r="C409" s="7">
        <v>14990</v>
      </c>
      <c r="D409" s="7">
        <v>13430</v>
      </c>
      <c r="E409" s="7">
        <v>16990</v>
      </c>
      <c r="F409" s="7">
        <v>17460</v>
      </c>
      <c r="G409" s="7">
        <v>17560</v>
      </c>
      <c r="H409" s="7">
        <v>15030</v>
      </c>
      <c r="I409" s="7">
        <v>14900</v>
      </c>
      <c r="J409" s="7">
        <v>17300</v>
      </c>
      <c r="K409" s="7">
        <v>15560</v>
      </c>
      <c r="L409" s="3">
        <f t="shared" si="20"/>
        <v>158460</v>
      </c>
      <c r="M409" s="3">
        <v>141145.83333333334</v>
      </c>
      <c r="N409" s="3">
        <f t="shared" si="19"/>
        <v>158460</v>
      </c>
      <c r="O409">
        <v>24000</v>
      </c>
      <c r="P409">
        <v>27811</v>
      </c>
      <c r="Q409" s="3">
        <v>2047</v>
      </c>
      <c r="R409" s="23" t="str">
        <f t="shared" si="18"/>
        <v>Yes</v>
      </c>
    </row>
    <row r="410" spans="1:18" x14ac:dyDescent="0.25">
      <c r="A410" s="1">
        <v>46034</v>
      </c>
      <c r="B410" s="7">
        <v>28490</v>
      </c>
      <c r="C410" s="7">
        <v>27770</v>
      </c>
      <c r="D410" s="7">
        <v>25200</v>
      </c>
      <c r="E410" s="7">
        <v>31600</v>
      </c>
      <c r="F410" s="7">
        <v>32380</v>
      </c>
      <c r="G410" s="7">
        <v>32690</v>
      </c>
      <c r="H410" s="7">
        <v>27370</v>
      </c>
      <c r="I410" s="7">
        <v>27950</v>
      </c>
      <c r="J410" s="7">
        <v>32220</v>
      </c>
      <c r="K410" s="7">
        <v>28640</v>
      </c>
      <c r="L410" s="3">
        <f t="shared" si="20"/>
        <v>294310</v>
      </c>
      <c r="M410" s="3">
        <v>313209.16666666669</v>
      </c>
      <c r="N410" s="3">
        <f t="shared" si="19"/>
        <v>313209.16666666669</v>
      </c>
      <c r="O410">
        <v>24000</v>
      </c>
      <c r="P410">
        <v>26235</v>
      </c>
      <c r="Q410" s="3">
        <v>5690</v>
      </c>
      <c r="R410" s="23" t="str">
        <f t="shared" si="18"/>
        <v>Yes</v>
      </c>
    </row>
    <row r="411" spans="1:18" x14ac:dyDescent="0.25">
      <c r="A411" s="1">
        <v>46035</v>
      </c>
      <c r="B411" s="7">
        <v>21280</v>
      </c>
      <c r="C411" s="7">
        <v>21260</v>
      </c>
      <c r="D411" s="7">
        <v>18850</v>
      </c>
      <c r="E411" s="7">
        <v>24130</v>
      </c>
      <c r="F411" s="7">
        <v>24380</v>
      </c>
      <c r="G411" s="7">
        <v>2990</v>
      </c>
      <c r="H411" s="7">
        <v>2620</v>
      </c>
      <c r="I411" s="7">
        <v>2560</v>
      </c>
      <c r="J411" s="7">
        <v>2900</v>
      </c>
      <c r="K411" s="7">
        <v>2640</v>
      </c>
      <c r="L411" s="3">
        <f t="shared" si="20"/>
        <v>123610</v>
      </c>
      <c r="M411" s="3">
        <v>232900.33333333337</v>
      </c>
      <c r="N411" s="3">
        <f t="shared" si="19"/>
        <v>232900.33333333337</v>
      </c>
      <c r="O411">
        <v>24000</v>
      </c>
      <c r="P411">
        <v>9000</v>
      </c>
      <c r="Q411" s="3">
        <v>118273</v>
      </c>
      <c r="R411" s="23" t="str">
        <f t="shared" si="18"/>
        <v>Yes</v>
      </c>
    </row>
    <row r="412" spans="1:18" ht="48" customHeight="1" x14ac:dyDescent="0.25">
      <c r="A412" s="1">
        <v>46036</v>
      </c>
      <c r="B412" s="7">
        <v>19330</v>
      </c>
      <c r="C412" s="7">
        <v>18880</v>
      </c>
      <c r="D412" s="7">
        <v>17110</v>
      </c>
      <c r="E412" s="7">
        <v>21540</v>
      </c>
      <c r="F412" s="7">
        <v>22340</v>
      </c>
      <c r="G412" s="7">
        <v>20570</v>
      </c>
      <c r="H412" s="7">
        <v>17540</v>
      </c>
      <c r="I412" s="7">
        <v>17550</v>
      </c>
      <c r="J412" s="7">
        <v>20790</v>
      </c>
      <c r="K412" s="7">
        <v>18040</v>
      </c>
      <c r="L412" s="3">
        <f t="shared" si="20"/>
        <v>193690</v>
      </c>
      <c r="M412" s="3">
        <v>183158.66666666669</v>
      </c>
      <c r="N412" s="3">
        <f t="shared" si="19"/>
        <v>193690</v>
      </c>
      <c r="O412">
        <v>24000</v>
      </c>
      <c r="P412">
        <v>24560</v>
      </c>
      <c r="Q412" s="3">
        <v>23142</v>
      </c>
      <c r="R412" s="23" t="str">
        <f t="shared" si="18"/>
        <v>Yes</v>
      </c>
    </row>
    <row r="413" spans="1:18" x14ac:dyDescent="0.25">
      <c r="A413" s="1">
        <v>46037</v>
      </c>
      <c r="B413" s="7">
        <v>29470</v>
      </c>
      <c r="C413" s="7">
        <v>29620</v>
      </c>
      <c r="D413" s="7">
        <v>27060</v>
      </c>
      <c r="E413" s="7">
        <v>34830</v>
      </c>
      <c r="F413" s="7">
        <v>35050</v>
      </c>
      <c r="G413" s="7">
        <v>33480</v>
      </c>
      <c r="H413" s="7">
        <v>28610</v>
      </c>
      <c r="I413" s="7">
        <v>29010</v>
      </c>
      <c r="J413" s="7">
        <v>33650</v>
      </c>
      <c r="K413" s="7">
        <v>30230</v>
      </c>
      <c r="L413" s="3">
        <f t="shared" si="20"/>
        <v>311010</v>
      </c>
      <c r="M413" s="3">
        <v>344553.83333333326</v>
      </c>
      <c r="N413" s="3">
        <f t="shared" si="19"/>
        <v>344553.83333333326</v>
      </c>
      <c r="O413">
        <v>24000</v>
      </c>
      <c r="P413">
        <v>25092</v>
      </c>
      <c r="Q413" s="3">
        <v>29730</v>
      </c>
      <c r="R413" s="23" t="str">
        <f t="shared" si="18"/>
        <v>Yes</v>
      </c>
    </row>
    <row r="414" spans="1:18" x14ac:dyDescent="0.25">
      <c r="A414" s="1">
        <v>46038</v>
      </c>
      <c r="B414" s="7">
        <v>30100</v>
      </c>
      <c r="C414" s="7">
        <v>30100</v>
      </c>
      <c r="D414" s="7">
        <v>27490</v>
      </c>
      <c r="E414" s="7">
        <v>35010</v>
      </c>
      <c r="F414" s="7">
        <v>35730</v>
      </c>
      <c r="G414" s="7">
        <v>35890</v>
      </c>
      <c r="H414" s="7">
        <v>31000</v>
      </c>
      <c r="I414" s="7">
        <v>30630</v>
      </c>
      <c r="J414" s="7">
        <v>35150</v>
      </c>
      <c r="K414" s="7">
        <v>31430</v>
      </c>
      <c r="L414" s="3">
        <f t="shared" si="20"/>
        <v>322530</v>
      </c>
      <c r="M414" s="3">
        <v>337734.5</v>
      </c>
      <c r="N414" s="3">
        <f t="shared" si="19"/>
        <v>337734.5</v>
      </c>
      <c r="O414">
        <v>24000</v>
      </c>
      <c r="P414">
        <v>24000</v>
      </c>
      <c r="Q414" s="3">
        <v>37693</v>
      </c>
      <c r="R414" s="23" t="str">
        <f t="shared" ref="R414:R477" si="21">IF(Q414&gt;0,"Yes",IF(OR((O414+P414&lt;50000),O414&lt;24000,P414&lt;30030),"Yes","No"))</f>
        <v>Yes</v>
      </c>
    </row>
    <row r="415" spans="1:18" x14ac:dyDescent="0.25">
      <c r="A415" s="1">
        <v>46039</v>
      </c>
      <c r="B415" s="7">
        <v>32040</v>
      </c>
      <c r="C415" s="7">
        <v>31840</v>
      </c>
      <c r="D415" s="7">
        <v>29210</v>
      </c>
      <c r="E415" s="7">
        <v>37050</v>
      </c>
      <c r="F415" s="7">
        <v>37640</v>
      </c>
      <c r="G415" s="7">
        <v>38930</v>
      </c>
      <c r="H415" s="7">
        <v>34040</v>
      </c>
      <c r="I415" s="7">
        <v>33510</v>
      </c>
      <c r="J415" s="7">
        <v>38680</v>
      </c>
      <c r="K415" s="7">
        <v>34920</v>
      </c>
      <c r="L415" s="3">
        <f t="shared" si="20"/>
        <v>347860</v>
      </c>
      <c r="M415" s="3">
        <v>360364.83333333331</v>
      </c>
      <c r="N415" s="3">
        <f t="shared" si="19"/>
        <v>360364.83333333331</v>
      </c>
      <c r="O415">
        <v>24000</v>
      </c>
      <c r="P415">
        <v>28414</v>
      </c>
      <c r="Q415" s="3">
        <v>3803</v>
      </c>
      <c r="R415" s="23" t="str">
        <f t="shared" si="21"/>
        <v>Yes</v>
      </c>
    </row>
    <row r="416" spans="1:18" x14ac:dyDescent="0.25">
      <c r="A416" s="1">
        <v>46040</v>
      </c>
      <c r="B416" s="7">
        <v>26880</v>
      </c>
      <c r="C416" s="7">
        <v>26420</v>
      </c>
      <c r="D416" s="7">
        <v>24380</v>
      </c>
      <c r="E416" s="7">
        <v>30070</v>
      </c>
      <c r="F416" s="7">
        <v>31690</v>
      </c>
      <c r="G416" s="7">
        <v>31870</v>
      </c>
      <c r="H416" s="7">
        <v>27640</v>
      </c>
      <c r="I416" s="7">
        <v>27760</v>
      </c>
      <c r="J416" s="7">
        <v>32660</v>
      </c>
      <c r="K416" s="7">
        <v>29010</v>
      </c>
      <c r="L416" s="3">
        <f t="shared" si="20"/>
        <v>288380</v>
      </c>
      <c r="M416" s="3">
        <v>295849.33333333337</v>
      </c>
      <c r="N416" s="3">
        <f t="shared" si="19"/>
        <v>295849.33333333337</v>
      </c>
      <c r="O416">
        <v>24000</v>
      </c>
      <c r="P416">
        <v>24000</v>
      </c>
      <c r="Q416" s="3">
        <v>33018</v>
      </c>
      <c r="R416" s="23" t="str">
        <f t="shared" si="21"/>
        <v>Yes</v>
      </c>
    </row>
    <row r="417" spans="1:18" ht="75.75" customHeight="1" x14ac:dyDescent="0.25">
      <c r="A417" s="1">
        <v>46041</v>
      </c>
      <c r="B417" s="7">
        <v>30420</v>
      </c>
      <c r="C417" s="7">
        <v>29950</v>
      </c>
      <c r="D417" s="7">
        <v>27580</v>
      </c>
      <c r="E417" s="7">
        <v>34500</v>
      </c>
      <c r="F417" s="7">
        <v>35670</v>
      </c>
      <c r="G417" s="7">
        <v>34560</v>
      </c>
      <c r="H417" s="7">
        <v>29950</v>
      </c>
      <c r="I417" s="7">
        <v>29680</v>
      </c>
      <c r="J417" s="7">
        <v>35000</v>
      </c>
      <c r="K417" s="7">
        <v>30330</v>
      </c>
      <c r="L417" s="3">
        <f t="shared" si="20"/>
        <v>317640</v>
      </c>
      <c r="M417" s="3">
        <v>334162.49999999994</v>
      </c>
      <c r="N417" s="3">
        <f t="shared" si="19"/>
        <v>334162.49999999994</v>
      </c>
      <c r="O417">
        <v>24000</v>
      </c>
      <c r="P417">
        <v>26331</v>
      </c>
      <c r="Q417" s="3">
        <v>29984</v>
      </c>
      <c r="R417" s="23" t="str">
        <f t="shared" si="21"/>
        <v>Yes</v>
      </c>
    </row>
    <row r="418" spans="1:18" x14ac:dyDescent="0.25">
      <c r="A418" s="1">
        <v>46042</v>
      </c>
      <c r="B418" s="7">
        <v>24000</v>
      </c>
      <c r="C418" s="7">
        <v>23820</v>
      </c>
      <c r="D418" s="7">
        <v>21420</v>
      </c>
      <c r="E418" s="7">
        <v>27350</v>
      </c>
      <c r="F418" s="7">
        <v>27900</v>
      </c>
      <c r="G418" s="7">
        <v>28400</v>
      </c>
      <c r="H418" s="7">
        <v>24960</v>
      </c>
      <c r="I418" s="7">
        <v>24390</v>
      </c>
      <c r="J418" s="7">
        <v>27960</v>
      </c>
      <c r="K418" s="7">
        <v>25860</v>
      </c>
      <c r="L418" s="3">
        <f t="shared" si="20"/>
        <v>256060</v>
      </c>
      <c r="M418" s="3">
        <v>250889.66666666669</v>
      </c>
      <c r="N418" s="3">
        <f t="shared" si="19"/>
        <v>256060</v>
      </c>
      <c r="O418">
        <v>24000</v>
      </c>
      <c r="P418">
        <v>30030</v>
      </c>
      <c r="Q418">
        <v>0</v>
      </c>
      <c r="R418" s="23" t="str">
        <f t="shared" si="21"/>
        <v>No</v>
      </c>
    </row>
    <row r="419" spans="1:18" x14ac:dyDescent="0.25">
      <c r="A419" s="1">
        <v>46043</v>
      </c>
      <c r="B419" s="7">
        <v>33630</v>
      </c>
      <c r="C419" s="7">
        <v>33240</v>
      </c>
      <c r="D419" s="7">
        <v>30250</v>
      </c>
      <c r="E419" s="7">
        <v>38050</v>
      </c>
      <c r="F419" s="7">
        <v>38770</v>
      </c>
      <c r="G419" s="7">
        <v>38710</v>
      </c>
      <c r="H419" s="7">
        <v>33000</v>
      </c>
      <c r="I419" s="7">
        <v>32880</v>
      </c>
      <c r="J419" s="7">
        <v>38290</v>
      </c>
      <c r="K419" s="7">
        <v>33330</v>
      </c>
      <c r="L419" s="3">
        <f t="shared" si="20"/>
        <v>350150</v>
      </c>
      <c r="M419" s="3">
        <v>377243.00000000006</v>
      </c>
      <c r="N419" s="3">
        <f t="shared" si="19"/>
        <v>377243.00000000006</v>
      </c>
      <c r="O419">
        <v>24000</v>
      </c>
      <c r="P419">
        <v>27442</v>
      </c>
      <c r="Q419" s="3">
        <v>28646</v>
      </c>
      <c r="R419" s="23" t="str">
        <f t="shared" si="21"/>
        <v>Yes</v>
      </c>
    </row>
    <row r="420" spans="1:18" x14ac:dyDescent="0.25">
      <c r="A420" s="1">
        <v>46044</v>
      </c>
      <c r="B420" s="7">
        <v>24710</v>
      </c>
      <c r="C420" s="7">
        <v>24170</v>
      </c>
      <c r="D420" s="7">
        <v>21920</v>
      </c>
      <c r="E420" s="7">
        <v>27360</v>
      </c>
      <c r="F420" s="7">
        <v>28570</v>
      </c>
      <c r="G420" s="7">
        <v>28290</v>
      </c>
      <c r="H420" s="7">
        <v>24690</v>
      </c>
      <c r="I420" s="7">
        <v>24260</v>
      </c>
      <c r="J420" s="7">
        <v>28550</v>
      </c>
      <c r="K420" s="7">
        <v>25310</v>
      </c>
      <c r="L420" s="3">
        <f t="shared" si="20"/>
        <v>257830</v>
      </c>
      <c r="M420" s="3">
        <v>247942.83333333331</v>
      </c>
      <c r="N420" s="3">
        <f t="shared" si="19"/>
        <v>257830</v>
      </c>
      <c r="O420">
        <v>24000</v>
      </c>
      <c r="P420">
        <v>26420</v>
      </c>
      <c r="Q420" s="3">
        <v>22726</v>
      </c>
      <c r="R420" s="23" t="str">
        <f t="shared" si="21"/>
        <v>Yes</v>
      </c>
    </row>
    <row r="421" spans="1:18" x14ac:dyDescent="0.25">
      <c r="A421" s="1">
        <v>46045</v>
      </c>
      <c r="B421" s="7">
        <v>25500</v>
      </c>
      <c r="C421" s="7">
        <v>24640</v>
      </c>
      <c r="D421" s="7">
        <v>22760</v>
      </c>
      <c r="E421" s="7">
        <v>28170</v>
      </c>
      <c r="F421" s="7">
        <v>29540</v>
      </c>
      <c r="G421" s="7">
        <v>29730</v>
      </c>
      <c r="H421" s="7">
        <v>25680</v>
      </c>
      <c r="I421" s="7">
        <v>25730</v>
      </c>
      <c r="J421" s="7">
        <v>30810</v>
      </c>
      <c r="K421" s="7">
        <v>26750</v>
      </c>
      <c r="L421" s="3">
        <f t="shared" si="20"/>
        <v>269310</v>
      </c>
      <c r="M421" s="3">
        <v>267485.66666666669</v>
      </c>
      <c r="N421" s="3">
        <f t="shared" si="19"/>
        <v>269310</v>
      </c>
      <c r="O421">
        <v>24000</v>
      </c>
      <c r="P421">
        <v>30030</v>
      </c>
      <c r="Q421">
        <v>0</v>
      </c>
      <c r="R421" s="23" t="str">
        <f t="shared" si="21"/>
        <v>No</v>
      </c>
    </row>
    <row r="422" spans="1:18" x14ac:dyDescent="0.25">
      <c r="A422" s="1">
        <v>46046</v>
      </c>
      <c r="B422" s="7">
        <v>30730</v>
      </c>
      <c r="C422" s="7">
        <v>30450</v>
      </c>
      <c r="D422" s="7">
        <v>27830</v>
      </c>
      <c r="E422" s="7">
        <v>35030</v>
      </c>
      <c r="F422" s="7">
        <v>35850</v>
      </c>
      <c r="G422" s="7">
        <v>37720</v>
      </c>
      <c r="H422" s="7">
        <v>32160</v>
      </c>
      <c r="I422" s="7">
        <v>32580</v>
      </c>
      <c r="J422" s="7">
        <v>38160</v>
      </c>
      <c r="K422" s="7">
        <v>33760</v>
      </c>
      <c r="L422" s="3">
        <f t="shared" si="20"/>
        <v>334270</v>
      </c>
      <c r="M422" s="3">
        <v>349219.16666666669</v>
      </c>
      <c r="N422" s="3">
        <f t="shared" si="19"/>
        <v>349219.16666666669</v>
      </c>
      <c r="O422">
        <v>24000</v>
      </c>
      <c r="P422">
        <v>30030</v>
      </c>
      <c r="Q422">
        <v>0</v>
      </c>
      <c r="R422" s="23" t="str">
        <f t="shared" si="21"/>
        <v>No</v>
      </c>
    </row>
    <row r="423" spans="1:18" x14ac:dyDescent="0.25">
      <c r="A423" s="1">
        <v>46047</v>
      </c>
      <c r="B423" s="7">
        <v>25330</v>
      </c>
      <c r="C423" s="7">
        <v>25120</v>
      </c>
      <c r="D423" s="7">
        <v>23090</v>
      </c>
      <c r="E423" s="7">
        <v>29190</v>
      </c>
      <c r="F423" s="7">
        <v>29870</v>
      </c>
      <c r="G423" s="7">
        <v>28680</v>
      </c>
      <c r="H423" s="7">
        <v>24470</v>
      </c>
      <c r="I423" s="7">
        <v>24910</v>
      </c>
      <c r="J423" s="7">
        <v>30090</v>
      </c>
      <c r="K423" s="7">
        <v>25940</v>
      </c>
      <c r="L423" s="3">
        <f t="shared" si="20"/>
        <v>266690</v>
      </c>
      <c r="M423" s="3">
        <v>279193.83333333337</v>
      </c>
      <c r="N423" s="3">
        <f t="shared" si="19"/>
        <v>279193.83333333337</v>
      </c>
      <c r="O423">
        <v>24000</v>
      </c>
      <c r="P423">
        <v>29186</v>
      </c>
      <c r="Q423" s="3">
        <v>9154</v>
      </c>
      <c r="R423" s="23" t="str">
        <f t="shared" si="21"/>
        <v>Yes</v>
      </c>
    </row>
    <row r="424" spans="1:18" x14ac:dyDescent="0.25">
      <c r="A424" s="1">
        <v>46048</v>
      </c>
      <c r="B424" s="7">
        <v>26090</v>
      </c>
      <c r="C424" s="7">
        <v>25840</v>
      </c>
      <c r="D424" s="7">
        <v>23330</v>
      </c>
      <c r="E424" s="7">
        <v>29110</v>
      </c>
      <c r="F424" s="7">
        <v>29680</v>
      </c>
      <c r="G424" s="7">
        <v>30130</v>
      </c>
      <c r="H424" s="7">
        <v>25590</v>
      </c>
      <c r="I424" s="7">
        <v>26210</v>
      </c>
      <c r="J424" s="7">
        <v>31670</v>
      </c>
      <c r="K424" s="7">
        <v>26880</v>
      </c>
      <c r="L424" s="3">
        <f t="shared" si="20"/>
        <v>274530</v>
      </c>
      <c r="M424" s="3">
        <v>283857.83333333331</v>
      </c>
      <c r="N424" s="3">
        <f t="shared" si="19"/>
        <v>283857.83333333331</v>
      </c>
      <c r="O424">
        <v>24000</v>
      </c>
      <c r="P424">
        <v>30030</v>
      </c>
      <c r="Q424">
        <v>0</v>
      </c>
      <c r="R424" s="23" t="str">
        <f t="shared" si="21"/>
        <v>No</v>
      </c>
    </row>
    <row r="425" spans="1:18" x14ac:dyDescent="0.25">
      <c r="A425" s="1">
        <v>46049</v>
      </c>
      <c r="B425" s="7">
        <v>24440</v>
      </c>
      <c r="C425" s="7">
        <v>24550</v>
      </c>
      <c r="D425" s="7">
        <v>22620</v>
      </c>
      <c r="E425" s="7">
        <v>28290</v>
      </c>
      <c r="F425" s="7">
        <v>28950</v>
      </c>
      <c r="G425" s="7">
        <v>34220</v>
      </c>
      <c r="H425" s="7">
        <v>29900</v>
      </c>
      <c r="I425" s="7">
        <v>29840</v>
      </c>
      <c r="J425" s="7">
        <v>34910</v>
      </c>
      <c r="K425" s="7">
        <v>31320</v>
      </c>
      <c r="L425" s="3">
        <f t="shared" si="20"/>
        <v>289040</v>
      </c>
      <c r="M425" s="3">
        <v>351207.83333333337</v>
      </c>
      <c r="N425" s="3">
        <f t="shared" si="19"/>
        <v>351207.83333333337</v>
      </c>
      <c r="O425">
        <v>18400</v>
      </c>
      <c r="P425">
        <v>28370</v>
      </c>
      <c r="Q425" s="3">
        <v>57137</v>
      </c>
      <c r="R425" s="23" t="str">
        <f t="shared" si="21"/>
        <v>Yes</v>
      </c>
    </row>
    <row r="426" spans="1:18" x14ac:dyDescent="0.25">
      <c r="A426" s="1">
        <v>46050</v>
      </c>
      <c r="B426" s="7">
        <v>16650</v>
      </c>
      <c r="C426" s="7">
        <v>16360</v>
      </c>
      <c r="D426" s="7">
        <v>14710</v>
      </c>
      <c r="E426" s="7">
        <v>18470</v>
      </c>
      <c r="F426" s="7">
        <v>19130</v>
      </c>
      <c r="G426" s="7">
        <v>18990</v>
      </c>
      <c r="H426" s="7">
        <v>16470</v>
      </c>
      <c r="I426" s="7">
        <v>16240</v>
      </c>
      <c r="J426" s="7">
        <v>19010</v>
      </c>
      <c r="K426" s="7">
        <v>17060</v>
      </c>
      <c r="L426" s="3">
        <f t="shared" si="20"/>
        <v>173090</v>
      </c>
      <c r="M426" s="3">
        <v>153369.5</v>
      </c>
      <c r="N426" s="3">
        <f t="shared" si="19"/>
        <v>173090</v>
      </c>
      <c r="O426">
        <v>24000</v>
      </c>
      <c r="P426">
        <v>30030</v>
      </c>
      <c r="Q426">
        <v>0</v>
      </c>
      <c r="R426" s="23" t="str">
        <f t="shared" si="21"/>
        <v>No</v>
      </c>
    </row>
    <row r="427" spans="1:18" x14ac:dyDescent="0.25">
      <c r="A427" s="1">
        <v>46051</v>
      </c>
      <c r="B427" s="7">
        <v>19570</v>
      </c>
      <c r="C427" s="7">
        <v>18530</v>
      </c>
      <c r="D427" s="7">
        <v>17140</v>
      </c>
      <c r="E427" s="7">
        <v>20440</v>
      </c>
      <c r="F427" s="7">
        <v>22770</v>
      </c>
      <c r="G427" s="7">
        <v>22570</v>
      </c>
      <c r="H427" s="7">
        <v>20570</v>
      </c>
      <c r="I427" s="7">
        <v>20580</v>
      </c>
      <c r="J427" s="7">
        <v>25660</v>
      </c>
      <c r="K427" s="7">
        <v>21210</v>
      </c>
      <c r="L427" s="3">
        <f t="shared" si="20"/>
        <v>209040</v>
      </c>
      <c r="M427" s="3">
        <v>223794.50000000003</v>
      </c>
      <c r="N427" s="3">
        <f t="shared" si="19"/>
        <v>223794.50000000003</v>
      </c>
      <c r="O427">
        <v>23000</v>
      </c>
      <c r="P427">
        <v>27000</v>
      </c>
      <c r="Q427">
        <v>0</v>
      </c>
      <c r="R427" s="23" t="str">
        <f>IF(Q427&gt;0,"Yes",IF(OR((O427+P427&lt;50000),O427&lt;23000,P427&lt;27000),"Yes","No"))</f>
        <v>No</v>
      </c>
    </row>
    <row r="428" spans="1:18" x14ac:dyDescent="0.25">
      <c r="A428" s="1">
        <v>46052</v>
      </c>
      <c r="B428" s="7">
        <v>19700</v>
      </c>
      <c r="C428" s="7">
        <v>19530</v>
      </c>
      <c r="D428" s="7">
        <v>17470</v>
      </c>
      <c r="E428" s="7">
        <v>22200</v>
      </c>
      <c r="F428" s="7">
        <v>22730</v>
      </c>
      <c r="G428" s="7">
        <v>22960</v>
      </c>
      <c r="H428" s="7">
        <v>19900</v>
      </c>
      <c r="I428" s="7">
        <v>19530</v>
      </c>
      <c r="J428" s="7">
        <v>22840</v>
      </c>
      <c r="K428" s="7">
        <v>20620</v>
      </c>
      <c r="L428" s="3">
        <f t="shared" si="20"/>
        <v>207480</v>
      </c>
      <c r="M428" s="3">
        <v>188568.33333333331</v>
      </c>
      <c r="N428" s="3">
        <f t="shared" si="19"/>
        <v>207480</v>
      </c>
      <c r="O428">
        <v>24000</v>
      </c>
      <c r="P428">
        <v>26000</v>
      </c>
      <c r="Q428">
        <v>0</v>
      </c>
      <c r="R428" s="23" t="str">
        <f>IF(Q428&gt;0,"Yes",IF(OR((O428+P428&lt;50000),O428&lt;24000,P428&lt;26000),"Yes","No"))</f>
        <v>No</v>
      </c>
    </row>
    <row r="429" spans="1:18" x14ac:dyDescent="0.25">
      <c r="A429" s="1">
        <v>46053</v>
      </c>
      <c r="B429" s="7">
        <v>24680</v>
      </c>
      <c r="C429" s="7">
        <v>24400</v>
      </c>
      <c r="D429" s="7">
        <v>21940</v>
      </c>
      <c r="E429" s="7">
        <v>27790</v>
      </c>
      <c r="F429" s="7">
        <v>28230</v>
      </c>
      <c r="G429" s="7">
        <v>28950</v>
      </c>
      <c r="H429" s="7">
        <v>24490</v>
      </c>
      <c r="I429" s="7">
        <v>24360</v>
      </c>
      <c r="J429" s="7">
        <v>28280</v>
      </c>
      <c r="K429" s="7">
        <v>25310</v>
      </c>
      <c r="L429" s="3">
        <f t="shared" si="20"/>
        <v>258430</v>
      </c>
      <c r="M429" s="3">
        <v>253490.83333333331</v>
      </c>
      <c r="N429" s="3">
        <f t="shared" si="19"/>
        <v>258430</v>
      </c>
      <c r="O429">
        <v>24000</v>
      </c>
      <c r="P429">
        <v>26000</v>
      </c>
      <c r="Q429">
        <v>0</v>
      </c>
      <c r="R429" s="23" t="str">
        <f t="shared" ref="R429:R492" si="22">IF(Q429&gt;0,"Yes",IF(OR((O429+P429&lt;50000),O429&lt;24000,P429&lt;26000),"Yes","No"))</f>
        <v>No</v>
      </c>
    </row>
    <row r="430" spans="1:18" x14ac:dyDescent="0.25">
      <c r="A430" s="1">
        <v>46054</v>
      </c>
      <c r="B430" s="7">
        <v>22630</v>
      </c>
      <c r="C430" s="7">
        <v>22570</v>
      </c>
      <c r="D430" s="7">
        <v>20130</v>
      </c>
      <c r="E430" s="7">
        <v>25970</v>
      </c>
      <c r="F430" s="7">
        <v>26040</v>
      </c>
      <c r="G430" s="7">
        <v>27730</v>
      </c>
      <c r="H430" s="7">
        <v>23250</v>
      </c>
      <c r="I430" s="7">
        <v>23690</v>
      </c>
      <c r="J430" s="7">
        <v>26960</v>
      </c>
      <c r="K430" s="7">
        <v>24530</v>
      </c>
      <c r="L430" s="3">
        <f t="shared" si="20"/>
        <v>243500</v>
      </c>
      <c r="M430" s="3">
        <v>247062.56265821881</v>
      </c>
      <c r="N430" s="3">
        <f t="shared" si="19"/>
        <v>247062.56265821881</v>
      </c>
      <c r="O430">
        <v>24000</v>
      </c>
      <c r="P430">
        <v>26000</v>
      </c>
      <c r="Q430">
        <v>0</v>
      </c>
      <c r="R430" s="23" t="str">
        <f t="shared" si="22"/>
        <v>No</v>
      </c>
    </row>
    <row r="431" spans="1:18" x14ac:dyDescent="0.25">
      <c r="A431" s="1">
        <v>46055</v>
      </c>
      <c r="B431" s="7">
        <v>24730</v>
      </c>
      <c r="C431" s="7">
        <v>24750</v>
      </c>
      <c r="D431" s="7">
        <v>21850</v>
      </c>
      <c r="E431" s="7">
        <v>28010</v>
      </c>
      <c r="F431" s="7">
        <v>28110</v>
      </c>
      <c r="G431" s="7">
        <v>29330</v>
      </c>
      <c r="H431" s="7">
        <v>24550</v>
      </c>
      <c r="I431" s="7">
        <v>24510</v>
      </c>
      <c r="J431" s="7">
        <v>27990</v>
      </c>
      <c r="K431" s="7">
        <v>25220</v>
      </c>
      <c r="L431" s="3">
        <f t="shared" si="20"/>
        <v>259050</v>
      </c>
      <c r="M431" s="3">
        <v>257011.119034937</v>
      </c>
      <c r="N431" s="3">
        <f t="shared" si="19"/>
        <v>259050</v>
      </c>
      <c r="O431">
        <v>24000</v>
      </c>
      <c r="P431">
        <v>26000</v>
      </c>
      <c r="Q431">
        <v>0</v>
      </c>
      <c r="R431" s="23" t="str">
        <f t="shared" si="22"/>
        <v>No</v>
      </c>
    </row>
    <row r="432" spans="1:18" x14ac:dyDescent="0.25">
      <c r="A432" s="1">
        <v>46056</v>
      </c>
      <c r="B432" s="7">
        <v>20100</v>
      </c>
      <c r="C432" s="7">
        <v>19260</v>
      </c>
      <c r="D432" s="7">
        <v>17660</v>
      </c>
      <c r="E432" s="7">
        <v>21940</v>
      </c>
      <c r="F432" s="7">
        <v>22590</v>
      </c>
      <c r="G432" s="7">
        <v>18910</v>
      </c>
      <c r="H432" s="7">
        <v>15790</v>
      </c>
      <c r="I432" s="7">
        <v>15960</v>
      </c>
      <c r="J432" s="7">
        <v>19370</v>
      </c>
      <c r="K432" s="7">
        <v>16230</v>
      </c>
      <c r="L432" s="3">
        <f t="shared" si="20"/>
        <v>187810</v>
      </c>
      <c r="M432" s="3">
        <v>228058.24984750859</v>
      </c>
      <c r="N432" s="3">
        <f t="shared" si="19"/>
        <v>228058.24984750859</v>
      </c>
      <c r="O432">
        <v>19967</v>
      </c>
      <c r="P432">
        <v>16815</v>
      </c>
      <c r="Q432" s="3">
        <v>72250</v>
      </c>
      <c r="R432" s="23" t="str">
        <f t="shared" si="22"/>
        <v>Yes</v>
      </c>
    </row>
    <row r="433" spans="1:18" x14ac:dyDescent="0.25">
      <c r="A433" s="1">
        <v>46057</v>
      </c>
      <c r="B433" s="7">
        <v>17700</v>
      </c>
      <c r="C433" s="7">
        <v>17340</v>
      </c>
      <c r="D433" s="7">
        <v>15460</v>
      </c>
      <c r="E433" s="7">
        <v>19530</v>
      </c>
      <c r="F433" s="7">
        <v>19740</v>
      </c>
      <c r="G433" s="7">
        <v>20060</v>
      </c>
      <c r="H433" s="7">
        <v>16850</v>
      </c>
      <c r="I433" s="7">
        <v>16590</v>
      </c>
      <c r="J433" s="7">
        <v>18860</v>
      </c>
      <c r="K433" s="7">
        <v>17070</v>
      </c>
      <c r="L433" s="3">
        <f t="shared" si="20"/>
        <v>179200</v>
      </c>
      <c r="M433" s="3">
        <v>174108.14823382019</v>
      </c>
      <c r="N433" s="3">
        <f t="shared" si="19"/>
        <v>179200</v>
      </c>
      <c r="O433">
        <v>20000</v>
      </c>
      <c r="P433">
        <v>21515</v>
      </c>
      <c r="Q433" s="3">
        <v>30362</v>
      </c>
      <c r="R433" s="23" t="str">
        <f t="shared" si="22"/>
        <v>Yes</v>
      </c>
    </row>
    <row r="434" spans="1:18" x14ac:dyDescent="0.25">
      <c r="A434" s="1">
        <v>46058</v>
      </c>
      <c r="B434" s="7">
        <v>34860</v>
      </c>
      <c r="C434" s="7">
        <v>34910</v>
      </c>
      <c r="D434" s="7">
        <v>32010</v>
      </c>
      <c r="E434" s="7">
        <v>40580</v>
      </c>
      <c r="F434" s="7">
        <v>40950</v>
      </c>
      <c r="G434" s="7">
        <v>29220</v>
      </c>
      <c r="H434" s="7">
        <v>24170</v>
      </c>
      <c r="I434" s="7">
        <v>24290</v>
      </c>
      <c r="J434" s="7">
        <v>28340</v>
      </c>
      <c r="K434" s="7">
        <v>24630</v>
      </c>
      <c r="L434" s="3">
        <f t="shared" si="20"/>
        <v>313960</v>
      </c>
      <c r="M434" s="3">
        <v>401386.03096721077</v>
      </c>
      <c r="N434" s="3">
        <f t="shared" si="19"/>
        <v>401386.03096721077</v>
      </c>
      <c r="O434">
        <v>24000</v>
      </c>
      <c r="P434">
        <v>19983</v>
      </c>
      <c r="Q434" s="3">
        <v>73395</v>
      </c>
      <c r="R434" s="23" t="str">
        <f t="shared" si="22"/>
        <v>Yes</v>
      </c>
    </row>
    <row r="435" spans="1:18" x14ac:dyDescent="0.25">
      <c r="A435" s="1">
        <v>46059</v>
      </c>
      <c r="B435" s="7">
        <v>18620</v>
      </c>
      <c r="C435" s="7">
        <v>18220</v>
      </c>
      <c r="D435" s="7">
        <v>16280</v>
      </c>
      <c r="E435" s="7">
        <v>20540</v>
      </c>
      <c r="F435" s="7">
        <v>21190</v>
      </c>
      <c r="G435" s="7">
        <v>17830</v>
      </c>
      <c r="H435" s="7">
        <v>15300</v>
      </c>
      <c r="I435" s="7">
        <v>15010</v>
      </c>
      <c r="J435" s="7">
        <v>17500</v>
      </c>
      <c r="K435" s="7">
        <v>15840</v>
      </c>
      <c r="L435" s="3">
        <f t="shared" si="20"/>
        <v>176330</v>
      </c>
      <c r="M435" s="3">
        <v>178277.99035438144</v>
      </c>
      <c r="N435" s="3">
        <f t="shared" si="19"/>
        <v>178277.99035438144</v>
      </c>
      <c r="O435">
        <v>24000</v>
      </c>
      <c r="P435">
        <v>17336</v>
      </c>
      <c r="Q435" s="3">
        <v>16807</v>
      </c>
      <c r="R435" s="23" t="str">
        <f t="shared" si="22"/>
        <v>Yes</v>
      </c>
    </row>
    <row r="436" spans="1:18" x14ac:dyDescent="0.25">
      <c r="A436" s="1">
        <v>46060</v>
      </c>
      <c r="B436" s="7">
        <v>30490</v>
      </c>
      <c r="C436" s="7">
        <v>30370</v>
      </c>
      <c r="D436" s="7">
        <v>28060</v>
      </c>
      <c r="E436" s="7">
        <v>35500</v>
      </c>
      <c r="F436" s="7">
        <v>36530</v>
      </c>
      <c r="G436" s="7">
        <v>38330</v>
      </c>
      <c r="H436" s="7">
        <v>32710</v>
      </c>
      <c r="I436" s="7">
        <v>32240</v>
      </c>
      <c r="J436" s="7">
        <v>37180</v>
      </c>
      <c r="K436" s="7">
        <v>33170</v>
      </c>
      <c r="L436" s="3">
        <f t="shared" si="20"/>
        <v>334580</v>
      </c>
      <c r="M436" s="3">
        <v>345164.45308132871</v>
      </c>
      <c r="N436" s="3">
        <f t="shared" si="19"/>
        <v>345164.45308132871</v>
      </c>
      <c r="O436">
        <v>24000</v>
      </c>
      <c r="P436">
        <v>25628</v>
      </c>
      <c r="Q436">
        <v>359</v>
      </c>
      <c r="R436" s="23" t="str">
        <f t="shared" si="22"/>
        <v>Yes</v>
      </c>
    </row>
    <row r="437" spans="1:18" x14ac:dyDescent="0.25">
      <c r="A437" s="1">
        <v>46061</v>
      </c>
      <c r="B437" s="7">
        <v>25590</v>
      </c>
      <c r="C437" s="7">
        <v>25270</v>
      </c>
      <c r="D437" s="7">
        <v>22690</v>
      </c>
      <c r="E437" s="7">
        <v>28760</v>
      </c>
      <c r="F437" s="7">
        <v>29430</v>
      </c>
      <c r="G437" s="7">
        <v>30130</v>
      </c>
      <c r="H437" s="7">
        <v>25140</v>
      </c>
      <c r="I437" s="7">
        <v>24950</v>
      </c>
      <c r="J437" s="7">
        <v>29190</v>
      </c>
      <c r="K437" s="7">
        <v>26140</v>
      </c>
      <c r="L437" s="3">
        <f t="shared" si="20"/>
        <v>267290</v>
      </c>
      <c r="M437" s="3">
        <v>260481.87881228523</v>
      </c>
      <c r="N437" s="3">
        <f t="shared" si="19"/>
        <v>267290</v>
      </c>
      <c r="O437">
        <v>24000</v>
      </c>
      <c r="P437">
        <v>25242</v>
      </c>
      <c r="Q437" s="3">
        <v>1666</v>
      </c>
      <c r="R437" s="23" t="str">
        <f t="shared" si="22"/>
        <v>Yes</v>
      </c>
    </row>
    <row r="438" spans="1:18" x14ac:dyDescent="0.25">
      <c r="A438" s="1">
        <v>46062</v>
      </c>
      <c r="B438" s="7">
        <v>21240</v>
      </c>
      <c r="C438" s="7">
        <v>20780</v>
      </c>
      <c r="D438" s="7">
        <v>18650</v>
      </c>
      <c r="E438" s="7">
        <v>23690</v>
      </c>
      <c r="F438" s="7">
        <v>23150</v>
      </c>
      <c r="G438" s="7">
        <v>24580</v>
      </c>
      <c r="H438" s="7">
        <v>19550</v>
      </c>
      <c r="I438" s="7">
        <v>19410</v>
      </c>
      <c r="J438" s="7">
        <v>21890</v>
      </c>
      <c r="K438" s="7">
        <v>19750</v>
      </c>
      <c r="L438" s="3">
        <f t="shared" si="20"/>
        <v>212690</v>
      </c>
      <c r="M438" s="3">
        <v>216292.11269186711</v>
      </c>
      <c r="N438" s="3">
        <f t="shared" si="19"/>
        <v>216292.11269186711</v>
      </c>
      <c r="O438">
        <v>24000</v>
      </c>
      <c r="P438">
        <v>26000</v>
      </c>
      <c r="Q438">
        <v>0</v>
      </c>
      <c r="R438" s="23" t="str">
        <f t="shared" si="22"/>
        <v>No</v>
      </c>
    </row>
    <row r="439" spans="1:18" x14ac:dyDescent="0.25">
      <c r="A439" s="1">
        <v>46063</v>
      </c>
      <c r="B439" s="7">
        <v>17710</v>
      </c>
      <c r="C439" s="7">
        <v>18160</v>
      </c>
      <c r="D439" s="7">
        <v>15620</v>
      </c>
      <c r="E439" s="7">
        <v>20070</v>
      </c>
      <c r="F439" s="7">
        <v>20350</v>
      </c>
      <c r="G439" s="7">
        <v>21490</v>
      </c>
      <c r="H439" s="7">
        <v>18380</v>
      </c>
      <c r="I439" s="7">
        <v>18090</v>
      </c>
      <c r="J439" s="7">
        <v>20980</v>
      </c>
      <c r="K439" s="7">
        <v>19300</v>
      </c>
      <c r="L439" s="3">
        <f t="shared" si="20"/>
        <v>190150</v>
      </c>
      <c r="M439" s="3">
        <v>176570.67703107104</v>
      </c>
      <c r="N439" s="3">
        <f t="shared" si="19"/>
        <v>190150</v>
      </c>
      <c r="O439">
        <v>24000</v>
      </c>
      <c r="P439">
        <v>26000</v>
      </c>
      <c r="Q439">
        <v>0</v>
      </c>
      <c r="R439" s="23" t="str">
        <f t="shared" si="22"/>
        <v>No</v>
      </c>
    </row>
    <row r="440" spans="1:18" x14ac:dyDescent="0.25">
      <c r="A440" s="1">
        <v>46064</v>
      </c>
      <c r="B440" s="7">
        <v>24300</v>
      </c>
      <c r="C440" s="7">
        <v>24340</v>
      </c>
      <c r="D440" s="7">
        <v>21430</v>
      </c>
      <c r="E440" s="7">
        <v>27220</v>
      </c>
      <c r="F440" s="7">
        <v>27910</v>
      </c>
      <c r="G440" s="7">
        <v>28970</v>
      </c>
      <c r="H440" s="7">
        <v>24310</v>
      </c>
      <c r="I440" s="7">
        <v>24020</v>
      </c>
      <c r="J440" s="7">
        <v>28050</v>
      </c>
      <c r="K440" s="7">
        <v>25290</v>
      </c>
      <c r="L440" s="3">
        <f t="shared" si="20"/>
        <v>255840</v>
      </c>
      <c r="M440" s="3">
        <v>237877.71668026919</v>
      </c>
      <c r="N440" s="3">
        <f t="shared" si="19"/>
        <v>255840</v>
      </c>
      <c r="O440">
        <v>24000</v>
      </c>
      <c r="P440">
        <v>26000</v>
      </c>
      <c r="Q440">
        <v>0</v>
      </c>
      <c r="R440" s="23" t="str">
        <f t="shared" si="22"/>
        <v>No</v>
      </c>
    </row>
    <row r="441" spans="1:18" x14ac:dyDescent="0.25">
      <c r="A441" s="1">
        <v>46065</v>
      </c>
      <c r="B441" s="7">
        <v>14910</v>
      </c>
      <c r="C441" s="7">
        <v>15050</v>
      </c>
      <c r="D441" s="7">
        <v>12990</v>
      </c>
      <c r="E441" s="7">
        <v>16650</v>
      </c>
      <c r="F441" s="7">
        <v>16850</v>
      </c>
      <c r="G441" s="7">
        <v>17690</v>
      </c>
      <c r="H441" s="7">
        <v>14430</v>
      </c>
      <c r="I441" s="7">
        <v>14660</v>
      </c>
      <c r="J441" s="7">
        <v>17320</v>
      </c>
      <c r="K441" s="7">
        <v>15210</v>
      </c>
      <c r="L441" s="3">
        <f t="shared" si="20"/>
        <v>155760</v>
      </c>
      <c r="M441" s="3">
        <v>142838.82964275489</v>
      </c>
      <c r="N441" s="3">
        <f t="shared" si="19"/>
        <v>155760</v>
      </c>
      <c r="O441">
        <v>24000</v>
      </c>
      <c r="P441">
        <v>26000</v>
      </c>
      <c r="Q441">
        <v>0</v>
      </c>
      <c r="R441" s="23" t="str">
        <f t="shared" si="22"/>
        <v>No</v>
      </c>
    </row>
    <row r="442" spans="1:18" x14ac:dyDescent="0.25">
      <c r="A442" s="1">
        <v>46066</v>
      </c>
      <c r="B442" s="7">
        <v>19740</v>
      </c>
      <c r="C442" s="7">
        <v>19760</v>
      </c>
      <c r="D442" s="7">
        <v>17530</v>
      </c>
      <c r="E442" s="7">
        <v>22240</v>
      </c>
      <c r="F442" s="7">
        <v>22900</v>
      </c>
      <c r="G442" s="7">
        <v>23810</v>
      </c>
      <c r="H442" s="7">
        <v>19900</v>
      </c>
      <c r="I442" s="7">
        <v>19890</v>
      </c>
      <c r="J442" s="7">
        <v>23500</v>
      </c>
      <c r="K442" s="7">
        <v>20860</v>
      </c>
      <c r="L442" s="3">
        <f t="shared" si="20"/>
        <v>210130</v>
      </c>
      <c r="M442" s="3">
        <v>230281.75477949603</v>
      </c>
      <c r="N442" s="3">
        <f t="shared" si="19"/>
        <v>230281.75477949603</v>
      </c>
      <c r="O442">
        <v>24000</v>
      </c>
      <c r="P442">
        <v>26000</v>
      </c>
      <c r="Q442">
        <v>0</v>
      </c>
      <c r="R442" s="23" t="str">
        <f t="shared" si="22"/>
        <v>No</v>
      </c>
    </row>
    <row r="443" spans="1:18" x14ac:dyDescent="0.25">
      <c r="A443" s="1">
        <v>46067</v>
      </c>
      <c r="B443" s="7">
        <v>22010</v>
      </c>
      <c r="C443" s="7">
        <v>22100</v>
      </c>
      <c r="D443" s="7">
        <v>19420</v>
      </c>
      <c r="E443" s="7">
        <v>24600</v>
      </c>
      <c r="F443" s="7">
        <v>24930</v>
      </c>
      <c r="G443" s="7">
        <v>25930</v>
      </c>
      <c r="H443" s="7">
        <v>21610</v>
      </c>
      <c r="I443" s="7">
        <v>21500</v>
      </c>
      <c r="J443" s="7">
        <v>24890</v>
      </c>
      <c r="K443" s="7">
        <v>22120</v>
      </c>
      <c r="L443" s="3">
        <f t="shared" si="20"/>
        <v>229110</v>
      </c>
      <c r="M443" s="3">
        <v>244388.99327749136</v>
      </c>
      <c r="N443" s="3">
        <f t="shared" si="19"/>
        <v>244388.99327749136</v>
      </c>
      <c r="O443">
        <v>24000</v>
      </c>
      <c r="P443">
        <v>26000</v>
      </c>
      <c r="Q443">
        <v>0</v>
      </c>
      <c r="R443" s="23" t="str">
        <f t="shared" si="22"/>
        <v>No</v>
      </c>
    </row>
    <row r="444" spans="1:18" x14ac:dyDescent="0.25">
      <c r="A444" s="1">
        <v>46068</v>
      </c>
      <c r="B444" s="7">
        <v>22620</v>
      </c>
      <c r="C444" s="7">
        <v>22580</v>
      </c>
      <c r="D444" s="7">
        <v>19780</v>
      </c>
      <c r="E444" s="7">
        <v>24640</v>
      </c>
      <c r="F444" s="7">
        <v>24660</v>
      </c>
      <c r="G444" s="7">
        <v>26090</v>
      </c>
      <c r="H444" s="7">
        <v>20980</v>
      </c>
      <c r="I444" s="7">
        <v>21310</v>
      </c>
      <c r="J444" s="7">
        <v>25110</v>
      </c>
      <c r="K444" s="7">
        <v>21450</v>
      </c>
      <c r="L444" s="3">
        <f t="shared" si="20"/>
        <v>229220</v>
      </c>
      <c r="M444" s="3">
        <v>252705.19154997132</v>
      </c>
      <c r="N444" s="3">
        <f t="shared" si="19"/>
        <v>252705.19154997132</v>
      </c>
      <c r="O444">
        <v>24000</v>
      </c>
      <c r="P444">
        <v>26000</v>
      </c>
      <c r="Q444">
        <v>0</v>
      </c>
      <c r="R444" s="23" t="str">
        <f t="shared" si="22"/>
        <v>No</v>
      </c>
    </row>
    <row r="445" spans="1:18" x14ac:dyDescent="0.25">
      <c r="A445" s="1">
        <v>46069</v>
      </c>
      <c r="B445" s="7">
        <v>25080</v>
      </c>
      <c r="C445" s="7">
        <v>25050</v>
      </c>
      <c r="D445" s="7">
        <v>22130</v>
      </c>
      <c r="E445" s="7">
        <v>28170</v>
      </c>
      <c r="F445" s="7">
        <v>27290</v>
      </c>
      <c r="G445" s="7">
        <v>29850</v>
      </c>
      <c r="H445" s="7">
        <v>24260</v>
      </c>
      <c r="I445" s="7">
        <v>24800</v>
      </c>
      <c r="J445" s="7">
        <v>28810</v>
      </c>
      <c r="K445" s="7">
        <v>25140</v>
      </c>
      <c r="L445" s="3">
        <f t="shared" si="20"/>
        <v>260580</v>
      </c>
      <c r="M445" s="3">
        <v>273097.34188359103</v>
      </c>
      <c r="N445" s="3">
        <f t="shared" si="19"/>
        <v>273097.34188359103</v>
      </c>
      <c r="O445">
        <v>24000</v>
      </c>
      <c r="P445">
        <v>26000</v>
      </c>
      <c r="Q445">
        <v>0</v>
      </c>
      <c r="R445" s="23" t="str">
        <f t="shared" si="22"/>
        <v>No</v>
      </c>
    </row>
    <row r="446" spans="1:18" x14ac:dyDescent="0.25">
      <c r="A446" s="1">
        <v>46070</v>
      </c>
      <c r="B446" s="7">
        <v>29650</v>
      </c>
      <c r="C446" s="7">
        <v>29550</v>
      </c>
      <c r="D446" s="7">
        <v>26390</v>
      </c>
      <c r="E446" s="7">
        <v>33520</v>
      </c>
      <c r="F446" s="7">
        <v>32400</v>
      </c>
      <c r="G446" s="7">
        <v>35730</v>
      </c>
      <c r="H446" s="7">
        <v>29480</v>
      </c>
      <c r="I446" s="7">
        <v>29820</v>
      </c>
      <c r="J446" s="7">
        <v>35800</v>
      </c>
      <c r="K446" s="7">
        <v>30670</v>
      </c>
      <c r="L446" s="3">
        <f t="shared" si="20"/>
        <v>313010</v>
      </c>
      <c r="M446" s="3">
        <v>331434.98888745712</v>
      </c>
      <c r="N446" s="3">
        <f t="shared" si="19"/>
        <v>331434.98888745712</v>
      </c>
      <c r="O446">
        <v>24000</v>
      </c>
      <c r="P446">
        <v>26000</v>
      </c>
      <c r="Q446">
        <v>0</v>
      </c>
      <c r="R446" s="23" t="str">
        <f t="shared" si="22"/>
        <v>No</v>
      </c>
    </row>
    <row r="447" spans="1:18" x14ac:dyDescent="0.25">
      <c r="A447" s="1">
        <v>46071</v>
      </c>
      <c r="B447" s="7">
        <v>33170</v>
      </c>
      <c r="C447" s="7">
        <v>33170</v>
      </c>
      <c r="D447" s="7">
        <v>29710</v>
      </c>
      <c r="E447" s="7">
        <v>37300</v>
      </c>
      <c r="F447" s="7">
        <v>38050</v>
      </c>
      <c r="G447" s="7">
        <v>40280</v>
      </c>
      <c r="H447" s="7">
        <v>33580</v>
      </c>
      <c r="I447" s="7">
        <v>33780</v>
      </c>
      <c r="J447" s="7">
        <v>39840</v>
      </c>
      <c r="K447" s="7">
        <v>34860</v>
      </c>
      <c r="L447" s="3">
        <f t="shared" si="20"/>
        <v>353740</v>
      </c>
      <c r="M447" s="3">
        <v>371224.71708118555</v>
      </c>
      <c r="N447" s="3">
        <f t="shared" si="19"/>
        <v>371224.71708118555</v>
      </c>
      <c r="O447">
        <v>24000</v>
      </c>
      <c r="P447">
        <v>26000</v>
      </c>
      <c r="Q447">
        <v>0</v>
      </c>
      <c r="R447" s="23" t="str">
        <f t="shared" si="22"/>
        <v>No</v>
      </c>
    </row>
    <row r="448" spans="1:18" x14ac:dyDescent="0.25">
      <c r="A448" s="1">
        <v>46072</v>
      </c>
      <c r="B448" s="7">
        <v>8940</v>
      </c>
      <c r="C448" s="7">
        <v>8890</v>
      </c>
      <c r="D448" s="7">
        <v>7890</v>
      </c>
      <c r="E448" s="7">
        <v>9850</v>
      </c>
      <c r="F448" s="7">
        <v>10090</v>
      </c>
      <c r="G448" s="7">
        <v>10420</v>
      </c>
      <c r="H448" s="7">
        <v>8650</v>
      </c>
      <c r="I448" s="7">
        <v>8640</v>
      </c>
      <c r="J448" s="7">
        <v>10050</v>
      </c>
      <c r="K448" s="7">
        <v>9020</v>
      </c>
      <c r="L448" s="3">
        <f t="shared" si="20"/>
        <v>92440</v>
      </c>
      <c r="M448" s="3">
        <v>77019.485805412391</v>
      </c>
      <c r="N448" s="3">
        <f t="shared" si="19"/>
        <v>92440</v>
      </c>
      <c r="O448">
        <v>24000</v>
      </c>
      <c r="P448">
        <v>26000</v>
      </c>
      <c r="Q448">
        <v>0</v>
      </c>
      <c r="R448" s="23" t="str">
        <f t="shared" si="22"/>
        <v>No</v>
      </c>
    </row>
    <row r="449" spans="1:18" x14ac:dyDescent="0.25">
      <c r="A449" s="1">
        <v>46073</v>
      </c>
      <c r="B449" s="7">
        <v>28470</v>
      </c>
      <c r="C449" s="7">
        <v>27780</v>
      </c>
      <c r="D449" s="7">
        <v>25520</v>
      </c>
      <c r="E449" s="7">
        <v>31720</v>
      </c>
      <c r="F449" s="7">
        <v>31960</v>
      </c>
      <c r="G449" s="7">
        <v>33420</v>
      </c>
      <c r="H449" s="7">
        <v>27890</v>
      </c>
      <c r="I449" s="7">
        <v>27610</v>
      </c>
      <c r="J449" s="7">
        <v>32130</v>
      </c>
      <c r="K449" s="7">
        <v>28670</v>
      </c>
      <c r="L449" s="3">
        <f t="shared" si="20"/>
        <v>295170</v>
      </c>
      <c r="M449" s="3">
        <v>309059.35689003434</v>
      </c>
      <c r="N449" s="3">
        <f t="shared" si="19"/>
        <v>309059.35689003434</v>
      </c>
      <c r="O449">
        <v>24000</v>
      </c>
      <c r="P449">
        <v>26000</v>
      </c>
      <c r="Q449">
        <v>0</v>
      </c>
      <c r="R449" s="23" t="str">
        <f t="shared" si="22"/>
        <v>No</v>
      </c>
    </row>
    <row r="450" spans="1:18" x14ac:dyDescent="0.25">
      <c r="A450" s="1">
        <v>46074</v>
      </c>
      <c r="B450" s="7">
        <v>8030</v>
      </c>
      <c r="C450" s="7">
        <v>7950</v>
      </c>
      <c r="D450" s="7">
        <v>7130</v>
      </c>
      <c r="E450" s="7">
        <v>8870</v>
      </c>
      <c r="F450" s="7">
        <v>9090</v>
      </c>
      <c r="G450" s="7">
        <v>9540</v>
      </c>
      <c r="H450" s="7">
        <v>7860</v>
      </c>
      <c r="I450" s="7">
        <v>7970</v>
      </c>
      <c r="J450" s="7">
        <v>9330</v>
      </c>
      <c r="K450" s="7">
        <v>8440</v>
      </c>
      <c r="L450" s="3">
        <f t="shared" si="20"/>
        <v>84210</v>
      </c>
      <c r="M450" s="3">
        <v>68826.380659364266</v>
      </c>
      <c r="N450" s="3">
        <f t="shared" si="19"/>
        <v>84210</v>
      </c>
      <c r="O450">
        <v>24000</v>
      </c>
      <c r="P450">
        <v>26000</v>
      </c>
      <c r="Q450">
        <v>0</v>
      </c>
      <c r="R450" s="23" t="str">
        <f t="shared" si="22"/>
        <v>No</v>
      </c>
    </row>
    <row r="451" spans="1:18" x14ac:dyDescent="0.25">
      <c r="A451" s="1">
        <v>46075</v>
      </c>
      <c r="B451" s="7">
        <v>26880</v>
      </c>
      <c r="C451" s="7">
        <v>26190</v>
      </c>
      <c r="D451" s="7">
        <v>24380</v>
      </c>
      <c r="E451" s="7">
        <v>30480</v>
      </c>
      <c r="F451" s="7">
        <v>31140</v>
      </c>
      <c r="G451" s="7">
        <v>32580</v>
      </c>
      <c r="H451" s="7">
        <v>27430</v>
      </c>
      <c r="I451" s="7">
        <v>27440</v>
      </c>
      <c r="J451" s="7">
        <v>32420</v>
      </c>
      <c r="K451" s="7">
        <v>28500</v>
      </c>
      <c r="L451" s="3">
        <f t="shared" si="20"/>
        <v>287440</v>
      </c>
      <c r="M451" s="3">
        <v>285264.07304338488</v>
      </c>
      <c r="N451" s="3">
        <f t="shared" ref="N451:N514" si="23">IF(OR(O451&lt;24300,P451&lt;25700),MAX(L451,M451),L451)</f>
        <v>287440</v>
      </c>
      <c r="O451">
        <v>24000</v>
      </c>
      <c r="P451">
        <v>26000</v>
      </c>
      <c r="Q451">
        <v>0</v>
      </c>
      <c r="R451" s="23" t="str">
        <f t="shared" si="22"/>
        <v>No</v>
      </c>
    </row>
    <row r="452" spans="1:18" x14ac:dyDescent="0.25">
      <c r="A452" s="1">
        <v>46076</v>
      </c>
      <c r="B452" s="7">
        <v>10980</v>
      </c>
      <c r="C452" s="7">
        <v>10480</v>
      </c>
      <c r="D452" s="7">
        <v>9760</v>
      </c>
      <c r="E452" s="7">
        <v>12130</v>
      </c>
      <c r="F452" s="7">
        <v>12410</v>
      </c>
      <c r="G452" s="7">
        <v>12810</v>
      </c>
      <c r="H452" s="7">
        <v>10600</v>
      </c>
      <c r="I452" s="7">
        <v>10600</v>
      </c>
      <c r="J452" s="7">
        <v>12400</v>
      </c>
      <c r="K452" s="7">
        <v>11040</v>
      </c>
      <c r="L452" s="3">
        <f t="shared" ref="L452:L515" si="24">SUM(B452:K452)</f>
        <v>113210</v>
      </c>
      <c r="M452" s="3">
        <v>96312.959194587631</v>
      </c>
      <c r="N452" s="3">
        <f t="shared" si="23"/>
        <v>113210</v>
      </c>
      <c r="O452">
        <v>24000</v>
      </c>
      <c r="P452">
        <v>26000</v>
      </c>
      <c r="Q452">
        <v>0</v>
      </c>
      <c r="R452" s="23" t="str">
        <f t="shared" si="22"/>
        <v>No</v>
      </c>
    </row>
    <row r="453" spans="1:18" x14ac:dyDescent="0.25">
      <c r="A453" s="1">
        <v>46077</v>
      </c>
      <c r="B453" s="7">
        <v>19710</v>
      </c>
      <c r="C453" s="7">
        <v>18160</v>
      </c>
      <c r="D453" s="7">
        <v>17680</v>
      </c>
      <c r="E453" s="7">
        <v>21970</v>
      </c>
      <c r="F453" s="7">
        <v>22520</v>
      </c>
      <c r="G453" s="7">
        <v>23270</v>
      </c>
      <c r="H453" s="7">
        <v>19230</v>
      </c>
      <c r="I453" s="7">
        <v>19430</v>
      </c>
      <c r="J453" s="7">
        <v>23020</v>
      </c>
      <c r="K453" s="7">
        <v>20190</v>
      </c>
      <c r="L453" s="3">
        <f t="shared" si="24"/>
        <v>205180</v>
      </c>
      <c r="M453" s="3">
        <v>193526.88012242268</v>
      </c>
      <c r="N453" s="3">
        <f t="shared" si="23"/>
        <v>205180</v>
      </c>
      <c r="O453">
        <v>24000</v>
      </c>
      <c r="P453">
        <v>26000</v>
      </c>
      <c r="Q453" s="3">
        <v>4120</v>
      </c>
      <c r="R453" s="23" t="str">
        <f t="shared" si="22"/>
        <v>Yes</v>
      </c>
    </row>
    <row r="454" spans="1:18" ht="15.75" x14ac:dyDescent="0.25">
      <c r="A454" s="1">
        <v>46078</v>
      </c>
      <c r="B454" s="7">
        <v>19460</v>
      </c>
      <c r="C454" s="7">
        <v>19520</v>
      </c>
      <c r="D454" s="7">
        <v>17360</v>
      </c>
      <c r="E454" s="7">
        <v>21630</v>
      </c>
      <c r="F454" s="7">
        <v>21880</v>
      </c>
      <c r="G454" s="7">
        <v>22750</v>
      </c>
      <c r="H454" s="7">
        <v>18870</v>
      </c>
      <c r="I454" s="7">
        <v>18800</v>
      </c>
      <c r="J454" s="7">
        <v>21930</v>
      </c>
      <c r="K454" s="7">
        <v>19760</v>
      </c>
      <c r="L454" s="3">
        <f t="shared" si="24"/>
        <v>201960</v>
      </c>
      <c r="M454" s="3">
        <v>184090.35117554411</v>
      </c>
      <c r="N454" s="3">
        <f t="shared" si="23"/>
        <v>201960</v>
      </c>
      <c r="O454" s="45">
        <v>23567</v>
      </c>
      <c r="P454" s="45">
        <v>26000</v>
      </c>
      <c r="Q454" s="3">
        <v>1091</v>
      </c>
      <c r="R454" s="23" t="str">
        <f t="shared" si="22"/>
        <v>Yes</v>
      </c>
    </row>
    <row r="455" spans="1:18" x14ac:dyDescent="0.25">
      <c r="A455" s="1">
        <v>46079</v>
      </c>
      <c r="B455" s="7">
        <v>29780</v>
      </c>
      <c r="C455" s="7">
        <v>29850</v>
      </c>
      <c r="D455" s="7">
        <v>26870</v>
      </c>
      <c r="E455" s="7">
        <v>33620</v>
      </c>
      <c r="F455" s="7">
        <v>33900</v>
      </c>
      <c r="G455" s="7">
        <v>34010</v>
      </c>
      <c r="H455" s="7">
        <v>28810</v>
      </c>
      <c r="I455" s="7">
        <v>28580</v>
      </c>
      <c r="J455" s="7">
        <v>33240</v>
      </c>
      <c r="K455" s="7">
        <v>29490</v>
      </c>
      <c r="L455" s="3">
        <f t="shared" si="24"/>
        <v>308150</v>
      </c>
      <c r="M455" s="3">
        <v>331863.89930770331</v>
      </c>
      <c r="N455" s="3">
        <f t="shared" si="23"/>
        <v>331863.89930770331</v>
      </c>
      <c r="O455">
        <v>22433</v>
      </c>
      <c r="P455">
        <v>23203</v>
      </c>
      <c r="Q455" s="3">
        <v>39437</v>
      </c>
      <c r="R455" s="23" t="str">
        <f t="shared" si="22"/>
        <v>Yes</v>
      </c>
    </row>
    <row r="456" spans="1:18" x14ac:dyDescent="0.25">
      <c r="A456" s="1">
        <v>46080</v>
      </c>
      <c r="B456" s="7">
        <v>22800</v>
      </c>
      <c r="C456" s="7">
        <v>22930</v>
      </c>
      <c r="D456" s="7">
        <v>20220</v>
      </c>
      <c r="E456" s="7">
        <v>25500</v>
      </c>
      <c r="F456" s="7">
        <v>25280</v>
      </c>
      <c r="G456" s="7">
        <v>26360</v>
      </c>
      <c r="H456" s="7">
        <v>21880</v>
      </c>
      <c r="I456" s="7">
        <v>21740</v>
      </c>
      <c r="J456" s="7">
        <v>24930</v>
      </c>
      <c r="K456" s="7">
        <v>22650</v>
      </c>
      <c r="L456" s="3">
        <f t="shared" si="24"/>
        <v>234290</v>
      </c>
      <c r="M456" s="3">
        <v>231459.05142038947</v>
      </c>
      <c r="N456" s="3">
        <f t="shared" si="23"/>
        <v>234290</v>
      </c>
      <c r="O456">
        <v>24000</v>
      </c>
      <c r="P456">
        <v>24000</v>
      </c>
      <c r="Q456" s="3">
        <v>9264</v>
      </c>
      <c r="R456" s="23" t="str">
        <f t="shared" si="22"/>
        <v>Yes</v>
      </c>
    </row>
    <row r="457" spans="1:18" x14ac:dyDescent="0.25">
      <c r="A457" s="1">
        <v>46081</v>
      </c>
      <c r="B457" s="7">
        <v>19010</v>
      </c>
      <c r="C457" s="7">
        <v>19130</v>
      </c>
      <c r="D457" s="7">
        <v>17370</v>
      </c>
      <c r="E457" s="7">
        <v>22000</v>
      </c>
      <c r="F457" s="7">
        <v>21950</v>
      </c>
      <c r="G457" s="7">
        <v>28260</v>
      </c>
      <c r="H457" s="7">
        <v>23290</v>
      </c>
      <c r="I457" s="7">
        <v>23100</v>
      </c>
      <c r="J457" s="7">
        <v>26180</v>
      </c>
      <c r="K457" s="7">
        <v>23600</v>
      </c>
      <c r="L457" s="3">
        <f t="shared" si="24"/>
        <v>223890</v>
      </c>
      <c r="M457" s="3">
        <v>237857.72862184994</v>
      </c>
      <c r="N457" s="3">
        <f t="shared" si="23"/>
        <v>237857.72862184994</v>
      </c>
      <c r="O457">
        <v>12000</v>
      </c>
      <c r="P457">
        <v>24000</v>
      </c>
      <c r="Q457" s="3">
        <v>66640</v>
      </c>
      <c r="R457" s="23" t="str">
        <f t="shared" si="22"/>
        <v>Yes</v>
      </c>
    </row>
    <row r="458" spans="1:18" x14ac:dyDescent="0.25">
      <c r="A458" s="1">
        <v>46082</v>
      </c>
      <c r="B458" s="7">
        <v>31720</v>
      </c>
      <c r="C458" s="7">
        <v>31730</v>
      </c>
      <c r="D458" s="7">
        <v>28910</v>
      </c>
      <c r="E458" s="7">
        <v>36370</v>
      </c>
      <c r="F458" s="7">
        <v>37020</v>
      </c>
      <c r="G458" s="7">
        <v>38040</v>
      </c>
      <c r="H458" s="7">
        <v>31980</v>
      </c>
      <c r="I458" s="7">
        <v>32240</v>
      </c>
      <c r="J458" s="7">
        <v>38730</v>
      </c>
      <c r="K458" s="7">
        <v>33530</v>
      </c>
      <c r="L458" s="3">
        <f t="shared" si="24"/>
        <v>340270</v>
      </c>
      <c r="M458" s="3">
        <v>361288.62687063514</v>
      </c>
      <c r="N458" s="3">
        <f t="shared" si="23"/>
        <v>361288.62687063514</v>
      </c>
      <c r="O458">
        <v>24000</v>
      </c>
      <c r="P458">
        <v>24000</v>
      </c>
      <c r="Q458" s="3">
        <v>11938</v>
      </c>
      <c r="R458" s="23" t="str">
        <f t="shared" si="22"/>
        <v>Yes</v>
      </c>
    </row>
    <row r="459" spans="1:18" x14ac:dyDescent="0.25">
      <c r="A459" s="1">
        <v>46083</v>
      </c>
      <c r="B459" s="7">
        <v>24590</v>
      </c>
      <c r="C459" s="7">
        <v>24600</v>
      </c>
      <c r="D459" s="7">
        <v>21940</v>
      </c>
      <c r="E459" s="7">
        <v>27480</v>
      </c>
      <c r="F459" s="7">
        <v>27700</v>
      </c>
      <c r="G459" s="7">
        <v>28760</v>
      </c>
      <c r="H459" s="7">
        <v>24150</v>
      </c>
      <c r="I459" s="7">
        <v>23800</v>
      </c>
      <c r="J459" s="7">
        <v>27460</v>
      </c>
      <c r="K459" s="7">
        <v>25120</v>
      </c>
      <c r="L459" s="3">
        <f t="shared" si="24"/>
        <v>255600</v>
      </c>
      <c r="M459" s="3">
        <v>239112.9519870303</v>
      </c>
      <c r="N459" s="3">
        <f t="shared" si="23"/>
        <v>255600</v>
      </c>
      <c r="O459">
        <v>24000</v>
      </c>
      <c r="P459">
        <v>24000</v>
      </c>
      <c r="Q459" s="3">
        <v>11162</v>
      </c>
      <c r="R459" s="23" t="str">
        <f t="shared" si="22"/>
        <v>Yes</v>
      </c>
    </row>
    <row r="460" spans="1:18" x14ac:dyDescent="0.25">
      <c r="A460" s="1">
        <v>46084</v>
      </c>
      <c r="B460" s="7">
        <v>22270</v>
      </c>
      <c r="C460" s="7">
        <v>17720</v>
      </c>
      <c r="D460" s="7">
        <v>20470</v>
      </c>
      <c r="E460" s="7">
        <v>25400</v>
      </c>
      <c r="F460" s="7">
        <v>25830</v>
      </c>
      <c r="G460" s="7">
        <v>26060</v>
      </c>
      <c r="H460" s="7">
        <v>21410</v>
      </c>
      <c r="I460" s="7">
        <v>21830</v>
      </c>
      <c r="J460" s="7">
        <v>26340</v>
      </c>
      <c r="K460" s="7">
        <v>22280</v>
      </c>
      <c r="L460" s="3">
        <f t="shared" si="24"/>
        <v>229610</v>
      </c>
      <c r="M460" s="3">
        <v>244731.31817426009</v>
      </c>
      <c r="N460" s="3">
        <f t="shared" si="23"/>
        <v>244731.31817426009</v>
      </c>
      <c r="O460">
        <v>24000</v>
      </c>
      <c r="P460">
        <v>24000</v>
      </c>
      <c r="Q460" s="3">
        <v>11892</v>
      </c>
      <c r="R460" s="23" t="str">
        <f t="shared" si="22"/>
        <v>Yes</v>
      </c>
    </row>
    <row r="461" spans="1:18" x14ac:dyDescent="0.25">
      <c r="A461" s="1">
        <v>46085</v>
      </c>
      <c r="B461" s="7">
        <v>23890</v>
      </c>
      <c r="C461" s="7">
        <v>24050</v>
      </c>
      <c r="D461" s="7">
        <v>21380</v>
      </c>
      <c r="E461" s="7">
        <v>27100</v>
      </c>
      <c r="F461" s="7">
        <v>27020</v>
      </c>
      <c r="G461" s="7">
        <v>28750</v>
      </c>
      <c r="H461" s="7">
        <v>23410</v>
      </c>
      <c r="I461" s="7">
        <v>23730</v>
      </c>
      <c r="J461" s="7">
        <v>27580</v>
      </c>
      <c r="K461" s="7">
        <v>24640</v>
      </c>
      <c r="L461" s="3">
        <f t="shared" si="24"/>
        <v>251550</v>
      </c>
      <c r="M461" s="3">
        <v>250998.7970568673</v>
      </c>
      <c r="N461" s="3">
        <f t="shared" si="23"/>
        <v>251550</v>
      </c>
      <c r="O461">
        <v>24000</v>
      </c>
      <c r="P461">
        <v>26000</v>
      </c>
      <c r="Q461">
        <v>0</v>
      </c>
      <c r="R461" s="23" t="str">
        <f t="shared" si="22"/>
        <v>No</v>
      </c>
    </row>
    <row r="462" spans="1:18" x14ac:dyDescent="0.25">
      <c r="A462" s="1">
        <v>46086</v>
      </c>
      <c r="B462" s="7">
        <v>28010</v>
      </c>
      <c r="C462" s="7">
        <v>27970</v>
      </c>
      <c r="D462" s="7">
        <v>25160</v>
      </c>
      <c r="E462" s="7">
        <v>31560</v>
      </c>
      <c r="F462" s="7">
        <v>31850</v>
      </c>
      <c r="G462" s="7">
        <v>33070</v>
      </c>
      <c r="H462" s="7">
        <v>27090</v>
      </c>
      <c r="I462" s="7">
        <v>27440</v>
      </c>
      <c r="J462" s="7">
        <v>32520</v>
      </c>
      <c r="K462" s="7">
        <v>28440</v>
      </c>
      <c r="L462" s="3">
        <f t="shared" si="24"/>
        <v>293110</v>
      </c>
      <c r="M462" s="3">
        <v>283125.12587296311</v>
      </c>
      <c r="N462" s="3">
        <f t="shared" si="23"/>
        <v>293110</v>
      </c>
      <c r="O462">
        <v>24000</v>
      </c>
      <c r="P462">
        <v>26000</v>
      </c>
      <c r="Q462">
        <v>0</v>
      </c>
      <c r="R462" s="23" t="str">
        <f t="shared" si="22"/>
        <v>No</v>
      </c>
    </row>
    <row r="463" spans="1:18" x14ac:dyDescent="0.25">
      <c r="A463" s="1">
        <v>46087</v>
      </c>
      <c r="B463" s="7">
        <v>25450</v>
      </c>
      <c r="C463" s="7">
        <v>25040</v>
      </c>
      <c r="D463" s="7">
        <v>22300</v>
      </c>
      <c r="E463" s="7">
        <v>27660</v>
      </c>
      <c r="F463" s="7">
        <v>28040</v>
      </c>
      <c r="G463" s="7">
        <v>180</v>
      </c>
      <c r="H463" s="7">
        <v>150</v>
      </c>
      <c r="I463" s="7">
        <v>160</v>
      </c>
      <c r="J463" s="7">
        <v>180</v>
      </c>
      <c r="K463" s="7">
        <v>160</v>
      </c>
      <c r="L463" s="3">
        <f t="shared" si="24"/>
        <v>129320</v>
      </c>
      <c r="M463" s="3">
        <v>259671.90925340872</v>
      </c>
      <c r="N463" s="3">
        <f t="shared" si="23"/>
        <v>259671.90925340872</v>
      </c>
      <c r="O463">
        <v>24000</v>
      </c>
      <c r="P463">
        <v>26000</v>
      </c>
      <c r="Q463" s="3">
        <v>135283</v>
      </c>
      <c r="R463" s="23" t="str">
        <f t="shared" si="22"/>
        <v>Yes</v>
      </c>
    </row>
    <row r="464" spans="1:18" x14ac:dyDescent="0.25">
      <c r="A464" s="1">
        <v>46088</v>
      </c>
      <c r="B464" s="7">
        <v>21860</v>
      </c>
      <c r="C464" s="7">
        <v>21690</v>
      </c>
      <c r="D464" s="7">
        <v>19570</v>
      </c>
      <c r="E464" s="7">
        <v>24530</v>
      </c>
      <c r="F464" s="7">
        <v>24680</v>
      </c>
      <c r="G464" s="7">
        <v>25700</v>
      </c>
      <c r="H464" s="7">
        <v>21350</v>
      </c>
      <c r="I464" s="7">
        <v>21280</v>
      </c>
      <c r="J464" s="7">
        <v>24900</v>
      </c>
      <c r="K464" s="7">
        <v>22410</v>
      </c>
      <c r="L464" s="3">
        <f t="shared" si="24"/>
        <v>227970</v>
      </c>
      <c r="M464" s="3">
        <v>204247.35093116065</v>
      </c>
      <c r="N464" s="3">
        <f t="shared" si="23"/>
        <v>227970</v>
      </c>
      <c r="O464">
        <v>24000</v>
      </c>
      <c r="P464">
        <v>26000</v>
      </c>
      <c r="Q464">
        <v>0</v>
      </c>
      <c r="R464" s="23" t="str">
        <f t="shared" si="22"/>
        <v>No</v>
      </c>
    </row>
    <row r="465" spans="1:18" x14ac:dyDescent="0.25">
      <c r="A465" s="1">
        <v>46089</v>
      </c>
      <c r="B465" s="7">
        <v>28100</v>
      </c>
      <c r="C465" s="7">
        <v>27930</v>
      </c>
      <c r="D465" s="7">
        <v>25040</v>
      </c>
      <c r="E465" s="7">
        <v>31340</v>
      </c>
      <c r="F465" s="7">
        <v>29920</v>
      </c>
      <c r="G465" s="7">
        <v>30570</v>
      </c>
      <c r="H465" s="7">
        <v>25940</v>
      </c>
      <c r="I465" s="7">
        <v>26760</v>
      </c>
      <c r="J465" s="7">
        <v>30680</v>
      </c>
      <c r="K465" s="7">
        <v>26620</v>
      </c>
      <c r="L465" s="3">
        <f t="shared" si="24"/>
        <v>282900</v>
      </c>
      <c r="M465" s="3">
        <v>296322.19525274355</v>
      </c>
      <c r="N465" s="3">
        <f t="shared" si="23"/>
        <v>296322.19525274355</v>
      </c>
      <c r="O465">
        <v>24000</v>
      </c>
      <c r="P465">
        <v>26000</v>
      </c>
      <c r="Q465">
        <v>0</v>
      </c>
      <c r="R465" s="23" t="str">
        <f t="shared" si="22"/>
        <v>No</v>
      </c>
    </row>
    <row r="466" spans="1:18" x14ac:dyDescent="0.25">
      <c r="A466" s="1">
        <v>46090</v>
      </c>
      <c r="B466" s="7">
        <v>16640</v>
      </c>
      <c r="C466" s="7">
        <v>16580</v>
      </c>
      <c r="D466" s="7">
        <v>14820</v>
      </c>
      <c r="E466" s="7">
        <v>18710</v>
      </c>
      <c r="F466" s="7">
        <v>18300</v>
      </c>
      <c r="G466" s="7">
        <v>19610</v>
      </c>
      <c r="H466" s="7">
        <v>16170</v>
      </c>
      <c r="I466" s="7">
        <v>16210</v>
      </c>
      <c r="J466" s="7">
        <v>19020</v>
      </c>
      <c r="K466" s="7">
        <v>17000</v>
      </c>
      <c r="L466" s="3">
        <f t="shared" si="24"/>
        <v>173060</v>
      </c>
      <c r="M466" s="3">
        <v>150600.47813435318</v>
      </c>
      <c r="N466" s="3">
        <f t="shared" si="23"/>
        <v>173060</v>
      </c>
      <c r="O466">
        <v>24000</v>
      </c>
      <c r="P466">
        <v>26000</v>
      </c>
      <c r="Q466">
        <v>0</v>
      </c>
      <c r="R466" s="23" t="str">
        <f t="shared" si="22"/>
        <v>No</v>
      </c>
    </row>
    <row r="467" spans="1:18" x14ac:dyDescent="0.25">
      <c r="A467" s="1">
        <v>46091</v>
      </c>
      <c r="B467" s="7">
        <v>31230</v>
      </c>
      <c r="C467" s="7">
        <v>31070</v>
      </c>
      <c r="D467" s="7">
        <v>27510</v>
      </c>
      <c r="E467" s="7">
        <v>34890</v>
      </c>
      <c r="F467" s="7">
        <v>34640</v>
      </c>
      <c r="G467" s="7">
        <v>37300</v>
      </c>
      <c r="H467" s="7">
        <v>31170</v>
      </c>
      <c r="I467" s="7">
        <v>31080</v>
      </c>
      <c r="J467" s="7">
        <v>35680</v>
      </c>
      <c r="K467" s="7">
        <v>31970</v>
      </c>
      <c r="L467" s="3">
        <f t="shared" si="24"/>
        <v>326540</v>
      </c>
      <c r="M467" s="3">
        <v>344718.83791985363</v>
      </c>
      <c r="N467" s="3">
        <f t="shared" si="23"/>
        <v>344718.83791985363</v>
      </c>
      <c r="O467">
        <v>24000</v>
      </c>
      <c r="P467">
        <v>26000</v>
      </c>
      <c r="Q467">
        <v>0</v>
      </c>
      <c r="R467" s="23" t="str">
        <f t="shared" si="22"/>
        <v>No</v>
      </c>
    </row>
    <row r="468" spans="1:18" x14ac:dyDescent="0.25">
      <c r="A468" s="1">
        <v>46092</v>
      </c>
      <c r="B468" s="7">
        <v>31020</v>
      </c>
      <c r="C468" s="7">
        <v>30870</v>
      </c>
      <c r="D468" s="7">
        <v>27730</v>
      </c>
      <c r="E468" s="7">
        <v>34950</v>
      </c>
      <c r="F468" s="7">
        <v>34750</v>
      </c>
      <c r="G468" s="7">
        <v>36990</v>
      </c>
      <c r="H468" s="7">
        <v>30550</v>
      </c>
      <c r="I468" s="7">
        <v>30800</v>
      </c>
      <c r="J468" s="7">
        <v>36240</v>
      </c>
      <c r="K468" s="7">
        <v>31810</v>
      </c>
      <c r="L468" s="3">
        <f t="shared" si="24"/>
        <v>325710</v>
      </c>
      <c r="M468" s="3">
        <v>330745.83305620227</v>
      </c>
      <c r="N468" s="3">
        <f t="shared" si="23"/>
        <v>330745.83305620227</v>
      </c>
      <c r="O468">
        <v>24000</v>
      </c>
      <c r="P468">
        <v>26000</v>
      </c>
      <c r="Q468">
        <v>0</v>
      </c>
      <c r="R468" s="23" t="str">
        <f t="shared" si="22"/>
        <v>No</v>
      </c>
    </row>
    <row r="469" spans="1:18" x14ac:dyDescent="0.25">
      <c r="A469" s="1">
        <v>46093</v>
      </c>
      <c r="B469" s="7">
        <v>31540</v>
      </c>
      <c r="C469" s="7">
        <v>31280</v>
      </c>
      <c r="D469" s="7">
        <v>28120</v>
      </c>
      <c r="E469" s="7">
        <v>35410</v>
      </c>
      <c r="F469" s="7">
        <v>35680</v>
      </c>
      <c r="G469" s="7">
        <v>37830</v>
      </c>
      <c r="H469" s="7">
        <v>31000</v>
      </c>
      <c r="I469" s="7">
        <v>31210</v>
      </c>
      <c r="J469" s="7">
        <v>36700</v>
      </c>
      <c r="K469" s="7">
        <v>32430</v>
      </c>
      <c r="L469" s="3">
        <f t="shared" si="24"/>
        <v>331200</v>
      </c>
      <c r="M469" s="3">
        <v>329271.28899235115</v>
      </c>
      <c r="N469" s="3">
        <f t="shared" si="23"/>
        <v>331200</v>
      </c>
      <c r="O469">
        <v>24000</v>
      </c>
      <c r="P469">
        <v>26000</v>
      </c>
      <c r="Q469">
        <v>0</v>
      </c>
      <c r="R469" s="23" t="str">
        <f t="shared" si="22"/>
        <v>No</v>
      </c>
    </row>
    <row r="470" spans="1:18" x14ac:dyDescent="0.25">
      <c r="A470" s="1">
        <v>46094</v>
      </c>
      <c r="B470" s="7">
        <v>24670</v>
      </c>
      <c r="C470" s="7">
        <v>24710</v>
      </c>
      <c r="D470" s="7">
        <v>22120</v>
      </c>
      <c r="E470" s="7">
        <v>28310</v>
      </c>
      <c r="F470" s="7">
        <v>27880</v>
      </c>
      <c r="G470" s="7">
        <v>29290</v>
      </c>
      <c r="H470" s="7">
        <v>24220</v>
      </c>
      <c r="I470" s="7">
        <v>24130</v>
      </c>
      <c r="J470" s="7">
        <v>28050</v>
      </c>
      <c r="K470" s="7">
        <v>25340</v>
      </c>
      <c r="L470" s="3">
        <f t="shared" si="24"/>
        <v>258720</v>
      </c>
      <c r="M470" s="3">
        <v>255189.44861988694</v>
      </c>
      <c r="N470" s="3">
        <f t="shared" si="23"/>
        <v>258720</v>
      </c>
      <c r="O470">
        <v>24000</v>
      </c>
      <c r="P470">
        <v>26000</v>
      </c>
      <c r="Q470">
        <v>0</v>
      </c>
      <c r="R470" s="23" t="str">
        <f t="shared" si="22"/>
        <v>No</v>
      </c>
    </row>
    <row r="471" spans="1:18" x14ac:dyDescent="0.25">
      <c r="A471" s="1">
        <v>46095</v>
      </c>
      <c r="B471" s="7">
        <v>20400</v>
      </c>
      <c r="C471" s="7">
        <v>20250</v>
      </c>
      <c r="D471" s="7">
        <v>18110</v>
      </c>
      <c r="E471" s="7">
        <v>22910</v>
      </c>
      <c r="F471" s="7">
        <v>22870</v>
      </c>
      <c r="G471" s="7">
        <v>23540</v>
      </c>
      <c r="H471" s="7">
        <v>19350</v>
      </c>
      <c r="I471" s="7">
        <v>19470</v>
      </c>
      <c r="J471" s="7">
        <v>22970</v>
      </c>
      <c r="K471" s="7">
        <v>20290</v>
      </c>
      <c r="L471" s="3">
        <f t="shared" si="24"/>
        <v>210160</v>
      </c>
      <c r="M471" s="3">
        <v>197829.05125540411</v>
      </c>
      <c r="N471" s="3">
        <f t="shared" si="23"/>
        <v>210160</v>
      </c>
      <c r="O471">
        <v>24000</v>
      </c>
      <c r="P471">
        <v>24994</v>
      </c>
      <c r="Q471" s="3">
        <v>11435</v>
      </c>
      <c r="R471" s="23" t="str">
        <f t="shared" si="22"/>
        <v>Yes</v>
      </c>
    </row>
    <row r="472" spans="1:18" x14ac:dyDescent="0.25">
      <c r="A472" s="1">
        <v>46096</v>
      </c>
      <c r="B472" s="7">
        <v>27030</v>
      </c>
      <c r="C472" s="7">
        <v>26730</v>
      </c>
      <c r="D472" s="7">
        <v>23290</v>
      </c>
      <c r="E472" s="7">
        <v>28730</v>
      </c>
      <c r="F472" s="7">
        <v>29160</v>
      </c>
      <c r="G472" s="7">
        <v>30810</v>
      </c>
      <c r="H472" s="7">
        <v>25840</v>
      </c>
      <c r="I472" s="7">
        <v>25610</v>
      </c>
      <c r="J472" s="7">
        <v>30390</v>
      </c>
      <c r="K472" s="7">
        <v>25980</v>
      </c>
      <c r="L472" s="3">
        <f t="shared" si="24"/>
        <v>273570</v>
      </c>
      <c r="M472" s="3">
        <v>290426.35213668109</v>
      </c>
      <c r="N472" s="3">
        <f t="shared" si="23"/>
        <v>290426.35213668109</v>
      </c>
      <c r="O472">
        <v>24000</v>
      </c>
      <c r="P472">
        <v>26000</v>
      </c>
      <c r="Q472">
        <v>0</v>
      </c>
      <c r="R472" s="23" t="str">
        <f t="shared" si="22"/>
        <v>No</v>
      </c>
    </row>
    <row r="473" spans="1:18" x14ac:dyDescent="0.25">
      <c r="A473" s="1">
        <v>46097</v>
      </c>
      <c r="B473" s="7">
        <v>16520</v>
      </c>
      <c r="C473" s="7">
        <v>16040</v>
      </c>
      <c r="D473" s="7">
        <v>14490</v>
      </c>
      <c r="E473" s="7">
        <v>17630</v>
      </c>
      <c r="F473" s="7">
        <v>18270</v>
      </c>
      <c r="G473" s="7">
        <v>18330</v>
      </c>
      <c r="H473" s="7">
        <v>15360</v>
      </c>
      <c r="I473" s="7">
        <v>15240</v>
      </c>
      <c r="J473" s="7">
        <v>17890</v>
      </c>
      <c r="K473" s="7">
        <v>15780</v>
      </c>
      <c r="L473" s="3">
        <f t="shared" si="24"/>
        <v>165550</v>
      </c>
      <c r="M473" s="3">
        <v>152222.50993515129</v>
      </c>
      <c r="N473" s="3">
        <f t="shared" si="23"/>
        <v>165550</v>
      </c>
      <c r="O473">
        <v>24000</v>
      </c>
      <c r="P473">
        <v>26000</v>
      </c>
      <c r="Q473">
        <v>0</v>
      </c>
      <c r="R473" s="23" t="str">
        <f t="shared" si="22"/>
        <v>No</v>
      </c>
    </row>
    <row r="474" spans="1:18" x14ac:dyDescent="0.25">
      <c r="A474" s="1">
        <v>46098</v>
      </c>
      <c r="B474" s="7">
        <v>28160</v>
      </c>
      <c r="C474" s="7">
        <v>27780</v>
      </c>
      <c r="D474" s="7">
        <v>24590</v>
      </c>
      <c r="E474" s="7">
        <v>30900</v>
      </c>
      <c r="F474" s="7">
        <v>31270</v>
      </c>
      <c r="G474" s="7">
        <v>32670</v>
      </c>
      <c r="H474" s="7">
        <v>27470</v>
      </c>
      <c r="I474" s="7">
        <v>32670</v>
      </c>
      <c r="J474" s="7">
        <v>32210</v>
      </c>
      <c r="K474" s="7">
        <v>28160</v>
      </c>
      <c r="L474" s="3">
        <f t="shared" si="24"/>
        <v>295880</v>
      </c>
      <c r="M474" s="3">
        <v>296325.02835051547</v>
      </c>
      <c r="N474" s="3">
        <f t="shared" si="23"/>
        <v>296325.02835051547</v>
      </c>
      <c r="O474">
        <v>24000</v>
      </c>
      <c r="P474">
        <v>26000</v>
      </c>
      <c r="Q474">
        <v>0</v>
      </c>
      <c r="R474" s="23" t="str">
        <f t="shared" si="22"/>
        <v>No</v>
      </c>
    </row>
    <row r="475" spans="1:18" x14ac:dyDescent="0.25">
      <c r="A475" s="1">
        <v>46099</v>
      </c>
      <c r="B475" s="7">
        <v>21490</v>
      </c>
      <c r="C475" s="7">
        <v>21510</v>
      </c>
      <c r="D475" s="7">
        <v>19070</v>
      </c>
      <c r="E475" s="7">
        <v>24440</v>
      </c>
      <c r="F475" s="7">
        <v>24400</v>
      </c>
      <c r="G475" s="7">
        <v>25940</v>
      </c>
      <c r="H475" s="7">
        <v>20680</v>
      </c>
      <c r="I475" s="7">
        <v>21350</v>
      </c>
      <c r="J475" s="7">
        <v>24900</v>
      </c>
      <c r="K475" s="7">
        <v>22430</v>
      </c>
      <c r="L475" s="3">
        <f t="shared" si="24"/>
        <v>226210</v>
      </c>
      <c r="M475" s="3">
        <v>212827.63751247097</v>
      </c>
      <c r="N475" s="3">
        <f t="shared" si="23"/>
        <v>226210</v>
      </c>
      <c r="O475">
        <v>24000</v>
      </c>
      <c r="P475">
        <v>26000</v>
      </c>
      <c r="Q475">
        <v>0</v>
      </c>
      <c r="R475" s="23" t="str">
        <f t="shared" si="22"/>
        <v>No</v>
      </c>
    </row>
    <row r="476" spans="1:18" x14ac:dyDescent="0.25">
      <c r="A476" s="1">
        <v>46100</v>
      </c>
      <c r="B476" s="7">
        <v>19450</v>
      </c>
      <c r="C476" s="7">
        <v>19410</v>
      </c>
      <c r="D476" s="7">
        <v>17590</v>
      </c>
      <c r="E476" s="7">
        <v>22270</v>
      </c>
      <c r="F476" s="7">
        <v>22200</v>
      </c>
      <c r="G476" s="7">
        <v>30830</v>
      </c>
      <c r="H476" s="7">
        <v>25050</v>
      </c>
      <c r="I476" s="7">
        <v>25220</v>
      </c>
      <c r="J476" s="7">
        <v>29490</v>
      </c>
      <c r="K476" s="7">
        <v>26150</v>
      </c>
      <c r="L476" s="3">
        <f t="shared" si="24"/>
        <v>237660</v>
      </c>
      <c r="M476" s="3">
        <v>256184.53254905221</v>
      </c>
      <c r="N476" s="3">
        <f t="shared" si="23"/>
        <v>256184.53254905221</v>
      </c>
      <c r="O476">
        <v>14683</v>
      </c>
      <c r="P476">
        <v>26000</v>
      </c>
      <c r="Q476" s="3">
        <v>60484</v>
      </c>
      <c r="R476" s="23" t="str">
        <f t="shared" si="22"/>
        <v>Yes</v>
      </c>
    </row>
    <row r="477" spans="1:18" x14ac:dyDescent="0.25">
      <c r="A477" s="1">
        <v>46101</v>
      </c>
      <c r="B477" s="7">
        <v>10360</v>
      </c>
      <c r="C477" s="7">
        <v>10260</v>
      </c>
      <c r="D477" s="7">
        <v>9120</v>
      </c>
      <c r="E477" s="7">
        <v>11640</v>
      </c>
      <c r="F477" s="7">
        <v>11670</v>
      </c>
      <c r="G477" s="7">
        <v>12100</v>
      </c>
      <c r="H477" s="7">
        <v>9770</v>
      </c>
      <c r="I477" s="7">
        <v>9880</v>
      </c>
      <c r="J477" s="7">
        <v>11550</v>
      </c>
      <c r="K477" s="7">
        <v>10350</v>
      </c>
      <c r="L477" s="3">
        <f t="shared" si="24"/>
        <v>106700</v>
      </c>
      <c r="M477" s="3">
        <v>90432.147572331232</v>
      </c>
      <c r="N477" s="3">
        <f t="shared" si="23"/>
        <v>106700</v>
      </c>
      <c r="O477">
        <v>24000</v>
      </c>
      <c r="P477">
        <v>26000</v>
      </c>
      <c r="Q477">
        <v>0</v>
      </c>
      <c r="R477" s="23" t="str">
        <f t="shared" si="22"/>
        <v>No</v>
      </c>
    </row>
    <row r="478" spans="1:18" x14ac:dyDescent="0.25">
      <c r="A478" s="1">
        <v>46102</v>
      </c>
      <c r="B478" s="7">
        <v>30240</v>
      </c>
      <c r="C478" s="7">
        <v>29850</v>
      </c>
      <c r="D478" s="7">
        <v>27580</v>
      </c>
      <c r="E478" s="7">
        <v>34900</v>
      </c>
      <c r="F478" s="7">
        <v>35250</v>
      </c>
      <c r="G478" s="7">
        <v>36990</v>
      </c>
      <c r="H478" s="7">
        <v>30310</v>
      </c>
      <c r="I478" s="7">
        <v>30640</v>
      </c>
      <c r="J478" s="7">
        <v>36380</v>
      </c>
      <c r="K478" s="7">
        <v>31320</v>
      </c>
      <c r="L478" s="3">
        <f t="shared" si="24"/>
        <v>323460</v>
      </c>
      <c r="M478" s="3">
        <v>333581.76392583974</v>
      </c>
      <c r="N478" s="3">
        <f t="shared" si="23"/>
        <v>333581.76392583974</v>
      </c>
      <c r="O478">
        <v>24000</v>
      </c>
      <c r="P478">
        <v>26000</v>
      </c>
      <c r="Q478">
        <v>0</v>
      </c>
      <c r="R478" s="23" t="str">
        <f t="shared" si="22"/>
        <v>No</v>
      </c>
    </row>
    <row r="479" spans="1:18" ht="58.5" customHeight="1" x14ac:dyDescent="0.25">
      <c r="A479" s="1">
        <v>46103</v>
      </c>
      <c r="B479" s="7">
        <v>28920</v>
      </c>
      <c r="C479" s="7">
        <v>28530</v>
      </c>
      <c r="D479" s="7">
        <v>26020</v>
      </c>
      <c r="E479" s="7">
        <v>32570</v>
      </c>
      <c r="F479" s="7">
        <v>32610</v>
      </c>
      <c r="G479" s="7">
        <v>39460</v>
      </c>
      <c r="H479" s="7">
        <v>32420</v>
      </c>
      <c r="I479" s="7">
        <v>32350</v>
      </c>
      <c r="J479" s="7">
        <v>36940</v>
      </c>
      <c r="K479" s="7">
        <v>33560</v>
      </c>
      <c r="L479" s="3">
        <f t="shared" si="24"/>
        <v>323380</v>
      </c>
      <c r="M479" s="3">
        <v>352988.48366311938</v>
      </c>
      <c r="N479" s="3">
        <f t="shared" si="23"/>
        <v>352988.48366311938</v>
      </c>
      <c r="O479">
        <v>19917</v>
      </c>
      <c r="P479">
        <v>26000</v>
      </c>
      <c r="Q479" s="3">
        <v>1908</v>
      </c>
      <c r="R479" s="23" t="str">
        <f t="shared" si="22"/>
        <v>Yes</v>
      </c>
    </row>
    <row r="480" spans="1:18" x14ac:dyDescent="0.25">
      <c r="A480" s="1">
        <v>46104</v>
      </c>
      <c r="B480" s="7">
        <v>20410</v>
      </c>
      <c r="C480" s="7">
        <v>20260</v>
      </c>
      <c r="D480" s="7">
        <v>18050</v>
      </c>
      <c r="E480" s="7">
        <v>23070</v>
      </c>
      <c r="F480" s="7">
        <v>22780</v>
      </c>
      <c r="G480" s="7">
        <v>20080</v>
      </c>
      <c r="H480" s="7">
        <v>16550</v>
      </c>
      <c r="I480" s="7">
        <v>16320</v>
      </c>
      <c r="J480" s="7">
        <v>18350</v>
      </c>
      <c r="K480" s="7">
        <v>17090</v>
      </c>
      <c r="L480" s="3">
        <f t="shared" si="24"/>
        <v>192960</v>
      </c>
      <c r="M480" s="3">
        <v>201837.88460259399</v>
      </c>
      <c r="N480" s="3">
        <f t="shared" si="23"/>
        <v>201837.88460259399</v>
      </c>
      <c r="O480">
        <v>24000</v>
      </c>
      <c r="P480">
        <v>21956</v>
      </c>
      <c r="Q480" s="3">
        <v>45489</v>
      </c>
      <c r="R480" s="23" t="str">
        <f t="shared" si="22"/>
        <v>Yes</v>
      </c>
    </row>
    <row r="481" spans="1:18" x14ac:dyDescent="0.25">
      <c r="A481" s="1">
        <v>46105</v>
      </c>
      <c r="B481" s="7">
        <v>28080</v>
      </c>
      <c r="C481" s="7">
        <v>28020</v>
      </c>
      <c r="D481" s="7">
        <v>25240</v>
      </c>
      <c r="E481" s="7">
        <v>32510</v>
      </c>
      <c r="F481" s="7">
        <v>32280</v>
      </c>
      <c r="G481" s="7">
        <v>33910</v>
      </c>
      <c r="H481" s="7">
        <v>27680</v>
      </c>
      <c r="I481" s="7">
        <v>27850</v>
      </c>
      <c r="J481" s="7">
        <v>32440</v>
      </c>
      <c r="K481" s="7">
        <v>29300</v>
      </c>
      <c r="L481" s="3">
        <f t="shared" si="24"/>
        <v>297310</v>
      </c>
      <c r="M481" s="3">
        <v>314951.64628367149</v>
      </c>
      <c r="N481" s="3">
        <f t="shared" si="23"/>
        <v>314951.64628367149</v>
      </c>
      <c r="O481">
        <v>24000</v>
      </c>
      <c r="P481">
        <v>26000</v>
      </c>
      <c r="Q481">
        <v>0</v>
      </c>
      <c r="R481" s="23" t="str">
        <f t="shared" si="22"/>
        <v>No</v>
      </c>
    </row>
    <row r="482" spans="1:18" x14ac:dyDescent="0.25">
      <c r="A482" s="1">
        <v>46106</v>
      </c>
      <c r="B482" s="7">
        <v>30700</v>
      </c>
      <c r="C482" s="7">
        <v>30200</v>
      </c>
      <c r="D482" s="7">
        <v>27010</v>
      </c>
      <c r="E482" s="7">
        <v>34250</v>
      </c>
      <c r="F482" s="7">
        <v>34330</v>
      </c>
      <c r="G482" s="7">
        <v>35620</v>
      </c>
      <c r="H482" s="7">
        <v>28770</v>
      </c>
      <c r="I482" s="7">
        <v>29060</v>
      </c>
      <c r="J482" s="7">
        <v>34510</v>
      </c>
      <c r="K482" s="7">
        <v>30700</v>
      </c>
      <c r="L482" s="3">
        <f t="shared" si="24"/>
        <v>315150</v>
      </c>
      <c r="M482" s="3">
        <v>307131.46316927171</v>
      </c>
      <c r="N482" s="3">
        <f t="shared" si="23"/>
        <v>315150</v>
      </c>
      <c r="O482">
        <v>24000</v>
      </c>
      <c r="P482">
        <v>26000</v>
      </c>
      <c r="Q482">
        <v>0</v>
      </c>
      <c r="R482" s="23" t="str">
        <f t="shared" si="22"/>
        <v>No</v>
      </c>
    </row>
    <row r="483" spans="1:18" x14ac:dyDescent="0.25">
      <c r="A483" s="1">
        <v>46107</v>
      </c>
      <c r="B483" s="7">
        <v>33130</v>
      </c>
      <c r="C483" s="7">
        <v>32550</v>
      </c>
      <c r="D483" s="7">
        <v>29260</v>
      </c>
      <c r="E483" s="7">
        <v>37040</v>
      </c>
      <c r="F483" s="7">
        <v>37060</v>
      </c>
      <c r="G483" s="7">
        <v>24240</v>
      </c>
      <c r="H483" s="7">
        <v>20290</v>
      </c>
      <c r="I483" s="7">
        <v>19840</v>
      </c>
      <c r="J483" s="7">
        <v>22660</v>
      </c>
      <c r="K483" s="7">
        <v>20590</v>
      </c>
      <c r="L483" s="3">
        <f t="shared" si="24"/>
        <v>276660</v>
      </c>
      <c r="M483" s="3">
        <v>341508.27153308952</v>
      </c>
      <c r="N483" s="3">
        <f t="shared" si="23"/>
        <v>341508.27153308952</v>
      </c>
      <c r="O483">
        <v>24288</v>
      </c>
      <c r="P483">
        <v>14854</v>
      </c>
      <c r="Q483" s="3">
        <v>61947</v>
      </c>
      <c r="R483" s="23" t="str">
        <f t="shared" si="22"/>
        <v>Yes</v>
      </c>
    </row>
    <row r="484" spans="1:18" x14ac:dyDescent="0.25">
      <c r="A484" s="1">
        <v>46108</v>
      </c>
      <c r="B484" s="7">
        <v>30320</v>
      </c>
      <c r="C484" s="7">
        <v>30060</v>
      </c>
      <c r="D484" s="7">
        <v>26640</v>
      </c>
      <c r="E484" s="7">
        <v>33320</v>
      </c>
      <c r="F484" s="7">
        <v>33660</v>
      </c>
      <c r="G484" s="7">
        <v>33580</v>
      </c>
      <c r="H484" s="7">
        <v>27570</v>
      </c>
      <c r="I484" s="7">
        <v>27690</v>
      </c>
      <c r="J484" s="7">
        <v>32610</v>
      </c>
      <c r="K484" s="7">
        <v>28640</v>
      </c>
      <c r="L484" s="3">
        <f t="shared" si="24"/>
        <v>304090</v>
      </c>
      <c r="M484" s="3">
        <v>319402.60953608243</v>
      </c>
      <c r="N484" s="3">
        <f t="shared" si="23"/>
        <v>319402.60953608243</v>
      </c>
      <c r="O484">
        <v>24663</v>
      </c>
      <c r="P484">
        <v>25338</v>
      </c>
      <c r="Q484">
        <v>0</v>
      </c>
      <c r="R484" s="23" t="str">
        <f t="shared" si="22"/>
        <v>Yes</v>
      </c>
    </row>
    <row r="485" spans="1:18" x14ac:dyDescent="0.25">
      <c r="A485" s="1">
        <v>46109</v>
      </c>
      <c r="B485" s="7">
        <v>37100</v>
      </c>
      <c r="C485" s="7">
        <v>36620</v>
      </c>
      <c r="D485" s="7">
        <v>32650</v>
      </c>
      <c r="E485" s="7">
        <v>41530</v>
      </c>
      <c r="F485" s="7">
        <v>41370</v>
      </c>
      <c r="G485" s="7">
        <v>44630</v>
      </c>
      <c r="H485" s="7">
        <v>36150</v>
      </c>
      <c r="I485" s="7">
        <v>36650</v>
      </c>
      <c r="J485" s="7">
        <v>42250</v>
      </c>
      <c r="K485" s="7">
        <v>38320</v>
      </c>
      <c r="L485" s="3">
        <f t="shared" si="24"/>
        <v>387270</v>
      </c>
      <c r="M485" s="3">
        <v>395561.11057532433</v>
      </c>
      <c r="N485" s="3">
        <f t="shared" si="23"/>
        <v>395561.11057532433</v>
      </c>
      <c r="O485">
        <v>24000</v>
      </c>
      <c r="P485">
        <v>26000</v>
      </c>
      <c r="Q485">
        <v>0</v>
      </c>
      <c r="R485" s="23" t="str">
        <f t="shared" si="22"/>
        <v>No</v>
      </c>
    </row>
    <row r="486" spans="1:18" x14ac:dyDescent="0.25">
      <c r="A486" s="1">
        <v>46110</v>
      </c>
      <c r="B486" s="7">
        <v>25800</v>
      </c>
      <c r="C486" s="7">
        <v>24560</v>
      </c>
      <c r="D486" s="7">
        <v>22160</v>
      </c>
      <c r="E486" s="7">
        <v>27630</v>
      </c>
      <c r="F486" s="7">
        <v>28240</v>
      </c>
      <c r="G486" s="7">
        <v>29480</v>
      </c>
      <c r="H486" s="7">
        <v>24490</v>
      </c>
      <c r="I486" s="7">
        <v>24810</v>
      </c>
      <c r="J486" s="7">
        <v>29680</v>
      </c>
      <c r="K486" s="7">
        <v>25110</v>
      </c>
      <c r="L486" s="3">
        <f t="shared" si="24"/>
        <v>261960</v>
      </c>
      <c r="M486" s="3">
        <v>265405.0992268041</v>
      </c>
      <c r="N486" s="3">
        <f t="shared" si="23"/>
        <v>265405.0992268041</v>
      </c>
      <c r="O486">
        <v>24000</v>
      </c>
      <c r="P486">
        <v>26000</v>
      </c>
      <c r="Q486">
        <v>0</v>
      </c>
      <c r="R486" s="23" t="str">
        <f t="shared" si="22"/>
        <v>No</v>
      </c>
    </row>
    <row r="487" spans="1:18" x14ac:dyDescent="0.25">
      <c r="A487" s="1">
        <v>46111</v>
      </c>
      <c r="B487" s="7">
        <v>22540</v>
      </c>
      <c r="C487" s="7">
        <v>22290</v>
      </c>
      <c r="D487" s="7">
        <v>19900</v>
      </c>
      <c r="E487" s="7">
        <v>25250</v>
      </c>
      <c r="F487" s="7">
        <v>25650</v>
      </c>
      <c r="G487" s="7">
        <v>27400</v>
      </c>
      <c r="H487" s="7">
        <v>21890</v>
      </c>
      <c r="I487" s="7">
        <v>22430</v>
      </c>
      <c r="J487" s="7">
        <v>26380</v>
      </c>
      <c r="K487" s="7">
        <v>22650</v>
      </c>
      <c r="L487" s="3">
        <f t="shared" si="24"/>
        <v>236380</v>
      </c>
      <c r="M487" s="3">
        <v>232794.9773029598</v>
      </c>
      <c r="N487" s="3">
        <f t="shared" si="23"/>
        <v>236380</v>
      </c>
      <c r="O487">
        <v>24000</v>
      </c>
      <c r="P487">
        <v>26000</v>
      </c>
      <c r="Q487">
        <v>0</v>
      </c>
      <c r="R487" s="23" t="str">
        <f t="shared" si="22"/>
        <v>No</v>
      </c>
    </row>
    <row r="488" spans="1:18" x14ac:dyDescent="0.25">
      <c r="A488" s="1">
        <v>46112</v>
      </c>
      <c r="B488" s="7">
        <v>29500</v>
      </c>
      <c r="C488" s="7">
        <v>29240</v>
      </c>
      <c r="D488" s="7">
        <v>26040</v>
      </c>
      <c r="E488" s="7">
        <v>33030</v>
      </c>
      <c r="F488" s="7">
        <v>33740</v>
      </c>
      <c r="G488" s="7">
        <v>35400</v>
      </c>
      <c r="H488" s="7">
        <v>29070</v>
      </c>
      <c r="I488" s="7">
        <v>29790</v>
      </c>
      <c r="J488" s="7">
        <v>36020</v>
      </c>
      <c r="K488" s="7">
        <v>31270</v>
      </c>
      <c r="L488" s="3">
        <f t="shared" si="24"/>
        <v>313100</v>
      </c>
      <c r="M488" s="3">
        <v>319048.3056617892</v>
      </c>
      <c r="N488" s="3">
        <f t="shared" si="23"/>
        <v>319048.3056617892</v>
      </c>
      <c r="O488">
        <v>24000</v>
      </c>
      <c r="P488">
        <v>26000</v>
      </c>
      <c r="Q488">
        <v>0</v>
      </c>
      <c r="R488" s="23" t="str">
        <f t="shared" si="22"/>
        <v>No</v>
      </c>
    </row>
    <row r="489" spans="1:18" ht="45" customHeight="1" x14ac:dyDescent="0.25">
      <c r="A489" s="1">
        <v>46113</v>
      </c>
      <c r="B489" s="7">
        <v>20020</v>
      </c>
      <c r="C489" s="7">
        <v>19940</v>
      </c>
      <c r="D489" s="7">
        <v>17470</v>
      </c>
      <c r="E489" s="7">
        <v>22100</v>
      </c>
      <c r="F489" s="7">
        <v>22670</v>
      </c>
      <c r="G489" s="7">
        <v>34940</v>
      </c>
      <c r="H489" s="7">
        <v>29190</v>
      </c>
      <c r="I489" s="7">
        <v>29860</v>
      </c>
      <c r="J489" s="7">
        <v>36790</v>
      </c>
      <c r="K489" s="7">
        <v>30990</v>
      </c>
      <c r="L489" s="3">
        <f t="shared" si="24"/>
        <v>263970</v>
      </c>
      <c r="M489" s="3">
        <v>319684.48084798129</v>
      </c>
      <c r="N489" s="3">
        <f t="shared" si="23"/>
        <v>319684.48084798129</v>
      </c>
      <c r="O489">
        <v>16617</v>
      </c>
      <c r="P489">
        <v>26000</v>
      </c>
      <c r="Q489" s="3">
        <v>62680</v>
      </c>
      <c r="R489" s="23" t="str">
        <f t="shared" si="22"/>
        <v>Yes</v>
      </c>
    </row>
    <row r="490" spans="1:18" x14ac:dyDescent="0.25">
      <c r="A490" s="1">
        <v>46114</v>
      </c>
      <c r="B490" s="7">
        <v>27610</v>
      </c>
      <c r="C490" s="7">
        <v>27100</v>
      </c>
      <c r="D490" s="7">
        <v>23890</v>
      </c>
      <c r="E490" s="7">
        <v>29850</v>
      </c>
      <c r="F490" s="7">
        <v>29810</v>
      </c>
      <c r="G490" s="7">
        <v>31850</v>
      </c>
      <c r="H490" s="7">
        <v>23930</v>
      </c>
      <c r="I490" s="7">
        <v>24870</v>
      </c>
      <c r="J490" s="7">
        <v>29760</v>
      </c>
      <c r="K490" s="7">
        <v>25610</v>
      </c>
      <c r="L490" s="3">
        <f t="shared" si="24"/>
        <v>274280</v>
      </c>
      <c r="M490" s="3">
        <v>277996.26797904691</v>
      </c>
      <c r="N490" s="3">
        <f t="shared" si="23"/>
        <v>277996.26797904691</v>
      </c>
      <c r="O490">
        <v>24000</v>
      </c>
      <c r="P490">
        <v>26000</v>
      </c>
      <c r="Q490">
        <v>0</v>
      </c>
      <c r="R490" s="23" t="str">
        <f t="shared" si="22"/>
        <v>No</v>
      </c>
    </row>
    <row r="491" spans="1:18" x14ac:dyDescent="0.25">
      <c r="A491" s="1">
        <v>46115</v>
      </c>
      <c r="B491" s="7">
        <v>16440</v>
      </c>
      <c r="C491" s="7">
        <v>16380</v>
      </c>
      <c r="D491" s="7">
        <v>14550</v>
      </c>
      <c r="E491" s="7">
        <v>18650</v>
      </c>
      <c r="F491" s="7">
        <v>18410</v>
      </c>
      <c r="G491" s="7">
        <v>19120</v>
      </c>
      <c r="H491" s="7">
        <v>15400</v>
      </c>
      <c r="I491" s="7">
        <v>15600</v>
      </c>
      <c r="J491" s="7">
        <v>18430</v>
      </c>
      <c r="K491" s="7">
        <v>16760</v>
      </c>
      <c r="L491" s="3">
        <f t="shared" si="24"/>
        <v>169740</v>
      </c>
      <c r="M491" s="3">
        <v>150427.4543111966</v>
      </c>
      <c r="N491" s="3">
        <f t="shared" si="23"/>
        <v>169740</v>
      </c>
      <c r="O491">
        <v>24000</v>
      </c>
      <c r="P491">
        <v>26000</v>
      </c>
      <c r="Q491">
        <v>0</v>
      </c>
      <c r="R491" s="23" t="str">
        <f t="shared" si="22"/>
        <v>No</v>
      </c>
    </row>
    <row r="492" spans="1:18" x14ac:dyDescent="0.25">
      <c r="A492" s="1">
        <v>46116</v>
      </c>
      <c r="B492" s="7">
        <v>30570</v>
      </c>
      <c r="C492" s="7">
        <v>29610</v>
      </c>
      <c r="D492" s="7">
        <v>26840</v>
      </c>
      <c r="E492" s="7">
        <v>34040</v>
      </c>
      <c r="F492" s="7">
        <v>34040</v>
      </c>
      <c r="G492" s="7">
        <v>35910</v>
      </c>
      <c r="H492" s="7">
        <v>27780</v>
      </c>
      <c r="I492" s="7">
        <v>29490</v>
      </c>
      <c r="J492" s="7">
        <v>34950</v>
      </c>
      <c r="K492" s="7">
        <v>31340</v>
      </c>
      <c r="L492" s="3">
        <f t="shared" si="24"/>
        <v>314570</v>
      </c>
      <c r="M492" s="3">
        <v>322584.01705773984</v>
      </c>
      <c r="N492" s="3">
        <f t="shared" si="23"/>
        <v>322584.01705773984</v>
      </c>
      <c r="O492">
        <v>24000</v>
      </c>
      <c r="P492">
        <v>26000</v>
      </c>
      <c r="Q492">
        <v>0</v>
      </c>
      <c r="R492" s="23" t="str">
        <f t="shared" si="22"/>
        <v>No</v>
      </c>
    </row>
    <row r="493" spans="1:18" x14ac:dyDescent="0.25">
      <c r="A493" s="1">
        <v>46117</v>
      </c>
      <c r="B493" s="7">
        <v>32300</v>
      </c>
      <c r="C493" s="7">
        <v>31790</v>
      </c>
      <c r="D493" s="7">
        <v>28420</v>
      </c>
      <c r="E493" s="7">
        <v>36260</v>
      </c>
      <c r="F493" s="7">
        <v>36590</v>
      </c>
      <c r="G493" s="7">
        <v>39090</v>
      </c>
      <c r="H493" s="7">
        <v>31750</v>
      </c>
      <c r="I493" s="7">
        <v>32840</v>
      </c>
      <c r="J493" s="7">
        <v>39110</v>
      </c>
      <c r="K493" s="7">
        <v>34430</v>
      </c>
      <c r="L493" s="3">
        <f t="shared" si="24"/>
        <v>342580</v>
      </c>
      <c r="M493" s="3">
        <v>345293.40223387122</v>
      </c>
      <c r="N493" s="3">
        <f t="shared" si="23"/>
        <v>345293.40223387122</v>
      </c>
      <c r="O493">
        <v>24000</v>
      </c>
      <c r="P493">
        <v>25958</v>
      </c>
      <c r="Q493">
        <v>183</v>
      </c>
      <c r="R493" s="23" t="str">
        <f t="shared" ref="R493:R556" si="25">IF(Q493&gt;0,"Yes",IF(OR((O493+P493&lt;50000),O493&lt;24000,P493&lt;26000),"Yes","No"))</f>
        <v>Yes</v>
      </c>
    </row>
    <row r="494" spans="1:18" x14ac:dyDescent="0.25">
      <c r="A494" s="1">
        <v>46118</v>
      </c>
      <c r="B494" s="7">
        <v>25800</v>
      </c>
      <c r="C494" s="7">
        <v>25390</v>
      </c>
      <c r="D494" s="7">
        <v>22400</v>
      </c>
      <c r="E494" s="7">
        <v>28820</v>
      </c>
      <c r="F494" s="7">
        <v>28590</v>
      </c>
      <c r="G494" s="7">
        <v>31100</v>
      </c>
      <c r="H494" s="7">
        <v>24790</v>
      </c>
      <c r="I494" s="7">
        <v>26120</v>
      </c>
      <c r="J494" s="7">
        <v>30490</v>
      </c>
      <c r="K494" s="7">
        <v>27360</v>
      </c>
      <c r="L494" s="3">
        <f t="shared" si="24"/>
        <v>270860</v>
      </c>
      <c r="M494" s="3">
        <v>296397.47701372887</v>
      </c>
      <c r="N494" s="3">
        <f t="shared" si="23"/>
        <v>296397.47701372887</v>
      </c>
      <c r="O494">
        <v>20567</v>
      </c>
      <c r="P494">
        <v>22583</v>
      </c>
      <c r="Q494" s="3">
        <v>22446</v>
      </c>
      <c r="R494" s="23" t="str">
        <f t="shared" si="25"/>
        <v>Yes</v>
      </c>
    </row>
    <row r="495" spans="1:18" x14ac:dyDescent="0.25">
      <c r="A495" s="1">
        <v>46119</v>
      </c>
      <c r="B495" s="7">
        <v>15420</v>
      </c>
      <c r="C495" s="7">
        <v>14950</v>
      </c>
      <c r="D495" s="7">
        <v>13200</v>
      </c>
      <c r="E495" s="7">
        <v>16750</v>
      </c>
      <c r="F495" s="7">
        <v>16330</v>
      </c>
      <c r="G495" s="7">
        <v>17080</v>
      </c>
      <c r="H495" s="7">
        <v>12580</v>
      </c>
      <c r="I495" s="7">
        <v>13550</v>
      </c>
      <c r="J495" s="7">
        <v>16870</v>
      </c>
      <c r="K495" s="7">
        <v>13670</v>
      </c>
      <c r="L495" s="3">
        <f t="shared" si="24"/>
        <v>150400</v>
      </c>
      <c r="M495" s="3">
        <v>136929.95073215116</v>
      </c>
      <c r="N495" s="3">
        <f t="shared" si="23"/>
        <v>150400</v>
      </c>
      <c r="O495">
        <v>24000</v>
      </c>
      <c r="P495">
        <v>26000</v>
      </c>
      <c r="Q495">
        <v>0</v>
      </c>
      <c r="R495" s="23" t="str">
        <f t="shared" si="25"/>
        <v>No</v>
      </c>
    </row>
    <row r="496" spans="1:18" x14ac:dyDescent="0.25">
      <c r="A496" s="1">
        <v>46120</v>
      </c>
      <c r="B496" s="7">
        <v>29940</v>
      </c>
      <c r="C496" s="7">
        <v>29320</v>
      </c>
      <c r="D496" s="7">
        <v>26080</v>
      </c>
      <c r="E496" s="7">
        <v>32740</v>
      </c>
      <c r="F496" s="7">
        <v>33000</v>
      </c>
      <c r="G496" s="7">
        <v>34640</v>
      </c>
      <c r="H496" s="7">
        <v>27540</v>
      </c>
      <c r="I496" s="7">
        <v>28510</v>
      </c>
      <c r="J496" s="7">
        <v>34780</v>
      </c>
      <c r="K496" s="7">
        <v>29520</v>
      </c>
      <c r="L496" s="3">
        <f t="shared" si="24"/>
        <v>306070</v>
      </c>
      <c r="M496" s="3">
        <v>303573.84571682179</v>
      </c>
      <c r="N496" s="3">
        <f t="shared" si="23"/>
        <v>306070</v>
      </c>
      <c r="O496">
        <v>24000</v>
      </c>
      <c r="P496">
        <v>26000</v>
      </c>
      <c r="Q496">
        <v>0</v>
      </c>
      <c r="R496" s="23" t="str">
        <f t="shared" si="25"/>
        <v>No</v>
      </c>
    </row>
    <row r="497" spans="1:18" ht="60.75" customHeight="1" x14ac:dyDescent="0.25">
      <c r="A497" s="1">
        <v>46121</v>
      </c>
      <c r="B497" s="7">
        <v>17510</v>
      </c>
      <c r="C497" s="7">
        <v>17380</v>
      </c>
      <c r="D497" s="7">
        <v>15540</v>
      </c>
      <c r="E497" s="7">
        <v>19660</v>
      </c>
      <c r="F497" s="7">
        <v>20350</v>
      </c>
      <c r="G497" s="7">
        <v>33600</v>
      </c>
      <c r="H497" s="7">
        <v>28160</v>
      </c>
      <c r="I497" s="7">
        <v>28380</v>
      </c>
      <c r="J497" s="7">
        <v>34570</v>
      </c>
      <c r="K497" s="7">
        <v>29950</v>
      </c>
      <c r="L497" s="3">
        <f t="shared" si="24"/>
        <v>245100</v>
      </c>
      <c r="M497" s="3">
        <v>297749.73154669447</v>
      </c>
      <c r="N497" s="3">
        <f t="shared" si="23"/>
        <v>297749.73154669447</v>
      </c>
      <c r="O497">
        <v>14867</v>
      </c>
      <c r="P497">
        <v>26000</v>
      </c>
      <c r="Q497" s="3">
        <v>66210</v>
      </c>
      <c r="R497" s="23" t="str">
        <f t="shared" si="25"/>
        <v>Yes</v>
      </c>
    </row>
    <row r="498" spans="1:18" x14ac:dyDescent="0.25">
      <c r="A498" s="1">
        <v>46122</v>
      </c>
      <c r="B498" s="7">
        <v>24410</v>
      </c>
      <c r="C498" s="7">
        <v>24210</v>
      </c>
      <c r="D498" s="7">
        <v>21640</v>
      </c>
      <c r="E498" s="7">
        <v>27660</v>
      </c>
      <c r="F498" s="7">
        <v>27760</v>
      </c>
      <c r="G498" s="7">
        <v>30020</v>
      </c>
      <c r="H498" s="7">
        <v>24690</v>
      </c>
      <c r="I498" s="7">
        <v>24800</v>
      </c>
      <c r="J498" s="7">
        <v>29840</v>
      </c>
      <c r="K498" s="7">
        <v>26080</v>
      </c>
      <c r="L498" s="3">
        <f t="shared" si="24"/>
        <v>261110</v>
      </c>
      <c r="M498" s="3">
        <v>245700.2041437125</v>
      </c>
      <c r="N498" s="3">
        <f t="shared" si="23"/>
        <v>261110</v>
      </c>
      <c r="O498">
        <v>23467</v>
      </c>
      <c r="P498">
        <v>26000</v>
      </c>
      <c r="Q498" s="3">
        <v>4680</v>
      </c>
      <c r="R498" s="23" t="str">
        <f t="shared" si="25"/>
        <v>Yes</v>
      </c>
    </row>
    <row r="499" spans="1:18" x14ac:dyDescent="0.25">
      <c r="A499" s="1">
        <v>46123</v>
      </c>
      <c r="B499" s="7">
        <v>22830</v>
      </c>
      <c r="C499" s="7">
        <v>22920</v>
      </c>
      <c r="D499" s="7">
        <v>19710</v>
      </c>
      <c r="E499" s="7">
        <v>25960</v>
      </c>
      <c r="F499" s="7">
        <v>25240</v>
      </c>
      <c r="G499" s="7">
        <v>26330</v>
      </c>
      <c r="H499" s="7">
        <v>22300</v>
      </c>
      <c r="I499" s="7">
        <v>21690</v>
      </c>
      <c r="J499" s="7">
        <v>25480</v>
      </c>
      <c r="K499" s="7">
        <v>23520</v>
      </c>
      <c r="L499" s="3">
        <f t="shared" si="24"/>
        <v>235980</v>
      </c>
      <c r="M499" s="3">
        <v>224105.59146826717</v>
      </c>
      <c r="N499" s="3">
        <f t="shared" si="23"/>
        <v>235980</v>
      </c>
      <c r="O499">
        <v>24000</v>
      </c>
      <c r="P499">
        <v>26000</v>
      </c>
      <c r="Q499">
        <v>0</v>
      </c>
      <c r="R499" s="23" t="str">
        <f t="shared" si="25"/>
        <v>No</v>
      </c>
    </row>
    <row r="500" spans="1:18" x14ac:dyDescent="0.25">
      <c r="A500" s="1">
        <v>46124</v>
      </c>
      <c r="B500" s="7">
        <v>12210</v>
      </c>
      <c r="C500" s="7">
        <v>11400</v>
      </c>
      <c r="D500" s="7">
        <v>10710</v>
      </c>
      <c r="E500" s="7">
        <v>13340</v>
      </c>
      <c r="F500" s="7">
        <v>13610</v>
      </c>
      <c r="G500" s="7">
        <v>22910</v>
      </c>
      <c r="H500" s="7">
        <v>19870</v>
      </c>
      <c r="I500" s="7">
        <v>19360</v>
      </c>
      <c r="J500" s="7">
        <v>24110</v>
      </c>
      <c r="K500" s="7">
        <v>20040</v>
      </c>
      <c r="L500" s="3">
        <f t="shared" si="24"/>
        <v>167560</v>
      </c>
      <c r="M500" s="3">
        <v>203384.45495484414</v>
      </c>
      <c r="N500" s="3">
        <f t="shared" si="23"/>
        <v>203384.45495484414</v>
      </c>
      <c r="O500">
        <v>16283</v>
      </c>
      <c r="P500">
        <v>26000</v>
      </c>
      <c r="Q500" s="3">
        <v>44154</v>
      </c>
      <c r="R500" s="23" t="str">
        <f t="shared" si="25"/>
        <v>Yes</v>
      </c>
    </row>
    <row r="501" spans="1:18" x14ac:dyDescent="0.25">
      <c r="A501" s="1">
        <v>46125</v>
      </c>
      <c r="B501" s="7">
        <v>18330</v>
      </c>
      <c r="C501" s="7">
        <v>18090</v>
      </c>
      <c r="D501" s="7">
        <v>16140</v>
      </c>
      <c r="E501" s="7">
        <v>20540</v>
      </c>
      <c r="F501" s="7">
        <v>20830</v>
      </c>
      <c r="G501" s="7">
        <v>21200</v>
      </c>
      <c r="H501" s="7">
        <v>17890</v>
      </c>
      <c r="I501" s="7">
        <v>17550</v>
      </c>
      <c r="J501" s="7">
        <v>21010</v>
      </c>
      <c r="K501" s="7">
        <v>18370</v>
      </c>
      <c r="L501" s="3">
        <f t="shared" si="24"/>
        <v>189950</v>
      </c>
      <c r="M501" s="3">
        <v>174380.13752922689</v>
      </c>
      <c r="N501" s="3">
        <f t="shared" si="23"/>
        <v>189950</v>
      </c>
      <c r="O501">
        <v>24000</v>
      </c>
      <c r="P501">
        <v>26000</v>
      </c>
      <c r="Q501">
        <v>0</v>
      </c>
      <c r="R501" s="23" t="str">
        <f t="shared" si="25"/>
        <v>No</v>
      </c>
    </row>
    <row r="502" spans="1:18" x14ac:dyDescent="0.25">
      <c r="A502" s="1">
        <v>46126</v>
      </c>
      <c r="B502" s="7">
        <v>24570</v>
      </c>
      <c r="C502" s="7">
        <v>24240</v>
      </c>
      <c r="D502" s="7">
        <v>21120</v>
      </c>
      <c r="E502" s="7">
        <v>26670</v>
      </c>
      <c r="F502" s="7">
        <v>27050</v>
      </c>
      <c r="G502" s="7">
        <v>26670</v>
      </c>
      <c r="H502" s="7">
        <v>23720</v>
      </c>
      <c r="I502" s="7">
        <v>23470</v>
      </c>
      <c r="J502" s="7">
        <v>28340</v>
      </c>
      <c r="K502" s="7">
        <v>24410</v>
      </c>
      <c r="L502" s="3">
        <f t="shared" si="24"/>
        <v>250260</v>
      </c>
      <c r="M502" s="3">
        <v>250914.85848937967</v>
      </c>
      <c r="N502" s="3">
        <f t="shared" si="23"/>
        <v>250914.85848937967</v>
      </c>
      <c r="O502">
        <v>23617</v>
      </c>
      <c r="P502">
        <v>26000</v>
      </c>
      <c r="Q502">
        <v>324</v>
      </c>
      <c r="R502" s="23" t="str">
        <f t="shared" si="25"/>
        <v>Yes</v>
      </c>
    </row>
    <row r="503" spans="1:18" x14ac:dyDescent="0.25">
      <c r="A503" s="1">
        <v>46127</v>
      </c>
      <c r="B503" s="7">
        <v>15760</v>
      </c>
      <c r="C503" s="7">
        <v>15470</v>
      </c>
      <c r="D503" s="7">
        <v>13710</v>
      </c>
      <c r="E503" s="7">
        <v>17490</v>
      </c>
      <c r="F503" s="7">
        <v>17650</v>
      </c>
      <c r="G503" s="7">
        <v>10410</v>
      </c>
      <c r="H503" s="7">
        <v>8720</v>
      </c>
      <c r="I503" s="7">
        <v>8520</v>
      </c>
      <c r="J503" s="7">
        <v>10320</v>
      </c>
      <c r="K503" s="7">
        <v>8990</v>
      </c>
      <c r="L503" s="3">
        <f t="shared" si="24"/>
        <v>127040</v>
      </c>
      <c r="M503" s="3">
        <v>143352.24764699367</v>
      </c>
      <c r="N503" s="3">
        <f t="shared" si="23"/>
        <v>143352.24764699367</v>
      </c>
      <c r="O503">
        <v>24000</v>
      </c>
      <c r="P503">
        <v>21622</v>
      </c>
      <c r="Q503" s="3">
        <v>20949</v>
      </c>
      <c r="R503" s="23" t="str">
        <f t="shared" si="25"/>
        <v>Yes</v>
      </c>
    </row>
    <row r="504" spans="1:18" x14ac:dyDescent="0.25">
      <c r="A504" s="1">
        <v>46128</v>
      </c>
      <c r="B504" s="7">
        <v>21330</v>
      </c>
      <c r="C504" s="7">
        <v>20700</v>
      </c>
      <c r="D504" s="7">
        <v>18350</v>
      </c>
      <c r="E504" s="7">
        <v>23550</v>
      </c>
      <c r="F504" s="7">
        <v>24000</v>
      </c>
      <c r="G504" s="7">
        <v>25220</v>
      </c>
      <c r="H504" s="7">
        <v>21100</v>
      </c>
      <c r="I504" s="7">
        <v>20380</v>
      </c>
      <c r="J504" s="7">
        <v>24640</v>
      </c>
      <c r="K504" s="7">
        <v>20880</v>
      </c>
      <c r="L504" s="3">
        <f t="shared" si="24"/>
        <v>220150</v>
      </c>
      <c r="M504" s="3">
        <v>212605.2918799631</v>
      </c>
      <c r="N504" s="3">
        <f t="shared" si="23"/>
        <v>220150</v>
      </c>
      <c r="O504">
        <v>24000</v>
      </c>
      <c r="P504">
        <v>26000</v>
      </c>
      <c r="Q504">
        <v>0</v>
      </c>
      <c r="R504" s="23" t="str">
        <f t="shared" si="25"/>
        <v>No</v>
      </c>
    </row>
    <row r="505" spans="1:18" x14ac:dyDescent="0.25">
      <c r="A505" s="1">
        <v>46129</v>
      </c>
      <c r="B505" s="7">
        <v>28880</v>
      </c>
      <c r="C505" s="7">
        <v>28550</v>
      </c>
      <c r="D505" s="7">
        <v>24620</v>
      </c>
      <c r="E505" s="7">
        <v>31500</v>
      </c>
      <c r="F505" s="7">
        <v>30990</v>
      </c>
      <c r="G505" s="7">
        <v>31480</v>
      </c>
      <c r="H505" s="7">
        <v>25660</v>
      </c>
      <c r="I505" s="7">
        <v>25320</v>
      </c>
      <c r="J505" s="7">
        <v>31160</v>
      </c>
      <c r="K505" s="7">
        <v>26190</v>
      </c>
      <c r="L505" s="3">
        <f t="shared" si="24"/>
        <v>284350</v>
      </c>
      <c r="M505" s="3">
        <v>304900.72682036087</v>
      </c>
      <c r="N505" s="3">
        <f t="shared" si="23"/>
        <v>304900.72682036087</v>
      </c>
      <c r="O505">
        <v>24000</v>
      </c>
      <c r="P505">
        <v>26000</v>
      </c>
      <c r="Q505">
        <v>0</v>
      </c>
      <c r="R505" s="23" t="str">
        <f t="shared" si="25"/>
        <v>No</v>
      </c>
    </row>
    <row r="506" spans="1:18" x14ac:dyDescent="0.25">
      <c r="A506" s="1">
        <v>46130</v>
      </c>
      <c r="B506" s="7">
        <v>23180</v>
      </c>
      <c r="C506" s="7">
        <v>23440</v>
      </c>
      <c r="D506" s="7">
        <v>20060</v>
      </c>
      <c r="E506" s="7">
        <v>25360</v>
      </c>
      <c r="F506" s="7">
        <v>24740</v>
      </c>
      <c r="G506" s="7">
        <v>26690</v>
      </c>
      <c r="H506" s="7">
        <v>21750</v>
      </c>
      <c r="I506" s="7">
        <v>21670</v>
      </c>
      <c r="J506" s="7">
        <v>25790</v>
      </c>
      <c r="K506" s="7">
        <v>22540</v>
      </c>
      <c r="L506" s="3">
        <f t="shared" si="24"/>
        <v>235220</v>
      </c>
      <c r="M506" s="3">
        <v>253242.7462597056</v>
      </c>
      <c r="N506" s="3">
        <f t="shared" si="23"/>
        <v>253242.7462597056</v>
      </c>
      <c r="O506">
        <v>24000</v>
      </c>
      <c r="P506">
        <v>26000</v>
      </c>
      <c r="Q506">
        <v>0</v>
      </c>
      <c r="R506" s="23" t="str">
        <f t="shared" si="25"/>
        <v>No</v>
      </c>
    </row>
    <row r="507" spans="1:18" x14ac:dyDescent="0.25">
      <c r="A507" s="1">
        <v>46131</v>
      </c>
      <c r="B507" s="7">
        <v>18860</v>
      </c>
      <c r="C507" s="7">
        <v>17840</v>
      </c>
      <c r="D507" s="7">
        <v>14880</v>
      </c>
      <c r="E507" s="7">
        <v>18290</v>
      </c>
      <c r="F507" s="7">
        <v>17960</v>
      </c>
      <c r="G507" s="7">
        <v>19500</v>
      </c>
      <c r="H507" s="7">
        <v>15430</v>
      </c>
      <c r="I507" s="7">
        <v>15400</v>
      </c>
      <c r="J507" s="7">
        <v>18260</v>
      </c>
      <c r="K507" s="7">
        <v>15640</v>
      </c>
      <c r="L507" s="3">
        <f t="shared" si="24"/>
        <v>172060</v>
      </c>
      <c r="M507" s="3">
        <v>166910.06723453684</v>
      </c>
      <c r="N507" s="3">
        <f t="shared" si="23"/>
        <v>172060</v>
      </c>
      <c r="O507">
        <v>23967</v>
      </c>
      <c r="P507">
        <v>26000</v>
      </c>
      <c r="Q507">
        <v>0</v>
      </c>
      <c r="R507" s="23" t="str">
        <f t="shared" si="25"/>
        <v>Yes</v>
      </c>
    </row>
    <row r="508" spans="1:18" x14ac:dyDescent="0.25">
      <c r="A508" s="1">
        <v>46132</v>
      </c>
      <c r="B508" s="7">
        <v>31390</v>
      </c>
      <c r="C508" s="7">
        <v>30340</v>
      </c>
      <c r="D508" s="7">
        <v>27420</v>
      </c>
      <c r="E508" s="7">
        <v>35130</v>
      </c>
      <c r="F508" s="7">
        <v>36080</v>
      </c>
      <c r="G508" s="7">
        <v>39450</v>
      </c>
      <c r="H508" s="7">
        <v>31610</v>
      </c>
      <c r="I508" s="7">
        <v>31880</v>
      </c>
      <c r="J508" s="7">
        <v>36820</v>
      </c>
      <c r="K508" s="7">
        <v>32210</v>
      </c>
      <c r="L508" s="3">
        <f t="shared" si="24"/>
        <v>332330</v>
      </c>
      <c r="M508" s="3">
        <v>330967.86249060003</v>
      </c>
      <c r="N508" s="3">
        <f t="shared" si="23"/>
        <v>332330</v>
      </c>
      <c r="O508">
        <v>24000</v>
      </c>
      <c r="P508">
        <v>25783</v>
      </c>
      <c r="Q508">
        <v>0</v>
      </c>
      <c r="R508" s="23" t="str">
        <f t="shared" si="25"/>
        <v>Yes</v>
      </c>
    </row>
    <row r="509" spans="1:18" x14ac:dyDescent="0.25">
      <c r="A509" s="1">
        <v>46133</v>
      </c>
      <c r="B509" s="7">
        <v>31890</v>
      </c>
      <c r="C509" s="7">
        <v>30520</v>
      </c>
      <c r="D509" s="7">
        <v>27750</v>
      </c>
      <c r="E509" s="7">
        <v>34360</v>
      </c>
      <c r="F509" s="7">
        <v>35880</v>
      </c>
      <c r="G509" s="7">
        <v>38640</v>
      </c>
      <c r="H509" s="7">
        <v>31810</v>
      </c>
      <c r="I509" s="7">
        <v>31760</v>
      </c>
      <c r="J509" s="7">
        <v>39240</v>
      </c>
      <c r="K509" s="7">
        <v>33240</v>
      </c>
      <c r="L509" s="3">
        <f t="shared" si="24"/>
        <v>335090</v>
      </c>
      <c r="M509" s="3">
        <v>333362.91522117268</v>
      </c>
      <c r="N509" s="3">
        <f t="shared" si="23"/>
        <v>335090</v>
      </c>
      <c r="O509">
        <v>24000</v>
      </c>
      <c r="P509">
        <v>26000</v>
      </c>
      <c r="Q509">
        <v>0</v>
      </c>
      <c r="R509" s="23" t="str">
        <f t="shared" si="25"/>
        <v>No</v>
      </c>
    </row>
    <row r="510" spans="1:18" x14ac:dyDescent="0.25">
      <c r="A510" s="1">
        <v>46134</v>
      </c>
      <c r="B510" s="7">
        <v>29530</v>
      </c>
      <c r="C510" s="7">
        <v>27160</v>
      </c>
      <c r="D510" s="7">
        <v>25290</v>
      </c>
      <c r="E510" s="7">
        <v>31730</v>
      </c>
      <c r="F510" s="7">
        <v>32730</v>
      </c>
      <c r="G510" s="7">
        <v>28160</v>
      </c>
      <c r="H510" s="7">
        <v>23110</v>
      </c>
      <c r="I510" s="7">
        <v>23160</v>
      </c>
      <c r="J510" s="7">
        <v>28200</v>
      </c>
      <c r="K510" s="7">
        <v>24190</v>
      </c>
      <c r="L510" s="3">
        <f t="shared" si="24"/>
        <v>273260</v>
      </c>
      <c r="M510" s="3">
        <v>329614.77876059432</v>
      </c>
      <c r="N510" s="3">
        <f t="shared" si="23"/>
        <v>329614.77876059432</v>
      </c>
      <c r="O510">
        <v>23661</v>
      </c>
      <c r="P510">
        <v>23388</v>
      </c>
      <c r="Q510" s="3">
        <v>34512</v>
      </c>
      <c r="R510" s="23" t="str">
        <f t="shared" si="25"/>
        <v>Yes</v>
      </c>
    </row>
    <row r="511" spans="1:18" x14ac:dyDescent="0.25">
      <c r="A511" s="1">
        <v>46135</v>
      </c>
      <c r="B511" s="7">
        <v>23440</v>
      </c>
      <c r="C511" s="7">
        <v>23150</v>
      </c>
      <c r="D511" s="7">
        <v>20290</v>
      </c>
      <c r="E511" s="7">
        <v>25690</v>
      </c>
      <c r="F511" s="7">
        <v>26060</v>
      </c>
      <c r="G511" s="7">
        <v>26300</v>
      </c>
      <c r="H511" s="7">
        <v>20840</v>
      </c>
      <c r="I511" s="7">
        <v>21010</v>
      </c>
      <c r="J511" s="7">
        <v>25110</v>
      </c>
      <c r="K511" s="7">
        <v>22110</v>
      </c>
      <c r="L511" s="3">
        <f t="shared" si="24"/>
        <v>234000</v>
      </c>
      <c r="M511" s="3">
        <v>249653.64979141505</v>
      </c>
      <c r="N511" s="3">
        <f t="shared" si="23"/>
        <v>249653.64979141505</v>
      </c>
      <c r="O511">
        <v>19483</v>
      </c>
      <c r="P511">
        <v>22525</v>
      </c>
      <c r="Q511" s="3">
        <v>41697</v>
      </c>
      <c r="R511" s="23" t="str">
        <f t="shared" si="25"/>
        <v>Yes</v>
      </c>
    </row>
    <row r="512" spans="1:18" x14ac:dyDescent="0.25">
      <c r="A512" s="1">
        <v>46136</v>
      </c>
      <c r="B512" s="7">
        <v>31820</v>
      </c>
      <c r="C512" s="7">
        <v>30510</v>
      </c>
      <c r="D512" s="7">
        <v>27420</v>
      </c>
      <c r="E512" s="7">
        <v>35030</v>
      </c>
      <c r="F512" s="7">
        <v>34700</v>
      </c>
      <c r="G512" s="7">
        <v>35490</v>
      </c>
      <c r="H512" s="7">
        <v>28720</v>
      </c>
      <c r="I512" s="7">
        <v>28500</v>
      </c>
      <c r="J512" s="7">
        <v>34210</v>
      </c>
      <c r="K512" s="7">
        <v>30320</v>
      </c>
      <c r="L512" s="3">
        <f t="shared" si="24"/>
        <v>316720</v>
      </c>
      <c r="M512" s="3">
        <v>337783.03296303324</v>
      </c>
      <c r="N512" s="3">
        <f t="shared" si="23"/>
        <v>337783.03296303324</v>
      </c>
      <c r="O512">
        <v>24000</v>
      </c>
      <c r="P512">
        <v>22917</v>
      </c>
      <c r="Q512" s="3">
        <v>22876</v>
      </c>
      <c r="R512" s="23" t="str">
        <f t="shared" si="25"/>
        <v>Yes</v>
      </c>
    </row>
    <row r="513" spans="1:18" x14ac:dyDescent="0.25">
      <c r="A513" s="1">
        <v>46137</v>
      </c>
      <c r="B513" s="7">
        <v>34300</v>
      </c>
      <c r="C513" s="7">
        <v>32750</v>
      </c>
      <c r="D513" s="7">
        <v>30170</v>
      </c>
      <c r="E513" s="7">
        <v>37350</v>
      </c>
      <c r="F513" s="7">
        <v>38770</v>
      </c>
      <c r="G513" s="7">
        <v>24950</v>
      </c>
      <c r="H513" s="7">
        <v>20780</v>
      </c>
      <c r="I513" s="7">
        <v>20690</v>
      </c>
      <c r="J513" s="7">
        <v>24490</v>
      </c>
      <c r="K513" s="7">
        <v>21690</v>
      </c>
      <c r="L513" s="3">
        <f t="shared" si="24"/>
        <v>285940</v>
      </c>
      <c r="M513" s="3">
        <v>353394.15979724756</v>
      </c>
      <c r="N513" s="3">
        <f t="shared" si="23"/>
        <v>353394.15979724756</v>
      </c>
      <c r="O513">
        <v>24000</v>
      </c>
      <c r="P513">
        <v>13850</v>
      </c>
      <c r="Q513" s="3">
        <v>97126</v>
      </c>
      <c r="R513" s="23" t="str">
        <f t="shared" si="25"/>
        <v>Yes</v>
      </c>
    </row>
    <row r="514" spans="1:18" x14ac:dyDescent="0.25">
      <c r="A514" s="1">
        <v>46138</v>
      </c>
      <c r="B514" s="7">
        <v>33380</v>
      </c>
      <c r="C514" s="7">
        <v>32080</v>
      </c>
      <c r="D514" s="7">
        <v>29620</v>
      </c>
      <c r="E514" s="7">
        <v>36620</v>
      </c>
      <c r="F514" s="7">
        <v>38210</v>
      </c>
      <c r="G514" s="7">
        <v>39190</v>
      </c>
      <c r="H514" s="7">
        <v>32210</v>
      </c>
      <c r="I514" s="7">
        <v>32030</v>
      </c>
      <c r="J514" s="7">
        <v>38610</v>
      </c>
      <c r="K514" s="7">
        <v>33800</v>
      </c>
      <c r="L514" s="3">
        <f t="shared" si="24"/>
        <v>345750</v>
      </c>
      <c r="M514" s="3">
        <v>354441.26981946296</v>
      </c>
      <c r="N514" s="3">
        <f t="shared" si="23"/>
        <v>354441.26981946296</v>
      </c>
      <c r="O514">
        <v>24000</v>
      </c>
      <c r="P514">
        <v>24000</v>
      </c>
      <c r="Q514" s="3">
        <v>14248</v>
      </c>
      <c r="R514" s="23" t="str">
        <f t="shared" si="25"/>
        <v>Yes</v>
      </c>
    </row>
    <row r="515" spans="1:18" x14ac:dyDescent="0.25">
      <c r="A515" s="1">
        <v>46139</v>
      </c>
      <c r="B515" s="7">
        <v>21790</v>
      </c>
      <c r="C515" s="7">
        <v>21210</v>
      </c>
      <c r="D515" s="7">
        <v>19320</v>
      </c>
      <c r="E515" s="7">
        <v>23840</v>
      </c>
      <c r="F515" s="7">
        <v>25360</v>
      </c>
      <c r="G515" s="7">
        <v>26070</v>
      </c>
      <c r="H515" s="7">
        <v>21540</v>
      </c>
      <c r="I515" s="7">
        <v>22170</v>
      </c>
      <c r="J515" s="7">
        <v>28110</v>
      </c>
      <c r="K515" s="7">
        <v>23870</v>
      </c>
      <c r="L515" s="3">
        <f t="shared" si="24"/>
        <v>233280</v>
      </c>
      <c r="M515" s="3">
        <v>237237.91667086055</v>
      </c>
      <c r="N515" s="3">
        <f t="shared" ref="N515:N578" si="26">IF(OR(O515&lt;24300,P515&lt;25700),MAX(L515,M515),L515)</f>
        <v>237237.91667086055</v>
      </c>
      <c r="O515">
        <v>24000</v>
      </c>
      <c r="P515">
        <v>24000</v>
      </c>
      <c r="Q515" s="3">
        <v>9537</v>
      </c>
      <c r="R515" s="23" t="str">
        <f t="shared" si="25"/>
        <v>Yes</v>
      </c>
    </row>
    <row r="516" spans="1:18" x14ac:dyDescent="0.25">
      <c r="A516" s="1">
        <v>46140</v>
      </c>
      <c r="B516" s="7">
        <v>23860</v>
      </c>
      <c r="C516" s="7">
        <v>22060</v>
      </c>
      <c r="D516" s="7">
        <v>21810</v>
      </c>
      <c r="E516" s="7">
        <v>25870</v>
      </c>
      <c r="F516" s="7">
        <v>28470</v>
      </c>
      <c r="G516" s="7">
        <v>29790</v>
      </c>
      <c r="H516" s="7">
        <v>23990</v>
      </c>
      <c r="I516" s="7">
        <v>23860</v>
      </c>
      <c r="J516" s="7">
        <v>31810</v>
      </c>
      <c r="K516" s="7">
        <v>26510</v>
      </c>
      <c r="L516" s="3">
        <f t="shared" ref="L516:L579" si="27">SUM(B516:K516)</f>
        <v>258030</v>
      </c>
      <c r="M516" s="3">
        <v>259926.5719209899</v>
      </c>
      <c r="N516" s="3">
        <f t="shared" si="26"/>
        <v>259926.5719209899</v>
      </c>
      <c r="O516">
        <v>24000</v>
      </c>
      <c r="P516">
        <v>25306</v>
      </c>
      <c r="Q516" s="3">
        <v>3877</v>
      </c>
      <c r="R516" s="23" t="str">
        <f t="shared" si="25"/>
        <v>Yes</v>
      </c>
    </row>
    <row r="517" spans="1:18" x14ac:dyDescent="0.25">
      <c r="A517" s="1">
        <v>46141</v>
      </c>
      <c r="B517" s="7">
        <v>26890</v>
      </c>
      <c r="C517" s="7">
        <v>26030</v>
      </c>
      <c r="D517" s="7">
        <v>23330</v>
      </c>
      <c r="E517" s="7">
        <v>29160</v>
      </c>
      <c r="F517" s="7">
        <v>30020</v>
      </c>
      <c r="G517" s="7">
        <v>32060</v>
      </c>
      <c r="H517" s="7">
        <v>25460</v>
      </c>
      <c r="I517" s="7">
        <v>25090</v>
      </c>
      <c r="J517" s="7">
        <v>33340</v>
      </c>
      <c r="K517" s="7">
        <v>27770</v>
      </c>
      <c r="L517" s="3">
        <f t="shared" si="27"/>
        <v>279150</v>
      </c>
      <c r="M517" s="3">
        <v>292579.19048355962</v>
      </c>
      <c r="N517" s="3">
        <f t="shared" si="26"/>
        <v>292579.19048355962</v>
      </c>
      <c r="O517">
        <v>24000</v>
      </c>
      <c r="P517">
        <v>26000</v>
      </c>
      <c r="Q517">
        <v>0</v>
      </c>
      <c r="R517" s="23" t="str">
        <f t="shared" si="25"/>
        <v>No</v>
      </c>
    </row>
    <row r="518" spans="1:18" x14ac:dyDescent="0.25">
      <c r="A518" s="1">
        <v>46142</v>
      </c>
      <c r="B518" s="7">
        <v>25110</v>
      </c>
      <c r="C518" s="7">
        <v>23920</v>
      </c>
      <c r="D518" s="7">
        <v>21790</v>
      </c>
      <c r="E518" s="7">
        <v>26590</v>
      </c>
      <c r="F518" s="7">
        <v>28200</v>
      </c>
      <c r="G518" s="7">
        <v>30060</v>
      </c>
      <c r="H518" s="7">
        <v>23690</v>
      </c>
      <c r="I518" s="7">
        <v>23710</v>
      </c>
      <c r="J518" s="7">
        <v>31650</v>
      </c>
      <c r="K518" s="7">
        <v>26220</v>
      </c>
      <c r="L518" s="3">
        <f t="shared" si="27"/>
        <v>260940</v>
      </c>
      <c r="M518" s="3">
        <v>259532.20580872693</v>
      </c>
      <c r="N518" s="3">
        <f t="shared" si="26"/>
        <v>260940</v>
      </c>
      <c r="O518">
        <v>24000</v>
      </c>
      <c r="P518">
        <v>26000</v>
      </c>
      <c r="Q518">
        <v>0</v>
      </c>
      <c r="R518" s="23" t="str">
        <f t="shared" si="25"/>
        <v>No</v>
      </c>
    </row>
    <row r="519" spans="1:18" x14ac:dyDescent="0.25">
      <c r="A519" s="1">
        <v>46143</v>
      </c>
      <c r="B519" s="7">
        <v>26990</v>
      </c>
      <c r="C519" s="7">
        <v>25900</v>
      </c>
      <c r="D519" s="7">
        <v>23710</v>
      </c>
      <c r="E519" s="7">
        <v>29660</v>
      </c>
      <c r="F519" s="7">
        <v>30260</v>
      </c>
      <c r="G519" s="7">
        <v>32860</v>
      </c>
      <c r="H519" s="7">
        <v>26120</v>
      </c>
      <c r="I519" s="7">
        <v>25480</v>
      </c>
      <c r="J519" s="7">
        <v>30200</v>
      </c>
      <c r="K519" s="7">
        <v>26910</v>
      </c>
      <c r="L519" s="3">
        <f t="shared" si="27"/>
        <v>278090</v>
      </c>
      <c r="M519" s="3"/>
      <c r="N519" s="3">
        <f t="shared" si="26"/>
        <v>278090</v>
      </c>
      <c r="O519">
        <v>24000</v>
      </c>
      <c r="P519">
        <v>26000</v>
      </c>
      <c r="R519" s="23" t="str">
        <f t="shared" si="25"/>
        <v>No</v>
      </c>
    </row>
    <row r="520" spans="1:18" x14ac:dyDescent="0.25">
      <c r="A520" s="1">
        <v>46144</v>
      </c>
      <c r="B520" s="7">
        <v>27420</v>
      </c>
      <c r="C520" s="7">
        <v>26390</v>
      </c>
      <c r="D520" s="7">
        <v>24260</v>
      </c>
      <c r="E520" s="7">
        <v>30050</v>
      </c>
      <c r="F520" s="7">
        <v>31020</v>
      </c>
      <c r="G520" s="7">
        <v>33380</v>
      </c>
      <c r="H520" s="7">
        <v>25330</v>
      </c>
      <c r="I520" s="7">
        <v>25630</v>
      </c>
      <c r="J520" s="7">
        <v>32390</v>
      </c>
      <c r="K520" s="7">
        <v>27780</v>
      </c>
      <c r="L520" s="3">
        <f t="shared" si="27"/>
        <v>283650</v>
      </c>
      <c r="M520" s="3"/>
      <c r="N520" s="3">
        <f t="shared" si="26"/>
        <v>283650</v>
      </c>
      <c r="O520">
        <v>24000</v>
      </c>
      <c r="P520">
        <v>24989</v>
      </c>
      <c r="R520" s="23" t="str">
        <f t="shared" si="25"/>
        <v>Yes</v>
      </c>
    </row>
    <row r="521" spans="1:18" x14ac:dyDescent="0.25">
      <c r="A521" s="1">
        <v>46145</v>
      </c>
      <c r="B521" s="7">
        <v>21480</v>
      </c>
      <c r="C521" s="7">
        <v>19460</v>
      </c>
      <c r="D521" s="7">
        <v>17930</v>
      </c>
      <c r="E521" s="7">
        <v>21200</v>
      </c>
      <c r="F521" s="7">
        <v>22610</v>
      </c>
      <c r="G521" s="7">
        <v>23310</v>
      </c>
      <c r="H521" s="7">
        <v>18980</v>
      </c>
      <c r="I521" s="7">
        <v>18760</v>
      </c>
      <c r="J521" s="7">
        <v>23800</v>
      </c>
      <c r="K521" s="7">
        <v>19660</v>
      </c>
      <c r="L521" s="3">
        <f t="shared" si="27"/>
        <v>207190</v>
      </c>
      <c r="M521" s="3"/>
      <c r="N521" s="3">
        <f t="shared" si="26"/>
        <v>207190</v>
      </c>
      <c r="O521">
        <v>24000</v>
      </c>
      <c r="P521">
        <v>26000</v>
      </c>
      <c r="R521" s="23" t="str">
        <f t="shared" si="25"/>
        <v>No</v>
      </c>
    </row>
    <row r="522" spans="1:18" x14ac:dyDescent="0.25">
      <c r="A522" s="1">
        <v>46146</v>
      </c>
      <c r="B522" s="7">
        <v>21810</v>
      </c>
      <c r="C522" s="7">
        <v>21430</v>
      </c>
      <c r="D522" s="7">
        <v>18740</v>
      </c>
      <c r="E522" s="7">
        <v>23400</v>
      </c>
      <c r="F522" s="7">
        <v>24030</v>
      </c>
      <c r="G522" s="7">
        <v>26080</v>
      </c>
      <c r="H522" s="7">
        <v>21150</v>
      </c>
      <c r="I522" s="7">
        <v>21170</v>
      </c>
      <c r="J522" s="7">
        <v>26170</v>
      </c>
      <c r="K522" s="7">
        <v>22380</v>
      </c>
      <c r="L522" s="3">
        <f t="shared" si="27"/>
        <v>226360</v>
      </c>
      <c r="M522" s="3"/>
      <c r="N522" s="3">
        <f t="shared" si="26"/>
        <v>226360</v>
      </c>
      <c r="O522">
        <v>24000</v>
      </c>
      <c r="P522">
        <v>26000</v>
      </c>
      <c r="R522" s="23" t="str">
        <f t="shared" si="25"/>
        <v>No</v>
      </c>
    </row>
    <row r="523" spans="1:18" x14ac:dyDescent="0.25">
      <c r="A523" s="1">
        <v>46147</v>
      </c>
      <c r="B523" s="7">
        <v>17280</v>
      </c>
      <c r="C523" s="7">
        <v>16200</v>
      </c>
      <c r="D523" s="7">
        <v>14890</v>
      </c>
      <c r="E523" s="7">
        <v>17980</v>
      </c>
      <c r="F523" s="7">
        <v>19030</v>
      </c>
      <c r="G523" s="7">
        <v>19350</v>
      </c>
      <c r="H523" s="7">
        <v>15760</v>
      </c>
      <c r="I523" s="7">
        <v>15380</v>
      </c>
      <c r="J523" s="7">
        <v>18930</v>
      </c>
      <c r="K523" s="7">
        <v>16000</v>
      </c>
      <c r="L523" s="3">
        <f t="shared" si="27"/>
        <v>170800</v>
      </c>
      <c r="M523" s="3"/>
      <c r="N523" s="3">
        <f t="shared" si="26"/>
        <v>170800</v>
      </c>
      <c r="O523">
        <v>12000</v>
      </c>
      <c r="P523">
        <v>24992</v>
      </c>
      <c r="R523" s="23" t="str">
        <f t="shared" si="25"/>
        <v>Yes</v>
      </c>
    </row>
    <row r="524" spans="1:18" x14ac:dyDescent="0.25">
      <c r="A524" s="1">
        <v>46148</v>
      </c>
      <c r="B524" s="7">
        <v>25750</v>
      </c>
      <c r="C524" s="7">
        <v>24880</v>
      </c>
      <c r="D524" s="7">
        <v>21600</v>
      </c>
      <c r="E524" s="7">
        <v>26680</v>
      </c>
      <c r="F524" s="7">
        <v>26840</v>
      </c>
      <c r="G524" s="7">
        <v>29110</v>
      </c>
      <c r="H524" s="7">
        <v>22800</v>
      </c>
      <c r="I524" s="7">
        <v>23110</v>
      </c>
      <c r="J524" s="7">
        <v>27510</v>
      </c>
      <c r="K524" s="7">
        <v>23520</v>
      </c>
      <c r="L524" s="3">
        <f t="shared" si="27"/>
        <v>251800</v>
      </c>
      <c r="M524" s="3"/>
      <c r="N524" s="3">
        <f t="shared" si="26"/>
        <v>251800</v>
      </c>
      <c r="O524">
        <v>24000</v>
      </c>
      <c r="P524">
        <v>26000</v>
      </c>
      <c r="R524" s="23" t="str">
        <f t="shared" si="25"/>
        <v>No</v>
      </c>
    </row>
    <row r="525" spans="1:18" x14ac:dyDescent="0.25">
      <c r="A525" s="1">
        <v>46149</v>
      </c>
      <c r="B525" s="7">
        <v>19410</v>
      </c>
      <c r="C525" s="7">
        <v>18630</v>
      </c>
      <c r="D525" s="7">
        <v>16260</v>
      </c>
      <c r="E525" s="7">
        <v>20060</v>
      </c>
      <c r="F525" s="7">
        <v>20910</v>
      </c>
      <c r="G525" s="7">
        <v>22510</v>
      </c>
      <c r="H525" s="7">
        <v>18210</v>
      </c>
      <c r="I525" s="7">
        <v>18190</v>
      </c>
      <c r="J525" s="7">
        <v>22280</v>
      </c>
      <c r="K525" s="7">
        <v>18520</v>
      </c>
      <c r="L525" s="3">
        <f t="shared" si="27"/>
        <v>194980</v>
      </c>
      <c r="M525" s="3"/>
      <c r="N525" s="3">
        <f t="shared" si="26"/>
        <v>194980</v>
      </c>
      <c r="O525">
        <v>24000</v>
      </c>
      <c r="P525">
        <v>26000</v>
      </c>
      <c r="R525" s="23" t="str">
        <f t="shared" si="25"/>
        <v>No</v>
      </c>
    </row>
    <row r="526" spans="1:18" x14ac:dyDescent="0.25">
      <c r="A526" s="1">
        <v>46150</v>
      </c>
      <c r="B526" s="7">
        <v>13250</v>
      </c>
      <c r="C526" s="7">
        <v>12860</v>
      </c>
      <c r="D526" s="7">
        <v>11430</v>
      </c>
      <c r="E526" s="7">
        <v>14570</v>
      </c>
      <c r="F526" s="7">
        <v>14710</v>
      </c>
      <c r="G526" s="7">
        <v>16130</v>
      </c>
      <c r="H526" s="7">
        <v>13170</v>
      </c>
      <c r="I526" s="7">
        <v>13550</v>
      </c>
      <c r="J526" s="7">
        <v>16280</v>
      </c>
      <c r="K526" s="7">
        <v>14300</v>
      </c>
      <c r="L526" s="3">
        <f t="shared" si="27"/>
        <v>140250</v>
      </c>
      <c r="M526" s="3"/>
      <c r="N526" s="3">
        <f t="shared" si="26"/>
        <v>140250</v>
      </c>
      <c r="O526">
        <v>24000</v>
      </c>
      <c r="P526">
        <v>26000</v>
      </c>
      <c r="R526" s="23" t="str">
        <f t="shared" si="25"/>
        <v>No</v>
      </c>
    </row>
    <row r="527" spans="1:18" x14ac:dyDescent="0.25">
      <c r="A527" s="1">
        <v>46151</v>
      </c>
      <c r="B527" s="7">
        <v>19810</v>
      </c>
      <c r="C527" s="7">
        <v>18910</v>
      </c>
      <c r="D527" s="7">
        <v>17580</v>
      </c>
      <c r="E527" s="7">
        <v>21780</v>
      </c>
      <c r="F527" s="7">
        <v>23130</v>
      </c>
      <c r="G527" s="7">
        <v>26850</v>
      </c>
      <c r="H527" s="7">
        <v>22640</v>
      </c>
      <c r="I527" s="7">
        <v>22970</v>
      </c>
      <c r="J527" s="7">
        <v>29030</v>
      </c>
      <c r="K527" s="7">
        <v>23150</v>
      </c>
      <c r="L527" s="3">
        <f t="shared" si="27"/>
        <v>225850</v>
      </c>
      <c r="M527" s="3"/>
      <c r="N527" s="3">
        <f t="shared" si="26"/>
        <v>225850</v>
      </c>
      <c r="O527">
        <v>16950</v>
      </c>
      <c r="P527">
        <v>26000</v>
      </c>
      <c r="R527" s="23" t="str">
        <f t="shared" si="25"/>
        <v>Yes</v>
      </c>
    </row>
    <row r="528" spans="1:18" x14ac:dyDescent="0.25">
      <c r="A528" s="1">
        <v>46152</v>
      </c>
      <c r="B528" s="7">
        <v>20700</v>
      </c>
      <c r="C528" s="7">
        <v>20170</v>
      </c>
      <c r="D528" s="7">
        <v>18040</v>
      </c>
      <c r="E528" s="7">
        <v>23200</v>
      </c>
      <c r="F528" s="7">
        <v>22930</v>
      </c>
      <c r="G528" s="7">
        <v>24570</v>
      </c>
      <c r="H528" s="7">
        <v>20560</v>
      </c>
      <c r="I528" s="7">
        <v>20600</v>
      </c>
      <c r="J528" s="7">
        <v>23420</v>
      </c>
      <c r="K528" s="7">
        <v>20940</v>
      </c>
      <c r="L528" s="3">
        <f t="shared" si="27"/>
        <v>215130</v>
      </c>
      <c r="M528" s="3"/>
      <c r="N528" s="3">
        <f t="shared" si="26"/>
        <v>215130</v>
      </c>
      <c r="O528">
        <v>24000</v>
      </c>
      <c r="P528">
        <v>26000</v>
      </c>
      <c r="R528" s="23" t="str">
        <f t="shared" si="25"/>
        <v>No</v>
      </c>
    </row>
    <row r="529" spans="1:18" x14ac:dyDescent="0.25">
      <c r="A529" s="1">
        <v>46153</v>
      </c>
      <c r="B529" s="7">
        <v>30280</v>
      </c>
      <c r="C529" s="7">
        <v>29410</v>
      </c>
      <c r="D529" s="7">
        <v>26120</v>
      </c>
      <c r="E529" s="7">
        <v>32150</v>
      </c>
      <c r="F529" s="7">
        <v>33010</v>
      </c>
      <c r="G529" s="7">
        <v>34840</v>
      </c>
      <c r="H529" s="7">
        <v>29060</v>
      </c>
      <c r="I529" s="7">
        <v>29220</v>
      </c>
      <c r="J529" s="7">
        <v>34830</v>
      </c>
      <c r="K529" s="7">
        <v>28930</v>
      </c>
      <c r="L529" s="3">
        <f t="shared" si="27"/>
        <v>307850</v>
      </c>
      <c r="M529" s="3"/>
      <c r="N529" s="3">
        <f t="shared" si="26"/>
        <v>307850</v>
      </c>
      <c r="O529">
        <v>24000</v>
      </c>
      <c r="P529">
        <v>26000</v>
      </c>
      <c r="R529" s="23" t="str">
        <f t="shared" si="25"/>
        <v>No</v>
      </c>
    </row>
    <row r="530" spans="1:18" x14ac:dyDescent="0.25">
      <c r="A530" s="1">
        <v>46154</v>
      </c>
      <c r="B530" s="7">
        <v>24130</v>
      </c>
      <c r="C530" s="7">
        <v>24070</v>
      </c>
      <c r="D530" s="7">
        <v>20780</v>
      </c>
      <c r="E530" s="7">
        <v>26190</v>
      </c>
      <c r="F530" s="7">
        <v>26120</v>
      </c>
      <c r="G530" s="7">
        <v>1670</v>
      </c>
      <c r="H530" s="7">
        <v>1410</v>
      </c>
      <c r="I530" s="7">
        <v>1370</v>
      </c>
      <c r="J530" s="7">
        <v>1450</v>
      </c>
      <c r="K530" s="7">
        <v>1390</v>
      </c>
      <c r="L530" s="3">
        <f t="shared" si="27"/>
        <v>128580</v>
      </c>
      <c r="M530" s="3"/>
      <c r="N530" s="3">
        <f t="shared" si="26"/>
        <v>128580</v>
      </c>
      <c r="O530">
        <v>23167</v>
      </c>
      <c r="P530">
        <v>3414</v>
      </c>
      <c r="R530" s="23" t="str">
        <f t="shared" si="25"/>
        <v>Yes</v>
      </c>
    </row>
    <row r="531" spans="1:18" x14ac:dyDescent="0.25">
      <c r="A531" s="1">
        <v>46155</v>
      </c>
      <c r="B531" s="7">
        <v>21160</v>
      </c>
      <c r="C531" s="7">
        <v>20790</v>
      </c>
      <c r="D531" s="7">
        <v>17830</v>
      </c>
      <c r="E531" s="7">
        <v>22320</v>
      </c>
      <c r="F531" s="7">
        <v>23040</v>
      </c>
      <c r="G531" s="7">
        <v>23320</v>
      </c>
      <c r="H531" s="7">
        <v>19520</v>
      </c>
      <c r="I531" s="7">
        <v>19500</v>
      </c>
      <c r="J531" s="7">
        <v>24470</v>
      </c>
      <c r="K531" s="7">
        <v>19290</v>
      </c>
      <c r="L531" s="3">
        <f t="shared" si="27"/>
        <v>211240</v>
      </c>
      <c r="M531" s="3"/>
      <c r="N531" s="3">
        <f t="shared" si="26"/>
        <v>211240</v>
      </c>
      <c r="O531">
        <v>24000</v>
      </c>
      <c r="P531">
        <v>26000</v>
      </c>
      <c r="R531" s="23" t="str">
        <f t="shared" si="25"/>
        <v>No</v>
      </c>
    </row>
    <row r="532" spans="1:18" x14ac:dyDescent="0.25">
      <c r="A532" s="1">
        <v>46156</v>
      </c>
      <c r="B532" s="7">
        <v>24980</v>
      </c>
      <c r="C532" s="7">
        <v>25450</v>
      </c>
      <c r="D532" s="7">
        <v>21370</v>
      </c>
      <c r="E532" s="7">
        <v>27720</v>
      </c>
      <c r="F532" s="7">
        <v>28590</v>
      </c>
      <c r="G532" s="7">
        <v>30390</v>
      </c>
      <c r="H532" s="7">
        <v>24980</v>
      </c>
      <c r="I532" s="7">
        <v>24210</v>
      </c>
      <c r="J532" s="7">
        <v>27570</v>
      </c>
      <c r="K532" s="7">
        <v>24030</v>
      </c>
      <c r="L532" s="3">
        <f t="shared" si="27"/>
        <v>259290</v>
      </c>
      <c r="M532" s="3"/>
      <c r="N532" s="3">
        <f t="shared" si="26"/>
        <v>259290</v>
      </c>
      <c r="O532">
        <v>24000</v>
      </c>
      <c r="P532">
        <v>26000</v>
      </c>
      <c r="R532" s="23" t="str">
        <f t="shared" si="25"/>
        <v>No</v>
      </c>
    </row>
    <row r="533" spans="1:18" x14ac:dyDescent="0.25">
      <c r="A533" s="1">
        <v>46157</v>
      </c>
      <c r="L533" s="3">
        <f t="shared" si="27"/>
        <v>0</v>
      </c>
      <c r="M533" s="3"/>
      <c r="N533" s="3">
        <f t="shared" si="26"/>
        <v>0</v>
      </c>
      <c r="R533" s="23" t="str">
        <f t="shared" si="25"/>
        <v>Yes</v>
      </c>
    </row>
    <row r="534" spans="1:18" x14ac:dyDescent="0.25">
      <c r="A534" s="1">
        <v>46158</v>
      </c>
      <c r="L534" s="3">
        <f t="shared" si="27"/>
        <v>0</v>
      </c>
      <c r="M534" s="3"/>
      <c r="N534" s="3">
        <f t="shared" si="26"/>
        <v>0</v>
      </c>
      <c r="R534" s="23" t="str">
        <f t="shared" si="25"/>
        <v>Yes</v>
      </c>
    </row>
    <row r="535" spans="1:18" x14ac:dyDescent="0.25">
      <c r="A535" s="1">
        <v>46159</v>
      </c>
      <c r="L535" s="3">
        <f t="shared" si="27"/>
        <v>0</v>
      </c>
      <c r="M535" s="3"/>
      <c r="N535" s="3">
        <f t="shared" si="26"/>
        <v>0</v>
      </c>
      <c r="R535" s="23" t="str">
        <f t="shared" si="25"/>
        <v>Yes</v>
      </c>
    </row>
    <row r="536" spans="1:18" x14ac:dyDescent="0.25">
      <c r="A536" s="1">
        <v>46160</v>
      </c>
      <c r="L536" s="3">
        <f t="shared" si="27"/>
        <v>0</v>
      </c>
      <c r="M536" s="3"/>
      <c r="N536" s="3">
        <f t="shared" si="26"/>
        <v>0</v>
      </c>
      <c r="R536" s="23" t="str">
        <f t="shared" si="25"/>
        <v>Yes</v>
      </c>
    </row>
    <row r="537" spans="1:18" x14ac:dyDescent="0.25">
      <c r="A537" s="1">
        <v>46161</v>
      </c>
      <c r="L537" s="3">
        <f t="shared" si="27"/>
        <v>0</v>
      </c>
      <c r="M537" s="3"/>
      <c r="N537" s="3">
        <f t="shared" si="26"/>
        <v>0</v>
      </c>
      <c r="R537" s="23" t="str">
        <f t="shared" si="25"/>
        <v>Yes</v>
      </c>
    </row>
    <row r="538" spans="1:18" x14ac:dyDescent="0.25">
      <c r="A538" s="1">
        <v>46162</v>
      </c>
      <c r="L538" s="3">
        <f t="shared" si="27"/>
        <v>0</v>
      </c>
      <c r="M538" s="3"/>
      <c r="N538" s="3">
        <f t="shared" si="26"/>
        <v>0</v>
      </c>
      <c r="R538" s="23" t="str">
        <f t="shared" si="25"/>
        <v>Yes</v>
      </c>
    </row>
    <row r="539" spans="1:18" x14ac:dyDescent="0.25">
      <c r="A539" s="1">
        <v>46163</v>
      </c>
      <c r="L539" s="3">
        <f t="shared" si="27"/>
        <v>0</v>
      </c>
      <c r="M539" s="3"/>
      <c r="N539" s="3">
        <f t="shared" si="26"/>
        <v>0</v>
      </c>
      <c r="R539" s="23" t="str">
        <f t="shared" si="25"/>
        <v>Yes</v>
      </c>
    </row>
    <row r="540" spans="1:18" x14ac:dyDescent="0.25">
      <c r="A540" s="1">
        <v>46164</v>
      </c>
      <c r="L540" s="3">
        <f t="shared" si="27"/>
        <v>0</v>
      </c>
      <c r="M540" s="3"/>
      <c r="N540" s="3">
        <f t="shared" si="26"/>
        <v>0</v>
      </c>
      <c r="R540" s="23" t="str">
        <f t="shared" si="25"/>
        <v>Yes</v>
      </c>
    </row>
    <row r="541" spans="1:18" x14ac:dyDescent="0.25">
      <c r="A541" s="1">
        <v>46165</v>
      </c>
      <c r="L541" s="3">
        <f t="shared" si="27"/>
        <v>0</v>
      </c>
      <c r="M541" s="3"/>
      <c r="N541" s="3">
        <f t="shared" si="26"/>
        <v>0</v>
      </c>
      <c r="R541" s="23" t="str">
        <f t="shared" si="25"/>
        <v>Yes</v>
      </c>
    </row>
    <row r="542" spans="1:18" x14ac:dyDescent="0.25">
      <c r="A542" s="1">
        <v>46166</v>
      </c>
      <c r="L542" s="3">
        <f t="shared" si="27"/>
        <v>0</v>
      </c>
      <c r="M542" s="3"/>
      <c r="N542" s="3">
        <f t="shared" si="26"/>
        <v>0</v>
      </c>
      <c r="R542" s="23" t="str">
        <f t="shared" si="25"/>
        <v>Yes</v>
      </c>
    </row>
    <row r="543" spans="1:18" x14ac:dyDescent="0.25">
      <c r="A543" s="1">
        <v>46167</v>
      </c>
      <c r="L543" s="3">
        <f t="shared" si="27"/>
        <v>0</v>
      </c>
      <c r="M543" s="3"/>
      <c r="N543" s="3">
        <f t="shared" si="26"/>
        <v>0</v>
      </c>
      <c r="R543" s="23" t="str">
        <f t="shared" si="25"/>
        <v>Yes</v>
      </c>
    </row>
    <row r="544" spans="1:18" x14ac:dyDescent="0.25">
      <c r="A544" s="1">
        <v>46168</v>
      </c>
      <c r="L544" s="3">
        <f t="shared" si="27"/>
        <v>0</v>
      </c>
      <c r="M544" s="3"/>
      <c r="N544" s="3">
        <f t="shared" si="26"/>
        <v>0</v>
      </c>
      <c r="R544" s="23" t="str">
        <f t="shared" si="25"/>
        <v>Yes</v>
      </c>
    </row>
    <row r="545" spans="1:18" x14ac:dyDescent="0.25">
      <c r="A545" s="1">
        <v>46169</v>
      </c>
      <c r="L545" s="3">
        <f t="shared" si="27"/>
        <v>0</v>
      </c>
      <c r="M545" s="3"/>
      <c r="N545" s="3">
        <f t="shared" si="26"/>
        <v>0</v>
      </c>
      <c r="R545" s="23" t="str">
        <f t="shared" si="25"/>
        <v>Yes</v>
      </c>
    </row>
    <row r="546" spans="1:18" x14ac:dyDescent="0.25">
      <c r="A546" s="1">
        <v>46170</v>
      </c>
      <c r="L546" s="3">
        <f t="shared" si="27"/>
        <v>0</v>
      </c>
      <c r="M546" s="3"/>
      <c r="N546" s="3">
        <f t="shared" si="26"/>
        <v>0</v>
      </c>
      <c r="R546" s="23" t="str">
        <f t="shared" si="25"/>
        <v>Yes</v>
      </c>
    </row>
    <row r="547" spans="1:18" x14ac:dyDescent="0.25">
      <c r="A547" s="1">
        <v>46171</v>
      </c>
      <c r="L547" s="3">
        <f t="shared" si="27"/>
        <v>0</v>
      </c>
      <c r="M547" s="3"/>
      <c r="N547" s="3">
        <f t="shared" si="26"/>
        <v>0</v>
      </c>
      <c r="R547" s="23" t="str">
        <f t="shared" si="25"/>
        <v>Yes</v>
      </c>
    </row>
    <row r="548" spans="1:18" x14ac:dyDescent="0.25">
      <c r="A548" s="1">
        <v>46172</v>
      </c>
      <c r="L548" s="3">
        <f t="shared" si="27"/>
        <v>0</v>
      </c>
      <c r="M548" s="3"/>
      <c r="N548" s="3">
        <f t="shared" si="26"/>
        <v>0</v>
      </c>
      <c r="R548" s="23" t="str">
        <f t="shared" si="25"/>
        <v>Yes</v>
      </c>
    </row>
    <row r="549" spans="1:18" x14ac:dyDescent="0.25">
      <c r="A549" s="1">
        <v>46173</v>
      </c>
      <c r="L549" s="3">
        <f t="shared" si="27"/>
        <v>0</v>
      </c>
      <c r="M549" s="3"/>
      <c r="N549" s="3">
        <f t="shared" si="26"/>
        <v>0</v>
      </c>
      <c r="R549" s="23" t="str">
        <f t="shared" si="25"/>
        <v>Yes</v>
      </c>
    </row>
    <row r="550" spans="1:18" x14ac:dyDescent="0.25">
      <c r="A550" s="1">
        <v>46174</v>
      </c>
      <c r="L550" s="3">
        <f t="shared" si="27"/>
        <v>0</v>
      </c>
      <c r="M550" s="3"/>
      <c r="N550" s="3">
        <f t="shared" si="26"/>
        <v>0</v>
      </c>
      <c r="R550" s="23" t="str">
        <f t="shared" si="25"/>
        <v>Yes</v>
      </c>
    </row>
    <row r="551" spans="1:18" x14ac:dyDescent="0.25">
      <c r="A551" s="1">
        <v>46175</v>
      </c>
      <c r="L551" s="3">
        <f t="shared" si="27"/>
        <v>0</v>
      </c>
      <c r="M551" s="3"/>
      <c r="N551" s="3">
        <f t="shared" si="26"/>
        <v>0</v>
      </c>
      <c r="R551" s="23" t="str">
        <f t="shared" si="25"/>
        <v>Yes</v>
      </c>
    </row>
    <row r="552" spans="1:18" x14ac:dyDescent="0.25">
      <c r="A552" s="1">
        <v>46176</v>
      </c>
      <c r="L552" s="3">
        <f t="shared" si="27"/>
        <v>0</v>
      </c>
      <c r="M552" s="3"/>
      <c r="N552" s="3">
        <f t="shared" si="26"/>
        <v>0</v>
      </c>
      <c r="R552" s="23" t="str">
        <f t="shared" si="25"/>
        <v>Yes</v>
      </c>
    </row>
    <row r="553" spans="1:18" x14ac:dyDescent="0.25">
      <c r="A553" s="1">
        <v>46177</v>
      </c>
      <c r="L553" s="3">
        <f t="shared" si="27"/>
        <v>0</v>
      </c>
      <c r="M553" s="3"/>
      <c r="N553" s="3">
        <f t="shared" si="26"/>
        <v>0</v>
      </c>
      <c r="R553" s="23" t="str">
        <f t="shared" si="25"/>
        <v>Yes</v>
      </c>
    </row>
    <row r="554" spans="1:18" x14ac:dyDescent="0.25">
      <c r="A554" s="1">
        <v>46178</v>
      </c>
      <c r="L554" s="3">
        <f t="shared" si="27"/>
        <v>0</v>
      </c>
      <c r="M554" s="3"/>
      <c r="N554" s="3">
        <f t="shared" si="26"/>
        <v>0</v>
      </c>
      <c r="R554" s="23" t="str">
        <f t="shared" si="25"/>
        <v>Yes</v>
      </c>
    </row>
    <row r="555" spans="1:18" x14ac:dyDescent="0.25">
      <c r="A555" s="1">
        <v>46179</v>
      </c>
      <c r="L555" s="3">
        <f t="shared" si="27"/>
        <v>0</v>
      </c>
      <c r="M555" s="3"/>
      <c r="N555" s="3">
        <f t="shared" si="26"/>
        <v>0</v>
      </c>
      <c r="R555" s="23" t="str">
        <f t="shared" si="25"/>
        <v>Yes</v>
      </c>
    </row>
    <row r="556" spans="1:18" x14ac:dyDescent="0.25">
      <c r="A556" s="1">
        <v>46180</v>
      </c>
      <c r="L556" s="3">
        <f t="shared" si="27"/>
        <v>0</v>
      </c>
      <c r="M556" s="3"/>
      <c r="N556" s="3">
        <f t="shared" si="26"/>
        <v>0</v>
      </c>
      <c r="R556" s="23" t="str">
        <f t="shared" si="25"/>
        <v>Yes</v>
      </c>
    </row>
    <row r="557" spans="1:18" x14ac:dyDescent="0.25">
      <c r="A557" s="1">
        <v>46181</v>
      </c>
      <c r="L557" s="3">
        <f t="shared" si="27"/>
        <v>0</v>
      </c>
      <c r="M557" s="3"/>
      <c r="N557" s="3">
        <f t="shared" si="26"/>
        <v>0</v>
      </c>
      <c r="R557" s="23" t="str">
        <f t="shared" ref="R557:R620" si="28">IF(Q557&gt;0,"Yes",IF(OR((O557+P557&lt;50000),O557&lt;24000,P557&lt;26000),"Yes","No"))</f>
        <v>Yes</v>
      </c>
    </row>
    <row r="558" spans="1:18" ht="17.100000000000001" customHeight="1" x14ac:dyDescent="0.25">
      <c r="A558" s="1">
        <v>46182</v>
      </c>
      <c r="L558" s="3">
        <f t="shared" si="27"/>
        <v>0</v>
      </c>
      <c r="M558" s="3"/>
      <c r="N558" s="3">
        <f t="shared" si="26"/>
        <v>0</v>
      </c>
      <c r="R558" s="23" t="str">
        <f t="shared" si="28"/>
        <v>Yes</v>
      </c>
    </row>
    <row r="559" spans="1:18" x14ac:dyDescent="0.25">
      <c r="A559" s="1">
        <v>46183</v>
      </c>
      <c r="L559" s="3">
        <f t="shared" si="27"/>
        <v>0</v>
      </c>
      <c r="M559" s="3"/>
      <c r="N559" s="3">
        <f t="shared" si="26"/>
        <v>0</v>
      </c>
      <c r="R559" s="23" t="str">
        <f t="shared" si="28"/>
        <v>Yes</v>
      </c>
    </row>
    <row r="560" spans="1:18" x14ac:dyDescent="0.25">
      <c r="A560" s="1">
        <v>46184</v>
      </c>
      <c r="L560" s="3">
        <f t="shared" si="27"/>
        <v>0</v>
      </c>
      <c r="M560" s="3"/>
      <c r="N560" s="3">
        <f t="shared" si="26"/>
        <v>0</v>
      </c>
      <c r="R560" s="23" t="str">
        <f t="shared" si="28"/>
        <v>Yes</v>
      </c>
    </row>
    <row r="561" spans="1:18" x14ac:dyDescent="0.25">
      <c r="A561" s="1">
        <v>46185</v>
      </c>
      <c r="L561" s="3">
        <f t="shared" si="27"/>
        <v>0</v>
      </c>
      <c r="M561" s="3"/>
      <c r="N561" s="3">
        <f t="shared" si="26"/>
        <v>0</v>
      </c>
      <c r="R561" s="23" t="str">
        <f t="shared" si="28"/>
        <v>Yes</v>
      </c>
    </row>
    <row r="562" spans="1:18" x14ac:dyDescent="0.25">
      <c r="A562" s="1">
        <v>46186</v>
      </c>
      <c r="L562" s="3">
        <f t="shared" si="27"/>
        <v>0</v>
      </c>
      <c r="M562" s="3"/>
      <c r="N562" s="3">
        <f t="shared" si="26"/>
        <v>0</v>
      </c>
      <c r="R562" s="23" t="str">
        <f t="shared" si="28"/>
        <v>Yes</v>
      </c>
    </row>
    <row r="563" spans="1:18" x14ac:dyDescent="0.25">
      <c r="A563" s="1">
        <v>46187</v>
      </c>
      <c r="L563" s="3">
        <f t="shared" si="27"/>
        <v>0</v>
      </c>
      <c r="M563" s="3"/>
      <c r="N563" s="3">
        <f t="shared" si="26"/>
        <v>0</v>
      </c>
      <c r="R563" s="23" t="str">
        <f t="shared" si="28"/>
        <v>Yes</v>
      </c>
    </row>
    <row r="564" spans="1:18" x14ac:dyDescent="0.25">
      <c r="A564" s="1">
        <v>46188</v>
      </c>
      <c r="L564" s="3">
        <f t="shared" si="27"/>
        <v>0</v>
      </c>
      <c r="M564" s="3"/>
      <c r="N564" s="3">
        <f t="shared" si="26"/>
        <v>0</v>
      </c>
      <c r="R564" s="23" t="str">
        <f t="shared" si="28"/>
        <v>Yes</v>
      </c>
    </row>
    <row r="565" spans="1:18" x14ac:dyDescent="0.25">
      <c r="A565" s="1">
        <v>46189</v>
      </c>
      <c r="L565" s="3">
        <f t="shared" si="27"/>
        <v>0</v>
      </c>
      <c r="M565" s="3"/>
      <c r="N565" s="3">
        <f t="shared" si="26"/>
        <v>0</v>
      </c>
      <c r="R565" s="23" t="str">
        <f t="shared" si="28"/>
        <v>Yes</v>
      </c>
    </row>
    <row r="566" spans="1:18" x14ac:dyDescent="0.25">
      <c r="A566" s="1">
        <v>46190</v>
      </c>
      <c r="L566" s="3">
        <f t="shared" si="27"/>
        <v>0</v>
      </c>
      <c r="M566" s="3"/>
      <c r="N566" s="3">
        <f t="shared" si="26"/>
        <v>0</v>
      </c>
      <c r="R566" s="23" t="str">
        <f t="shared" si="28"/>
        <v>Yes</v>
      </c>
    </row>
    <row r="567" spans="1:18" x14ac:dyDescent="0.25">
      <c r="A567" s="1">
        <v>46191</v>
      </c>
      <c r="L567" s="3">
        <f t="shared" si="27"/>
        <v>0</v>
      </c>
      <c r="M567" s="3"/>
      <c r="N567" s="3">
        <f t="shared" si="26"/>
        <v>0</v>
      </c>
      <c r="R567" s="23" t="str">
        <f t="shared" si="28"/>
        <v>Yes</v>
      </c>
    </row>
    <row r="568" spans="1:18" x14ac:dyDescent="0.25">
      <c r="A568" s="1">
        <v>46192</v>
      </c>
      <c r="L568" s="3">
        <f t="shared" si="27"/>
        <v>0</v>
      </c>
      <c r="M568" s="3"/>
      <c r="N568" s="3">
        <f t="shared" si="26"/>
        <v>0</v>
      </c>
      <c r="R568" s="23" t="str">
        <f t="shared" si="28"/>
        <v>Yes</v>
      </c>
    </row>
    <row r="569" spans="1:18" x14ac:dyDescent="0.25">
      <c r="A569" s="1">
        <v>46193</v>
      </c>
      <c r="L569" s="3">
        <f t="shared" si="27"/>
        <v>0</v>
      </c>
      <c r="M569" s="3"/>
      <c r="N569" s="3">
        <f t="shared" si="26"/>
        <v>0</v>
      </c>
      <c r="R569" s="23" t="str">
        <f t="shared" si="28"/>
        <v>Yes</v>
      </c>
    </row>
    <row r="570" spans="1:18" x14ac:dyDescent="0.25">
      <c r="A570" s="1">
        <v>46194</v>
      </c>
      <c r="L570" s="3">
        <f t="shared" si="27"/>
        <v>0</v>
      </c>
      <c r="M570" s="3"/>
      <c r="N570" s="3">
        <f t="shared" si="26"/>
        <v>0</v>
      </c>
      <c r="R570" s="23" t="str">
        <f t="shared" si="28"/>
        <v>Yes</v>
      </c>
    </row>
    <row r="571" spans="1:18" x14ac:dyDescent="0.25">
      <c r="A571" s="1">
        <v>46195</v>
      </c>
      <c r="L571" s="3">
        <f t="shared" si="27"/>
        <v>0</v>
      </c>
      <c r="M571" s="3"/>
      <c r="N571" s="3">
        <f t="shared" si="26"/>
        <v>0</v>
      </c>
      <c r="R571" s="23" t="str">
        <f t="shared" si="28"/>
        <v>Yes</v>
      </c>
    </row>
    <row r="572" spans="1:18" x14ac:dyDescent="0.25">
      <c r="A572" s="1">
        <v>46196</v>
      </c>
      <c r="L572" s="3">
        <f t="shared" si="27"/>
        <v>0</v>
      </c>
      <c r="M572" s="3"/>
      <c r="N572" s="3">
        <f t="shared" si="26"/>
        <v>0</v>
      </c>
      <c r="R572" s="23" t="str">
        <f t="shared" si="28"/>
        <v>Yes</v>
      </c>
    </row>
    <row r="573" spans="1:18" x14ac:dyDescent="0.25">
      <c r="A573" s="1">
        <v>46197</v>
      </c>
      <c r="L573" s="3">
        <f t="shared" si="27"/>
        <v>0</v>
      </c>
      <c r="M573" s="3"/>
      <c r="N573" s="3">
        <f t="shared" si="26"/>
        <v>0</v>
      </c>
      <c r="R573" s="23" t="str">
        <f t="shared" si="28"/>
        <v>Yes</v>
      </c>
    </row>
    <row r="574" spans="1:18" x14ac:dyDescent="0.25">
      <c r="A574" s="1">
        <v>46198</v>
      </c>
      <c r="L574" s="3">
        <f t="shared" si="27"/>
        <v>0</v>
      </c>
      <c r="M574" s="3"/>
      <c r="N574" s="3">
        <f t="shared" si="26"/>
        <v>0</v>
      </c>
      <c r="R574" s="23" t="str">
        <f t="shared" si="28"/>
        <v>Yes</v>
      </c>
    </row>
    <row r="575" spans="1:18" x14ac:dyDescent="0.25">
      <c r="A575" s="1">
        <v>46199</v>
      </c>
      <c r="L575" s="3">
        <f t="shared" si="27"/>
        <v>0</v>
      </c>
      <c r="M575" s="3"/>
      <c r="N575" s="3">
        <f t="shared" si="26"/>
        <v>0</v>
      </c>
      <c r="R575" s="23" t="str">
        <f t="shared" si="28"/>
        <v>Yes</v>
      </c>
    </row>
    <row r="576" spans="1:18" x14ac:dyDescent="0.25">
      <c r="A576" s="1">
        <v>46200</v>
      </c>
      <c r="L576" s="3">
        <f t="shared" si="27"/>
        <v>0</v>
      </c>
      <c r="M576" s="3"/>
      <c r="N576" s="3">
        <f t="shared" si="26"/>
        <v>0</v>
      </c>
      <c r="R576" s="23" t="str">
        <f t="shared" si="28"/>
        <v>Yes</v>
      </c>
    </row>
    <row r="577" spans="1:18" x14ac:dyDescent="0.25">
      <c r="A577" s="1">
        <v>46201</v>
      </c>
      <c r="L577" s="3">
        <f t="shared" si="27"/>
        <v>0</v>
      </c>
      <c r="M577" s="3"/>
      <c r="N577" s="3">
        <f t="shared" si="26"/>
        <v>0</v>
      </c>
      <c r="R577" s="23" t="str">
        <f t="shared" si="28"/>
        <v>Yes</v>
      </c>
    </row>
    <row r="578" spans="1:18" x14ac:dyDescent="0.25">
      <c r="A578" s="1">
        <v>46202</v>
      </c>
      <c r="L578" s="3">
        <f t="shared" si="27"/>
        <v>0</v>
      </c>
      <c r="M578" s="3"/>
      <c r="N578" s="3">
        <f t="shared" si="26"/>
        <v>0</v>
      </c>
      <c r="R578" s="23" t="str">
        <f t="shared" si="28"/>
        <v>Yes</v>
      </c>
    </row>
    <row r="579" spans="1:18" x14ac:dyDescent="0.25">
      <c r="A579" s="1">
        <v>46203</v>
      </c>
      <c r="L579" s="3">
        <f t="shared" si="27"/>
        <v>0</v>
      </c>
      <c r="M579" s="3"/>
      <c r="N579" s="3">
        <f t="shared" ref="N579:N642" si="29">IF(OR(O579&lt;24300,P579&lt;25700),MAX(L579,M579),L579)</f>
        <v>0</v>
      </c>
      <c r="R579" s="23" t="str">
        <f t="shared" si="28"/>
        <v>Yes</v>
      </c>
    </row>
    <row r="580" spans="1:18" x14ac:dyDescent="0.25">
      <c r="A580" s="1">
        <v>46204</v>
      </c>
      <c r="L580" s="3">
        <f t="shared" ref="L580:L643" si="30">SUM(B580:K580)</f>
        <v>0</v>
      </c>
      <c r="M580" s="3"/>
      <c r="N580" s="3">
        <f t="shared" si="29"/>
        <v>0</v>
      </c>
      <c r="R580" s="23" t="str">
        <f t="shared" si="28"/>
        <v>Yes</v>
      </c>
    </row>
    <row r="581" spans="1:18" x14ac:dyDescent="0.25">
      <c r="A581" s="1">
        <v>46205</v>
      </c>
      <c r="L581" s="3">
        <f t="shared" si="30"/>
        <v>0</v>
      </c>
      <c r="M581" s="3"/>
      <c r="N581" s="3">
        <f t="shared" si="29"/>
        <v>0</v>
      </c>
      <c r="R581" s="23" t="str">
        <f t="shared" si="28"/>
        <v>Yes</v>
      </c>
    </row>
    <row r="582" spans="1:18" x14ac:dyDescent="0.25">
      <c r="A582" s="1">
        <v>46206</v>
      </c>
      <c r="L582" s="3">
        <f t="shared" si="30"/>
        <v>0</v>
      </c>
      <c r="M582" s="3"/>
      <c r="N582" s="3">
        <f t="shared" si="29"/>
        <v>0</v>
      </c>
      <c r="R582" s="23" t="str">
        <f t="shared" si="28"/>
        <v>Yes</v>
      </c>
    </row>
    <row r="583" spans="1:18" x14ac:dyDescent="0.25">
      <c r="A583" s="1">
        <v>46207</v>
      </c>
      <c r="L583" s="3">
        <f t="shared" si="30"/>
        <v>0</v>
      </c>
      <c r="M583" s="3"/>
      <c r="N583" s="3">
        <f t="shared" si="29"/>
        <v>0</v>
      </c>
      <c r="R583" s="23" t="str">
        <f t="shared" si="28"/>
        <v>Yes</v>
      </c>
    </row>
    <row r="584" spans="1:18" x14ac:dyDescent="0.25">
      <c r="A584" s="1">
        <v>46208</v>
      </c>
      <c r="L584" s="3">
        <f t="shared" si="30"/>
        <v>0</v>
      </c>
      <c r="M584" s="3"/>
      <c r="N584" s="3">
        <f t="shared" si="29"/>
        <v>0</v>
      </c>
      <c r="R584" s="23" t="str">
        <f t="shared" si="28"/>
        <v>Yes</v>
      </c>
    </row>
    <row r="585" spans="1:18" x14ac:dyDescent="0.25">
      <c r="A585" s="1">
        <v>46209</v>
      </c>
      <c r="L585" s="3">
        <f t="shared" si="30"/>
        <v>0</v>
      </c>
      <c r="M585" s="3"/>
      <c r="N585" s="3">
        <f t="shared" si="29"/>
        <v>0</v>
      </c>
      <c r="R585" s="23" t="str">
        <f t="shared" si="28"/>
        <v>Yes</v>
      </c>
    </row>
    <row r="586" spans="1:18" x14ac:dyDescent="0.25">
      <c r="A586" s="1">
        <v>46210</v>
      </c>
      <c r="L586" s="3">
        <f t="shared" si="30"/>
        <v>0</v>
      </c>
      <c r="M586" s="3"/>
      <c r="N586" s="3">
        <f t="shared" si="29"/>
        <v>0</v>
      </c>
      <c r="R586" s="23" t="str">
        <f t="shared" si="28"/>
        <v>Yes</v>
      </c>
    </row>
    <row r="587" spans="1:18" x14ac:dyDescent="0.25">
      <c r="A587" s="1">
        <v>46211</v>
      </c>
      <c r="L587" s="3">
        <f t="shared" si="30"/>
        <v>0</v>
      </c>
      <c r="M587" s="3"/>
      <c r="N587" s="3">
        <f t="shared" si="29"/>
        <v>0</v>
      </c>
      <c r="R587" s="23" t="str">
        <f t="shared" si="28"/>
        <v>Yes</v>
      </c>
    </row>
    <row r="588" spans="1:18" x14ac:dyDescent="0.25">
      <c r="A588" s="1">
        <v>46212</v>
      </c>
      <c r="L588" s="3">
        <f t="shared" si="30"/>
        <v>0</v>
      </c>
      <c r="M588" s="3"/>
      <c r="N588" s="3">
        <f t="shared" si="29"/>
        <v>0</v>
      </c>
      <c r="R588" s="23" t="str">
        <f t="shared" si="28"/>
        <v>Yes</v>
      </c>
    </row>
    <row r="589" spans="1:18" x14ac:dyDescent="0.25">
      <c r="A589" s="1">
        <v>46213</v>
      </c>
      <c r="L589" s="3">
        <f t="shared" si="30"/>
        <v>0</v>
      </c>
      <c r="M589" s="3"/>
      <c r="N589" s="3">
        <f t="shared" si="29"/>
        <v>0</v>
      </c>
      <c r="R589" s="23" t="str">
        <f t="shared" si="28"/>
        <v>Yes</v>
      </c>
    </row>
    <row r="590" spans="1:18" x14ac:dyDescent="0.25">
      <c r="A590" s="1">
        <v>46214</v>
      </c>
      <c r="L590" s="3">
        <f t="shared" si="30"/>
        <v>0</v>
      </c>
      <c r="M590" s="3"/>
      <c r="N590" s="3">
        <f t="shared" si="29"/>
        <v>0</v>
      </c>
      <c r="R590" s="23" t="str">
        <f t="shared" si="28"/>
        <v>Yes</v>
      </c>
    </row>
    <row r="591" spans="1:18" x14ac:dyDescent="0.25">
      <c r="A591" s="1">
        <v>46215</v>
      </c>
      <c r="L591" s="3">
        <f t="shared" si="30"/>
        <v>0</v>
      </c>
      <c r="M591" s="3"/>
      <c r="N591" s="3">
        <f t="shared" si="29"/>
        <v>0</v>
      </c>
      <c r="R591" s="23" t="str">
        <f t="shared" si="28"/>
        <v>Yes</v>
      </c>
    </row>
    <row r="592" spans="1:18" x14ac:dyDescent="0.25">
      <c r="A592" s="1">
        <v>46216</v>
      </c>
      <c r="L592" s="3">
        <f t="shared" si="30"/>
        <v>0</v>
      </c>
      <c r="M592" s="3"/>
      <c r="N592" s="3">
        <f t="shared" si="29"/>
        <v>0</v>
      </c>
      <c r="R592" s="23" t="str">
        <f t="shared" si="28"/>
        <v>Yes</v>
      </c>
    </row>
    <row r="593" spans="1:18" x14ac:dyDescent="0.25">
      <c r="A593" s="1">
        <v>46217</v>
      </c>
      <c r="L593" s="3">
        <f t="shared" si="30"/>
        <v>0</v>
      </c>
      <c r="M593" s="3"/>
      <c r="N593" s="3">
        <f t="shared" si="29"/>
        <v>0</v>
      </c>
      <c r="R593" s="23" t="str">
        <f t="shared" si="28"/>
        <v>Yes</v>
      </c>
    </row>
    <row r="594" spans="1:18" x14ac:dyDescent="0.25">
      <c r="A594" s="1">
        <v>46218</v>
      </c>
      <c r="L594" s="3">
        <f t="shared" si="30"/>
        <v>0</v>
      </c>
      <c r="M594" s="3"/>
      <c r="N594" s="3">
        <f t="shared" si="29"/>
        <v>0</v>
      </c>
      <c r="R594" s="23" t="str">
        <f t="shared" si="28"/>
        <v>Yes</v>
      </c>
    </row>
    <row r="595" spans="1:18" x14ac:dyDescent="0.25">
      <c r="A595" s="1">
        <v>46219</v>
      </c>
      <c r="L595" s="3">
        <f t="shared" si="30"/>
        <v>0</v>
      </c>
      <c r="M595" s="3"/>
      <c r="N595" s="3">
        <f t="shared" si="29"/>
        <v>0</v>
      </c>
      <c r="R595" s="23" t="str">
        <f t="shared" si="28"/>
        <v>Yes</v>
      </c>
    </row>
    <row r="596" spans="1:18" x14ac:dyDescent="0.25">
      <c r="A596" s="1">
        <v>46220</v>
      </c>
      <c r="L596" s="3">
        <f t="shared" si="30"/>
        <v>0</v>
      </c>
      <c r="M596" s="3"/>
      <c r="N596" s="3">
        <f t="shared" si="29"/>
        <v>0</v>
      </c>
      <c r="R596" s="23" t="str">
        <f t="shared" si="28"/>
        <v>Yes</v>
      </c>
    </row>
    <row r="597" spans="1:18" x14ac:dyDescent="0.25">
      <c r="A597" s="1">
        <v>46221</v>
      </c>
      <c r="L597" s="3">
        <f t="shared" si="30"/>
        <v>0</v>
      </c>
      <c r="M597" s="3"/>
      <c r="N597" s="3">
        <f t="shared" si="29"/>
        <v>0</v>
      </c>
      <c r="R597" s="23" t="str">
        <f t="shared" si="28"/>
        <v>Yes</v>
      </c>
    </row>
    <row r="598" spans="1:18" x14ac:dyDescent="0.25">
      <c r="A598" s="1">
        <v>46222</v>
      </c>
      <c r="L598" s="3">
        <f t="shared" si="30"/>
        <v>0</v>
      </c>
      <c r="M598" s="3"/>
      <c r="N598" s="3">
        <f t="shared" si="29"/>
        <v>0</v>
      </c>
      <c r="R598" s="23" t="str">
        <f t="shared" si="28"/>
        <v>Yes</v>
      </c>
    </row>
    <row r="599" spans="1:18" x14ac:dyDescent="0.25">
      <c r="A599" s="1">
        <v>46223</v>
      </c>
      <c r="L599" s="3">
        <f t="shared" si="30"/>
        <v>0</v>
      </c>
      <c r="M599" s="3"/>
      <c r="N599" s="3">
        <f t="shared" si="29"/>
        <v>0</v>
      </c>
      <c r="R599" s="23" t="str">
        <f t="shared" si="28"/>
        <v>Yes</v>
      </c>
    </row>
    <row r="600" spans="1:18" x14ac:dyDescent="0.25">
      <c r="A600" s="1">
        <v>46224</v>
      </c>
      <c r="L600" s="3">
        <f t="shared" si="30"/>
        <v>0</v>
      </c>
      <c r="M600" s="3"/>
      <c r="N600" s="3">
        <f t="shared" si="29"/>
        <v>0</v>
      </c>
      <c r="R600" s="23" t="str">
        <f t="shared" si="28"/>
        <v>Yes</v>
      </c>
    </row>
    <row r="601" spans="1:18" x14ac:dyDescent="0.25">
      <c r="A601" s="1">
        <v>46225</v>
      </c>
      <c r="L601" s="3">
        <f t="shared" si="30"/>
        <v>0</v>
      </c>
      <c r="M601" s="3"/>
      <c r="N601" s="3">
        <f t="shared" si="29"/>
        <v>0</v>
      </c>
      <c r="R601" s="23" t="str">
        <f t="shared" si="28"/>
        <v>Yes</v>
      </c>
    </row>
    <row r="602" spans="1:18" x14ac:dyDescent="0.25">
      <c r="A602" s="1">
        <v>46226</v>
      </c>
      <c r="L602" s="3">
        <f t="shared" si="30"/>
        <v>0</v>
      </c>
      <c r="M602" s="3"/>
      <c r="N602" s="3">
        <f t="shared" si="29"/>
        <v>0</v>
      </c>
      <c r="R602" s="23" t="str">
        <f t="shared" si="28"/>
        <v>Yes</v>
      </c>
    </row>
    <row r="603" spans="1:18" x14ac:dyDescent="0.25">
      <c r="A603" s="1">
        <v>46227</v>
      </c>
      <c r="L603" s="3">
        <f t="shared" si="30"/>
        <v>0</v>
      </c>
      <c r="M603" s="3"/>
      <c r="N603" s="3">
        <f t="shared" si="29"/>
        <v>0</v>
      </c>
      <c r="R603" s="23" t="str">
        <f t="shared" si="28"/>
        <v>Yes</v>
      </c>
    </row>
    <row r="604" spans="1:18" x14ac:dyDescent="0.25">
      <c r="A604" s="1">
        <v>46228</v>
      </c>
      <c r="L604" s="3">
        <f t="shared" si="30"/>
        <v>0</v>
      </c>
      <c r="M604" s="3"/>
      <c r="N604" s="3">
        <f t="shared" si="29"/>
        <v>0</v>
      </c>
      <c r="R604" s="23" t="str">
        <f t="shared" si="28"/>
        <v>Yes</v>
      </c>
    </row>
    <row r="605" spans="1:18" x14ac:dyDescent="0.25">
      <c r="A605" s="1">
        <v>46229</v>
      </c>
      <c r="L605" s="3">
        <f t="shared" si="30"/>
        <v>0</v>
      </c>
      <c r="M605" s="3"/>
      <c r="N605" s="3">
        <f t="shared" si="29"/>
        <v>0</v>
      </c>
      <c r="R605" s="23" t="str">
        <f t="shared" si="28"/>
        <v>Yes</v>
      </c>
    </row>
    <row r="606" spans="1:18" x14ac:dyDescent="0.25">
      <c r="A606" s="1">
        <v>46230</v>
      </c>
      <c r="L606" s="3">
        <f t="shared" si="30"/>
        <v>0</v>
      </c>
      <c r="M606" s="3"/>
      <c r="N606" s="3">
        <f t="shared" si="29"/>
        <v>0</v>
      </c>
      <c r="R606" s="23" t="str">
        <f t="shared" si="28"/>
        <v>Yes</v>
      </c>
    </row>
    <row r="607" spans="1:18" x14ac:dyDescent="0.25">
      <c r="A607" s="1">
        <v>46231</v>
      </c>
      <c r="L607" s="3">
        <f t="shared" si="30"/>
        <v>0</v>
      </c>
      <c r="M607" s="3"/>
      <c r="N607" s="3">
        <f t="shared" si="29"/>
        <v>0</v>
      </c>
      <c r="R607" s="23" t="str">
        <f t="shared" si="28"/>
        <v>Yes</v>
      </c>
    </row>
    <row r="608" spans="1:18" x14ac:dyDescent="0.25">
      <c r="A608" s="1">
        <v>46232</v>
      </c>
      <c r="L608" s="3">
        <f t="shared" si="30"/>
        <v>0</v>
      </c>
      <c r="M608" s="3"/>
      <c r="N608" s="3">
        <f t="shared" si="29"/>
        <v>0</v>
      </c>
      <c r="R608" s="23" t="str">
        <f t="shared" si="28"/>
        <v>Yes</v>
      </c>
    </row>
    <row r="609" spans="1:18" x14ac:dyDescent="0.25">
      <c r="A609" s="1">
        <v>46233</v>
      </c>
      <c r="L609" s="3">
        <f t="shared" si="30"/>
        <v>0</v>
      </c>
      <c r="M609" s="3"/>
      <c r="N609" s="3">
        <f t="shared" si="29"/>
        <v>0</v>
      </c>
      <c r="R609" s="23" t="str">
        <f t="shared" si="28"/>
        <v>Yes</v>
      </c>
    </row>
    <row r="610" spans="1:18" x14ac:dyDescent="0.25">
      <c r="A610" s="1">
        <v>46234</v>
      </c>
      <c r="L610" s="3">
        <f t="shared" si="30"/>
        <v>0</v>
      </c>
      <c r="M610" s="3"/>
      <c r="N610" s="3">
        <f t="shared" si="29"/>
        <v>0</v>
      </c>
      <c r="R610" s="23" t="str">
        <f t="shared" si="28"/>
        <v>Yes</v>
      </c>
    </row>
    <row r="611" spans="1:18" x14ac:dyDescent="0.25">
      <c r="A611" s="1">
        <v>46235</v>
      </c>
      <c r="L611" s="3">
        <f t="shared" si="30"/>
        <v>0</v>
      </c>
      <c r="M611" s="3"/>
      <c r="N611" s="3">
        <f t="shared" si="29"/>
        <v>0</v>
      </c>
      <c r="R611" s="23" t="str">
        <f t="shared" si="28"/>
        <v>Yes</v>
      </c>
    </row>
    <row r="612" spans="1:18" x14ac:dyDescent="0.25">
      <c r="A612" s="1">
        <v>46236</v>
      </c>
      <c r="L612" s="3">
        <f t="shared" si="30"/>
        <v>0</v>
      </c>
      <c r="M612" s="3"/>
      <c r="N612" s="3">
        <f t="shared" si="29"/>
        <v>0</v>
      </c>
      <c r="R612" s="23" t="str">
        <f t="shared" si="28"/>
        <v>Yes</v>
      </c>
    </row>
    <row r="613" spans="1:18" x14ac:dyDescent="0.25">
      <c r="A613" s="1">
        <v>46237</v>
      </c>
      <c r="L613" s="3">
        <f t="shared" si="30"/>
        <v>0</v>
      </c>
      <c r="M613" s="3"/>
      <c r="N613" s="3">
        <f t="shared" si="29"/>
        <v>0</v>
      </c>
      <c r="R613" s="23" t="str">
        <f t="shared" si="28"/>
        <v>Yes</v>
      </c>
    </row>
    <row r="614" spans="1:18" x14ac:dyDescent="0.25">
      <c r="A614" s="1">
        <v>46238</v>
      </c>
      <c r="L614" s="3">
        <f t="shared" si="30"/>
        <v>0</v>
      </c>
      <c r="M614" s="3"/>
      <c r="N614" s="3">
        <f t="shared" si="29"/>
        <v>0</v>
      </c>
      <c r="R614" s="23" t="str">
        <f t="shared" si="28"/>
        <v>Yes</v>
      </c>
    </row>
    <row r="615" spans="1:18" x14ac:dyDescent="0.25">
      <c r="A615" s="1">
        <v>46239</v>
      </c>
      <c r="L615" s="3">
        <f t="shared" si="30"/>
        <v>0</v>
      </c>
      <c r="M615" s="3"/>
      <c r="N615" s="3">
        <f t="shared" si="29"/>
        <v>0</v>
      </c>
      <c r="R615" s="23" t="str">
        <f t="shared" si="28"/>
        <v>Yes</v>
      </c>
    </row>
    <row r="616" spans="1:18" x14ac:dyDescent="0.25">
      <c r="A616" s="1">
        <v>46240</v>
      </c>
      <c r="L616" s="3">
        <f t="shared" si="30"/>
        <v>0</v>
      </c>
      <c r="M616" s="3"/>
      <c r="N616" s="3">
        <f t="shared" si="29"/>
        <v>0</v>
      </c>
      <c r="R616" s="23" t="str">
        <f t="shared" si="28"/>
        <v>Yes</v>
      </c>
    </row>
    <row r="617" spans="1:18" x14ac:dyDescent="0.25">
      <c r="A617" s="1">
        <v>46241</v>
      </c>
      <c r="L617" s="3">
        <f t="shared" si="30"/>
        <v>0</v>
      </c>
      <c r="M617" s="3"/>
      <c r="N617" s="3">
        <f t="shared" si="29"/>
        <v>0</v>
      </c>
      <c r="R617" s="23" t="str">
        <f t="shared" si="28"/>
        <v>Yes</v>
      </c>
    </row>
    <row r="618" spans="1:18" x14ac:dyDescent="0.25">
      <c r="A618" s="1">
        <v>46242</v>
      </c>
      <c r="L618" s="3">
        <f t="shared" si="30"/>
        <v>0</v>
      </c>
      <c r="M618" s="3"/>
      <c r="N618" s="3">
        <f t="shared" si="29"/>
        <v>0</v>
      </c>
      <c r="R618" s="23" t="str">
        <f t="shared" si="28"/>
        <v>Yes</v>
      </c>
    </row>
    <row r="619" spans="1:18" x14ac:dyDescent="0.25">
      <c r="A619" s="1">
        <v>46243</v>
      </c>
      <c r="L619" s="3">
        <f t="shared" si="30"/>
        <v>0</v>
      </c>
      <c r="M619" s="3"/>
      <c r="N619" s="3">
        <f t="shared" si="29"/>
        <v>0</v>
      </c>
      <c r="R619" s="23" t="str">
        <f t="shared" si="28"/>
        <v>Yes</v>
      </c>
    </row>
    <row r="620" spans="1:18" x14ac:dyDescent="0.25">
      <c r="A620" s="1">
        <v>46244</v>
      </c>
      <c r="L620" s="3">
        <f t="shared" si="30"/>
        <v>0</v>
      </c>
      <c r="M620" s="3"/>
      <c r="N620" s="3">
        <f t="shared" si="29"/>
        <v>0</v>
      </c>
      <c r="R620" s="23" t="str">
        <f t="shared" si="28"/>
        <v>Yes</v>
      </c>
    </row>
    <row r="621" spans="1:18" x14ac:dyDescent="0.25">
      <c r="A621" s="1">
        <v>46245</v>
      </c>
      <c r="L621" s="3">
        <f t="shared" si="30"/>
        <v>0</v>
      </c>
      <c r="M621" s="3"/>
      <c r="N621" s="3">
        <f t="shared" si="29"/>
        <v>0</v>
      </c>
      <c r="R621" s="23" t="str">
        <f t="shared" ref="R621:R684" si="31">IF(Q621&gt;0,"Yes",IF(OR((O621+P621&lt;50000),O621&lt;24000,P621&lt;26000),"Yes","No"))</f>
        <v>Yes</v>
      </c>
    </row>
    <row r="622" spans="1:18" x14ac:dyDescent="0.25">
      <c r="A622" s="1">
        <v>46246</v>
      </c>
      <c r="L622" s="3">
        <f t="shared" si="30"/>
        <v>0</v>
      </c>
      <c r="M622" s="3"/>
      <c r="N622" s="3">
        <f t="shared" si="29"/>
        <v>0</v>
      </c>
      <c r="R622" s="23" t="str">
        <f t="shared" si="31"/>
        <v>Yes</v>
      </c>
    </row>
    <row r="623" spans="1:18" x14ac:dyDescent="0.25">
      <c r="A623" s="1">
        <v>46247</v>
      </c>
      <c r="L623" s="3">
        <f t="shared" si="30"/>
        <v>0</v>
      </c>
      <c r="M623" s="3"/>
      <c r="N623" s="3">
        <f t="shared" si="29"/>
        <v>0</v>
      </c>
      <c r="R623" s="23" t="str">
        <f t="shared" si="31"/>
        <v>Yes</v>
      </c>
    </row>
    <row r="624" spans="1:18" x14ac:dyDescent="0.25">
      <c r="A624" s="1">
        <v>46248</v>
      </c>
      <c r="L624" s="3">
        <f t="shared" si="30"/>
        <v>0</v>
      </c>
      <c r="M624" s="3"/>
      <c r="N624" s="3">
        <f t="shared" si="29"/>
        <v>0</v>
      </c>
      <c r="R624" s="23" t="str">
        <f t="shared" si="31"/>
        <v>Yes</v>
      </c>
    </row>
    <row r="625" spans="1:18" x14ac:dyDescent="0.25">
      <c r="A625" s="1">
        <v>46249</v>
      </c>
      <c r="L625" s="3">
        <f t="shared" si="30"/>
        <v>0</v>
      </c>
      <c r="M625" s="3"/>
      <c r="N625" s="3">
        <f t="shared" si="29"/>
        <v>0</v>
      </c>
      <c r="R625" s="23" t="str">
        <f t="shared" si="31"/>
        <v>Yes</v>
      </c>
    </row>
    <row r="626" spans="1:18" x14ac:dyDescent="0.25">
      <c r="A626" s="1">
        <v>46250</v>
      </c>
      <c r="L626" s="3">
        <f t="shared" si="30"/>
        <v>0</v>
      </c>
      <c r="M626" s="3"/>
      <c r="N626" s="3">
        <f t="shared" si="29"/>
        <v>0</v>
      </c>
      <c r="R626" s="23" t="str">
        <f t="shared" si="31"/>
        <v>Yes</v>
      </c>
    </row>
    <row r="627" spans="1:18" x14ac:dyDescent="0.25">
      <c r="A627" s="1">
        <v>46251</v>
      </c>
      <c r="L627" s="3">
        <f t="shared" si="30"/>
        <v>0</v>
      </c>
      <c r="M627" s="3"/>
      <c r="N627" s="3">
        <f t="shared" si="29"/>
        <v>0</v>
      </c>
      <c r="R627" s="23" t="str">
        <f t="shared" si="31"/>
        <v>Yes</v>
      </c>
    </row>
    <row r="628" spans="1:18" x14ac:dyDescent="0.25">
      <c r="A628" s="1">
        <v>46252</v>
      </c>
      <c r="L628" s="3">
        <f t="shared" si="30"/>
        <v>0</v>
      </c>
      <c r="M628" s="3"/>
      <c r="N628" s="3">
        <f t="shared" si="29"/>
        <v>0</v>
      </c>
      <c r="R628" s="23" t="str">
        <f t="shared" si="31"/>
        <v>Yes</v>
      </c>
    </row>
    <row r="629" spans="1:18" x14ac:dyDescent="0.25">
      <c r="A629" s="1">
        <v>46253</v>
      </c>
      <c r="L629" s="3">
        <f t="shared" si="30"/>
        <v>0</v>
      </c>
      <c r="M629" s="3"/>
      <c r="N629" s="3">
        <f t="shared" si="29"/>
        <v>0</v>
      </c>
      <c r="R629" s="23" t="str">
        <f t="shared" si="31"/>
        <v>Yes</v>
      </c>
    </row>
    <row r="630" spans="1:18" x14ac:dyDescent="0.25">
      <c r="A630" s="1">
        <v>46254</v>
      </c>
      <c r="L630" s="3">
        <f t="shared" si="30"/>
        <v>0</v>
      </c>
      <c r="M630" s="3"/>
      <c r="N630" s="3">
        <f t="shared" si="29"/>
        <v>0</v>
      </c>
      <c r="R630" s="23" t="str">
        <f t="shared" si="31"/>
        <v>Yes</v>
      </c>
    </row>
    <row r="631" spans="1:18" x14ac:dyDescent="0.25">
      <c r="A631" s="1">
        <v>46255</v>
      </c>
      <c r="L631" s="3">
        <f t="shared" si="30"/>
        <v>0</v>
      </c>
      <c r="M631" s="3"/>
      <c r="N631" s="3">
        <f t="shared" si="29"/>
        <v>0</v>
      </c>
      <c r="R631" s="23" t="str">
        <f t="shared" si="31"/>
        <v>Yes</v>
      </c>
    </row>
    <row r="632" spans="1:18" x14ac:dyDescent="0.25">
      <c r="A632" s="1">
        <v>46256</v>
      </c>
      <c r="L632" s="3">
        <f t="shared" si="30"/>
        <v>0</v>
      </c>
      <c r="M632" s="3"/>
      <c r="N632" s="3">
        <f t="shared" si="29"/>
        <v>0</v>
      </c>
      <c r="R632" s="23" t="str">
        <f t="shared" si="31"/>
        <v>Yes</v>
      </c>
    </row>
    <row r="633" spans="1:18" x14ac:dyDescent="0.25">
      <c r="A633" s="1">
        <v>46257</v>
      </c>
      <c r="L633" s="3">
        <f t="shared" si="30"/>
        <v>0</v>
      </c>
      <c r="M633" s="3"/>
      <c r="N633" s="3">
        <f t="shared" si="29"/>
        <v>0</v>
      </c>
      <c r="R633" s="23" t="str">
        <f t="shared" si="31"/>
        <v>Yes</v>
      </c>
    </row>
    <row r="634" spans="1:18" x14ac:dyDescent="0.25">
      <c r="A634" s="1">
        <v>46258</v>
      </c>
      <c r="L634" s="3">
        <f t="shared" si="30"/>
        <v>0</v>
      </c>
      <c r="M634" s="3"/>
      <c r="N634" s="3">
        <f t="shared" si="29"/>
        <v>0</v>
      </c>
      <c r="R634" s="23" t="str">
        <f t="shared" si="31"/>
        <v>Yes</v>
      </c>
    </row>
    <row r="635" spans="1:18" x14ac:dyDescent="0.25">
      <c r="A635" s="1">
        <v>46259</v>
      </c>
      <c r="L635" s="3">
        <f t="shared" si="30"/>
        <v>0</v>
      </c>
      <c r="M635" s="3"/>
      <c r="N635" s="3">
        <f t="shared" si="29"/>
        <v>0</v>
      </c>
      <c r="R635" s="23" t="str">
        <f t="shared" si="31"/>
        <v>Yes</v>
      </c>
    </row>
    <row r="636" spans="1:18" x14ac:dyDescent="0.25">
      <c r="A636" s="1">
        <v>46260</v>
      </c>
      <c r="L636" s="3">
        <f t="shared" si="30"/>
        <v>0</v>
      </c>
      <c r="M636" s="3"/>
      <c r="N636" s="3">
        <f t="shared" si="29"/>
        <v>0</v>
      </c>
      <c r="R636" s="23" t="str">
        <f t="shared" si="31"/>
        <v>Yes</v>
      </c>
    </row>
    <row r="637" spans="1:18" x14ac:dyDescent="0.25">
      <c r="A637" s="1">
        <v>46261</v>
      </c>
      <c r="L637" s="3">
        <f t="shared" si="30"/>
        <v>0</v>
      </c>
      <c r="M637" s="3"/>
      <c r="N637" s="3">
        <f t="shared" si="29"/>
        <v>0</v>
      </c>
      <c r="R637" s="23" t="str">
        <f t="shared" si="31"/>
        <v>Yes</v>
      </c>
    </row>
    <row r="638" spans="1:18" x14ac:dyDescent="0.25">
      <c r="A638" s="1">
        <v>46262</v>
      </c>
      <c r="L638" s="3">
        <f t="shared" si="30"/>
        <v>0</v>
      </c>
      <c r="M638" s="3"/>
      <c r="N638" s="3">
        <f t="shared" si="29"/>
        <v>0</v>
      </c>
      <c r="R638" s="23" t="str">
        <f t="shared" si="31"/>
        <v>Yes</v>
      </c>
    </row>
    <row r="639" spans="1:18" x14ac:dyDescent="0.25">
      <c r="A639" s="1">
        <v>46263</v>
      </c>
      <c r="L639" s="3">
        <f t="shared" si="30"/>
        <v>0</v>
      </c>
      <c r="M639" s="3"/>
      <c r="N639" s="3">
        <f t="shared" si="29"/>
        <v>0</v>
      </c>
      <c r="R639" s="23" t="str">
        <f t="shared" si="31"/>
        <v>Yes</v>
      </c>
    </row>
    <row r="640" spans="1:18" x14ac:dyDescent="0.25">
      <c r="A640" s="1">
        <v>46264</v>
      </c>
      <c r="L640" s="3">
        <f t="shared" si="30"/>
        <v>0</v>
      </c>
      <c r="M640" s="3"/>
      <c r="N640" s="3">
        <f t="shared" si="29"/>
        <v>0</v>
      </c>
      <c r="R640" s="23" t="str">
        <f t="shared" si="31"/>
        <v>Yes</v>
      </c>
    </row>
    <row r="641" spans="1:18" x14ac:dyDescent="0.25">
      <c r="A641" s="1">
        <v>46265</v>
      </c>
      <c r="L641" s="3">
        <f t="shared" si="30"/>
        <v>0</v>
      </c>
      <c r="M641" s="3"/>
      <c r="N641" s="3">
        <f t="shared" si="29"/>
        <v>0</v>
      </c>
      <c r="R641" s="23" t="str">
        <f t="shared" si="31"/>
        <v>Yes</v>
      </c>
    </row>
    <row r="642" spans="1:18" x14ac:dyDescent="0.25">
      <c r="A642" s="1">
        <v>46266</v>
      </c>
      <c r="L642" s="3">
        <f t="shared" si="30"/>
        <v>0</v>
      </c>
      <c r="M642" s="3"/>
      <c r="N642" s="3">
        <f t="shared" si="29"/>
        <v>0</v>
      </c>
      <c r="R642" s="23" t="str">
        <f t="shared" si="31"/>
        <v>Yes</v>
      </c>
    </row>
    <row r="643" spans="1:18" x14ac:dyDescent="0.25">
      <c r="A643" s="1">
        <v>46267</v>
      </c>
      <c r="L643" s="3">
        <f t="shared" si="30"/>
        <v>0</v>
      </c>
      <c r="M643" s="3"/>
      <c r="N643" s="3">
        <f t="shared" ref="N643:N706" si="32">IF(OR(O643&lt;24300,P643&lt;25700),MAX(L643,M643),L643)</f>
        <v>0</v>
      </c>
      <c r="R643" s="23" t="str">
        <f t="shared" si="31"/>
        <v>Yes</v>
      </c>
    </row>
    <row r="644" spans="1:18" x14ac:dyDescent="0.25">
      <c r="A644" s="1">
        <v>46268</v>
      </c>
      <c r="L644" s="3">
        <f t="shared" ref="L644:L707" si="33">SUM(B644:K644)</f>
        <v>0</v>
      </c>
      <c r="M644" s="3"/>
      <c r="N644" s="3">
        <f t="shared" si="32"/>
        <v>0</v>
      </c>
      <c r="R644" s="23" t="str">
        <f t="shared" si="31"/>
        <v>Yes</v>
      </c>
    </row>
    <row r="645" spans="1:18" x14ac:dyDescent="0.25">
      <c r="A645" s="1">
        <v>46269</v>
      </c>
      <c r="L645" s="3">
        <f t="shared" si="33"/>
        <v>0</v>
      </c>
      <c r="M645" s="3"/>
      <c r="N645" s="3">
        <f t="shared" si="32"/>
        <v>0</v>
      </c>
      <c r="R645" s="23" t="str">
        <f t="shared" si="31"/>
        <v>Yes</v>
      </c>
    </row>
    <row r="646" spans="1:18" x14ac:dyDescent="0.25">
      <c r="A646" s="1">
        <v>46270</v>
      </c>
      <c r="L646" s="3">
        <f t="shared" si="33"/>
        <v>0</v>
      </c>
      <c r="M646" s="3"/>
      <c r="N646" s="3">
        <f t="shared" si="32"/>
        <v>0</v>
      </c>
      <c r="R646" s="23" t="str">
        <f t="shared" si="31"/>
        <v>Yes</v>
      </c>
    </row>
    <row r="647" spans="1:18" x14ac:dyDescent="0.25">
      <c r="A647" s="1">
        <v>46271</v>
      </c>
      <c r="L647" s="3">
        <f t="shared" si="33"/>
        <v>0</v>
      </c>
      <c r="M647" s="3"/>
      <c r="N647" s="3">
        <f t="shared" si="32"/>
        <v>0</v>
      </c>
      <c r="R647" s="23" t="str">
        <f t="shared" si="31"/>
        <v>Yes</v>
      </c>
    </row>
    <row r="648" spans="1:18" x14ac:dyDescent="0.25">
      <c r="A648" s="1">
        <v>46272</v>
      </c>
      <c r="L648" s="3">
        <f t="shared" si="33"/>
        <v>0</v>
      </c>
      <c r="M648" s="3"/>
      <c r="N648" s="3">
        <f t="shared" si="32"/>
        <v>0</v>
      </c>
      <c r="R648" s="23" t="str">
        <f t="shared" si="31"/>
        <v>Yes</v>
      </c>
    </row>
    <row r="649" spans="1:18" x14ac:dyDescent="0.25">
      <c r="A649" s="1">
        <v>46273</v>
      </c>
      <c r="L649" s="3">
        <f t="shared" si="33"/>
        <v>0</v>
      </c>
      <c r="M649" s="3"/>
      <c r="N649" s="3">
        <f t="shared" si="32"/>
        <v>0</v>
      </c>
      <c r="R649" s="23" t="str">
        <f t="shared" si="31"/>
        <v>Yes</v>
      </c>
    </row>
    <row r="650" spans="1:18" ht="15" customHeight="1" x14ac:dyDescent="0.25">
      <c r="A650" s="1">
        <v>46274</v>
      </c>
      <c r="L650" s="3">
        <f t="shared" si="33"/>
        <v>0</v>
      </c>
      <c r="M650" s="3"/>
      <c r="N650" s="3">
        <f t="shared" si="32"/>
        <v>0</v>
      </c>
      <c r="R650" s="23" t="str">
        <f t="shared" si="31"/>
        <v>Yes</v>
      </c>
    </row>
    <row r="651" spans="1:18" ht="15" customHeight="1" x14ac:dyDescent="0.25">
      <c r="A651" s="1">
        <v>46275</v>
      </c>
      <c r="L651" s="3">
        <f t="shared" si="33"/>
        <v>0</v>
      </c>
      <c r="M651" s="3"/>
      <c r="N651" s="3">
        <f t="shared" si="32"/>
        <v>0</v>
      </c>
      <c r="R651" s="23" t="str">
        <f t="shared" si="31"/>
        <v>Yes</v>
      </c>
    </row>
    <row r="652" spans="1:18" ht="15" customHeight="1" x14ac:dyDescent="0.25">
      <c r="A652" s="1">
        <v>46276</v>
      </c>
      <c r="L652" s="3">
        <f t="shared" si="33"/>
        <v>0</v>
      </c>
      <c r="M652" s="3"/>
      <c r="N652" s="3">
        <f t="shared" si="32"/>
        <v>0</v>
      </c>
      <c r="R652" s="23" t="str">
        <f t="shared" si="31"/>
        <v>Yes</v>
      </c>
    </row>
    <row r="653" spans="1:18" ht="15" customHeight="1" x14ac:dyDescent="0.25">
      <c r="A653" s="1">
        <v>46277</v>
      </c>
      <c r="L653" s="3">
        <f t="shared" si="33"/>
        <v>0</v>
      </c>
      <c r="M653" s="3"/>
      <c r="N653" s="3">
        <f t="shared" si="32"/>
        <v>0</v>
      </c>
      <c r="R653" s="23" t="str">
        <f t="shared" si="31"/>
        <v>Yes</v>
      </c>
    </row>
    <row r="654" spans="1:18" ht="15" customHeight="1" x14ac:dyDescent="0.25">
      <c r="A654" s="1">
        <v>46278</v>
      </c>
      <c r="L654" s="3">
        <f t="shared" si="33"/>
        <v>0</v>
      </c>
      <c r="M654" s="3"/>
      <c r="N654" s="3">
        <f t="shared" si="32"/>
        <v>0</v>
      </c>
      <c r="R654" s="23" t="str">
        <f t="shared" si="31"/>
        <v>Yes</v>
      </c>
    </row>
    <row r="655" spans="1:18" ht="15" customHeight="1" x14ac:dyDescent="0.25">
      <c r="A655" s="1">
        <v>46279</v>
      </c>
      <c r="L655" s="3">
        <f t="shared" si="33"/>
        <v>0</v>
      </c>
      <c r="M655" s="3"/>
      <c r="N655" s="3">
        <f t="shared" si="32"/>
        <v>0</v>
      </c>
      <c r="R655" s="23" t="str">
        <f t="shared" si="31"/>
        <v>Yes</v>
      </c>
    </row>
    <row r="656" spans="1:18" ht="15" customHeight="1" x14ac:dyDescent="0.25">
      <c r="A656" s="1">
        <v>46280</v>
      </c>
      <c r="L656" s="3">
        <f t="shared" si="33"/>
        <v>0</v>
      </c>
      <c r="M656" s="3"/>
      <c r="N656" s="3">
        <f t="shared" si="32"/>
        <v>0</v>
      </c>
      <c r="R656" s="23" t="str">
        <f t="shared" si="31"/>
        <v>Yes</v>
      </c>
    </row>
    <row r="657" spans="1:18" ht="15" customHeight="1" x14ac:dyDescent="0.25">
      <c r="A657" s="1">
        <v>46281</v>
      </c>
      <c r="L657" s="3">
        <f t="shared" si="33"/>
        <v>0</v>
      </c>
      <c r="M657" s="3"/>
      <c r="N657" s="3">
        <f t="shared" si="32"/>
        <v>0</v>
      </c>
      <c r="R657" s="23" t="str">
        <f t="shared" si="31"/>
        <v>Yes</v>
      </c>
    </row>
    <row r="658" spans="1:18" ht="15" customHeight="1" x14ac:dyDescent="0.25">
      <c r="A658" s="1">
        <v>46282</v>
      </c>
      <c r="L658" s="3">
        <f t="shared" si="33"/>
        <v>0</v>
      </c>
      <c r="M658" s="3"/>
      <c r="N658" s="3">
        <f t="shared" si="32"/>
        <v>0</v>
      </c>
      <c r="R658" s="23" t="str">
        <f t="shared" si="31"/>
        <v>Yes</v>
      </c>
    </row>
    <row r="659" spans="1:18" ht="15" customHeight="1" x14ac:dyDescent="0.25">
      <c r="A659" s="1">
        <v>46283</v>
      </c>
      <c r="L659" s="3">
        <f t="shared" si="33"/>
        <v>0</v>
      </c>
      <c r="M659" s="3"/>
      <c r="N659" s="3">
        <f t="shared" si="32"/>
        <v>0</v>
      </c>
      <c r="R659" s="23" t="str">
        <f t="shared" si="31"/>
        <v>Yes</v>
      </c>
    </row>
    <row r="660" spans="1:18" ht="15" customHeight="1" x14ac:dyDescent="0.25">
      <c r="A660" s="1">
        <v>46284</v>
      </c>
      <c r="L660" s="3">
        <f t="shared" si="33"/>
        <v>0</v>
      </c>
      <c r="M660" s="3"/>
      <c r="N660" s="3">
        <f t="shared" si="32"/>
        <v>0</v>
      </c>
      <c r="R660" s="23" t="str">
        <f t="shared" si="31"/>
        <v>Yes</v>
      </c>
    </row>
    <row r="661" spans="1:18" ht="15" customHeight="1" x14ac:dyDescent="0.25">
      <c r="A661" s="1">
        <v>46285</v>
      </c>
      <c r="L661" s="3">
        <f t="shared" si="33"/>
        <v>0</v>
      </c>
      <c r="M661" s="3"/>
      <c r="N661" s="3">
        <f t="shared" si="32"/>
        <v>0</v>
      </c>
      <c r="R661" s="23" t="str">
        <f t="shared" si="31"/>
        <v>Yes</v>
      </c>
    </row>
    <row r="662" spans="1:18" ht="15" customHeight="1" x14ac:dyDescent="0.25">
      <c r="A662" s="1">
        <v>46286</v>
      </c>
      <c r="L662" s="3">
        <f t="shared" si="33"/>
        <v>0</v>
      </c>
      <c r="M662" s="3"/>
      <c r="N662" s="3">
        <f t="shared" si="32"/>
        <v>0</v>
      </c>
      <c r="R662" s="23" t="str">
        <f t="shared" si="31"/>
        <v>Yes</v>
      </c>
    </row>
    <row r="663" spans="1:18" ht="15" customHeight="1" x14ac:dyDescent="0.25">
      <c r="A663" s="1">
        <v>46287</v>
      </c>
      <c r="L663" s="3">
        <f t="shared" si="33"/>
        <v>0</v>
      </c>
      <c r="M663" s="3"/>
      <c r="N663" s="3">
        <f t="shared" si="32"/>
        <v>0</v>
      </c>
      <c r="R663" s="23" t="str">
        <f t="shared" si="31"/>
        <v>Yes</v>
      </c>
    </row>
    <row r="664" spans="1:18" ht="15" customHeight="1" x14ac:dyDescent="0.25">
      <c r="A664" s="1">
        <v>46288</v>
      </c>
      <c r="L664" s="3">
        <f t="shared" si="33"/>
        <v>0</v>
      </c>
      <c r="M664" s="3"/>
      <c r="N664" s="3">
        <f t="shared" si="32"/>
        <v>0</v>
      </c>
      <c r="R664" s="23" t="str">
        <f t="shared" si="31"/>
        <v>Yes</v>
      </c>
    </row>
    <row r="665" spans="1:18" ht="15" customHeight="1" x14ac:dyDescent="0.25">
      <c r="A665" s="1">
        <v>46289</v>
      </c>
      <c r="L665" s="3">
        <f t="shared" si="33"/>
        <v>0</v>
      </c>
      <c r="M665" s="3"/>
      <c r="N665" s="3">
        <f t="shared" si="32"/>
        <v>0</v>
      </c>
      <c r="R665" s="23" t="str">
        <f t="shared" si="31"/>
        <v>Yes</v>
      </c>
    </row>
    <row r="666" spans="1:18" ht="15" customHeight="1" x14ac:dyDescent="0.25">
      <c r="A666" s="1">
        <v>46290</v>
      </c>
      <c r="L666" s="3">
        <f t="shared" si="33"/>
        <v>0</v>
      </c>
      <c r="M666" s="3"/>
      <c r="N666" s="3">
        <f t="shared" si="32"/>
        <v>0</v>
      </c>
      <c r="R666" s="23" t="str">
        <f t="shared" si="31"/>
        <v>Yes</v>
      </c>
    </row>
    <row r="667" spans="1:18" ht="15" customHeight="1" x14ac:dyDescent="0.25">
      <c r="A667" s="1">
        <v>46291</v>
      </c>
      <c r="L667" s="3">
        <f t="shared" si="33"/>
        <v>0</v>
      </c>
      <c r="M667" s="3"/>
      <c r="N667" s="3">
        <f t="shared" si="32"/>
        <v>0</v>
      </c>
      <c r="R667" s="23" t="str">
        <f t="shared" si="31"/>
        <v>Yes</v>
      </c>
    </row>
    <row r="668" spans="1:18" ht="15" customHeight="1" x14ac:dyDescent="0.25">
      <c r="A668" s="1">
        <v>46292</v>
      </c>
      <c r="L668" s="3">
        <f t="shared" si="33"/>
        <v>0</v>
      </c>
      <c r="M668" s="3"/>
      <c r="N668" s="3">
        <f t="shared" si="32"/>
        <v>0</v>
      </c>
      <c r="R668" s="23" t="str">
        <f t="shared" si="31"/>
        <v>Yes</v>
      </c>
    </row>
    <row r="669" spans="1:18" ht="15" customHeight="1" x14ac:dyDescent="0.25">
      <c r="A669" s="1">
        <v>46293</v>
      </c>
      <c r="L669" s="3">
        <f t="shared" si="33"/>
        <v>0</v>
      </c>
      <c r="M669" s="3"/>
      <c r="N669" s="3">
        <f t="shared" si="32"/>
        <v>0</v>
      </c>
      <c r="R669" s="23" t="str">
        <f t="shared" si="31"/>
        <v>Yes</v>
      </c>
    </row>
    <row r="670" spans="1:18" ht="15" customHeight="1" x14ac:dyDescent="0.25">
      <c r="A670" s="1">
        <v>46294</v>
      </c>
      <c r="L670" s="3">
        <f t="shared" si="33"/>
        <v>0</v>
      </c>
      <c r="M670" s="3"/>
      <c r="N670" s="3">
        <f t="shared" si="32"/>
        <v>0</v>
      </c>
      <c r="R670" s="23" t="str">
        <f t="shared" si="31"/>
        <v>Yes</v>
      </c>
    </row>
    <row r="671" spans="1:18" ht="15" customHeight="1" x14ac:dyDescent="0.25">
      <c r="A671" s="1">
        <v>46295</v>
      </c>
      <c r="L671" s="3">
        <f t="shared" si="33"/>
        <v>0</v>
      </c>
      <c r="M671" s="3"/>
      <c r="N671" s="3">
        <f t="shared" si="32"/>
        <v>0</v>
      </c>
      <c r="R671" s="23" t="str">
        <f t="shared" si="31"/>
        <v>Yes</v>
      </c>
    </row>
    <row r="672" spans="1:18" ht="15" customHeight="1" x14ac:dyDescent="0.25">
      <c r="A672" s="1">
        <v>46296</v>
      </c>
      <c r="L672" s="3">
        <f t="shared" si="33"/>
        <v>0</v>
      </c>
      <c r="M672" s="3"/>
      <c r="N672" s="3">
        <f t="shared" si="32"/>
        <v>0</v>
      </c>
      <c r="R672" s="23" t="str">
        <f t="shared" si="31"/>
        <v>Yes</v>
      </c>
    </row>
    <row r="673" spans="1:18" ht="15" customHeight="1" x14ac:dyDescent="0.25">
      <c r="A673" s="1">
        <v>46297</v>
      </c>
      <c r="L673" s="3">
        <f t="shared" si="33"/>
        <v>0</v>
      </c>
      <c r="M673" s="3"/>
      <c r="N673" s="3">
        <f t="shared" si="32"/>
        <v>0</v>
      </c>
      <c r="R673" s="23" t="str">
        <f t="shared" si="31"/>
        <v>Yes</v>
      </c>
    </row>
    <row r="674" spans="1:18" ht="15" customHeight="1" x14ac:dyDescent="0.25">
      <c r="A674" s="1">
        <v>46298</v>
      </c>
      <c r="L674" s="3">
        <f t="shared" si="33"/>
        <v>0</v>
      </c>
      <c r="M674" s="3"/>
      <c r="N674" s="3">
        <f t="shared" si="32"/>
        <v>0</v>
      </c>
      <c r="R674" s="23" t="str">
        <f t="shared" si="31"/>
        <v>Yes</v>
      </c>
    </row>
    <row r="675" spans="1:18" ht="15" customHeight="1" x14ac:dyDescent="0.25">
      <c r="A675" s="1">
        <v>46299</v>
      </c>
      <c r="L675" s="3">
        <f t="shared" si="33"/>
        <v>0</v>
      </c>
      <c r="M675" s="3"/>
      <c r="N675" s="3">
        <f t="shared" si="32"/>
        <v>0</v>
      </c>
      <c r="R675" s="23" t="str">
        <f t="shared" si="31"/>
        <v>Yes</v>
      </c>
    </row>
    <row r="676" spans="1:18" ht="15" customHeight="1" x14ac:dyDescent="0.25">
      <c r="A676" s="1">
        <v>46300</v>
      </c>
      <c r="L676" s="3">
        <f t="shared" si="33"/>
        <v>0</v>
      </c>
      <c r="M676" s="3"/>
      <c r="N676" s="3">
        <f t="shared" si="32"/>
        <v>0</v>
      </c>
      <c r="R676" s="23" t="str">
        <f t="shared" si="31"/>
        <v>Yes</v>
      </c>
    </row>
    <row r="677" spans="1:18" ht="15" customHeight="1" x14ac:dyDescent="0.25">
      <c r="A677" s="1">
        <v>46301</v>
      </c>
      <c r="L677" s="3">
        <f t="shared" si="33"/>
        <v>0</v>
      </c>
      <c r="M677" s="3"/>
      <c r="N677" s="3">
        <f t="shared" si="32"/>
        <v>0</v>
      </c>
      <c r="R677" s="23" t="str">
        <f t="shared" si="31"/>
        <v>Yes</v>
      </c>
    </row>
    <row r="678" spans="1:18" ht="15" customHeight="1" x14ac:dyDescent="0.25">
      <c r="A678" s="1">
        <v>46302</v>
      </c>
      <c r="L678" s="3">
        <f t="shared" si="33"/>
        <v>0</v>
      </c>
      <c r="M678" s="3"/>
      <c r="N678" s="3">
        <f t="shared" si="32"/>
        <v>0</v>
      </c>
      <c r="R678" s="23" t="str">
        <f t="shared" si="31"/>
        <v>Yes</v>
      </c>
    </row>
    <row r="679" spans="1:18" ht="15" customHeight="1" x14ac:dyDescent="0.25">
      <c r="A679" s="1">
        <v>46303</v>
      </c>
      <c r="L679" s="3">
        <f t="shared" si="33"/>
        <v>0</v>
      </c>
      <c r="M679" s="3"/>
      <c r="N679" s="3">
        <f t="shared" si="32"/>
        <v>0</v>
      </c>
      <c r="R679" s="23" t="str">
        <f t="shared" si="31"/>
        <v>Yes</v>
      </c>
    </row>
    <row r="680" spans="1:18" ht="15" customHeight="1" x14ac:dyDescent="0.25">
      <c r="A680" s="1">
        <v>46304</v>
      </c>
      <c r="L680" s="3">
        <f t="shared" si="33"/>
        <v>0</v>
      </c>
      <c r="M680" s="3"/>
      <c r="N680" s="3">
        <f t="shared" si="32"/>
        <v>0</v>
      </c>
      <c r="R680" s="23" t="str">
        <f t="shared" si="31"/>
        <v>Yes</v>
      </c>
    </row>
    <row r="681" spans="1:18" ht="15" customHeight="1" x14ac:dyDescent="0.25">
      <c r="A681" s="1">
        <v>46305</v>
      </c>
      <c r="L681" s="3">
        <f t="shared" si="33"/>
        <v>0</v>
      </c>
      <c r="M681" s="3"/>
      <c r="N681" s="3">
        <f t="shared" si="32"/>
        <v>0</v>
      </c>
      <c r="R681" s="23" t="str">
        <f t="shared" si="31"/>
        <v>Yes</v>
      </c>
    </row>
    <row r="682" spans="1:18" ht="15" customHeight="1" x14ac:dyDescent="0.25">
      <c r="A682" s="1">
        <v>46306</v>
      </c>
      <c r="L682" s="3">
        <f t="shared" si="33"/>
        <v>0</v>
      </c>
      <c r="M682" s="3"/>
      <c r="N682" s="3">
        <f t="shared" si="32"/>
        <v>0</v>
      </c>
      <c r="R682" s="23" t="str">
        <f t="shared" si="31"/>
        <v>Yes</v>
      </c>
    </row>
    <row r="683" spans="1:18" ht="15" customHeight="1" x14ac:dyDescent="0.25">
      <c r="A683" s="1">
        <v>46307</v>
      </c>
      <c r="L683" s="3">
        <f t="shared" si="33"/>
        <v>0</v>
      </c>
      <c r="M683" s="3"/>
      <c r="N683" s="3">
        <f t="shared" si="32"/>
        <v>0</v>
      </c>
      <c r="R683" s="23" t="str">
        <f t="shared" si="31"/>
        <v>Yes</v>
      </c>
    </row>
    <row r="684" spans="1:18" ht="15" customHeight="1" x14ac:dyDescent="0.25">
      <c r="A684" s="1">
        <v>46308</v>
      </c>
      <c r="L684" s="3">
        <f t="shared" si="33"/>
        <v>0</v>
      </c>
      <c r="M684" s="3"/>
      <c r="N684" s="3">
        <f t="shared" si="32"/>
        <v>0</v>
      </c>
      <c r="R684" s="23" t="str">
        <f t="shared" si="31"/>
        <v>Yes</v>
      </c>
    </row>
    <row r="685" spans="1:18" ht="15" customHeight="1" x14ac:dyDescent="0.25">
      <c r="A685" s="1">
        <v>46309</v>
      </c>
      <c r="L685" s="3">
        <f t="shared" si="33"/>
        <v>0</v>
      </c>
      <c r="M685" s="3"/>
      <c r="N685" s="3">
        <f t="shared" si="32"/>
        <v>0</v>
      </c>
      <c r="R685" s="23" t="str">
        <f t="shared" ref="R685:R748" si="34">IF(Q685&gt;0,"Yes",IF(OR((O685+P685&lt;50000),O685&lt;24000,P685&lt;26000),"Yes","No"))</f>
        <v>Yes</v>
      </c>
    </row>
    <row r="686" spans="1:18" ht="15" customHeight="1" x14ac:dyDescent="0.25">
      <c r="A686" s="1">
        <v>46310</v>
      </c>
      <c r="L686" s="3">
        <f t="shared" si="33"/>
        <v>0</v>
      </c>
      <c r="M686" s="3"/>
      <c r="N686" s="3">
        <f t="shared" si="32"/>
        <v>0</v>
      </c>
      <c r="R686" s="23" t="str">
        <f t="shared" si="34"/>
        <v>Yes</v>
      </c>
    </row>
    <row r="687" spans="1:18" ht="15" customHeight="1" x14ac:dyDescent="0.25">
      <c r="A687" s="1">
        <v>46311</v>
      </c>
      <c r="L687" s="3">
        <f t="shared" si="33"/>
        <v>0</v>
      </c>
      <c r="M687" s="3"/>
      <c r="N687" s="3">
        <f t="shared" si="32"/>
        <v>0</v>
      </c>
      <c r="R687" s="23" t="str">
        <f t="shared" si="34"/>
        <v>Yes</v>
      </c>
    </row>
    <row r="688" spans="1:18" ht="15" customHeight="1" x14ac:dyDescent="0.25">
      <c r="A688" s="1">
        <v>46312</v>
      </c>
      <c r="L688" s="3">
        <f t="shared" si="33"/>
        <v>0</v>
      </c>
      <c r="M688" s="3"/>
      <c r="N688" s="3">
        <f t="shared" si="32"/>
        <v>0</v>
      </c>
      <c r="R688" s="23" t="str">
        <f t="shared" si="34"/>
        <v>Yes</v>
      </c>
    </row>
    <row r="689" spans="1:18" ht="15" customHeight="1" x14ac:dyDescent="0.25">
      <c r="A689" s="1">
        <v>46313</v>
      </c>
      <c r="L689" s="3">
        <f t="shared" si="33"/>
        <v>0</v>
      </c>
      <c r="M689" s="3"/>
      <c r="N689" s="3">
        <f t="shared" si="32"/>
        <v>0</v>
      </c>
      <c r="R689" s="23" t="str">
        <f t="shared" si="34"/>
        <v>Yes</v>
      </c>
    </row>
    <row r="690" spans="1:18" ht="15" customHeight="1" x14ac:dyDescent="0.25">
      <c r="A690" s="1">
        <v>46314</v>
      </c>
      <c r="L690" s="3">
        <f t="shared" si="33"/>
        <v>0</v>
      </c>
      <c r="M690" s="3"/>
      <c r="N690" s="3">
        <f t="shared" si="32"/>
        <v>0</v>
      </c>
      <c r="R690" s="23" t="str">
        <f t="shared" si="34"/>
        <v>Yes</v>
      </c>
    </row>
    <row r="691" spans="1:18" ht="15" customHeight="1" x14ac:dyDescent="0.25">
      <c r="A691" s="1">
        <v>46315</v>
      </c>
      <c r="L691" s="3">
        <f t="shared" si="33"/>
        <v>0</v>
      </c>
      <c r="M691" s="3"/>
      <c r="N691" s="3">
        <f t="shared" si="32"/>
        <v>0</v>
      </c>
      <c r="R691" s="23" t="str">
        <f t="shared" si="34"/>
        <v>Yes</v>
      </c>
    </row>
    <row r="692" spans="1:18" ht="15" customHeight="1" x14ac:dyDescent="0.25">
      <c r="A692" s="1">
        <v>46316</v>
      </c>
      <c r="L692" s="3">
        <f t="shared" si="33"/>
        <v>0</v>
      </c>
      <c r="M692" s="3"/>
      <c r="N692" s="3">
        <f t="shared" si="32"/>
        <v>0</v>
      </c>
      <c r="R692" s="23" t="str">
        <f t="shared" si="34"/>
        <v>Yes</v>
      </c>
    </row>
    <row r="693" spans="1:18" ht="15" customHeight="1" x14ac:dyDescent="0.25">
      <c r="A693" s="1">
        <v>46317</v>
      </c>
      <c r="L693" s="3">
        <f t="shared" si="33"/>
        <v>0</v>
      </c>
      <c r="M693" s="3"/>
      <c r="N693" s="3">
        <f t="shared" si="32"/>
        <v>0</v>
      </c>
      <c r="R693" s="23" t="str">
        <f t="shared" si="34"/>
        <v>Yes</v>
      </c>
    </row>
    <row r="694" spans="1:18" ht="15" customHeight="1" x14ac:dyDescent="0.25">
      <c r="A694" s="1">
        <v>46318</v>
      </c>
      <c r="L694" s="3">
        <f t="shared" si="33"/>
        <v>0</v>
      </c>
      <c r="M694" s="3"/>
      <c r="N694" s="3">
        <f t="shared" si="32"/>
        <v>0</v>
      </c>
      <c r="R694" s="23" t="str">
        <f t="shared" si="34"/>
        <v>Yes</v>
      </c>
    </row>
    <row r="695" spans="1:18" ht="15" customHeight="1" x14ac:dyDescent="0.25">
      <c r="A695" s="1">
        <v>46319</v>
      </c>
      <c r="L695" s="3">
        <f t="shared" si="33"/>
        <v>0</v>
      </c>
      <c r="M695" s="3"/>
      <c r="N695" s="3">
        <f t="shared" si="32"/>
        <v>0</v>
      </c>
      <c r="R695" s="23" t="str">
        <f t="shared" si="34"/>
        <v>Yes</v>
      </c>
    </row>
    <row r="696" spans="1:18" ht="15" customHeight="1" x14ac:dyDescent="0.25">
      <c r="A696" s="1">
        <v>46320</v>
      </c>
      <c r="L696" s="3">
        <f t="shared" si="33"/>
        <v>0</v>
      </c>
      <c r="M696" s="3"/>
      <c r="N696" s="3">
        <f t="shared" si="32"/>
        <v>0</v>
      </c>
      <c r="R696" s="23" t="str">
        <f t="shared" si="34"/>
        <v>Yes</v>
      </c>
    </row>
    <row r="697" spans="1:18" ht="15" customHeight="1" x14ac:dyDescent="0.25">
      <c r="A697" s="1">
        <v>46321</v>
      </c>
      <c r="L697" s="3">
        <f t="shared" si="33"/>
        <v>0</v>
      </c>
      <c r="M697" s="3"/>
      <c r="N697" s="3">
        <f t="shared" si="32"/>
        <v>0</v>
      </c>
      <c r="R697" s="23" t="str">
        <f t="shared" si="34"/>
        <v>Yes</v>
      </c>
    </row>
    <row r="698" spans="1:18" ht="15" customHeight="1" x14ac:dyDescent="0.25">
      <c r="A698" s="1">
        <v>46322</v>
      </c>
      <c r="L698" s="3">
        <f t="shared" si="33"/>
        <v>0</v>
      </c>
      <c r="M698" s="3"/>
      <c r="N698" s="3">
        <f t="shared" si="32"/>
        <v>0</v>
      </c>
      <c r="R698" s="23" t="str">
        <f t="shared" si="34"/>
        <v>Yes</v>
      </c>
    </row>
    <row r="699" spans="1:18" ht="15" customHeight="1" x14ac:dyDescent="0.25">
      <c r="A699" s="1">
        <v>46323</v>
      </c>
      <c r="L699" s="3">
        <f t="shared" si="33"/>
        <v>0</v>
      </c>
      <c r="M699" s="3"/>
      <c r="N699" s="3">
        <f t="shared" si="32"/>
        <v>0</v>
      </c>
      <c r="R699" s="23" t="str">
        <f t="shared" si="34"/>
        <v>Yes</v>
      </c>
    </row>
    <row r="700" spans="1:18" ht="15" customHeight="1" x14ac:dyDescent="0.25">
      <c r="A700" s="1">
        <v>46324</v>
      </c>
      <c r="L700" s="3">
        <f t="shared" si="33"/>
        <v>0</v>
      </c>
      <c r="M700" s="3"/>
      <c r="N700" s="3">
        <f t="shared" si="32"/>
        <v>0</v>
      </c>
      <c r="R700" s="23" t="str">
        <f t="shared" si="34"/>
        <v>Yes</v>
      </c>
    </row>
    <row r="701" spans="1:18" ht="15" customHeight="1" x14ac:dyDescent="0.25">
      <c r="A701" s="1">
        <v>46325</v>
      </c>
      <c r="L701" s="3">
        <f t="shared" si="33"/>
        <v>0</v>
      </c>
      <c r="M701" s="3"/>
      <c r="N701" s="3">
        <f t="shared" si="32"/>
        <v>0</v>
      </c>
      <c r="R701" s="23" t="str">
        <f t="shared" si="34"/>
        <v>Yes</v>
      </c>
    </row>
    <row r="702" spans="1:18" ht="15" customHeight="1" x14ac:dyDescent="0.25">
      <c r="A702" s="1">
        <v>46326</v>
      </c>
      <c r="L702" s="3">
        <f t="shared" si="33"/>
        <v>0</v>
      </c>
      <c r="M702" s="3"/>
      <c r="N702" s="3">
        <f t="shared" si="32"/>
        <v>0</v>
      </c>
      <c r="R702" s="23" t="str">
        <f t="shared" si="34"/>
        <v>Yes</v>
      </c>
    </row>
    <row r="703" spans="1:18" ht="15" customHeight="1" x14ac:dyDescent="0.25">
      <c r="A703" s="1">
        <v>46327</v>
      </c>
      <c r="L703" s="3">
        <f t="shared" si="33"/>
        <v>0</v>
      </c>
      <c r="M703" s="3"/>
      <c r="N703" s="3">
        <f t="shared" si="32"/>
        <v>0</v>
      </c>
      <c r="R703" s="23" t="str">
        <f t="shared" si="34"/>
        <v>Yes</v>
      </c>
    </row>
    <row r="704" spans="1:18" ht="15" customHeight="1" x14ac:dyDescent="0.25">
      <c r="A704" s="1">
        <v>46328</v>
      </c>
      <c r="L704" s="3">
        <f t="shared" si="33"/>
        <v>0</v>
      </c>
      <c r="M704" s="3"/>
      <c r="N704" s="3">
        <f t="shared" si="32"/>
        <v>0</v>
      </c>
      <c r="R704" s="23" t="str">
        <f t="shared" si="34"/>
        <v>Yes</v>
      </c>
    </row>
    <row r="705" spans="1:18" ht="15" customHeight="1" x14ac:dyDescent="0.25">
      <c r="A705" s="1">
        <v>46329</v>
      </c>
      <c r="L705" s="3">
        <f t="shared" si="33"/>
        <v>0</v>
      </c>
      <c r="M705" s="3"/>
      <c r="N705" s="3">
        <f t="shared" si="32"/>
        <v>0</v>
      </c>
      <c r="R705" s="23" t="str">
        <f t="shared" si="34"/>
        <v>Yes</v>
      </c>
    </row>
    <row r="706" spans="1:18" ht="15" customHeight="1" x14ac:dyDescent="0.25">
      <c r="A706" s="1">
        <v>46330</v>
      </c>
      <c r="L706" s="3">
        <f t="shared" si="33"/>
        <v>0</v>
      </c>
      <c r="M706" s="3"/>
      <c r="N706" s="3">
        <f t="shared" si="32"/>
        <v>0</v>
      </c>
      <c r="R706" s="23" t="str">
        <f t="shared" si="34"/>
        <v>Yes</v>
      </c>
    </row>
    <row r="707" spans="1:18" ht="15" customHeight="1" x14ac:dyDescent="0.25">
      <c r="A707" s="1">
        <v>46331</v>
      </c>
      <c r="L707" s="3">
        <f t="shared" si="33"/>
        <v>0</v>
      </c>
      <c r="M707" s="3"/>
      <c r="N707" s="3">
        <f t="shared" ref="N707:N770" si="35">IF(OR(O707&lt;24300,P707&lt;25700),MAX(L707,M707),L707)</f>
        <v>0</v>
      </c>
      <c r="R707" s="23" t="str">
        <f t="shared" si="34"/>
        <v>Yes</v>
      </c>
    </row>
    <row r="708" spans="1:18" ht="15" customHeight="1" x14ac:dyDescent="0.25">
      <c r="A708" s="1">
        <v>46332</v>
      </c>
      <c r="L708" s="3">
        <f t="shared" ref="L708:L771" si="36">SUM(B708:K708)</f>
        <v>0</v>
      </c>
      <c r="M708" s="3"/>
      <c r="N708" s="3">
        <f t="shared" si="35"/>
        <v>0</v>
      </c>
      <c r="R708" s="23" t="str">
        <f t="shared" si="34"/>
        <v>Yes</v>
      </c>
    </row>
    <row r="709" spans="1:18" ht="15" customHeight="1" x14ac:dyDescent="0.25">
      <c r="A709" s="1">
        <v>46333</v>
      </c>
      <c r="L709" s="3">
        <f t="shared" si="36"/>
        <v>0</v>
      </c>
      <c r="M709" s="3"/>
      <c r="N709" s="3">
        <f t="shared" si="35"/>
        <v>0</v>
      </c>
      <c r="R709" s="23" t="str">
        <f t="shared" si="34"/>
        <v>Yes</v>
      </c>
    </row>
    <row r="710" spans="1:18" ht="15" customHeight="1" x14ac:dyDescent="0.25">
      <c r="A710" s="1">
        <v>46334</v>
      </c>
      <c r="L710" s="3">
        <f t="shared" si="36"/>
        <v>0</v>
      </c>
      <c r="M710" s="3"/>
      <c r="N710" s="3">
        <f t="shared" si="35"/>
        <v>0</v>
      </c>
      <c r="R710" s="23" t="str">
        <f t="shared" si="34"/>
        <v>Yes</v>
      </c>
    </row>
    <row r="711" spans="1:18" ht="15" customHeight="1" x14ac:dyDescent="0.25">
      <c r="A711" s="1">
        <v>46335</v>
      </c>
      <c r="L711" s="3">
        <f t="shared" si="36"/>
        <v>0</v>
      </c>
      <c r="M711" s="3"/>
      <c r="N711" s="3">
        <f t="shared" si="35"/>
        <v>0</v>
      </c>
      <c r="R711" s="23" t="str">
        <f t="shared" si="34"/>
        <v>Yes</v>
      </c>
    </row>
    <row r="712" spans="1:18" ht="15" customHeight="1" x14ac:dyDescent="0.25">
      <c r="A712" s="1">
        <v>46336</v>
      </c>
      <c r="L712" s="3">
        <f t="shared" si="36"/>
        <v>0</v>
      </c>
      <c r="M712" s="3"/>
      <c r="N712" s="3">
        <f t="shared" si="35"/>
        <v>0</v>
      </c>
      <c r="R712" s="23" t="str">
        <f t="shared" si="34"/>
        <v>Yes</v>
      </c>
    </row>
    <row r="713" spans="1:18" ht="15" customHeight="1" x14ac:dyDescent="0.25">
      <c r="A713" s="1">
        <v>46337</v>
      </c>
      <c r="L713" s="3">
        <f t="shared" si="36"/>
        <v>0</v>
      </c>
      <c r="M713" s="3"/>
      <c r="N713" s="3">
        <f t="shared" si="35"/>
        <v>0</v>
      </c>
      <c r="R713" s="23" t="str">
        <f t="shared" si="34"/>
        <v>Yes</v>
      </c>
    </row>
    <row r="714" spans="1:18" ht="15" customHeight="1" x14ac:dyDescent="0.25">
      <c r="A714" s="1">
        <v>46338</v>
      </c>
      <c r="L714" s="3">
        <f t="shared" si="36"/>
        <v>0</v>
      </c>
      <c r="M714" s="3"/>
      <c r="N714" s="3">
        <f t="shared" si="35"/>
        <v>0</v>
      </c>
      <c r="R714" s="23" t="str">
        <f t="shared" si="34"/>
        <v>Yes</v>
      </c>
    </row>
    <row r="715" spans="1:18" ht="15" customHeight="1" x14ac:dyDescent="0.25">
      <c r="A715" s="1">
        <v>46339</v>
      </c>
      <c r="L715" s="3">
        <f t="shared" si="36"/>
        <v>0</v>
      </c>
      <c r="M715" s="3"/>
      <c r="N715" s="3">
        <f t="shared" si="35"/>
        <v>0</v>
      </c>
      <c r="R715" s="23" t="str">
        <f t="shared" si="34"/>
        <v>Yes</v>
      </c>
    </row>
    <row r="716" spans="1:18" ht="15" customHeight="1" x14ac:dyDescent="0.25">
      <c r="A716" s="1">
        <v>46340</v>
      </c>
      <c r="L716" s="3">
        <f t="shared" si="36"/>
        <v>0</v>
      </c>
      <c r="M716" s="3"/>
      <c r="N716" s="3">
        <f t="shared" si="35"/>
        <v>0</v>
      </c>
      <c r="R716" s="23" t="str">
        <f t="shared" si="34"/>
        <v>Yes</v>
      </c>
    </row>
    <row r="717" spans="1:18" ht="15" customHeight="1" x14ac:dyDescent="0.25">
      <c r="A717" s="1">
        <v>46341</v>
      </c>
      <c r="L717" s="3">
        <f t="shared" si="36"/>
        <v>0</v>
      </c>
      <c r="M717" s="3"/>
      <c r="N717" s="3">
        <f t="shared" si="35"/>
        <v>0</v>
      </c>
      <c r="R717" s="23" t="str">
        <f t="shared" si="34"/>
        <v>Yes</v>
      </c>
    </row>
    <row r="718" spans="1:18" ht="15" customHeight="1" x14ac:dyDescent="0.25">
      <c r="A718" s="1">
        <v>46342</v>
      </c>
      <c r="L718" s="3">
        <f t="shared" si="36"/>
        <v>0</v>
      </c>
      <c r="M718" s="3"/>
      <c r="N718" s="3">
        <f t="shared" si="35"/>
        <v>0</v>
      </c>
      <c r="R718" s="23" t="str">
        <f t="shared" si="34"/>
        <v>Yes</v>
      </c>
    </row>
    <row r="719" spans="1:18" ht="15" customHeight="1" x14ac:dyDescent="0.25">
      <c r="A719" s="1">
        <v>46343</v>
      </c>
      <c r="L719" s="3">
        <f t="shared" si="36"/>
        <v>0</v>
      </c>
      <c r="M719" s="3"/>
      <c r="N719" s="3">
        <f t="shared" si="35"/>
        <v>0</v>
      </c>
      <c r="R719" s="23" t="str">
        <f t="shared" si="34"/>
        <v>Yes</v>
      </c>
    </row>
    <row r="720" spans="1:18" ht="15" customHeight="1" x14ac:dyDescent="0.25">
      <c r="A720" s="1">
        <v>46344</v>
      </c>
      <c r="L720" s="3">
        <f t="shared" si="36"/>
        <v>0</v>
      </c>
      <c r="M720" s="3"/>
      <c r="N720" s="3">
        <f t="shared" si="35"/>
        <v>0</v>
      </c>
      <c r="R720" s="23" t="str">
        <f t="shared" si="34"/>
        <v>Yes</v>
      </c>
    </row>
    <row r="721" spans="1:18" ht="15" customHeight="1" x14ac:dyDescent="0.25">
      <c r="A721" s="1">
        <v>46345</v>
      </c>
      <c r="L721" s="3">
        <f t="shared" si="36"/>
        <v>0</v>
      </c>
      <c r="M721" s="3"/>
      <c r="N721" s="3">
        <f t="shared" si="35"/>
        <v>0</v>
      </c>
      <c r="R721" s="23" t="str">
        <f t="shared" si="34"/>
        <v>Yes</v>
      </c>
    </row>
    <row r="722" spans="1:18" ht="15" customHeight="1" x14ac:dyDescent="0.25">
      <c r="A722" s="1">
        <v>46346</v>
      </c>
      <c r="L722" s="3">
        <f t="shared" si="36"/>
        <v>0</v>
      </c>
      <c r="M722" s="3"/>
      <c r="N722" s="3">
        <f t="shared" si="35"/>
        <v>0</v>
      </c>
      <c r="R722" s="23" t="str">
        <f t="shared" si="34"/>
        <v>Yes</v>
      </c>
    </row>
    <row r="723" spans="1:18" ht="15" customHeight="1" x14ac:dyDescent="0.25">
      <c r="A723" s="1">
        <v>46347</v>
      </c>
      <c r="L723" s="3">
        <f t="shared" si="36"/>
        <v>0</v>
      </c>
      <c r="M723" s="3"/>
      <c r="N723" s="3">
        <f t="shared" si="35"/>
        <v>0</v>
      </c>
      <c r="R723" s="23" t="str">
        <f t="shared" si="34"/>
        <v>Yes</v>
      </c>
    </row>
    <row r="724" spans="1:18" ht="15" customHeight="1" x14ac:dyDescent="0.25">
      <c r="A724" s="1">
        <v>46348</v>
      </c>
      <c r="L724" s="3">
        <f t="shared" si="36"/>
        <v>0</v>
      </c>
      <c r="M724" s="3"/>
      <c r="N724" s="3">
        <f t="shared" si="35"/>
        <v>0</v>
      </c>
      <c r="R724" s="23" t="str">
        <f t="shared" si="34"/>
        <v>Yes</v>
      </c>
    </row>
    <row r="725" spans="1:18" ht="15" customHeight="1" x14ac:dyDescent="0.25">
      <c r="A725" s="1">
        <v>46349</v>
      </c>
      <c r="L725" s="3">
        <f t="shared" si="36"/>
        <v>0</v>
      </c>
      <c r="M725" s="3"/>
      <c r="N725" s="3">
        <f t="shared" si="35"/>
        <v>0</v>
      </c>
      <c r="R725" s="23" t="str">
        <f t="shared" si="34"/>
        <v>Yes</v>
      </c>
    </row>
    <row r="726" spans="1:18" ht="15" customHeight="1" x14ac:dyDescent="0.25">
      <c r="A726" s="1">
        <v>46350</v>
      </c>
      <c r="L726" s="3">
        <f t="shared" si="36"/>
        <v>0</v>
      </c>
      <c r="M726" s="3"/>
      <c r="N726" s="3">
        <f t="shared" si="35"/>
        <v>0</v>
      </c>
      <c r="R726" s="23" t="str">
        <f t="shared" si="34"/>
        <v>Yes</v>
      </c>
    </row>
    <row r="727" spans="1:18" ht="15" customHeight="1" x14ac:dyDescent="0.25">
      <c r="A727" s="1">
        <v>46351</v>
      </c>
      <c r="L727" s="3">
        <f t="shared" si="36"/>
        <v>0</v>
      </c>
      <c r="M727" s="3"/>
      <c r="N727" s="3">
        <f t="shared" si="35"/>
        <v>0</v>
      </c>
      <c r="R727" s="23" t="str">
        <f t="shared" si="34"/>
        <v>Yes</v>
      </c>
    </row>
    <row r="728" spans="1:18" ht="15" customHeight="1" x14ac:dyDescent="0.25">
      <c r="A728" s="1">
        <v>46352</v>
      </c>
      <c r="L728" s="3">
        <f t="shared" si="36"/>
        <v>0</v>
      </c>
      <c r="M728" s="3"/>
      <c r="N728" s="3">
        <f t="shared" si="35"/>
        <v>0</v>
      </c>
      <c r="R728" s="23" t="str">
        <f t="shared" si="34"/>
        <v>Yes</v>
      </c>
    </row>
    <row r="729" spans="1:18" ht="15" customHeight="1" x14ac:dyDescent="0.25">
      <c r="A729" s="1">
        <v>46353</v>
      </c>
      <c r="L729" s="3">
        <f t="shared" si="36"/>
        <v>0</v>
      </c>
      <c r="M729" s="3"/>
      <c r="N729" s="3">
        <f t="shared" si="35"/>
        <v>0</v>
      </c>
      <c r="R729" s="23" t="str">
        <f t="shared" si="34"/>
        <v>Yes</v>
      </c>
    </row>
    <row r="730" spans="1:18" ht="15" customHeight="1" x14ac:dyDescent="0.25">
      <c r="A730" s="1">
        <v>46354</v>
      </c>
      <c r="L730" s="3">
        <f t="shared" si="36"/>
        <v>0</v>
      </c>
      <c r="M730" s="3"/>
      <c r="N730" s="3">
        <f t="shared" si="35"/>
        <v>0</v>
      </c>
      <c r="R730" s="23" t="str">
        <f t="shared" si="34"/>
        <v>Yes</v>
      </c>
    </row>
    <row r="731" spans="1:18" ht="15" customHeight="1" x14ac:dyDescent="0.25">
      <c r="A731" s="1">
        <v>46355</v>
      </c>
      <c r="L731" s="3">
        <f t="shared" si="36"/>
        <v>0</v>
      </c>
      <c r="M731" s="3"/>
      <c r="N731" s="3">
        <f t="shared" si="35"/>
        <v>0</v>
      </c>
      <c r="R731" s="23" t="str">
        <f t="shared" si="34"/>
        <v>Yes</v>
      </c>
    </row>
    <row r="732" spans="1:18" ht="15" customHeight="1" x14ac:dyDescent="0.25">
      <c r="A732" s="1">
        <v>46356</v>
      </c>
      <c r="L732" s="3">
        <f t="shared" si="36"/>
        <v>0</v>
      </c>
      <c r="M732" s="3"/>
      <c r="N732" s="3">
        <f t="shared" si="35"/>
        <v>0</v>
      </c>
      <c r="R732" s="23" t="str">
        <f t="shared" si="34"/>
        <v>Yes</v>
      </c>
    </row>
    <row r="733" spans="1:18" ht="15" customHeight="1" x14ac:dyDescent="0.25">
      <c r="A733" s="1">
        <v>46357</v>
      </c>
      <c r="L733" s="3">
        <f t="shared" si="36"/>
        <v>0</v>
      </c>
      <c r="M733" s="3"/>
      <c r="N733" s="3">
        <f t="shared" si="35"/>
        <v>0</v>
      </c>
      <c r="R733" s="23" t="str">
        <f t="shared" si="34"/>
        <v>Yes</v>
      </c>
    </row>
    <row r="734" spans="1:18" ht="15" customHeight="1" x14ac:dyDescent="0.25">
      <c r="A734" s="1">
        <v>46358</v>
      </c>
      <c r="L734" s="3">
        <f t="shared" si="36"/>
        <v>0</v>
      </c>
      <c r="M734" s="3"/>
      <c r="N734" s="3">
        <f t="shared" si="35"/>
        <v>0</v>
      </c>
      <c r="R734" s="23" t="str">
        <f t="shared" si="34"/>
        <v>Yes</v>
      </c>
    </row>
    <row r="735" spans="1:18" ht="15" customHeight="1" x14ac:dyDescent="0.25">
      <c r="A735" s="1">
        <v>46359</v>
      </c>
      <c r="L735" s="3">
        <f t="shared" si="36"/>
        <v>0</v>
      </c>
      <c r="M735" s="3"/>
      <c r="N735" s="3">
        <f t="shared" si="35"/>
        <v>0</v>
      </c>
      <c r="R735" s="23" t="str">
        <f t="shared" si="34"/>
        <v>Yes</v>
      </c>
    </row>
    <row r="736" spans="1:18" ht="15" customHeight="1" x14ac:dyDescent="0.25">
      <c r="A736" s="1">
        <v>46360</v>
      </c>
      <c r="L736" s="3">
        <f t="shared" si="36"/>
        <v>0</v>
      </c>
      <c r="M736" s="3"/>
      <c r="N736" s="3">
        <f t="shared" si="35"/>
        <v>0</v>
      </c>
      <c r="R736" s="23" t="str">
        <f t="shared" si="34"/>
        <v>Yes</v>
      </c>
    </row>
    <row r="737" spans="1:18" ht="15" customHeight="1" x14ac:dyDescent="0.25">
      <c r="A737" s="1">
        <v>46361</v>
      </c>
      <c r="L737" s="3">
        <f t="shared" si="36"/>
        <v>0</v>
      </c>
      <c r="M737" s="3"/>
      <c r="N737" s="3">
        <f t="shared" si="35"/>
        <v>0</v>
      </c>
      <c r="R737" s="23" t="str">
        <f t="shared" si="34"/>
        <v>Yes</v>
      </c>
    </row>
    <row r="738" spans="1:18" ht="15" customHeight="1" x14ac:dyDescent="0.25">
      <c r="A738" s="1">
        <v>46362</v>
      </c>
      <c r="L738" s="3">
        <f t="shared" si="36"/>
        <v>0</v>
      </c>
      <c r="M738" s="3"/>
      <c r="N738" s="3">
        <f t="shared" si="35"/>
        <v>0</v>
      </c>
      <c r="R738" s="23" t="str">
        <f t="shared" si="34"/>
        <v>Yes</v>
      </c>
    </row>
    <row r="739" spans="1:18" ht="15" customHeight="1" x14ac:dyDescent="0.25">
      <c r="A739" s="1">
        <v>46363</v>
      </c>
      <c r="L739" s="3">
        <f t="shared" si="36"/>
        <v>0</v>
      </c>
      <c r="M739" s="3"/>
      <c r="N739" s="3">
        <f t="shared" si="35"/>
        <v>0</v>
      </c>
      <c r="R739" s="23" t="str">
        <f t="shared" si="34"/>
        <v>Yes</v>
      </c>
    </row>
    <row r="740" spans="1:18" ht="15" customHeight="1" x14ac:dyDescent="0.25">
      <c r="A740" s="1">
        <v>46364</v>
      </c>
      <c r="L740" s="3">
        <f t="shared" si="36"/>
        <v>0</v>
      </c>
      <c r="M740" s="3"/>
      <c r="N740" s="3">
        <f t="shared" si="35"/>
        <v>0</v>
      </c>
      <c r="R740" s="23" t="str">
        <f t="shared" si="34"/>
        <v>Yes</v>
      </c>
    </row>
    <row r="741" spans="1:18" ht="15" customHeight="1" x14ac:dyDescent="0.25">
      <c r="A741" s="1">
        <v>46365</v>
      </c>
      <c r="L741" s="3">
        <f t="shared" si="36"/>
        <v>0</v>
      </c>
      <c r="M741" s="3"/>
      <c r="N741" s="3">
        <f t="shared" si="35"/>
        <v>0</v>
      </c>
      <c r="R741" s="23" t="str">
        <f t="shared" si="34"/>
        <v>Yes</v>
      </c>
    </row>
    <row r="742" spans="1:18" ht="15" customHeight="1" x14ac:dyDescent="0.25">
      <c r="A742" s="1">
        <v>46366</v>
      </c>
      <c r="L742" s="3">
        <f t="shared" si="36"/>
        <v>0</v>
      </c>
      <c r="M742" s="3"/>
      <c r="N742" s="3">
        <f t="shared" si="35"/>
        <v>0</v>
      </c>
      <c r="R742" s="23" t="str">
        <f t="shared" si="34"/>
        <v>Yes</v>
      </c>
    </row>
    <row r="743" spans="1:18" ht="15" customHeight="1" x14ac:dyDescent="0.25">
      <c r="A743" s="1">
        <v>46367</v>
      </c>
      <c r="L743" s="3">
        <f t="shared" si="36"/>
        <v>0</v>
      </c>
      <c r="M743" s="3"/>
      <c r="N743" s="3">
        <f t="shared" si="35"/>
        <v>0</v>
      </c>
      <c r="R743" s="23" t="str">
        <f t="shared" si="34"/>
        <v>Yes</v>
      </c>
    </row>
    <row r="744" spans="1:18" ht="15" customHeight="1" x14ac:dyDescent="0.25">
      <c r="A744" s="1">
        <v>46368</v>
      </c>
      <c r="L744" s="3">
        <f t="shared" si="36"/>
        <v>0</v>
      </c>
      <c r="M744" s="3"/>
      <c r="N744" s="3">
        <f t="shared" si="35"/>
        <v>0</v>
      </c>
      <c r="R744" s="23" t="str">
        <f t="shared" si="34"/>
        <v>Yes</v>
      </c>
    </row>
    <row r="745" spans="1:18" ht="15" customHeight="1" x14ac:dyDescent="0.25">
      <c r="A745" s="1">
        <v>46369</v>
      </c>
      <c r="L745" s="3">
        <f t="shared" si="36"/>
        <v>0</v>
      </c>
      <c r="M745" s="3"/>
      <c r="N745" s="3">
        <f t="shared" si="35"/>
        <v>0</v>
      </c>
      <c r="R745" s="23" t="str">
        <f t="shared" si="34"/>
        <v>Yes</v>
      </c>
    </row>
    <row r="746" spans="1:18" ht="15" customHeight="1" x14ac:dyDescent="0.25">
      <c r="A746" s="1">
        <v>46370</v>
      </c>
      <c r="L746" s="3">
        <f t="shared" si="36"/>
        <v>0</v>
      </c>
      <c r="M746" s="3"/>
      <c r="N746" s="3">
        <f t="shared" si="35"/>
        <v>0</v>
      </c>
      <c r="R746" s="23" t="str">
        <f t="shared" si="34"/>
        <v>Yes</v>
      </c>
    </row>
    <row r="747" spans="1:18" ht="15" customHeight="1" x14ac:dyDescent="0.25">
      <c r="A747" s="1">
        <v>46371</v>
      </c>
      <c r="L747" s="3">
        <f t="shared" si="36"/>
        <v>0</v>
      </c>
      <c r="M747" s="3"/>
      <c r="N747" s="3">
        <f t="shared" si="35"/>
        <v>0</v>
      </c>
      <c r="R747" s="23" t="str">
        <f t="shared" si="34"/>
        <v>Yes</v>
      </c>
    </row>
    <row r="748" spans="1:18" ht="15" customHeight="1" x14ac:dyDescent="0.25">
      <c r="A748" s="1">
        <v>46372</v>
      </c>
      <c r="L748" s="3">
        <f t="shared" si="36"/>
        <v>0</v>
      </c>
      <c r="M748" s="3"/>
      <c r="N748" s="3">
        <f t="shared" si="35"/>
        <v>0</v>
      </c>
      <c r="R748" s="23" t="str">
        <f t="shared" si="34"/>
        <v>Yes</v>
      </c>
    </row>
    <row r="749" spans="1:18" ht="15" customHeight="1" x14ac:dyDescent="0.25">
      <c r="A749" s="1">
        <v>46373</v>
      </c>
      <c r="L749" s="3">
        <f t="shared" si="36"/>
        <v>0</v>
      </c>
      <c r="M749" s="3"/>
      <c r="N749" s="3">
        <f t="shared" si="35"/>
        <v>0</v>
      </c>
      <c r="R749" s="23" t="str">
        <f t="shared" ref="R749:R812" si="37">IF(Q749&gt;0,"Yes",IF(OR((O749+P749&lt;50000),O749&lt;24000,P749&lt;26000),"Yes","No"))</f>
        <v>Yes</v>
      </c>
    </row>
    <row r="750" spans="1:18" ht="15" customHeight="1" x14ac:dyDescent="0.25">
      <c r="A750" s="1">
        <v>46374</v>
      </c>
      <c r="L750" s="3">
        <f t="shared" si="36"/>
        <v>0</v>
      </c>
      <c r="M750" s="3"/>
      <c r="N750" s="3">
        <f t="shared" si="35"/>
        <v>0</v>
      </c>
      <c r="R750" s="23" t="str">
        <f t="shared" si="37"/>
        <v>Yes</v>
      </c>
    </row>
    <row r="751" spans="1:18" ht="15" customHeight="1" x14ac:dyDescent="0.25">
      <c r="A751" s="1">
        <v>46375</v>
      </c>
      <c r="L751" s="3">
        <f t="shared" si="36"/>
        <v>0</v>
      </c>
      <c r="M751" s="3"/>
      <c r="N751" s="3">
        <f t="shared" si="35"/>
        <v>0</v>
      </c>
      <c r="R751" s="23" t="str">
        <f t="shared" si="37"/>
        <v>Yes</v>
      </c>
    </row>
    <row r="752" spans="1:18" ht="15" customHeight="1" x14ac:dyDescent="0.25">
      <c r="A752" s="1">
        <v>46376</v>
      </c>
      <c r="L752" s="3">
        <f t="shared" si="36"/>
        <v>0</v>
      </c>
      <c r="M752" s="3"/>
      <c r="N752" s="3">
        <f t="shared" si="35"/>
        <v>0</v>
      </c>
      <c r="R752" s="23" t="str">
        <f t="shared" si="37"/>
        <v>Yes</v>
      </c>
    </row>
    <row r="753" spans="1:18" ht="15" customHeight="1" x14ac:dyDescent="0.25">
      <c r="A753" s="1">
        <v>46377</v>
      </c>
      <c r="L753" s="3">
        <f t="shared" si="36"/>
        <v>0</v>
      </c>
      <c r="M753" s="3"/>
      <c r="N753" s="3">
        <f t="shared" si="35"/>
        <v>0</v>
      </c>
      <c r="R753" s="23" t="str">
        <f t="shared" si="37"/>
        <v>Yes</v>
      </c>
    </row>
    <row r="754" spans="1:18" ht="15" customHeight="1" x14ac:dyDescent="0.25">
      <c r="A754" s="1">
        <v>46378</v>
      </c>
      <c r="L754" s="3">
        <f t="shared" si="36"/>
        <v>0</v>
      </c>
      <c r="M754" s="3"/>
      <c r="N754" s="3">
        <f t="shared" si="35"/>
        <v>0</v>
      </c>
      <c r="R754" s="23" t="str">
        <f t="shared" si="37"/>
        <v>Yes</v>
      </c>
    </row>
    <row r="755" spans="1:18" ht="15" customHeight="1" x14ac:dyDescent="0.25">
      <c r="A755" s="1">
        <v>46379</v>
      </c>
      <c r="L755" s="3">
        <f t="shared" si="36"/>
        <v>0</v>
      </c>
      <c r="M755" s="3"/>
      <c r="N755" s="3">
        <f t="shared" si="35"/>
        <v>0</v>
      </c>
      <c r="R755" s="23" t="str">
        <f t="shared" si="37"/>
        <v>Yes</v>
      </c>
    </row>
    <row r="756" spans="1:18" ht="15" customHeight="1" x14ac:dyDescent="0.25">
      <c r="A756" s="1">
        <v>46380</v>
      </c>
      <c r="L756" s="3">
        <f t="shared" si="36"/>
        <v>0</v>
      </c>
      <c r="M756" s="3"/>
      <c r="N756" s="3">
        <f t="shared" si="35"/>
        <v>0</v>
      </c>
      <c r="R756" s="23" t="str">
        <f t="shared" si="37"/>
        <v>Yes</v>
      </c>
    </row>
    <row r="757" spans="1:18" ht="15" customHeight="1" x14ac:dyDescent="0.25">
      <c r="A757" s="1">
        <v>46381</v>
      </c>
      <c r="L757" s="3">
        <f t="shared" si="36"/>
        <v>0</v>
      </c>
      <c r="M757" s="3"/>
      <c r="N757" s="3">
        <f t="shared" si="35"/>
        <v>0</v>
      </c>
      <c r="R757" s="23" t="str">
        <f t="shared" si="37"/>
        <v>Yes</v>
      </c>
    </row>
    <row r="758" spans="1:18" ht="15" customHeight="1" x14ac:dyDescent="0.25">
      <c r="A758" s="1">
        <v>46382</v>
      </c>
      <c r="L758" s="3">
        <f t="shared" si="36"/>
        <v>0</v>
      </c>
      <c r="M758" s="3"/>
      <c r="N758" s="3">
        <f t="shared" si="35"/>
        <v>0</v>
      </c>
      <c r="R758" s="23" t="str">
        <f t="shared" si="37"/>
        <v>Yes</v>
      </c>
    </row>
    <row r="759" spans="1:18" ht="15" customHeight="1" x14ac:dyDescent="0.25">
      <c r="A759" s="1">
        <v>46383</v>
      </c>
      <c r="L759" s="3">
        <f t="shared" si="36"/>
        <v>0</v>
      </c>
      <c r="M759" s="3"/>
      <c r="N759" s="3">
        <f t="shared" si="35"/>
        <v>0</v>
      </c>
      <c r="R759" s="23" t="str">
        <f t="shared" si="37"/>
        <v>Yes</v>
      </c>
    </row>
    <row r="760" spans="1:18" ht="15" customHeight="1" x14ac:dyDescent="0.25">
      <c r="A760" s="1">
        <v>46384</v>
      </c>
      <c r="L760" s="3">
        <f t="shared" si="36"/>
        <v>0</v>
      </c>
      <c r="M760" s="3"/>
      <c r="N760" s="3">
        <f t="shared" si="35"/>
        <v>0</v>
      </c>
      <c r="R760" s="23" t="str">
        <f t="shared" si="37"/>
        <v>Yes</v>
      </c>
    </row>
    <row r="761" spans="1:18" ht="15" customHeight="1" x14ac:dyDescent="0.25">
      <c r="A761" s="1">
        <v>46385</v>
      </c>
      <c r="L761" s="3">
        <f t="shared" si="36"/>
        <v>0</v>
      </c>
      <c r="M761" s="3"/>
      <c r="N761" s="3">
        <f t="shared" si="35"/>
        <v>0</v>
      </c>
      <c r="R761" s="23" t="str">
        <f t="shared" si="37"/>
        <v>Yes</v>
      </c>
    </row>
    <row r="762" spans="1:18" ht="15" customHeight="1" x14ac:dyDescent="0.25">
      <c r="A762" s="1">
        <v>46386</v>
      </c>
      <c r="L762" s="3">
        <f t="shared" si="36"/>
        <v>0</v>
      </c>
      <c r="M762" s="3"/>
      <c r="N762" s="3">
        <f t="shared" si="35"/>
        <v>0</v>
      </c>
      <c r="R762" s="23" t="str">
        <f t="shared" si="37"/>
        <v>Yes</v>
      </c>
    </row>
    <row r="763" spans="1:18" ht="15" customHeight="1" x14ac:dyDescent="0.25">
      <c r="A763" s="1">
        <v>46387</v>
      </c>
      <c r="L763" s="3">
        <f t="shared" si="36"/>
        <v>0</v>
      </c>
      <c r="M763" s="3"/>
      <c r="N763" s="3">
        <f t="shared" si="35"/>
        <v>0</v>
      </c>
      <c r="R763" s="23" t="str">
        <f t="shared" si="37"/>
        <v>Yes</v>
      </c>
    </row>
    <row r="764" spans="1:18" ht="15" customHeight="1" x14ac:dyDescent="0.25">
      <c r="A764" s="1">
        <v>46388</v>
      </c>
      <c r="L764" s="3">
        <f t="shared" si="36"/>
        <v>0</v>
      </c>
      <c r="M764" s="3"/>
      <c r="N764" s="3">
        <f t="shared" si="35"/>
        <v>0</v>
      </c>
      <c r="R764" s="23" t="str">
        <f t="shared" si="37"/>
        <v>Yes</v>
      </c>
    </row>
    <row r="765" spans="1:18" ht="15" customHeight="1" x14ac:dyDescent="0.25">
      <c r="A765" s="1">
        <v>46389</v>
      </c>
      <c r="L765" s="3">
        <f t="shared" si="36"/>
        <v>0</v>
      </c>
      <c r="M765" s="3"/>
      <c r="N765" s="3">
        <f t="shared" si="35"/>
        <v>0</v>
      </c>
      <c r="R765" s="23" t="str">
        <f t="shared" si="37"/>
        <v>Yes</v>
      </c>
    </row>
    <row r="766" spans="1:18" ht="15" customHeight="1" x14ac:dyDescent="0.25">
      <c r="A766" s="1">
        <v>46390</v>
      </c>
      <c r="L766" s="3">
        <f t="shared" si="36"/>
        <v>0</v>
      </c>
      <c r="M766" s="3"/>
      <c r="N766" s="3">
        <f t="shared" si="35"/>
        <v>0</v>
      </c>
      <c r="R766" s="23" t="str">
        <f t="shared" si="37"/>
        <v>Yes</v>
      </c>
    </row>
    <row r="767" spans="1:18" ht="15" customHeight="1" x14ac:dyDescent="0.25">
      <c r="A767" s="1">
        <v>46391</v>
      </c>
      <c r="L767" s="3">
        <f t="shared" si="36"/>
        <v>0</v>
      </c>
      <c r="M767" s="3"/>
      <c r="N767" s="3">
        <f t="shared" si="35"/>
        <v>0</v>
      </c>
      <c r="R767" s="23" t="str">
        <f t="shared" si="37"/>
        <v>Yes</v>
      </c>
    </row>
    <row r="768" spans="1:18" ht="15" customHeight="1" x14ac:dyDescent="0.25">
      <c r="A768" s="1">
        <v>46392</v>
      </c>
      <c r="L768" s="3">
        <f t="shared" si="36"/>
        <v>0</v>
      </c>
      <c r="M768" s="3"/>
      <c r="N768" s="3">
        <f t="shared" si="35"/>
        <v>0</v>
      </c>
      <c r="R768" s="23" t="str">
        <f t="shared" si="37"/>
        <v>Yes</v>
      </c>
    </row>
    <row r="769" spans="1:18" ht="15" customHeight="1" x14ac:dyDescent="0.25">
      <c r="A769" s="1">
        <v>46393</v>
      </c>
      <c r="L769" s="3">
        <f t="shared" si="36"/>
        <v>0</v>
      </c>
      <c r="M769" s="3"/>
      <c r="N769" s="3">
        <f t="shared" si="35"/>
        <v>0</v>
      </c>
      <c r="R769" s="23" t="str">
        <f t="shared" si="37"/>
        <v>Yes</v>
      </c>
    </row>
    <row r="770" spans="1:18" ht="15" customHeight="1" x14ac:dyDescent="0.25">
      <c r="A770" s="1">
        <v>46394</v>
      </c>
      <c r="L770" s="3">
        <f t="shared" si="36"/>
        <v>0</v>
      </c>
      <c r="M770" s="3"/>
      <c r="N770" s="3">
        <f t="shared" si="35"/>
        <v>0</v>
      </c>
      <c r="R770" s="23" t="str">
        <f t="shared" si="37"/>
        <v>Yes</v>
      </c>
    </row>
    <row r="771" spans="1:18" ht="15" customHeight="1" x14ac:dyDescent="0.25">
      <c r="A771" s="1">
        <v>46395</v>
      </c>
      <c r="L771" s="3">
        <f t="shared" si="36"/>
        <v>0</v>
      </c>
      <c r="M771" s="3"/>
      <c r="N771" s="3">
        <f t="shared" ref="N771:N834" si="38">IF(OR(O771&lt;24300,P771&lt;25700),MAX(L771,M771),L771)</f>
        <v>0</v>
      </c>
      <c r="R771" s="23" t="str">
        <f t="shared" si="37"/>
        <v>Yes</v>
      </c>
    </row>
    <row r="772" spans="1:18" ht="15" customHeight="1" x14ac:dyDescent="0.25">
      <c r="A772" s="1">
        <v>46396</v>
      </c>
      <c r="L772" s="3">
        <f t="shared" ref="L772:L835" si="39">SUM(B772:K772)</f>
        <v>0</v>
      </c>
      <c r="M772" s="3"/>
      <c r="N772" s="3">
        <f t="shared" si="38"/>
        <v>0</v>
      </c>
      <c r="R772" s="23" t="str">
        <f t="shared" si="37"/>
        <v>Yes</v>
      </c>
    </row>
    <row r="773" spans="1:18" ht="15" customHeight="1" x14ac:dyDescent="0.25">
      <c r="A773" s="1">
        <v>46397</v>
      </c>
      <c r="L773" s="3">
        <f t="shared" si="39"/>
        <v>0</v>
      </c>
      <c r="M773" s="3"/>
      <c r="N773" s="3">
        <f t="shared" si="38"/>
        <v>0</v>
      </c>
      <c r="R773" s="23" t="str">
        <f t="shared" si="37"/>
        <v>Yes</v>
      </c>
    </row>
    <row r="774" spans="1:18" ht="15" customHeight="1" x14ac:dyDescent="0.25">
      <c r="A774" s="1">
        <v>46398</v>
      </c>
      <c r="L774" s="3">
        <f t="shared" si="39"/>
        <v>0</v>
      </c>
      <c r="M774" s="3"/>
      <c r="N774" s="3">
        <f t="shared" si="38"/>
        <v>0</v>
      </c>
      <c r="R774" s="23" t="str">
        <f t="shared" si="37"/>
        <v>Yes</v>
      </c>
    </row>
    <row r="775" spans="1:18" ht="15" customHeight="1" x14ac:dyDescent="0.25">
      <c r="A775" s="1">
        <v>46399</v>
      </c>
      <c r="L775" s="3">
        <f t="shared" si="39"/>
        <v>0</v>
      </c>
      <c r="M775" s="3"/>
      <c r="N775" s="3">
        <f t="shared" si="38"/>
        <v>0</v>
      </c>
      <c r="R775" s="23" t="str">
        <f t="shared" si="37"/>
        <v>Yes</v>
      </c>
    </row>
    <row r="776" spans="1:18" ht="15" customHeight="1" x14ac:dyDescent="0.25">
      <c r="A776" s="1">
        <v>46400</v>
      </c>
      <c r="L776" s="3">
        <f t="shared" si="39"/>
        <v>0</v>
      </c>
      <c r="M776" s="3"/>
      <c r="N776" s="3">
        <f t="shared" si="38"/>
        <v>0</v>
      </c>
      <c r="R776" s="23" t="str">
        <f t="shared" si="37"/>
        <v>Yes</v>
      </c>
    </row>
    <row r="777" spans="1:18" ht="15" customHeight="1" x14ac:dyDescent="0.25">
      <c r="A777" s="1">
        <v>46401</v>
      </c>
      <c r="L777" s="3">
        <f t="shared" si="39"/>
        <v>0</v>
      </c>
      <c r="M777" s="3"/>
      <c r="N777" s="3">
        <f t="shared" si="38"/>
        <v>0</v>
      </c>
      <c r="R777" s="23" t="str">
        <f t="shared" si="37"/>
        <v>Yes</v>
      </c>
    </row>
    <row r="778" spans="1:18" ht="15" customHeight="1" x14ac:dyDescent="0.25">
      <c r="A778" s="1">
        <v>46402</v>
      </c>
      <c r="L778" s="3">
        <f t="shared" si="39"/>
        <v>0</v>
      </c>
      <c r="M778" s="3"/>
      <c r="N778" s="3">
        <f t="shared" si="38"/>
        <v>0</v>
      </c>
      <c r="R778" s="23" t="str">
        <f t="shared" si="37"/>
        <v>Yes</v>
      </c>
    </row>
    <row r="779" spans="1:18" ht="15" customHeight="1" x14ac:dyDescent="0.25">
      <c r="A779" s="1">
        <v>46403</v>
      </c>
      <c r="L779" s="3">
        <f t="shared" si="39"/>
        <v>0</v>
      </c>
      <c r="M779" s="3"/>
      <c r="N779" s="3">
        <f t="shared" si="38"/>
        <v>0</v>
      </c>
      <c r="R779" s="23" t="str">
        <f t="shared" si="37"/>
        <v>Yes</v>
      </c>
    </row>
    <row r="780" spans="1:18" ht="15" customHeight="1" x14ac:dyDescent="0.25">
      <c r="A780" s="1">
        <v>46404</v>
      </c>
      <c r="L780" s="3">
        <f t="shared" si="39"/>
        <v>0</v>
      </c>
      <c r="M780" s="3"/>
      <c r="N780" s="3">
        <f t="shared" si="38"/>
        <v>0</v>
      </c>
      <c r="R780" s="23" t="str">
        <f t="shared" si="37"/>
        <v>Yes</v>
      </c>
    </row>
    <row r="781" spans="1:18" ht="15" customHeight="1" x14ac:dyDescent="0.25">
      <c r="A781" s="1">
        <v>46405</v>
      </c>
      <c r="L781" s="3">
        <f t="shared" si="39"/>
        <v>0</v>
      </c>
      <c r="M781" s="3"/>
      <c r="N781" s="3">
        <f t="shared" si="38"/>
        <v>0</v>
      </c>
      <c r="R781" s="23" t="str">
        <f t="shared" si="37"/>
        <v>Yes</v>
      </c>
    </row>
    <row r="782" spans="1:18" ht="15" customHeight="1" x14ac:dyDescent="0.25">
      <c r="A782" s="1">
        <v>46406</v>
      </c>
      <c r="L782" s="3">
        <f t="shared" si="39"/>
        <v>0</v>
      </c>
      <c r="M782" s="3"/>
      <c r="N782" s="3">
        <f t="shared" si="38"/>
        <v>0</v>
      </c>
      <c r="R782" s="23" t="str">
        <f t="shared" si="37"/>
        <v>Yes</v>
      </c>
    </row>
    <row r="783" spans="1:18" ht="15" customHeight="1" x14ac:dyDescent="0.25">
      <c r="A783" s="1">
        <v>46407</v>
      </c>
      <c r="L783" s="3">
        <f t="shared" si="39"/>
        <v>0</v>
      </c>
      <c r="M783" s="3"/>
      <c r="N783" s="3">
        <f t="shared" si="38"/>
        <v>0</v>
      </c>
      <c r="R783" s="23" t="str">
        <f t="shared" si="37"/>
        <v>Yes</v>
      </c>
    </row>
    <row r="784" spans="1:18" ht="15" customHeight="1" x14ac:dyDescent="0.25">
      <c r="A784" s="1">
        <v>46408</v>
      </c>
      <c r="L784" s="3">
        <f t="shared" si="39"/>
        <v>0</v>
      </c>
      <c r="M784" s="3"/>
      <c r="N784" s="3">
        <f t="shared" si="38"/>
        <v>0</v>
      </c>
      <c r="R784" s="23" t="str">
        <f t="shared" si="37"/>
        <v>Yes</v>
      </c>
    </row>
    <row r="785" spans="1:18" ht="15" customHeight="1" x14ac:dyDescent="0.25">
      <c r="A785" s="1">
        <v>46409</v>
      </c>
      <c r="L785" s="3">
        <f t="shared" si="39"/>
        <v>0</v>
      </c>
      <c r="M785" s="3"/>
      <c r="N785" s="3">
        <f t="shared" si="38"/>
        <v>0</v>
      </c>
      <c r="R785" s="23" t="str">
        <f t="shared" si="37"/>
        <v>Yes</v>
      </c>
    </row>
    <row r="786" spans="1:18" ht="15" customHeight="1" x14ac:dyDescent="0.25">
      <c r="A786" s="1">
        <v>46410</v>
      </c>
      <c r="L786" s="3">
        <f t="shared" si="39"/>
        <v>0</v>
      </c>
      <c r="M786" s="3"/>
      <c r="N786" s="3">
        <f t="shared" si="38"/>
        <v>0</v>
      </c>
      <c r="R786" s="23" t="str">
        <f t="shared" si="37"/>
        <v>Yes</v>
      </c>
    </row>
    <row r="787" spans="1:18" ht="15" customHeight="1" x14ac:dyDescent="0.25">
      <c r="A787" s="1">
        <v>46411</v>
      </c>
      <c r="L787" s="3">
        <f t="shared" si="39"/>
        <v>0</v>
      </c>
      <c r="M787" s="3"/>
      <c r="N787" s="3">
        <f t="shared" si="38"/>
        <v>0</v>
      </c>
      <c r="R787" s="23" t="str">
        <f t="shared" si="37"/>
        <v>Yes</v>
      </c>
    </row>
    <row r="788" spans="1:18" ht="15" customHeight="1" x14ac:dyDescent="0.25">
      <c r="A788" s="1">
        <v>46412</v>
      </c>
      <c r="L788" s="3">
        <f t="shared" si="39"/>
        <v>0</v>
      </c>
      <c r="M788" s="3"/>
      <c r="N788" s="3">
        <f t="shared" si="38"/>
        <v>0</v>
      </c>
      <c r="R788" s="23" t="str">
        <f t="shared" si="37"/>
        <v>Yes</v>
      </c>
    </row>
    <row r="789" spans="1:18" ht="15" customHeight="1" x14ac:dyDescent="0.25">
      <c r="A789" s="1">
        <v>46413</v>
      </c>
      <c r="L789" s="3">
        <f t="shared" si="39"/>
        <v>0</v>
      </c>
      <c r="M789" s="3"/>
      <c r="N789" s="3">
        <f t="shared" si="38"/>
        <v>0</v>
      </c>
      <c r="R789" s="23" t="str">
        <f t="shared" si="37"/>
        <v>Yes</v>
      </c>
    </row>
    <row r="790" spans="1:18" ht="15" customHeight="1" x14ac:dyDescent="0.25">
      <c r="A790" s="1">
        <v>46414</v>
      </c>
      <c r="L790" s="3">
        <f t="shared" si="39"/>
        <v>0</v>
      </c>
      <c r="M790" s="3"/>
      <c r="N790" s="3">
        <f t="shared" si="38"/>
        <v>0</v>
      </c>
      <c r="R790" s="23" t="str">
        <f t="shared" si="37"/>
        <v>Yes</v>
      </c>
    </row>
    <row r="791" spans="1:18" ht="15" customHeight="1" x14ac:dyDescent="0.25">
      <c r="A791" s="1">
        <v>46415</v>
      </c>
      <c r="L791" s="3">
        <f t="shared" si="39"/>
        <v>0</v>
      </c>
      <c r="M791" s="3"/>
      <c r="N791" s="3">
        <f t="shared" si="38"/>
        <v>0</v>
      </c>
      <c r="R791" s="23" t="str">
        <f t="shared" si="37"/>
        <v>Yes</v>
      </c>
    </row>
    <row r="792" spans="1:18" ht="15" customHeight="1" x14ac:dyDescent="0.25">
      <c r="A792" s="1">
        <v>46416</v>
      </c>
      <c r="L792" s="3">
        <f t="shared" si="39"/>
        <v>0</v>
      </c>
      <c r="M792" s="3"/>
      <c r="N792" s="3">
        <f t="shared" si="38"/>
        <v>0</v>
      </c>
      <c r="R792" s="23" t="str">
        <f t="shared" si="37"/>
        <v>Yes</v>
      </c>
    </row>
    <row r="793" spans="1:18" ht="15" customHeight="1" x14ac:dyDescent="0.25">
      <c r="A793" s="1">
        <v>46417</v>
      </c>
      <c r="L793" s="3">
        <f t="shared" si="39"/>
        <v>0</v>
      </c>
      <c r="M793" s="3"/>
      <c r="N793" s="3">
        <f t="shared" si="38"/>
        <v>0</v>
      </c>
      <c r="R793" s="23" t="str">
        <f t="shared" si="37"/>
        <v>Yes</v>
      </c>
    </row>
    <row r="794" spans="1:18" ht="15" customHeight="1" x14ac:dyDescent="0.25">
      <c r="A794" s="1">
        <v>46418</v>
      </c>
      <c r="L794" s="3">
        <f t="shared" si="39"/>
        <v>0</v>
      </c>
      <c r="M794" s="3"/>
      <c r="N794" s="3">
        <f t="shared" si="38"/>
        <v>0</v>
      </c>
      <c r="R794" s="23" t="str">
        <f t="shared" si="37"/>
        <v>Yes</v>
      </c>
    </row>
    <row r="795" spans="1:18" ht="15" customHeight="1" x14ac:dyDescent="0.25">
      <c r="A795" s="1">
        <v>46419</v>
      </c>
      <c r="L795" s="3">
        <f t="shared" si="39"/>
        <v>0</v>
      </c>
      <c r="M795" s="3"/>
      <c r="N795" s="3">
        <f t="shared" si="38"/>
        <v>0</v>
      </c>
      <c r="R795" s="23" t="str">
        <f t="shared" si="37"/>
        <v>Yes</v>
      </c>
    </row>
    <row r="796" spans="1:18" ht="15" customHeight="1" x14ac:dyDescent="0.25">
      <c r="A796" s="1">
        <v>46420</v>
      </c>
      <c r="L796" s="3">
        <f t="shared" si="39"/>
        <v>0</v>
      </c>
      <c r="M796" s="3"/>
      <c r="N796" s="3">
        <f t="shared" si="38"/>
        <v>0</v>
      </c>
      <c r="R796" s="23" t="str">
        <f t="shared" si="37"/>
        <v>Yes</v>
      </c>
    </row>
    <row r="797" spans="1:18" ht="15" customHeight="1" x14ac:dyDescent="0.25">
      <c r="A797" s="1">
        <v>46421</v>
      </c>
      <c r="L797" s="3">
        <f t="shared" si="39"/>
        <v>0</v>
      </c>
      <c r="M797" s="3"/>
      <c r="N797" s="3">
        <f t="shared" si="38"/>
        <v>0</v>
      </c>
      <c r="R797" s="23" t="str">
        <f t="shared" si="37"/>
        <v>Yes</v>
      </c>
    </row>
    <row r="798" spans="1:18" ht="15" customHeight="1" x14ac:dyDescent="0.25">
      <c r="A798" s="1">
        <v>46422</v>
      </c>
      <c r="L798" s="3">
        <f t="shared" si="39"/>
        <v>0</v>
      </c>
      <c r="M798" s="3"/>
      <c r="N798" s="3">
        <f t="shared" si="38"/>
        <v>0</v>
      </c>
      <c r="R798" s="23" t="str">
        <f t="shared" si="37"/>
        <v>Yes</v>
      </c>
    </row>
    <row r="799" spans="1:18" ht="15" customHeight="1" x14ac:dyDescent="0.25">
      <c r="A799" s="1">
        <v>46423</v>
      </c>
      <c r="L799" s="3">
        <f t="shared" si="39"/>
        <v>0</v>
      </c>
      <c r="M799" s="3"/>
      <c r="N799" s="3">
        <f t="shared" si="38"/>
        <v>0</v>
      </c>
      <c r="R799" s="23" t="str">
        <f t="shared" si="37"/>
        <v>Yes</v>
      </c>
    </row>
    <row r="800" spans="1:18" ht="15" customHeight="1" x14ac:dyDescent="0.25">
      <c r="A800" s="1">
        <v>46424</v>
      </c>
      <c r="L800" s="3">
        <f t="shared" si="39"/>
        <v>0</v>
      </c>
      <c r="M800" s="3"/>
      <c r="N800" s="3">
        <f t="shared" si="38"/>
        <v>0</v>
      </c>
      <c r="R800" s="23" t="str">
        <f t="shared" si="37"/>
        <v>Yes</v>
      </c>
    </row>
    <row r="801" spans="1:18" ht="15" customHeight="1" x14ac:dyDescent="0.25">
      <c r="A801" s="1">
        <v>46425</v>
      </c>
      <c r="L801" s="3">
        <f t="shared" si="39"/>
        <v>0</v>
      </c>
      <c r="M801" s="3"/>
      <c r="N801" s="3">
        <f t="shared" si="38"/>
        <v>0</v>
      </c>
      <c r="R801" s="23" t="str">
        <f t="shared" si="37"/>
        <v>Yes</v>
      </c>
    </row>
    <row r="802" spans="1:18" ht="15" customHeight="1" x14ac:dyDescent="0.25">
      <c r="A802" s="1">
        <v>46426</v>
      </c>
      <c r="L802" s="3">
        <f t="shared" si="39"/>
        <v>0</v>
      </c>
      <c r="M802" s="3"/>
      <c r="N802" s="3">
        <f t="shared" si="38"/>
        <v>0</v>
      </c>
      <c r="R802" s="23" t="str">
        <f t="shared" si="37"/>
        <v>Yes</v>
      </c>
    </row>
    <row r="803" spans="1:18" ht="15" customHeight="1" x14ac:dyDescent="0.25">
      <c r="A803" s="1">
        <v>46427</v>
      </c>
      <c r="L803" s="3">
        <f t="shared" si="39"/>
        <v>0</v>
      </c>
      <c r="M803" s="3"/>
      <c r="N803" s="3">
        <f t="shared" si="38"/>
        <v>0</v>
      </c>
      <c r="R803" s="23" t="str">
        <f t="shared" si="37"/>
        <v>Yes</v>
      </c>
    </row>
    <row r="804" spans="1:18" ht="15" customHeight="1" x14ac:dyDescent="0.25">
      <c r="A804" s="1">
        <v>46428</v>
      </c>
      <c r="L804" s="3">
        <f t="shared" si="39"/>
        <v>0</v>
      </c>
      <c r="M804" s="3"/>
      <c r="N804" s="3">
        <f t="shared" si="38"/>
        <v>0</v>
      </c>
      <c r="R804" s="23" t="str">
        <f t="shared" si="37"/>
        <v>Yes</v>
      </c>
    </row>
    <row r="805" spans="1:18" ht="15" customHeight="1" x14ac:dyDescent="0.25">
      <c r="A805" s="1">
        <v>46429</v>
      </c>
      <c r="L805" s="3">
        <f t="shared" si="39"/>
        <v>0</v>
      </c>
      <c r="M805" s="3"/>
      <c r="N805" s="3">
        <f t="shared" si="38"/>
        <v>0</v>
      </c>
      <c r="R805" s="23" t="str">
        <f t="shared" si="37"/>
        <v>Yes</v>
      </c>
    </row>
    <row r="806" spans="1:18" ht="15" customHeight="1" x14ac:dyDescent="0.25">
      <c r="A806" s="1">
        <v>46430</v>
      </c>
      <c r="L806" s="3">
        <f t="shared" si="39"/>
        <v>0</v>
      </c>
      <c r="M806" s="3"/>
      <c r="N806" s="3">
        <f t="shared" si="38"/>
        <v>0</v>
      </c>
      <c r="R806" s="23" t="str">
        <f t="shared" si="37"/>
        <v>Yes</v>
      </c>
    </row>
    <row r="807" spans="1:18" ht="15" customHeight="1" x14ac:dyDescent="0.25">
      <c r="A807" s="1">
        <v>46431</v>
      </c>
      <c r="L807" s="3">
        <f t="shared" si="39"/>
        <v>0</v>
      </c>
      <c r="M807" s="3"/>
      <c r="N807" s="3">
        <f t="shared" si="38"/>
        <v>0</v>
      </c>
      <c r="R807" s="23" t="str">
        <f t="shared" si="37"/>
        <v>Yes</v>
      </c>
    </row>
    <row r="808" spans="1:18" ht="15" customHeight="1" x14ac:dyDescent="0.25">
      <c r="A808" s="1">
        <v>46432</v>
      </c>
      <c r="L808" s="3">
        <f t="shared" si="39"/>
        <v>0</v>
      </c>
      <c r="M808" s="3"/>
      <c r="N808" s="3">
        <f t="shared" si="38"/>
        <v>0</v>
      </c>
      <c r="R808" s="23" t="str">
        <f t="shared" si="37"/>
        <v>Yes</v>
      </c>
    </row>
    <row r="809" spans="1:18" ht="15" customHeight="1" x14ac:dyDescent="0.25">
      <c r="A809" s="1">
        <v>46433</v>
      </c>
      <c r="L809" s="3">
        <f t="shared" si="39"/>
        <v>0</v>
      </c>
      <c r="M809" s="3"/>
      <c r="N809" s="3">
        <f t="shared" si="38"/>
        <v>0</v>
      </c>
      <c r="R809" s="23" t="str">
        <f t="shared" si="37"/>
        <v>Yes</v>
      </c>
    </row>
    <row r="810" spans="1:18" ht="15" customHeight="1" x14ac:dyDescent="0.25">
      <c r="A810" s="1">
        <v>46434</v>
      </c>
      <c r="L810" s="3">
        <f t="shared" si="39"/>
        <v>0</v>
      </c>
      <c r="M810" s="3"/>
      <c r="N810" s="3">
        <f t="shared" si="38"/>
        <v>0</v>
      </c>
      <c r="R810" s="23" t="str">
        <f t="shared" si="37"/>
        <v>Yes</v>
      </c>
    </row>
    <row r="811" spans="1:18" ht="15" customHeight="1" x14ac:dyDescent="0.25">
      <c r="A811" s="1">
        <v>46435</v>
      </c>
      <c r="L811" s="3">
        <f t="shared" si="39"/>
        <v>0</v>
      </c>
      <c r="M811" s="3"/>
      <c r="N811" s="3">
        <f t="shared" si="38"/>
        <v>0</v>
      </c>
      <c r="R811" s="23" t="str">
        <f t="shared" si="37"/>
        <v>Yes</v>
      </c>
    </row>
    <row r="812" spans="1:18" ht="15" customHeight="1" x14ac:dyDescent="0.25">
      <c r="A812" s="1">
        <v>46436</v>
      </c>
      <c r="L812" s="3">
        <f t="shared" si="39"/>
        <v>0</v>
      </c>
      <c r="M812" s="3"/>
      <c r="N812" s="3">
        <f t="shared" si="38"/>
        <v>0</v>
      </c>
      <c r="R812" s="23" t="str">
        <f t="shared" si="37"/>
        <v>Yes</v>
      </c>
    </row>
    <row r="813" spans="1:18" ht="15" customHeight="1" x14ac:dyDescent="0.25">
      <c r="A813" s="1">
        <v>46437</v>
      </c>
      <c r="L813" s="3">
        <f t="shared" si="39"/>
        <v>0</v>
      </c>
      <c r="M813" s="3"/>
      <c r="N813" s="3">
        <f t="shared" si="38"/>
        <v>0</v>
      </c>
      <c r="R813" s="23" t="str">
        <f t="shared" ref="R813:R876" si="40">IF(Q813&gt;0,"Yes",IF(OR((O813+P813&lt;50000),O813&lt;24000,P813&lt;26000),"Yes","No"))</f>
        <v>Yes</v>
      </c>
    </row>
    <row r="814" spans="1:18" ht="15" customHeight="1" x14ac:dyDescent="0.25">
      <c r="A814" s="1">
        <v>46438</v>
      </c>
      <c r="L814" s="3">
        <f t="shared" si="39"/>
        <v>0</v>
      </c>
      <c r="M814" s="3"/>
      <c r="N814" s="3">
        <f t="shared" si="38"/>
        <v>0</v>
      </c>
      <c r="R814" s="23" t="str">
        <f t="shared" si="40"/>
        <v>Yes</v>
      </c>
    </row>
    <row r="815" spans="1:18" ht="15" customHeight="1" x14ac:dyDescent="0.25">
      <c r="A815" s="1">
        <v>46439</v>
      </c>
      <c r="L815" s="3">
        <f t="shared" si="39"/>
        <v>0</v>
      </c>
      <c r="M815" s="3"/>
      <c r="N815" s="3">
        <f t="shared" si="38"/>
        <v>0</v>
      </c>
      <c r="R815" s="23" t="str">
        <f t="shared" si="40"/>
        <v>Yes</v>
      </c>
    </row>
    <row r="816" spans="1:18" ht="15" customHeight="1" x14ac:dyDescent="0.25">
      <c r="A816" s="1">
        <v>46440</v>
      </c>
      <c r="L816" s="3">
        <f t="shared" si="39"/>
        <v>0</v>
      </c>
      <c r="M816" s="3"/>
      <c r="N816" s="3">
        <f t="shared" si="38"/>
        <v>0</v>
      </c>
      <c r="R816" s="23" t="str">
        <f t="shared" si="40"/>
        <v>Yes</v>
      </c>
    </row>
    <row r="817" spans="1:18" ht="15" customHeight="1" x14ac:dyDescent="0.25">
      <c r="A817" s="1">
        <v>46441</v>
      </c>
      <c r="L817" s="3">
        <f t="shared" si="39"/>
        <v>0</v>
      </c>
      <c r="M817" s="3"/>
      <c r="N817" s="3">
        <f t="shared" si="38"/>
        <v>0</v>
      </c>
      <c r="R817" s="23" t="str">
        <f t="shared" si="40"/>
        <v>Yes</v>
      </c>
    </row>
    <row r="818" spans="1:18" ht="15" customHeight="1" x14ac:dyDescent="0.25">
      <c r="A818" s="1">
        <v>46442</v>
      </c>
      <c r="L818" s="3">
        <f t="shared" si="39"/>
        <v>0</v>
      </c>
      <c r="M818" s="3"/>
      <c r="N818" s="3">
        <f t="shared" si="38"/>
        <v>0</v>
      </c>
      <c r="R818" s="23" t="str">
        <f t="shared" si="40"/>
        <v>Yes</v>
      </c>
    </row>
    <row r="819" spans="1:18" ht="15" customHeight="1" x14ac:dyDescent="0.25">
      <c r="A819" s="1">
        <v>46443</v>
      </c>
      <c r="L819" s="3">
        <f t="shared" si="39"/>
        <v>0</v>
      </c>
      <c r="M819" s="3"/>
      <c r="N819" s="3">
        <f t="shared" si="38"/>
        <v>0</v>
      </c>
      <c r="R819" s="23" t="str">
        <f t="shared" si="40"/>
        <v>Yes</v>
      </c>
    </row>
    <row r="820" spans="1:18" ht="15" customHeight="1" x14ac:dyDescent="0.25">
      <c r="A820" s="1">
        <v>46444</v>
      </c>
      <c r="L820" s="3">
        <f t="shared" si="39"/>
        <v>0</v>
      </c>
      <c r="M820" s="3"/>
      <c r="N820" s="3">
        <f t="shared" si="38"/>
        <v>0</v>
      </c>
      <c r="R820" s="23" t="str">
        <f t="shared" si="40"/>
        <v>Yes</v>
      </c>
    </row>
    <row r="821" spans="1:18" ht="15" customHeight="1" x14ac:dyDescent="0.25">
      <c r="A821" s="1">
        <v>46445</v>
      </c>
      <c r="L821" s="3">
        <f t="shared" si="39"/>
        <v>0</v>
      </c>
      <c r="M821" s="3"/>
      <c r="N821" s="3">
        <f t="shared" si="38"/>
        <v>0</v>
      </c>
      <c r="R821" s="23" t="str">
        <f t="shared" si="40"/>
        <v>Yes</v>
      </c>
    </row>
    <row r="822" spans="1:18" ht="15" customHeight="1" x14ac:dyDescent="0.25">
      <c r="A822" s="1">
        <v>46446</v>
      </c>
      <c r="L822" s="3">
        <f t="shared" si="39"/>
        <v>0</v>
      </c>
      <c r="M822" s="3"/>
      <c r="N822" s="3">
        <f t="shared" si="38"/>
        <v>0</v>
      </c>
      <c r="R822" s="23" t="str">
        <f t="shared" si="40"/>
        <v>Yes</v>
      </c>
    </row>
    <row r="823" spans="1:18" ht="15" customHeight="1" x14ac:dyDescent="0.25">
      <c r="A823" s="1">
        <v>46447</v>
      </c>
      <c r="L823" s="3">
        <f t="shared" si="39"/>
        <v>0</v>
      </c>
      <c r="M823" s="3"/>
      <c r="N823" s="3">
        <f t="shared" si="38"/>
        <v>0</v>
      </c>
      <c r="R823" s="23" t="str">
        <f t="shared" si="40"/>
        <v>Yes</v>
      </c>
    </row>
    <row r="824" spans="1:18" ht="15" customHeight="1" x14ac:dyDescent="0.25">
      <c r="A824" s="1">
        <v>46448</v>
      </c>
      <c r="L824" s="3">
        <f t="shared" si="39"/>
        <v>0</v>
      </c>
      <c r="M824" s="3"/>
      <c r="N824" s="3">
        <f t="shared" si="38"/>
        <v>0</v>
      </c>
      <c r="R824" s="23" t="str">
        <f t="shared" si="40"/>
        <v>Yes</v>
      </c>
    </row>
    <row r="825" spans="1:18" ht="15" customHeight="1" x14ac:dyDescent="0.25">
      <c r="A825" s="1">
        <v>46449</v>
      </c>
      <c r="L825" s="3">
        <f t="shared" si="39"/>
        <v>0</v>
      </c>
      <c r="M825" s="3"/>
      <c r="N825" s="3">
        <f t="shared" si="38"/>
        <v>0</v>
      </c>
      <c r="R825" s="23" t="str">
        <f t="shared" si="40"/>
        <v>Yes</v>
      </c>
    </row>
    <row r="826" spans="1:18" ht="15" customHeight="1" x14ac:dyDescent="0.25">
      <c r="A826" s="1">
        <v>46450</v>
      </c>
      <c r="L826" s="3">
        <f t="shared" si="39"/>
        <v>0</v>
      </c>
      <c r="M826" s="3"/>
      <c r="N826" s="3">
        <f t="shared" si="38"/>
        <v>0</v>
      </c>
      <c r="R826" s="23" t="str">
        <f t="shared" si="40"/>
        <v>Yes</v>
      </c>
    </row>
    <row r="827" spans="1:18" ht="15" customHeight="1" x14ac:dyDescent="0.25">
      <c r="A827" s="1">
        <v>46451</v>
      </c>
      <c r="L827" s="3">
        <f t="shared" si="39"/>
        <v>0</v>
      </c>
      <c r="M827" s="3"/>
      <c r="N827" s="3">
        <f t="shared" si="38"/>
        <v>0</v>
      </c>
      <c r="R827" s="23" t="str">
        <f t="shared" si="40"/>
        <v>Yes</v>
      </c>
    </row>
    <row r="828" spans="1:18" ht="15" customHeight="1" x14ac:dyDescent="0.25">
      <c r="A828" s="1">
        <v>46452</v>
      </c>
      <c r="L828" s="3">
        <f t="shared" si="39"/>
        <v>0</v>
      </c>
      <c r="M828" s="3"/>
      <c r="N828" s="3">
        <f t="shared" si="38"/>
        <v>0</v>
      </c>
      <c r="R828" s="23" t="str">
        <f t="shared" si="40"/>
        <v>Yes</v>
      </c>
    </row>
    <row r="829" spans="1:18" ht="15" customHeight="1" x14ac:dyDescent="0.25">
      <c r="A829" s="1">
        <v>46453</v>
      </c>
      <c r="L829" s="3">
        <f t="shared" si="39"/>
        <v>0</v>
      </c>
      <c r="M829" s="3"/>
      <c r="N829" s="3">
        <f t="shared" si="38"/>
        <v>0</v>
      </c>
      <c r="R829" s="23" t="str">
        <f t="shared" si="40"/>
        <v>Yes</v>
      </c>
    </row>
    <row r="830" spans="1:18" ht="15" customHeight="1" x14ac:dyDescent="0.25">
      <c r="A830" s="1">
        <v>46454</v>
      </c>
      <c r="L830" s="3">
        <f t="shared" si="39"/>
        <v>0</v>
      </c>
      <c r="M830" s="3"/>
      <c r="N830" s="3">
        <f t="shared" si="38"/>
        <v>0</v>
      </c>
      <c r="R830" s="23" t="str">
        <f t="shared" si="40"/>
        <v>Yes</v>
      </c>
    </row>
    <row r="831" spans="1:18" ht="15" customHeight="1" x14ac:dyDescent="0.25">
      <c r="A831" s="1">
        <v>46455</v>
      </c>
      <c r="L831" s="3">
        <f t="shared" si="39"/>
        <v>0</v>
      </c>
      <c r="M831" s="3"/>
      <c r="N831" s="3">
        <f t="shared" si="38"/>
        <v>0</v>
      </c>
      <c r="R831" s="23" t="str">
        <f t="shared" si="40"/>
        <v>Yes</v>
      </c>
    </row>
    <row r="832" spans="1:18" ht="15" customHeight="1" x14ac:dyDescent="0.25">
      <c r="A832" s="1">
        <v>46456</v>
      </c>
      <c r="L832" s="3">
        <f t="shared" si="39"/>
        <v>0</v>
      </c>
      <c r="M832" s="3"/>
      <c r="N832" s="3">
        <f t="shared" si="38"/>
        <v>0</v>
      </c>
      <c r="R832" s="23" t="str">
        <f t="shared" si="40"/>
        <v>Yes</v>
      </c>
    </row>
    <row r="833" spans="1:18" ht="15" customHeight="1" x14ac:dyDescent="0.25">
      <c r="A833" s="1">
        <v>46457</v>
      </c>
      <c r="L833" s="3">
        <f t="shared" si="39"/>
        <v>0</v>
      </c>
      <c r="M833" s="3"/>
      <c r="N833" s="3">
        <f t="shared" si="38"/>
        <v>0</v>
      </c>
      <c r="R833" s="23" t="str">
        <f t="shared" si="40"/>
        <v>Yes</v>
      </c>
    </row>
    <row r="834" spans="1:18" ht="15" customHeight="1" x14ac:dyDescent="0.25">
      <c r="A834" s="1">
        <v>46458</v>
      </c>
      <c r="L834" s="3">
        <f t="shared" si="39"/>
        <v>0</v>
      </c>
      <c r="M834" s="3"/>
      <c r="N834" s="3">
        <f t="shared" si="38"/>
        <v>0</v>
      </c>
      <c r="R834" s="23" t="str">
        <f t="shared" si="40"/>
        <v>Yes</v>
      </c>
    </row>
    <row r="835" spans="1:18" ht="15" customHeight="1" x14ac:dyDescent="0.25">
      <c r="A835" s="1">
        <v>46459</v>
      </c>
      <c r="L835" s="3">
        <f t="shared" si="39"/>
        <v>0</v>
      </c>
      <c r="M835" s="3"/>
      <c r="N835" s="3">
        <f t="shared" ref="N835:N898" si="41">IF(OR(O835&lt;24300,P835&lt;25700),MAX(L835,M835),L835)</f>
        <v>0</v>
      </c>
      <c r="R835" s="23" t="str">
        <f t="shared" si="40"/>
        <v>Yes</v>
      </c>
    </row>
    <row r="836" spans="1:18" ht="15" customHeight="1" x14ac:dyDescent="0.25">
      <c r="A836" s="1">
        <v>46460</v>
      </c>
      <c r="L836" s="3">
        <f t="shared" ref="L836:L899" si="42">SUM(B836:K836)</f>
        <v>0</v>
      </c>
      <c r="M836" s="3"/>
      <c r="N836" s="3">
        <f t="shared" si="41"/>
        <v>0</v>
      </c>
      <c r="R836" s="23" t="str">
        <f t="shared" si="40"/>
        <v>Yes</v>
      </c>
    </row>
    <row r="837" spans="1:18" ht="15" customHeight="1" x14ac:dyDescent="0.25">
      <c r="A837" s="1">
        <v>46461</v>
      </c>
      <c r="L837" s="3">
        <f t="shared" si="42"/>
        <v>0</v>
      </c>
      <c r="M837" s="3"/>
      <c r="N837" s="3">
        <f t="shared" si="41"/>
        <v>0</v>
      </c>
      <c r="R837" s="23" t="str">
        <f t="shared" si="40"/>
        <v>Yes</v>
      </c>
    </row>
    <row r="838" spans="1:18" ht="15" customHeight="1" x14ac:dyDescent="0.25">
      <c r="A838" s="1">
        <v>46462</v>
      </c>
      <c r="L838" s="3">
        <f t="shared" si="42"/>
        <v>0</v>
      </c>
      <c r="M838" s="3"/>
      <c r="N838" s="3">
        <f t="shared" si="41"/>
        <v>0</v>
      </c>
      <c r="R838" s="23" t="str">
        <f t="shared" si="40"/>
        <v>Yes</v>
      </c>
    </row>
    <row r="839" spans="1:18" ht="15" customHeight="1" x14ac:dyDescent="0.25">
      <c r="A839" s="1">
        <v>46463</v>
      </c>
      <c r="L839" s="3">
        <f t="shared" si="42"/>
        <v>0</v>
      </c>
      <c r="M839" s="3"/>
      <c r="N839" s="3">
        <f t="shared" si="41"/>
        <v>0</v>
      </c>
      <c r="R839" s="23" t="str">
        <f t="shared" si="40"/>
        <v>Yes</v>
      </c>
    </row>
    <row r="840" spans="1:18" ht="15" customHeight="1" x14ac:dyDescent="0.25">
      <c r="A840" s="1">
        <v>46464</v>
      </c>
      <c r="L840" s="3">
        <f t="shared" si="42"/>
        <v>0</v>
      </c>
      <c r="M840" s="3"/>
      <c r="N840" s="3">
        <f t="shared" si="41"/>
        <v>0</v>
      </c>
      <c r="R840" s="23" t="str">
        <f t="shared" si="40"/>
        <v>Yes</v>
      </c>
    </row>
    <row r="841" spans="1:18" ht="15" customHeight="1" x14ac:dyDescent="0.25">
      <c r="A841" s="1">
        <v>46465</v>
      </c>
      <c r="L841" s="3">
        <f t="shared" si="42"/>
        <v>0</v>
      </c>
      <c r="M841" s="3"/>
      <c r="N841" s="3">
        <f t="shared" si="41"/>
        <v>0</v>
      </c>
      <c r="R841" s="23" t="str">
        <f t="shared" si="40"/>
        <v>Yes</v>
      </c>
    </row>
    <row r="842" spans="1:18" ht="15" customHeight="1" x14ac:dyDescent="0.25">
      <c r="A842" s="1">
        <v>46466</v>
      </c>
      <c r="L842" s="3">
        <f t="shared" si="42"/>
        <v>0</v>
      </c>
      <c r="M842" s="3"/>
      <c r="N842" s="3">
        <f t="shared" si="41"/>
        <v>0</v>
      </c>
      <c r="R842" s="23" t="str">
        <f t="shared" si="40"/>
        <v>Yes</v>
      </c>
    </row>
    <row r="843" spans="1:18" ht="15" customHeight="1" x14ac:dyDescent="0.25">
      <c r="A843" s="1">
        <v>46467</v>
      </c>
      <c r="L843" s="3">
        <f t="shared" si="42"/>
        <v>0</v>
      </c>
      <c r="M843" s="3"/>
      <c r="N843" s="3">
        <f t="shared" si="41"/>
        <v>0</v>
      </c>
      <c r="R843" s="23" t="str">
        <f t="shared" si="40"/>
        <v>Yes</v>
      </c>
    </row>
    <row r="844" spans="1:18" ht="15" customHeight="1" x14ac:dyDescent="0.25">
      <c r="A844" s="1">
        <v>46468</v>
      </c>
      <c r="L844" s="3">
        <f t="shared" si="42"/>
        <v>0</v>
      </c>
      <c r="M844" s="3"/>
      <c r="N844" s="3">
        <f t="shared" si="41"/>
        <v>0</v>
      </c>
      <c r="R844" s="23" t="str">
        <f t="shared" si="40"/>
        <v>Yes</v>
      </c>
    </row>
    <row r="845" spans="1:18" ht="15" customHeight="1" x14ac:dyDescent="0.25">
      <c r="A845" s="1">
        <v>46469</v>
      </c>
      <c r="L845" s="3">
        <f t="shared" si="42"/>
        <v>0</v>
      </c>
      <c r="M845" s="3"/>
      <c r="N845" s="3">
        <f t="shared" si="41"/>
        <v>0</v>
      </c>
      <c r="R845" s="23" t="str">
        <f t="shared" si="40"/>
        <v>Yes</v>
      </c>
    </row>
    <row r="846" spans="1:18" ht="15" customHeight="1" x14ac:dyDescent="0.25">
      <c r="A846" s="1">
        <v>46470</v>
      </c>
      <c r="L846" s="3">
        <f t="shared" si="42"/>
        <v>0</v>
      </c>
      <c r="M846" s="3"/>
      <c r="N846" s="3">
        <f t="shared" si="41"/>
        <v>0</v>
      </c>
      <c r="R846" s="23" t="str">
        <f t="shared" si="40"/>
        <v>Yes</v>
      </c>
    </row>
    <row r="847" spans="1:18" ht="15" customHeight="1" x14ac:dyDescent="0.25">
      <c r="A847" s="1">
        <v>46471</v>
      </c>
      <c r="L847" s="3">
        <f t="shared" si="42"/>
        <v>0</v>
      </c>
      <c r="M847" s="3"/>
      <c r="N847" s="3">
        <f t="shared" si="41"/>
        <v>0</v>
      </c>
      <c r="R847" s="23" t="str">
        <f t="shared" si="40"/>
        <v>Yes</v>
      </c>
    </row>
    <row r="848" spans="1:18" ht="15" customHeight="1" x14ac:dyDescent="0.25">
      <c r="A848" s="1">
        <v>46472</v>
      </c>
      <c r="L848" s="3">
        <f t="shared" si="42"/>
        <v>0</v>
      </c>
      <c r="M848" s="3"/>
      <c r="N848" s="3">
        <f t="shared" si="41"/>
        <v>0</v>
      </c>
      <c r="R848" s="23" t="str">
        <f t="shared" si="40"/>
        <v>Yes</v>
      </c>
    </row>
    <row r="849" spans="1:18" ht="15" customHeight="1" x14ac:dyDescent="0.25">
      <c r="A849" s="1">
        <v>46473</v>
      </c>
      <c r="L849" s="3">
        <f t="shared" si="42"/>
        <v>0</v>
      </c>
      <c r="M849" s="3"/>
      <c r="N849" s="3">
        <f t="shared" si="41"/>
        <v>0</v>
      </c>
      <c r="R849" s="23" t="str">
        <f t="shared" si="40"/>
        <v>Yes</v>
      </c>
    </row>
    <row r="850" spans="1:18" ht="15" customHeight="1" x14ac:dyDescent="0.25">
      <c r="A850" s="1">
        <v>46474</v>
      </c>
      <c r="L850" s="3">
        <f t="shared" si="42"/>
        <v>0</v>
      </c>
      <c r="M850" s="3"/>
      <c r="N850" s="3">
        <f t="shared" si="41"/>
        <v>0</v>
      </c>
      <c r="R850" s="23" t="str">
        <f t="shared" si="40"/>
        <v>Yes</v>
      </c>
    </row>
    <row r="851" spans="1:18" ht="15" customHeight="1" x14ac:dyDescent="0.25">
      <c r="A851" s="1">
        <v>46475</v>
      </c>
      <c r="L851" s="3">
        <f t="shared" si="42"/>
        <v>0</v>
      </c>
      <c r="M851" s="3"/>
      <c r="N851" s="3">
        <f t="shared" si="41"/>
        <v>0</v>
      </c>
      <c r="R851" s="23" t="str">
        <f t="shared" si="40"/>
        <v>Yes</v>
      </c>
    </row>
    <row r="852" spans="1:18" ht="15" customHeight="1" x14ac:dyDescent="0.25">
      <c r="A852" s="1">
        <v>46476</v>
      </c>
      <c r="L852" s="3">
        <f t="shared" si="42"/>
        <v>0</v>
      </c>
      <c r="M852" s="3"/>
      <c r="N852" s="3">
        <f t="shared" si="41"/>
        <v>0</v>
      </c>
      <c r="R852" s="23" t="str">
        <f t="shared" si="40"/>
        <v>Yes</v>
      </c>
    </row>
    <row r="853" spans="1:18" ht="15" customHeight="1" x14ac:dyDescent="0.25">
      <c r="A853" s="1">
        <v>46477</v>
      </c>
      <c r="L853" s="3">
        <f t="shared" si="42"/>
        <v>0</v>
      </c>
      <c r="M853" s="3"/>
      <c r="N853" s="3">
        <f t="shared" si="41"/>
        <v>0</v>
      </c>
      <c r="R853" s="23" t="str">
        <f t="shared" si="40"/>
        <v>Yes</v>
      </c>
    </row>
    <row r="854" spans="1:18" ht="15" customHeight="1" x14ac:dyDescent="0.25">
      <c r="A854" s="1">
        <v>46478</v>
      </c>
      <c r="L854" s="3">
        <f t="shared" si="42"/>
        <v>0</v>
      </c>
      <c r="M854" s="3"/>
      <c r="N854" s="3">
        <f t="shared" si="41"/>
        <v>0</v>
      </c>
      <c r="R854" s="23" t="str">
        <f t="shared" si="40"/>
        <v>Yes</v>
      </c>
    </row>
    <row r="855" spans="1:18" ht="15" customHeight="1" x14ac:dyDescent="0.25">
      <c r="A855" s="1">
        <v>46479</v>
      </c>
      <c r="L855" s="3">
        <f t="shared" si="42"/>
        <v>0</v>
      </c>
      <c r="M855" s="3"/>
      <c r="N855" s="3">
        <f t="shared" si="41"/>
        <v>0</v>
      </c>
      <c r="R855" s="23" t="str">
        <f t="shared" si="40"/>
        <v>Yes</v>
      </c>
    </row>
    <row r="856" spans="1:18" ht="15" customHeight="1" x14ac:dyDescent="0.25">
      <c r="A856" s="1">
        <v>46480</v>
      </c>
      <c r="L856" s="3">
        <f t="shared" si="42"/>
        <v>0</v>
      </c>
      <c r="M856" s="3"/>
      <c r="N856" s="3">
        <f t="shared" si="41"/>
        <v>0</v>
      </c>
      <c r="R856" s="23" t="str">
        <f t="shared" si="40"/>
        <v>Yes</v>
      </c>
    </row>
    <row r="857" spans="1:18" ht="15" customHeight="1" x14ac:dyDescent="0.25">
      <c r="A857" s="1">
        <v>46481</v>
      </c>
      <c r="L857" s="3">
        <f t="shared" si="42"/>
        <v>0</v>
      </c>
      <c r="M857" s="3"/>
      <c r="N857" s="3">
        <f t="shared" si="41"/>
        <v>0</v>
      </c>
      <c r="R857" s="23" t="str">
        <f t="shared" si="40"/>
        <v>Yes</v>
      </c>
    </row>
    <row r="858" spans="1:18" ht="15" customHeight="1" x14ac:dyDescent="0.25">
      <c r="A858" s="1">
        <v>46482</v>
      </c>
      <c r="L858" s="3">
        <f t="shared" si="42"/>
        <v>0</v>
      </c>
      <c r="M858" s="3"/>
      <c r="N858" s="3">
        <f t="shared" si="41"/>
        <v>0</v>
      </c>
      <c r="R858" s="23" t="str">
        <f t="shared" si="40"/>
        <v>Yes</v>
      </c>
    </row>
    <row r="859" spans="1:18" ht="15" customHeight="1" x14ac:dyDescent="0.25">
      <c r="A859" s="1">
        <v>46483</v>
      </c>
      <c r="L859" s="3">
        <f t="shared" si="42"/>
        <v>0</v>
      </c>
      <c r="M859" s="3"/>
      <c r="N859" s="3">
        <f t="shared" si="41"/>
        <v>0</v>
      </c>
      <c r="R859" s="23" t="str">
        <f t="shared" si="40"/>
        <v>Yes</v>
      </c>
    </row>
    <row r="860" spans="1:18" ht="15" customHeight="1" x14ac:dyDescent="0.25">
      <c r="A860" s="1">
        <v>46484</v>
      </c>
      <c r="L860" s="3">
        <f t="shared" si="42"/>
        <v>0</v>
      </c>
      <c r="M860" s="3"/>
      <c r="N860" s="3">
        <f t="shared" si="41"/>
        <v>0</v>
      </c>
      <c r="R860" s="23" t="str">
        <f t="shared" si="40"/>
        <v>Yes</v>
      </c>
    </row>
    <row r="861" spans="1:18" ht="15" customHeight="1" x14ac:dyDescent="0.25">
      <c r="A861" s="1">
        <v>46485</v>
      </c>
      <c r="L861" s="3">
        <f t="shared" si="42"/>
        <v>0</v>
      </c>
      <c r="M861" s="3"/>
      <c r="N861" s="3">
        <f t="shared" si="41"/>
        <v>0</v>
      </c>
      <c r="R861" s="23" t="str">
        <f t="shared" si="40"/>
        <v>Yes</v>
      </c>
    </row>
    <row r="862" spans="1:18" ht="15" customHeight="1" x14ac:dyDescent="0.25">
      <c r="A862" s="1">
        <v>46486</v>
      </c>
      <c r="L862" s="3">
        <f t="shared" si="42"/>
        <v>0</v>
      </c>
      <c r="M862" s="3"/>
      <c r="N862" s="3">
        <f t="shared" si="41"/>
        <v>0</v>
      </c>
      <c r="R862" s="23" t="str">
        <f t="shared" si="40"/>
        <v>Yes</v>
      </c>
    </row>
    <row r="863" spans="1:18" ht="15" customHeight="1" x14ac:dyDescent="0.25">
      <c r="A863" s="1">
        <v>46487</v>
      </c>
      <c r="B863" s="25"/>
      <c r="C863" s="25"/>
      <c r="D863" s="25"/>
      <c r="E863" s="25"/>
      <c r="F863" s="25"/>
      <c r="G863" s="25"/>
      <c r="H863" s="25"/>
      <c r="I863" s="25"/>
      <c r="J863" s="25"/>
      <c r="K863" s="25"/>
      <c r="L863" s="3">
        <f t="shared" si="42"/>
        <v>0</v>
      </c>
      <c r="M863" s="3"/>
      <c r="N863" s="3">
        <f t="shared" si="41"/>
        <v>0</v>
      </c>
      <c r="R863" s="23" t="str">
        <f t="shared" si="40"/>
        <v>Yes</v>
      </c>
    </row>
    <row r="864" spans="1:18" ht="15" customHeight="1" x14ac:dyDescent="0.25">
      <c r="A864" s="1">
        <v>46488</v>
      </c>
      <c r="B864" s="25"/>
      <c r="C864" s="25"/>
      <c r="D864" s="25"/>
      <c r="E864" s="25"/>
      <c r="F864" s="25"/>
      <c r="G864" s="25"/>
      <c r="H864" s="25"/>
      <c r="I864" s="25"/>
      <c r="J864" s="25"/>
      <c r="K864" s="25"/>
      <c r="L864" s="3">
        <f t="shared" si="42"/>
        <v>0</v>
      </c>
      <c r="M864" s="3"/>
      <c r="N864" s="3">
        <f t="shared" si="41"/>
        <v>0</v>
      </c>
      <c r="R864" s="23" t="str">
        <f t="shared" si="40"/>
        <v>Yes</v>
      </c>
    </row>
    <row r="865" spans="1:18" ht="15" customHeight="1" x14ac:dyDescent="0.25">
      <c r="A865" s="1">
        <v>46489</v>
      </c>
      <c r="B865" s="25"/>
      <c r="C865" s="25"/>
      <c r="D865" s="25"/>
      <c r="E865" s="25"/>
      <c r="F865" s="25"/>
      <c r="G865" s="25"/>
      <c r="H865" s="25"/>
      <c r="I865" s="25"/>
      <c r="J865" s="25"/>
      <c r="K865" s="25"/>
      <c r="L865" s="3">
        <f t="shared" si="42"/>
        <v>0</v>
      </c>
      <c r="M865" s="3"/>
      <c r="N865" s="3">
        <f t="shared" si="41"/>
        <v>0</v>
      </c>
      <c r="R865" s="23" t="str">
        <f t="shared" si="40"/>
        <v>Yes</v>
      </c>
    </row>
    <row r="866" spans="1:18" ht="15" customHeight="1" x14ac:dyDescent="0.25">
      <c r="A866" s="1">
        <v>46490</v>
      </c>
      <c r="B866" s="25"/>
      <c r="C866" s="25"/>
      <c r="D866" s="25"/>
      <c r="E866" s="25"/>
      <c r="F866" s="25"/>
      <c r="G866" s="25"/>
      <c r="H866" s="25"/>
      <c r="I866" s="25"/>
      <c r="J866" s="25"/>
      <c r="K866" s="25"/>
      <c r="L866" s="3">
        <f t="shared" si="42"/>
        <v>0</v>
      </c>
      <c r="M866" s="3"/>
      <c r="N866" s="3">
        <f t="shared" si="41"/>
        <v>0</v>
      </c>
      <c r="R866" s="23" t="str">
        <f t="shared" si="40"/>
        <v>Yes</v>
      </c>
    </row>
    <row r="867" spans="1:18" ht="15" customHeight="1" x14ac:dyDescent="0.25">
      <c r="A867" s="1">
        <v>46491</v>
      </c>
      <c r="B867" s="25"/>
      <c r="C867" s="25"/>
      <c r="D867" s="25"/>
      <c r="E867" s="25"/>
      <c r="F867" s="25"/>
      <c r="G867" s="25"/>
      <c r="H867" s="25"/>
      <c r="I867" s="25"/>
      <c r="J867" s="25"/>
      <c r="K867" s="25"/>
      <c r="L867" s="3">
        <f t="shared" si="42"/>
        <v>0</v>
      </c>
      <c r="M867" s="3"/>
      <c r="N867" s="3">
        <f t="shared" si="41"/>
        <v>0</v>
      </c>
      <c r="R867" s="23" t="str">
        <f t="shared" si="40"/>
        <v>Yes</v>
      </c>
    </row>
    <row r="868" spans="1:18" ht="15" customHeight="1" x14ac:dyDescent="0.25">
      <c r="A868" s="1">
        <v>46492</v>
      </c>
      <c r="B868" s="25"/>
      <c r="C868" s="25"/>
      <c r="D868" s="25"/>
      <c r="E868" s="25"/>
      <c r="F868" s="25"/>
      <c r="G868" s="25"/>
      <c r="H868" s="25"/>
      <c r="I868" s="25"/>
      <c r="J868" s="25"/>
      <c r="K868" s="25"/>
      <c r="L868" s="3">
        <f t="shared" si="42"/>
        <v>0</v>
      </c>
      <c r="M868" s="3"/>
      <c r="N868" s="3">
        <f t="shared" si="41"/>
        <v>0</v>
      </c>
      <c r="R868" s="23" t="str">
        <f t="shared" si="40"/>
        <v>Yes</v>
      </c>
    </row>
    <row r="869" spans="1:18" ht="15" customHeight="1" x14ac:dyDescent="0.25">
      <c r="A869" s="1">
        <v>46493</v>
      </c>
      <c r="B869" s="25"/>
      <c r="C869" s="25"/>
      <c r="D869" s="25"/>
      <c r="E869" s="25"/>
      <c r="F869" s="25"/>
      <c r="G869" s="25"/>
      <c r="H869" s="25"/>
      <c r="I869" s="25"/>
      <c r="J869" s="25"/>
      <c r="K869" s="25"/>
      <c r="L869" s="3">
        <f t="shared" si="42"/>
        <v>0</v>
      </c>
      <c r="M869" s="3"/>
      <c r="N869" s="3">
        <f t="shared" si="41"/>
        <v>0</v>
      </c>
      <c r="R869" s="23" t="str">
        <f t="shared" si="40"/>
        <v>Yes</v>
      </c>
    </row>
    <row r="870" spans="1:18" ht="15" customHeight="1" x14ac:dyDescent="0.25">
      <c r="A870" s="1">
        <v>46494</v>
      </c>
      <c r="B870" s="25"/>
      <c r="C870" s="25"/>
      <c r="D870" s="25"/>
      <c r="E870" s="25"/>
      <c r="F870" s="25"/>
      <c r="G870" s="25"/>
      <c r="H870" s="25"/>
      <c r="I870" s="25"/>
      <c r="J870" s="25"/>
      <c r="K870" s="25"/>
      <c r="L870" s="3">
        <f t="shared" si="42"/>
        <v>0</v>
      </c>
      <c r="M870" s="3"/>
      <c r="N870" s="3">
        <f t="shared" si="41"/>
        <v>0</v>
      </c>
      <c r="R870" s="23" t="str">
        <f t="shared" si="40"/>
        <v>Yes</v>
      </c>
    </row>
    <row r="871" spans="1:18" ht="15" customHeight="1" x14ac:dyDescent="0.25">
      <c r="A871" s="1">
        <v>46495</v>
      </c>
      <c r="L871" s="3">
        <f t="shared" si="42"/>
        <v>0</v>
      </c>
      <c r="M871" s="3"/>
      <c r="N871" s="3">
        <f t="shared" si="41"/>
        <v>0</v>
      </c>
      <c r="R871" s="23" t="str">
        <f t="shared" si="40"/>
        <v>Yes</v>
      </c>
    </row>
    <row r="872" spans="1:18" ht="15" customHeight="1" x14ac:dyDescent="0.25">
      <c r="A872" s="1">
        <v>46496</v>
      </c>
      <c r="L872" s="3">
        <f t="shared" si="42"/>
        <v>0</v>
      </c>
      <c r="M872" s="3"/>
      <c r="N872" s="3">
        <f t="shared" si="41"/>
        <v>0</v>
      </c>
      <c r="R872" s="23" t="str">
        <f t="shared" si="40"/>
        <v>Yes</v>
      </c>
    </row>
    <row r="873" spans="1:18" ht="15" customHeight="1" x14ac:dyDescent="0.25">
      <c r="A873" s="1">
        <v>46497</v>
      </c>
      <c r="L873" s="3">
        <f t="shared" si="42"/>
        <v>0</v>
      </c>
      <c r="M873" s="3"/>
      <c r="N873" s="3">
        <f t="shared" si="41"/>
        <v>0</v>
      </c>
      <c r="R873" s="23" t="str">
        <f t="shared" si="40"/>
        <v>Yes</v>
      </c>
    </row>
    <row r="874" spans="1:18" ht="15" customHeight="1" x14ac:dyDescent="0.25">
      <c r="A874" s="1">
        <v>46498</v>
      </c>
      <c r="L874" s="3">
        <f t="shared" si="42"/>
        <v>0</v>
      </c>
      <c r="M874" s="3"/>
      <c r="N874" s="3">
        <f t="shared" si="41"/>
        <v>0</v>
      </c>
      <c r="R874" s="23" t="str">
        <f t="shared" si="40"/>
        <v>Yes</v>
      </c>
    </row>
    <row r="875" spans="1:18" ht="15" customHeight="1" x14ac:dyDescent="0.25">
      <c r="A875" s="1">
        <v>46499</v>
      </c>
      <c r="L875" s="3">
        <f t="shared" si="42"/>
        <v>0</v>
      </c>
      <c r="M875" s="3"/>
      <c r="N875" s="3">
        <f t="shared" si="41"/>
        <v>0</v>
      </c>
      <c r="R875" s="23" t="str">
        <f t="shared" si="40"/>
        <v>Yes</v>
      </c>
    </row>
    <row r="876" spans="1:18" ht="15" customHeight="1" x14ac:dyDescent="0.25">
      <c r="A876" s="1">
        <v>46500</v>
      </c>
      <c r="L876" s="3">
        <f t="shared" si="42"/>
        <v>0</v>
      </c>
      <c r="M876" s="3"/>
      <c r="N876" s="3">
        <f t="shared" si="41"/>
        <v>0</v>
      </c>
      <c r="R876" s="23" t="str">
        <f t="shared" si="40"/>
        <v>Yes</v>
      </c>
    </row>
    <row r="877" spans="1:18" ht="15" customHeight="1" x14ac:dyDescent="0.25">
      <c r="A877" s="1">
        <v>46501</v>
      </c>
      <c r="L877" s="3">
        <f t="shared" si="42"/>
        <v>0</v>
      </c>
      <c r="M877" s="3"/>
      <c r="N877" s="3">
        <f t="shared" si="41"/>
        <v>0</v>
      </c>
      <c r="R877" s="23" t="str">
        <f t="shared" ref="R877:R940" si="43">IF(Q877&gt;0,"Yes",IF(OR((O877+P877&lt;50000),O877&lt;24000,P877&lt;26000),"Yes","No"))</f>
        <v>Yes</v>
      </c>
    </row>
    <row r="878" spans="1:18" ht="15" customHeight="1" x14ac:dyDescent="0.25">
      <c r="A878" s="1">
        <v>46502</v>
      </c>
      <c r="L878" s="3">
        <f t="shared" si="42"/>
        <v>0</v>
      </c>
      <c r="M878" s="3"/>
      <c r="N878" s="3">
        <f t="shared" si="41"/>
        <v>0</v>
      </c>
      <c r="R878" s="23" t="str">
        <f t="shared" si="43"/>
        <v>Yes</v>
      </c>
    </row>
    <row r="879" spans="1:18" ht="15" customHeight="1" x14ac:dyDescent="0.25">
      <c r="A879" s="1">
        <v>46503</v>
      </c>
      <c r="L879" s="3">
        <f t="shared" si="42"/>
        <v>0</v>
      </c>
      <c r="M879" s="3"/>
      <c r="N879" s="3">
        <f t="shared" si="41"/>
        <v>0</v>
      </c>
      <c r="R879" s="23" t="str">
        <f t="shared" si="43"/>
        <v>Yes</v>
      </c>
    </row>
    <row r="880" spans="1:18" ht="15" customHeight="1" x14ac:dyDescent="0.25">
      <c r="A880" s="1">
        <v>46504</v>
      </c>
      <c r="L880" s="3">
        <f t="shared" si="42"/>
        <v>0</v>
      </c>
      <c r="M880" s="3"/>
      <c r="N880" s="3">
        <f t="shared" si="41"/>
        <v>0</v>
      </c>
      <c r="R880" s="23" t="str">
        <f t="shared" si="43"/>
        <v>Yes</v>
      </c>
    </row>
    <row r="881" spans="1:18" ht="15" customHeight="1" x14ac:dyDescent="0.25">
      <c r="A881" s="1">
        <v>46505</v>
      </c>
      <c r="L881" s="3">
        <f t="shared" si="42"/>
        <v>0</v>
      </c>
      <c r="M881" s="3"/>
      <c r="N881" s="3">
        <f t="shared" si="41"/>
        <v>0</v>
      </c>
      <c r="R881" s="23" t="str">
        <f t="shared" si="43"/>
        <v>Yes</v>
      </c>
    </row>
    <row r="882" spans="1:18" ht="15" customHeight="1" x14ac:dyDescent="0.25">
      <c r="A882" s="1">
        <v>46506</v>
      </c>
      <c r="L882" s="3">
        <f t="shared" si="42"/>
        <v>0</v>
      </c>
      <c r="M882" s="3"/>
      <c r="N882" s="3">
        <f t="shared" si="41"/>
        <v>0</v>
      </c>
      <c r="R882" s="23" t="str">
        <f t="shared" si="43"/>
        <v>Yes</v>
      </c>
    </row>
    <row r="883" spans="1:18" ht="15" customHeight="1" x14ac:dyDescent="0.25">
      <c r="A883" s="1">
        <v>46507</v>
      </c>
      <c r="L883" s="3">
        <f t="shared" si="42"/>
        <v>0</v>
      </c>
      <c r="M883" s="3"/>
      <c r="N883" s="3">
        <f t="shared" si="41"/>
        <v>0</v>
      </c>
      <c r="R883" s="23" t="str">
        <f t="shared" si="43"/>
        <v>Yes</v>
      </c>
    </row>
    <row r="884" spans="1:18" ht="15" customHeight="1" x14ac:dyDescent="0.25">
      <c r="A884" s="1">
        <v>46508</v>
      </c>
      <c r="L884" s="3">
        <f t="shared" si="42"/>
        <v>0</v>
      </c>
      <c r="M884" s="3"/>
      <c r="N884" s="3">
        <f t="shared" si="41"/>
        <v>0</v>
      </c>
      <c r="R884" s="23" t="str">
        <f t="shared" si="43"/>
        <v>Yes</v>
      </c>
    </row>
    <row r="885" spans="1:18" ht="15" customHeight="1" x14ac:dyDescent="0.25">
      <c r="A885" s="1">
        <v>46509</v>
      </c>
      <c r="L885" s="3">
        <f t="shared" si="42"/>
        <v>0</v>
      </c>
      <c r="M885" s="3"/>
      <c r="N885" s="3">
        <f t="shared" si="41"/>
        <v>0</v>
      </c>
      <c r="R885" s="23" t="str">
        <f t="shared" si="43"/>
        <v>Yes</v>
      </c>
    </row>
    <row r="886" spans="1:18" ht="15" customHeight="1" x14ac:dyDescent="0.25">
      <c r="A886" s="1">
        <v>46510</v>
      </c>
      <c r="L886" s="3">
        <f t="shared" si="42"/>
        <v>0</v>
      </c>
      <c r="M886" s="3"/>
      <c r="N886" s="3">
        <f t="shared" si="41"/>
        <v>0</v>
      </c>
      <c r="R886" s="23" t="str">
        <f t="shared" si="43"/>
        <v>Yes</v>
      </c>
    </row>
    <row r="887" spans="1:18" ht="15" customHeight="1" x14ac:dyDescent="0.25">
      <c r="A887" s="1">
        <v>46511</v>
      </c>
      <c r="L887" s="3">
        <f t="shared" si="42"/>
        <v>0</v>
      </c>
      <c r="M887" s="3"/>
      <c r="N887" s="3">
        <f t="shared" si="41"/>
        <v>0</v>
      </c>
      <c r="R887" s="23" t="str">
        <f t="shared" si="43"/>
        <v>Yes</v>
      </c>
    </row>
    <row r="888" spans="1:18" ht="15" customHeight="1" x14ac:dyDescent="0.25">
      <c r="A888" s="1">
        <v>46512</v>
      </c>
      <c r="L888" s="3">
        <f t="shared" si="42"/>
        <v>0</v>
      </c>
      <c r="M888" s="3"/>
      <c r="N888" s="3">
        <f t="shared" si="41"/>
        <v>0</v>
      </c>
      <c r="R888" s="23" t="str">
        <f t="shared" si="43"/>
        <v>Yes</v>
      </c>
    </row>
    <row r="889" spans="1:18" ht="15" customHeight="1" x14ac:dyDescent="0.25">
      <c r="A889" s="1">
        <v>46513</v>
      </c>
      <c r="L889" s="3">
        <f t="shared" si="42"/>
        <v>0</v>
      </c>
      <c r="M889" s="3"/>
      <c r="N889" s="3">
        <f t="shared" si="41"/>
        <v>0</v>
      </c>
      <c r="R889" s="23" t="str">
        <f t="shared" si="43"/>
        <v>Yes</v>
      </c>
    </row>
    <row r="890" spans="1:18" ht="15" customHeight="1" x14ac:dyDescent="0.25">
      <c r="A890" s="1">
        <v>46514</v>
      </c>
      <c r="L890" s="3">
        <f t="shared" si="42"/>
        <v>0</v>
      </c>
      <c r="M890" s="3"/>
      <c r="N890" s="3">
        <f t="shared" si="41"/>
        <v>0</v>
      </c>
      <c r="R890" s="23" t="str">
        <f t="shared" si="43"/>
        <v>Yes</v>
      </c>
    </row>
    <row r="891" spans="1:18" ht="15" customHeight="1" x14ac:dyDescent="0.25">
      <c r="A891" s="1">
        <v>46515</v>
      </c>
      <c r="L891" s="3">
        <f t="shared" si="42"/>
        <v>0</v>
      </c>
      <c r="M891" s="3"/>
      <c r="N891" s="3">
        <f t="shared" si="41"/>
        <v>0</v>
      </c>
      <c r="R891" s="23" t="str">
        <f t="shared" si="43"/>
        <v>Yes</v>
      </c>
    </row>
    <row r="892" spans="1:18" ht="15" customHeight="1" x14ac:dyDescent="0.25">
      <c r="A892" s="1">
        <v>46516</v>
      </c>
      <c r="L892" s="3">
        <f t="shared" si="42"/>
        <v>0</v>
      </c>
      <c r="M892" s="3"/>
      <c r="N892" s="3">
        <f t="shared" si="41"/>
        <v>0</v>
      </c>
      <c r="R892" s="23" t="str">
        <f t="shared" si="43"/>
        <v>Yes</v>
      </c>
    </row>
    <row r="893" spans="1:18" ht="15" customHeight="1" x14ac:dyDescent="0.25">
      <c r="A893" s="1">
        <v>46517</v>
      </c>
      <c r="L893" s="3">
        <f t="shared" si="42"/>
        <v>0</v>
      </c>
      <c r="M893" s="3"/>
      <c r="N893" s="3">
        <f t="shared" si="41"/>
        <v>0</v>
      </c>
      <c r="R893" s="23" t="str">
        <f t="shared" si="43"/>
        <v>Yes</v>
      </c>
    </row>
    <row r="894" spans="1:18" ht="15" customHeight="1" x14ac:dyDescent="0.25">
      <c r="A894" s="1">
        <v>46518</v>
      </c>
      <c r="L894" s="3">
        <f t="shared" si="42"/>
        <v>0</v>
      </c>
      <c r="M894" s="3"/>
      <c r="N894" s="3">
        <f t="shared" si="41"/>
        <v>0</v>
      </c>
      <c r="R894" s="23" t="str">
        <f t="shared" si="43"/>
        <v>Yes</v>
      </c>
    </row>
    <row r="895" spans="1:18" ht="15" customHeight="1" x14ac:dyDescent="0.25">
      <c r="A895" s="1">
        <v>46519</v>
      </c>
      <c r="L895" s="3">
        <f t="shared" si="42"/>
        <v>0</v>
      </c>
      <c r="M895" s="3"/>
      <c r="N895" s="3">
        <f t="shared" si="41"/>
        <v>0</v>
      </c>
      <c r="R895" s="23" t="str">
        <f t="shared" si="43"/>
        <v>Yes</v>
      </c>
    </row>
    <row r="896" spans="1:18" ht="15" customHeight="1" x14ac:dyDescent="0.25">
      <c r="A896" s="1">
        <v>46520</v>
      </c>
      <c r="L896" s="3">
        <f t="shared" si="42"/>
        <v>0</v>
      </c>
      <c r="M896" s="3"/>
      <c r="N896" s="3">
        <f t="shared" si="41"/>
        <v>0</v>
      </c>
      <c r="R896" s="23" t="str">
        <f t="shared" si="43"/>
        <v>Yes</v>
      </c>
    </row>
    <row r="897" spans="1:18" ht="15" customHeight="1" x14ac:dyDescent="0.25">
      <c r="A897" s="1">
        <v>46521</v>
      </c>
      <c r="L897" s="3">
        <f t="shared" si="42"/>
        <v>0</v>
      </c>
      <c r="M897" s="3"/>
      <c r="N897" s="3">
        <f t="shared" si="41"/>
        <v>0</v>
      </c>
      <c r="R897" s="23" t="str">
        <f t="shared" si="43"/>
        <v>Yes</v>
      </c>
    </row>
    <row r="898" spans="1:18" ht="15" customHeight="1" x14ac:dyDescent="0.25">
      <c r="A898" s="1">
        <v>46522</v>
      </c>
      <c r="L898" s="3">
        <f t="shared" si="42"/>
        <v>0</v>
      </c>
      <c r="M898" s="3"/>
      <c r="N898" s="3">
        <f t="shared" si="41"/>
        <v>0</v>
      </c>
      <c r="R898" s="23" t="str">
        <f t="shared" si="43"/>
        <v>Yes</v>
      </c>
    </row>
    <row r="899" spans="1:18" ht="15" customHeight="1" x14ac:dyDescent="0.25">
      <c r="A899" s="1">
        <v>46523</v>
      </c>
      <c r="L899" s="3">
        <f t="shared" si="42"/>
        <v>0</v>
      </c>
      <c r="M899" s="3"/>
      <c r="N899" s="3">
        <f t="shared" ref="N899:N962" si="44">IF(OR(O899&lt;24300,P899&lt;25700),MAX(L899,M899),L899)</f>
        <v>0</v>
      </c>
      <c r="R899" s="23" t="str">
        <f t="shared" si="43"/>
        <v>Yes</v>
      </c>
    </row>
    <row r="900" spans="1:18" ht="15" customHeight="1" x14ac:dyDescent="0.25">
      <c r="A900" s="1">
        <v>46524</v>
      </c>
      <c r="L900" s="3">
        <f t="shared" ref="L900:L963" si="45">SUM(B900:K900)</f>
        <v>0</v>
      </c>
      <c r="M900" s="3"/>
      <c r="N900" s="3">
        <f t="shared" si="44"/>
        <v>0</v>
      </c>
      <c r="R900" s="23" t="str">
        <f t="shared" si="43"/>
        <v>Yes</v>
      </c>
    </row>
    <row r="901" spans="1:18" ht="15" customHeight="1" x14ac:dyDescent="0.25">
      <c r="A901" s="1">
        <v>46525</v>
      </c>
      <c r="L901" s="3">
        <f t="shared" si="45"/>
        <v>0</v>
      </c>
      <c r="M901" s="3"/>
      <c r="N901" s="3">
        <f t="shared" si="44"/>
        <v>0</v>
      </c>
      <c r="R901" s="23" t="str">
        <f t="shared" si="43"/>
        <v>Yes</v>
      </c>
    </row>
    <row r="902" spans="1:18" ht="15" customHeight="1" x14ac:dyDescent="0.25">
      <c r="A902" s="1">
        <v>46526</v>
      </c>
      <c r="L902" s="3">
        <f t="shared" si="45"/>
        <v>0</v>
      </c>
      <c r="M902" s="3"/>
      <c r="N902" s="3">
        <f t="shared" si="44"/>
        <v>0</v>
      </c>
      <c r="R902" s="23" t="str">
        <f t="shared" si="43"/>
        <v>Yes</v>
      </c>
    </row>
    <row r="903" spans="1:18" ht="15" customHeight="1" x14ac:dyDescent="0.25">
      <c r="A903" s="1">
        <v>46527</v>
      </c>
      <c r="L903" s="3">
        <f t="shared" si="45"/>
        <v>0</v>
      </c>
      <c r="M903" s="3"/>
      <c r="N903" s="3">
        <f t="shared" si="44"/>
        <v>0</v>
      </c>
      <c r="R903" s="23" t="str">
        <f t="shared" si="43"/>
        <v>Yes</v>
      </c>
    </row>
    <row r="904" spans="1:18" ht="15" customHeight="1" x14ac:dyDescent="0.25">
      <c r="A904" s="1">
        <v>46528</v>
      </c>
      <c r="L904" s="3">
        <f t="shared" si="45"/>
        <v>0</v>
      </c>
      <c r="M904" s="3"/>
      <c r="N904" s="3">
        <f t="shared" si="44"/>
        <v>0</v>
      </c>
      <c r="R904" s="23" t="str">
        <f t="shared" si="43"/>
        <v>Yes</v>
      </c>
    </row>
    <row r="905" spans="1:18" ht="15" customHeight="1" x14ac:dyDescent="0.25">
      <c r="A905" s="1">
        <v>46529</v>
      </c>
      <c r="L905" s="3">
        <f t="shared" si="45"/>
        <v>0</v>
      </c>
      <c r="M905" s="3"/>
      <c r="N905" s="3">
        <f t="shared" si="44"/>
        <v>0</v>
      </c>
      <c r="R905" s="23" t="str">
        <f t="shared" si="43"/>
        <v>Yes</v>
      </c>
    </row>
    <row r="906" spans="1:18" ht="15" customHeight="1" x14ac:dyDescent="0.25">
      <c r="A906" s="1">
        <v>46530</v>
      </c>
      <c r="L906" s="3">
        <f t="shared" si="45"/>
        <v>0</v>
      </c>
      <c r="M906" s="3"/>
      <c r="N906" s="3">
        <f t="shared" si="44"/>
        <v>0</v>
      </c>
      <c r="R906" s="23" t="str">
        <f t="shared" si="43"/>
        <v>Yes</v>
      </c>
    </row>
    <row r="907" spans="1:18" ht="15" customHeight="1" x14ac:dyDescent="0.25">
      <c r="A907" s="1">
        <v>46531</v>
      </c>
      <c r="L907" s="3">
        <f t="shared" si="45"/>
        <v>0</v>
      </c>
      <c r="M907" s="3"/>
      <c r="N907" s="3">
        <f t="shared" si="44"/>
        <v>0</v>
      </c>
      <c r="R907" s="23" t="str">
        <f t="shared" si="43"/>
        <v>Yes</v>
      </c>
    </row>
    <row r="908" spans="1:18" ht="15" customHeight="1" x14ac:dyDescent="0.25">
      <c r="A908" s="1">
        <v>46532</v>
      </c>
      <c r="L908" s="3">
        <f t="shared" si="45"/>
        <v>0</v>
      </c>
      <c r="M908" s="3"/>
      <c r="N908" s="3">
        <f t="shared" si="44"/>
        <v>0</v>
      </c>
      <c r="R908" s="23" t="str">
        <f t="shared" si="43"/>
        <v>Yes</v>
      </c>
    </row>
    <row r="909" spans="1:18" ht="15" customHeight="1" x14ac:dyDescent="0.25">
      <c r="A909" s="1">
        <v>46533</v>
      </c>
      <c r="L909" s="3">
        <f t="shared" si="45"/>
        <v>0</v>
      </c>
      <c r="M909" s="3"/>
      <c r="N909" s="3">
        <f t="shared" si="44"/>
        <v>0</v>
      </c>
      <c r="R909" s="23" t="str">
        <f t="shared" si="43"/>
        <v>Yes</v>
      </c>
    </row>
    <row r="910" spans="1:18" ht="15" customHeight="1" x14ac:dyDescent="0.25">
      <c r="A910" s="1">
        <v>46534</v>
      </c>
      <c r="L910" s="3">
        <f t="shared" si="45"/>
        <v>0</v>
      </c>
      <c r="M910" s="3"/>
      <c r="N910" s="3">
        <f t="shared" si="44"/>
        <v>0</v>
      </c>
      <c r="R910" s="23" t="str">
        <f t="shared" si="43"/>
        <v>Yes</v>
      </c>
    </row>
    <row r="911" spans="1:18" ht="15" customHeight="1" x14ac:dyDescent="0.25">
      <c r="A911" s="1">
        <v>46535</v>
      </c>
      <c r="L911" s="3">
        <f t="shared" si="45"/>
        <v>0</v>
      </c>
      <c r="M911" s="3"/>
      <c r="N911" s="3">
        <f t="shared" si="44"/>
        <v>0</v>
      </c>
      <c r="R911" s="23" t="str">
        <f t="shared" si="43"/>
        <v>Yes</v>
      </c>
    </row>
    <row r="912" spans="1:18" ht="15" customHeight="1" x14ac:dyDescent="0.25">
      <c r="A912" s="1">
        <v>46536</v>
      </c>
      <c r="L912" s="3">
        <f t="shared" si="45"/>
        <v>0</v>
      </c>
      <c r="M912" s="3"/>
      <c r="N912" s="3">
        <f t="shared" si="44"/>
        <v>0</v>
      </c>
      <c r="R912" s="23" t="str">
        <f t="shared" si="43"/>
        <v>Yes</v>
      </c>
    </row>
    <row r="913" spans="1:18" ht="15" customHeight="1" x14ac:dyDescent="0.25">
      <c r="A913" s="1">
        <v>46537</v>
      </c>
      <c r="L913" s="3">
        <f t="shared" si="45"/>
        <v>0</v>
      </c>
      <c r="M913" s="3"/>
      <c r="N913" s="3">
        <f t="shared" si="44"/>
        <v>0</v>
      </c>
      <c r="R913" s="23" t="str">
        <f t="shared" si="43"/>
        <v>Yes</v>
      </c>
    </row>
    <row r="914" spans="1:18" ht="15" customHeight="1" x14ac:dyDescent="0.25">
      <c r="A914" s="1">
        <v>46538</v>
      </c>
      <c r="L914" s="3">
        <f t="shared" si="45"/>
        <v>0</v>
      </c>
      <c r="M914" s="3"/>
      <c r="N914" s="3">
        <f t="shared" si="44"/>
        <v>0</v>
      </c>
      <c r="R914" s="23" t="str">
        <f t="shared" si="43"/>
        <v>Yes</v>
      </c>
    </row>
    <row r="915" spans="1:18" ht="15" customHeight="1" x14ac:dyDescent="0.25">
      <c r="A915" s="1">
        <v>46539</v>
      </c>
      <c r="L915" s="3">
        <f t="shared" si="45"/>
        <v>0</v>
      </c>
      <c r="M915" s="3"/>
      <c r="N915" s="3">
        <f t="shared" si="44"/>
        <v>0</v>
      </c>
      <c r="R915" s="23" t="str">
        <f t="shared" si="43"/>
        <v>Yes</v>
      </c>
    </row>
    <row r="916" spans="1:18" ht="15" customHeight="1" x14ac:dyDescent="0.25">
      <c r="A916" s="1">
        <v>46540</v>
      </c>
      <c r="L916" s="3">
        <f t="shared" si="45"/>
        <v>0</v>
      </c>
      <c r="M916" s="3"/>
      <c r="N916" s="3">
        <f t="shared" si="44"/>
        <v>0</v>
      </c>
      <c r="R916" s="23" t="str">
        <f t="shared" si="43"/>
        <v>Yes</v>
      </c>
    </row>
    <row r="917" spans="1:18" ht="15" customHeight="1" x14ac:dyDescent="0.25">
      <c r="A917" s="1">
        <v>46541</v>
      </c>
      <c r="L917" s="3">
        <f t="shared" si="45"/>
        <v>0</v>
      </c>
      <c r="M917" s="3"/>
      <c r="N917" s="3">
        <f t="shared" si="44"/>
        <v>0</v>
      </c>
      <c r="R917" s="23" t="str">
        <f t="shared" si="43"/>
        <v>Yes</v>
      </c>
    </row>
    <row r="918" spans="1:18" ht="15" customHeight="1" x14ac:dyDescent="0.25">
      <c r="A918" s="1">
        <v>46542</v>
      </c>
      <c r="L918" s="3">
        <f t="shared" si="45"/>
        <v>0</v>
      </c>
      <c r="M918" s="3"/>
      <c r="N918" s="3">
        <f t="shared" si="44"/>
        <v>0</v>
      </c>
      <c r="R918" s="23" t="str">
        <f t="shared" si="43"/>
        <v>Yes</v>
      </c>
    </row>
    <row r="919" spans="1:18" ht="15" customHeight="1" x14ac:dyDescent="0.25">
      <c r="A919" s="1">
        <v>46543</v>
      </c>
      <c r="L919" s="3">
        <f t="shared" si="45"/>
        <v>0</v>
      </c>
      <c r="M919" s="3"/>
      <c r="N919" s="3">
        <f t="shared" si="44"/>
        <v>0</v>
      </c>
      <c r="R919" s="23" t="str">
        <f t="shared" si="43"/>
        <v>Yes</v>
      </c>
    </row>
    <row r="920" spans="1:18" ht="15" customHeight="1" x14ac:dyDescent="0.25">
      <c r="A920" s="1">
        <v>46544</v>
      </c>
      <c r="L920" s="3">
        <f t="shared" si="45"/>
        <v>0</v>
      </c>
      <c r="M920" s="3"/>
      <c r="N920" s="3">
        <f t="shared" si="44"/>
        <v>0</v>
      </c>
      <c r="R920" s="23" t="str">
        <f t="shared" si="43"/>
        <v>Yes</v>
      </c>
    </row>
    <row r="921" spans="1:18" ht="15" customHeight="1" x14ac:dyDescent="0.25">
      <c r="A921" s="1">
        <v>46545</v>
      </c>
      <c r="L921" s="3">
        <f t="shared" si="45"/>
        <v>0</v>
      </c>
      <c r="M921" s="3"/>
      <c r="N921" s="3">
        <f t="shared" si="44"/>
        <v>0</v>
      </c>
      <c r="R921" s="23" t="str">
        <f t="shared" si="43"/>
        <v>Yes</v>
      </c>
    </row>
    <row r="922" spans="1:18" ht="15" customHeight="1" x14ac:dyDescent="0.25">
      <c r="A922" s="1">
        <v>46546</v>
      </c>
      <c r="L922" s="3">
        <f t="shared" si="45"/>
        <v>0</v>
      </c>
      <c r="M922" s="3"/>
      <c r="N922" s="3">
        <f t="shared" si="44"/>
        <v>0</v>
      </c>
      <c r="R922" s="23" t="str">
        <f t="shared" si="43"/>
        <v>Yes</v>
      </c>
    </row>
    <row r="923" spans="1:18" ht="15" customHeight="1" x14ac:dyDescent="0.25">
      <c r="A923" s="1">
        <v>46547</v>
      </c>
      <c r="L923" s="3">
        <f t="shared" si="45"/>
        <v>0</v>
      </c>
      <c r="M923" s="3"/>
      <c r="N923" s="3">
        <f t="shared" si="44"/>
        <v>0</v>
      </c>
      <c r="R923" s="23" t="str">
        <f t="shared" si="43"/>
        <v>Yes</v>
      </c>
    </row>
    <row r="924" spans="1:18" ht="15" customHeight="1" x14ac:dyDescent="0.25">
      <c r="A924" s="1">
        <v>46548</v>
      </c>
      <c r="L924" s="3">
        <f t="shared" si="45"/>
        <v>0</v>
      </c>
      <c r="M924" s="3"/>
      <c r="N924" s="3">
        <f t="shared" si="44"/>
        <v>0</v>
      </c>
      <c r="R924" s="23" t="str">
        <f t="shared" si="43"/>
        <v>Yes</v>
      </c>
    </row>
    <row r="925" spans="1:18" ht="15" customHeight="1" x14ac:dyDescent="0.25">
      <c r="A925" s="1">
        <v>46549</v>
      </c>
      <c r="L925" s="3">
        <f t="shared" si="45"/>
        <v>0</v>
      </c>
      <c r="M925" s="3"/>
      <c r="N925" s="3">
        <f t="shared" si="44"/>
        <v>0</v>
      </c>
      <c r="R925" s="23" t="str">
        <f t="shared" si="43"/>
        <v>Yes</v>
      </c>
    </row>
    <row r="926" spans="1:18" ht="15" customHeight="1" x14ac:dyDescent="0.25">
      <c r="A926" s="1">
        <v>46550</v>
      </c>
      <c r="L926" s="3">
        <f t="shared" si="45"/>
        <v>0</v>
      </c>
      <c r="M926" s="3"/>
      <c r="N926" s="3">
        <f t="shared" si="44"/>
        <v>0</v>
      </c>
      <c r="R926" s="23" t="str">
        <f t="shared" si="43"/>
        <v>Yes</v>
      </c>
    </row>
    <row r="927" spans="1:18" ht="15" customHeight="1" x14ac:dyDescent="0.25">
      <c r="A927" s="1">
        <v>46551</v>
      </c>
      <c r="L927" s="3">
        <f t="shared" si="45"/>
        <v>0</v>
      </c>
      <c r="M927" s="3"/>
      <c r="N927" s="3">
        <f t="shared" si="44"/>
        <v>0</v>
      </c>
      <c r="R927" s="23" t="str">
        <f t="shared" si="43"/>
        <v>Yes</v>
      </c>
    </row>
    <row r="928" spans="1:18" ht="15" customHeight="1" x14ac:dyDescent="0.25">
      <c r="A928" s="1">
        <v>46552</v>
      </c>
      <c r="L928" s="3">
        <f t="shared" si="45"/>
        <v>0</v>
      </c>
      <c r="M928" s="3"/>
      <c r="N928" s="3">
        <f t="shared" si="44"/>
        <v>0</v>
      </c>
      <c r="R928" s="23" t="str">
        <f t="shared" si="43"/>
        <v>Yes</v>
      </c>
    </row>
    <row r="929" spans="1:18" ht="15" customHeight="1" x14ac:dyDescent="0.25">
      <c r="A929" s="1">
        <v>46553</v>
      </c>
      <c r="L929" s="3">
        <f t="shared" si="45"/>
        <v>0</v>
      </c>
      <c r="M929" s="3"/>
      <c r="N929" s="3">
        <f t="shared" si="44"/>
        <v>0</v>
      </c>
      <c r="R929" s="23" t="str">
        <f t="shared" si="43"/>
        <v>Yes</v>
      </c>
    </row>
    <row r="930" spans="1:18" ht="15" customHeight="1" x14ac:dyDescent="0.25">
      <c r="A930" s="1">
        <v>46554</v>
      </c>
      <c r="L930" s="3">
        <f t="shared" si="45"/>
        <v>0</v>
      </c>
      <c r="M930" s="3"/>
      <c r="N930" s="3">
        <f t="shared" si="44"/>
        <v>0</v>
      </c>
      <c r="R930" s="23" t="str">
        <f t="shared" si="43"/>
        <v>Yes</v>
      </c>
    </row>
    <row r="931" spans="1:18" ht="15" customHeight="1" x14ac:dyDescent="0.25">
      <c r="A931" s="1">
        <v>46555</v>
      </c>
      <c r="L931" s="3">
        <f t="shared" si="45"/>
        <v>0</v>
      </c>
      <c r="M931" s="3"/>
      <c r="N931" s="3">
        <f t="shared" si="44"/>
        <v>0</v>
      </c>
      <c r="R931" s="23" t="str">
        <f t="shared" si="43"/>
        <v>Yes</v>
      </c>
    </row>
    <row r="932" spans="1:18" ht="15" customHeight="1" x14ac:dyDescent="0.25">
      <c r="A932" s="1">
        <v>46556</v>
      </c>
      <c r="L932" s="3">
        <f t="shared" si="45"/>
        <v>0</v>
      </c>
      <c r="M932" s="3"/>
      <c r="N932" s="3">
        <f t="shared" si="44"/>
        <v>0</v>
      </c>
      <c r="R932" s="23" t="str">
        <f t="shared" si="43"/>
        <v>Yes</v>
      </c>
    </row>
    <row r="933" spans="1:18" ht="15" customHeight="1" x14ac:dyDescent="0.25">
      <c r="A933" s="1">
        <v>46557</v>
      </c>
      <c r="L933" s="3">
        <f t="shared" si="45"/>
        <v>0</v>
      </c>
      <c r="M933" s="3"/>
      <c r="N933" s="3">
        <f t="shared" si="44"/>
        <v>0</v>
      </c>
      <c r="R933" s="23" t="str">
        <f t="shared" si="43"/>
        <v>Yes</v>
      </c>
    </row>
    <row r="934" spans="1:18" ht="15" customHeight="1" x14ac:dyDescent="0.25">
      <c r="A934" s="1">
        <v>46558</v>
      </c>
      <c r="L934" s="3">
        <f t="shared" si="45"/>
        <v>0</v>
      </c>
      <c r="M934" s="3"/>
      <c r="N934" s="3">
        <f t="shared" si="44"/>
        <v>0</v>
      </c>
      <c r="R934" s="23" t="str">
        <f t="shared" si="43"/>
        <v>Yes</v>
      </c>
    </row>
    <row r="935" spans="1:18" ht="15" customHeight="1" x14ac:dyDescent="0.25">
      <c r="A935" s="1">
        <v>46559</v>
      </c>
      <c r="L935" s="3">
        <f t="shared" si="45"/>
        <v>0</v>
      </c>
      <c r="M935" s="3"/>
      <c r="N935" s="3">
        <f t="shared" si="44"/>
        <v>0</v>
      </c>
      <c r="R935" s="23" t="str">
        <f t="shared" si="43"/>
        <v>Yes</v>
      </c>
    </row>
    <row r="936" spans="1:18" ht="15" customHeight="1" x14ac:dyDescent="0.25">
      <c r="A936" s="1">
        <v>46560</v>
      </c>
      <c r="L936" s="3">
        <f t="shared" si="45"/>
        <v>0</v>
      </c>
      <c r="M936" s="3"/>
      <c r="N936" s="3">
        <f t="shared" si="44"/>
        <v>0</v>
      </c>
      <c r="R936" s="23" t="str">
        <f t="shared" si="43"/>
        <v>Yes</v>
      </c>
    </row>
    <row r="937" spans="1:18" ht="15" customHeight="1" x14ac:dyDescent="0.25">
      <c r="A937" s="1">
        <v>46561</v>
      </c>
      <c r="L937" s="3">
        <f t="shared" si="45"/>
        <v>0</v>
      </c>
      <c r="M937" s="3"/>
      <c r="N937" s="3">
        <f t="shared" si="44"/>
        <v>0</v>
      </c>
      <c r="R937" s="23" t="str">
        <f t="shared" si="43"/>
        <v>Yes</v>
      </c>
    </row>
    <row r="938" spans="1:18" ht="15" customHeight="1" x14ac:dyDescent="0.25">
      <c r="A938" s="1">
        <v>46562</v>
      </c>
      <c r="B938" s="23"/>
      <c r="C938" s="23"/>
      <c r="D938" s="23"/>
      <c r="E938" s="23"/>
      <c r="F938" s="23"/>
      <c r="G938" s="23"/>
      <c r="H938" s="23"/>
      <c r="I938" s="23"/>
      <c r="J938" s="23"/>
      <c r="K938" s="23"/>
      <c r="L938" s="3">
        <f t="shared" si="45"/>
        <v>0</v>
      </c>
      <c r="M938" s="3"/>
      <c r="N938" s="3">
        <f t="shared" si="44"/>
        <v>0</v>
      </c>
      <c r="R938" s="23" t="str">
        <f t="shared" si="43"/>
        <v>Yes</v>
      </c>
    </row>
    <row r="939" spans="1:18" ht="15" customHeight="1" x14ac:dyDescent="0.25">
      <c r="A939" s="1">
        <v>46563</v>
      </c>
      <c r="B939" s="23"/>
      <c r="C939" s="23"/>
      <c r="D939" s="23"/>
      <c r="E939" s="23"/>
      <c r="F939" s="23"/>
      <c r="G939" s="23"/>
      <c r="H939" s="23"/>
      <c r="I939" s="23"/>
      <c r="J939" s="23"/>
      <c r="K939" s="23"/>
      <c r="L939" s="3">
        <f t="shared" si="45"/>
        <v>0</v>
      </c>
      <c r="M939" s="3"/>
      <c r="N939" s="3">
        <f t="shared" si="44"/>
        <v>0</v>
      </c>
      <c r="R939" s="23" t="str">
        <f t="shared" si="43"/>
        <v>Yes</v>
      </c>
    </row>
    <row r="940" spans="1:18" ht="15" customHeight="1" x14ac:dyDescent="0.25">
      <c r="A940" s="1">
        <v>46564</v>
      </c>
      <c r="B940" s="23"/>
      <c r="C940" s="23"/>
      <c r="D940" s="23"/>
      <c r="E940" s="23"/>
      <c r="F940" s="23"/>
      <c r="G940" s="23"/>
      <c r="H940" s="23"/>
      <c r="I940" s="23"/>
      <c r="J940" s="23"/>
      <c r="K940" s="23"/>
      <c r="L940" s="3">
        <f t="shared" si="45"/>
        <v>0</v>
      </c>
      <c r="M940" s="3"/>
      <c r="N940" s="3">
        <f t="shared" si="44"/>
        <v>0</v>
      </c>
      <c r="R940" s="23" t="str">
        <f t="shared" si="43"/>
        <v>Yes</v>
      </c>
    </row>
    <row r="941" spans="1:18" ht="15" customHeight="1" x14ac:dyDescent="0.25">
      <c r="A941" s="1">
        <v>46565</v>
      </c>
      <c r="B941" s="23"/>
      <c r="C941" s="23"/>
      <c r="D941" s="23"/>
      <c r="E941" s="23"/>
      <c r="F941" s="23"/>
      <c r="G941" s="23"/>
      <c r="H941" s="23"/>
      <c r="I941" s="23"/>
      <c r="J941" s="23"/>
      <c r="K941" s="23"/>
      <c r="L941" s="3">
        <f t="shared" si="45"/>
        <v>0</v>
      </c>
      <c r="M941" s="3"/>
      <c r="N941" s="3">
        <f t="shared" si="44"/>
        <v>0</v>
      </c>
      <c r="R941" s="23" t="str">
        <f t="shared" ref="R941:R1004" si="46">IF(Q941&gt;0,"Yes",IF(OR((O941+P941&lt;50000),O941&lt;24000,P941&lt;26000),"Yes","No"))</f>
        <v>Yes</v>
      </c>
    </row>
    <row r="942" spans="1:18" ht="15" customHeight="1" x14ac:dyDescent="0.25">
      <c r="A942" s="1">
        <v>46566</v>
      </c>
      <c r="B942" s="23"/>
      <c r="C942" s="23"/>
      <c r="D942" s="23"/>
      <c r="E942" s="23"/>
      <c r="F942" s="23"/>
      <c r="G942" s="23"/>
      <c r="H942" s="23"/>
      <c r="I942" s="23"/>
      <c r="J942" s="23"/>
      <c r="K942" s="23"/>
      <c r="L942" s="3">
        <f t="shared" si="45"/>
        <v>0</v>
      </c>
      <c r="M942" s="3"/>
      <c r="N942" s="3">
        <f t="shared" si="44"/>
        <v>0</v>
      </c>
      <c r="R942" s="23" t="str">
        <f t="shared" si="46"/>
        <v>Yes</v>
      </c>
    </row>
    <row r="943" spans="1:18" ht="15" customHeight="1" x14ac:dyDescent="0.25">
      <c r="A943" s="1">
        <v>46567</v>
      </c>
      <c r="B943" s="23"/>
      <c r="C943" s="23"/>
      <c r="D943" s="23"/>
      <c r="E943" s="23"/>
      <c r="F943" s="23"/>
      <c r="G943" s="23"/>
      <c r="H943" s="23"/>
      <c r="I943" s="23"/>
      <c r="J943" s="23"/>
      <c r="K943" s="23"/>
      <c r="L943" s="3">
        <f t="shared" si="45"/>
        <v>0</v>
      </c>
      <c r="M943" s="3"/>
      <c r="N943" s="3">
        <f t="shared" si="44"/>
        <v>0</v>
      </c>
      <c r="R943" s="23" t="str">
        <f t="shared" si="46"/>
        <v>Yes</v>
      </c>
    </row>
    <row r="944" spans="1:18" ht="15" customHeight="1" x14ac:dyDescent="0.25">
      <c r="A944" s="1">
        <v>46568</v>
      </c>
      <c r="B944" s="23"/>
      <c r="C944" s="23"/>
      <c r="D944" s="23"/>
      <c r="E944" s="23"/>
      <c r="F944" s="23"/>
      <c r="G944" s="23"/>
      <c r="H944" s="23"/>
      <c r="I944" s="23"/>
      <c r="J944" s="23"/>
      <c r="K944" s="23"/>
      <c r="L944" s="3">
        <f t="shared" si="45"/>
        <v>0</v>
      </c>
      <c r="M944" s="3"/>
      <c r="N944" s="3">
        <f t="shared" si="44"/>
        <v>0</v>
      </c>
      <c r="R944" s="23" t="str">
        <f t="shared" si="46"/>
        <v>Yes</v>
      </c>
    </row>
    <row r="945" spans="1:18" ht="15" customHeight="1" x14ac:dyDescent="0.25">
      <c r="A945" s="1">
        <v>46569</v>
      </c>
      <c r="L945" s="3">
        <f t="shared" si="45"/>
        <v>0</v>
      </c>
      <c r="M945" s="3"/>
      <c r="N945" s="3">
        <f t="shared" si="44"/>
        <v>0</v>
      </c>
      <c r="R945" s="23" t="str">
        <f t="shared" si="46"/>
        <v>Yes</v>
      </c>
    </row>
    <row r="946" spans="1:18" ht="15" customHeight="1" x14ac:dyDescent="0.25">
      <c r="A946" s="1">
        <v>46570</v>
      </c>
      <c r="L946" s="3">
        <f t="shared" si="45"/>
        <v>0</v>
      </c>
      <c r="M946" s="3"/>
      <c r="N946" s="3">
        <f t="shared" si="44"/>
        <v>0</v>
      </c>
      <c r="R946" s="23" t="str">
        <f t="shared" si="46"/>
        <v>Yes</v>
      </c>
    </row>
    <row r="947" spans="1:18" ht="15" customHeight="1" x14ac:dyDescent="0.25">
      <c r="A947" s="1">
        <v>46571</v>
      </c>
      <c r="L947" s="3">
        <f t="shared" si="45"/>
        <v>0</v>
      </c>
      <c r="M947" s="3"/>
      <c r="N947" s="3">
        <f t="shared" si="44"/>
        <v>0</v>
      </c>
      <c r="R947" s="23" t="str">
        <f t="shared" si="46"/>
        <v>Yes</v>
      </c>
    </row>
    <row r="948" spans="1:18" ht="15" customHeight="1" x14ac:dyDescent="0.25">
      <c r="A948" s="1">
        <v>46572</v>
      </c>
      <c r="L948" s="3">
        <f t="shared" si="45"/>
        <v>0</v>
      </c>
      <c r="M948" s="3"/>
      <c r="N948" s="3">
        <f t="shared" si="44"/>
        <v>0</v>
      </c>
      <c r="R948" s="23" t="str">
        <f t="shared" si="46"/>
        <v>Yes</v>
      </c>
    </row>
    <row r="949" spans="1:18" ht="15" customHeight="1" x14ac:dyDescent="0.25">
      <c r="A949" s="1">
        <v>46573</v>
      </c>
      <c r="L949" s="3">
        <f t="shared" si="45"/>
        <v>0</v>
      </c>
      <c r="M949" s="3"/>
      <c r="N949" s="3">
        <f t="shared" si="44"/>
        <v>0</v>
      </c>
      <c r="R949" s="23" t="str">
        <f t="shared" si="46"/>
        <v>Yes</v>
      </c>
    </row>
    <row r="950" spans="1:18" ht="15" customHeight="1" x14ac:dyDescent="0.25">
      <c r="A950" s="1">
        <v>46574</v>
      </c>
      <c r="L950" s="3">
        <f t="shared" si="45"/>
        <v>0</v>
      </c>
      <c r="M950" s="3"/>
      <c r="N950" s="3">
        <f t="shared" si="44"/>
        <v>0</v>
      </c>
      <c r="R950" s="23" t="str">
        <f t="shared" si="46"/>
        <v>Yes</v>
      </c>
    </row>
    <row r="951" spans="1:18" ht="15" customHeight="1" x14ac:dyDescent="0.25">
      <c r="A951" s="1">
        <v>46575</v>
      </c>
      <c r="L951" s="3">
        <f t="shared" si="45"/>
        <v>0</v>
      </c>
      <c r="M951" s="3"/>
      <c r="N951" s="3">
        <f t="shared" si="44"/>
        <v>0</v>
      </c>
      <c r="R951" s="23" t="str">
        <f t="shared" si="46"/>
        <v>Yes</v>
      </c>
    </row>
    <row r="952" spans="1:18" ht="15" customHeight="1" x14ac:dyDescent="0.25">
      <c r="A952" s="1">
        <v>46576</v>
      </c>
      <c r="L952" s="3">
        <f t="shared" si="45"/>
        <v>0</v>
      </c>
      <c r="M952" s="3"/>
      <c r="N952" s="3">
        <f t="shared" si="44"/>
        <v>0</v>
      </c>
      <c r="R952" s="23" t="str">
        <f t="shared" si="46"/>
        <v>Yes</v>
      </c>
    </row>
    <row r="953" spans="1:18" ht="15" customHeight="1" x14ac:dyDescent="0.25">
      <c r="A953" s="1">
        <v>46577</v>
      </c>
      <c r="L953" s="3">
        <f t="shared" si="45"/>
        <v>0</v>
      </c>
      <c r="M953" s="3"/>
      <c r="N953" s="3">
        <f t="shared" si="44"/>
        <v>0</v>
      </c>
      <c r="R953" s="23" t="str">
        <f t="shared" si="46"/>
        <v>Yes</v>
      </c>
    </row>
    <row r="954" spans="1:18" ht="15" customHeight="1" x14ac:dyDescent="0.25">
      <c r="A954" s="1">
        <v>46578</v>
      </c>
      <c r="L954" s="3">
        <f t="shared" si="45"/>
        <v>0</v>
      </c>
      <c r="M954" s="3"/>
      <c r="N954" s="3">
        <f t="shared" si="44"/>
        <v>0</v>
      </c>
      <c r="R954" s="23" t="str">
        <f t="shared" si="46"/>
        <v>Yes</v>
      </c>
    </row>
    <row r="955" spans="1:18" ht="15" customHeight="1" x14ac:dyDescent="0.25">
      <c r="A955" s="1">
        <v>46579</v>
      </c>
      <c r="L955" s="3">
        <f t="shared" si="45"/>
        <v>0</v>
      </c>
      <c r="M955" s="3"/>
      <c r="N955" s="3">
        <f t="shared" si="44"/>
        <v>0</v>
      </c>
      <c r="R955" s="23" t="str">
        <f t="shared" si="46"/>
        <v>Yes</v>
      </c>
    </row>
    <row r="956" spans="1:18" ht="15" customHeight="1" x14ac:dyDescent="0.25">
      <c r="A956" s="1">
        <v>46580</v>
      </c>
      <c r="L956" s="3">
        <f t="shared" si="45"/>
        <v>0</v>
      </c>
      <c r="M956" s="3"/>
      <c r="N956" s="3">
        <f t="shared" si="44"/>
        <v>0</v>
      </c>
      <c r="R956" s="23" t="str">
        <f t="shared" si="46"/>
        <v>Yes</v>
      </c>
    </row>
    <row r="957" spans="1:18" ht="15" customHeight="1" x14ac:dyDescent="0.25">
      <c r="A957" s="1">
        <v>46581</v>
      </c>
      <c r="L957" s="3">
        <f t="shared" si="45"/>
        <v>0</v>
      </c>
      <c r="M957" s="3"/>
      <c r="N957" s="3">
        <f t="shared" si="44"/>
        <v>0</v>
      </c>
      <c r="R957" s="23" t="str">
        <f t="shared" si="46"/>
        <v>Yes</v>
      </c>
    </row>
    <row r="958" spans="1:18" ht="15" customHeight="1" x14ac:dyDescent="0.25">
      <c r="A958" s="1">
        <v>46582</v>
      </c>
      <c r="L958" s="3">
        <f t="shared" si="45"/>
        <v>0</v>
      </c>
      <c r="M958" s="3"/>
      <c r="N958" s="3">
        <f t="shared" si="44"/>
        <v>0</v>
      </c>
      <c r="R958" s="23" t="str">
        <f t="shared" si="46"/>
        <v>Yes</v>
      </c>
    </row>
    <row r="959" spans="1:18" ht="15" customHeight="1" x14ac:dyDescent="0.25">
      <c r="A959" s="1">
        <v>46583</v>
      </c>
      <c r="L959" s="3">
        <f t="shared" si="45"/>
        <v>0</v>
      </c>
      <c r="M959" s="3"/>
      <c r="N959" s="3">
        <f t="shared" si="44"/>
        <v>0</v>
      </c>
      <c r="R959" s="23" t="str">
        <f t="shared" si="46"/>
        <v>Yes</v>
      </c>
    </row>
    <row r="960" spans="1:18" ht="15" customHeight="1" x14ac:dyDescent="0.25">
      <c r="A960" s="1">
        <v>46584</v>
      </c>
      <c r="L960" s="3">
        <f t="shared" si="45"/>
        <v>0</v>
      </c>
      <c r="M960" s="3"/>
      <c r="N960" s="3">
        <f t="shared" si="44"/>
        <v>0</v>
      </c>
      <c r="R960" s="23" t="str">
        <f t="shared" si="46"/>
        <v>Yes</v>
      </c>
    </row>
    <row r="961" spans="1:18" ht="15" customHeight="1" x14ac:dyDescent="0.25">
      <c r="A961" s="1">
        <v>46585</v>
      </c>
      <c r="L961" s="3">
        <f t="shared" si="45"/>
        <v>0</v>
      </c>
      <c r="M961" s="3"/>
      <c r="N961" s="3">
        <f t="shared" si="44"/>
        <v>0</v>
      </c>
      <c r="R961" s="23" t="str">
        <f t="shared" si="46"/>
        <v>Yes</v>
      </c>
    </row>
    <row r="962" spans="1:18" ht="15" customHeight="1" x14ac:dyDescent="0.25">
      <c r="A962" s="1">
        <v>46586</v>
      </c>
      <c r="L962" s="3">
        <f t="shared" si="45"/>
        <v>0</v>
      </c>
      <c r="M962" s="3"/>
      <c r="N962" s="3">
        <f t="shared" si="44"/>
        <v>0</v>
      </c>
      <c r="R962" s="23" t="str">
        <f t="shared" si="46"/>
        <v>Yes</v>
      </c>
    </row>
    <row r="963" spans="1:18" ht="15" customHeight="1" x14ac:dyDescent="0.25">
      <c r="A963" s="1">
        <v>46587</v>
      </c>
      <c r="L963" s="3">
        <f t="shared" si="45"/>
        <v>0</v>
      </c>
      <c r="M963" s="3"/>
      <c r="N963" s="3">
        <f t="shared" ref="N963:N1026" si="47">IF(OR(O963&lt;24300,P963&lt;25700),MAX(L963,M963),L963)</f>
        <v>0</v>
      </c>
      <c r="R963" s="23" t="str">
        <f t="shared" si="46"/>
        <v>Yes</v>
      </c>
    </row>
    <row r="964" spans="1:18" ht="15" customHeight="1" x14ac:dyDescent="0.25">
      <c r="A964" s="1">
        <v>46588</v>
      </c>
      <c r="L964" s="3">
        <f t="shared" ref="L964:L1027" si="48">SUM(B964:K964)</f>
        <v>0</v>
      </c>
      <c r="M964" s="3"/>
      <c r="N964" s="3">
        <f t="shared" si="47"/>
        <v>0</v>
      </c>
      <c r="R964" s="23" t="str">
        <f t="shared" si="46"/>
        <v>Yes</v>
      </c>
    </row>
    <row r="965" spans="1:18" ht="15" customHeight="1" x14ac:dyDescent="0.25">
      <c r="A965" s="1">
        <v>46589</v>
      </c>
      <c r="L965" s="3">
        <f t="shared" si="48"/>
        <v>0</v>
      </c>
      <c r="M965" s="3"/>
      <c r="N965" s="3">
        <f t="shared" si="47"/>
        <v>0</v>
      </c>
      <c r="R965" s="23" t="str">
        <f t="shared" si="46"/>
        <v>Yes</v>
      </c>
    </row>
    <row r="966" spans="1:18" ht="15" customHeight="1" x14ac:dyDescent="0.25">
      <c r="A966" s="1">
        <v>46590</v>
      </c>
      <c r="L966" s="3">
        <f t="shared" si="48"/>
        <v>0</v>
      </c>
      <c r="M966" s="3"/>
      <c r="N966" s="3">
        <f t="shared" si="47"/>
        <v>0</v>
      </c>
      <c r="R966" s="23" t="str">
        <f t="shared" si="46"/>
        <v>Yes</v>
      </c>
    </row>
    <row r="967" spans="1:18" ht="15" customHeight="1" x14ac:dyDescent="0.25">
      <c r="A967" s="1">
        <v>46591</v>
      </c>
      <c r="L967" s="3">
        <f t="shared" si="48"/>
        <v>0</v>
      </c>
      <c r="M967" s="3"/>
      <c r="N967" s="3">
        <f t="shared" si="47"/>
        <v>0</v>
      </c>
      <c r="R967" s="23" t="str">
        <f t="shared" si="46"/>
        <v>Yes</v>
      </c>
    </row>
    <row r="968" spans="1:18" ht="15" customHeight="1" x14ac:dyDescent="0.25">
      <c r="A968" s="1">
        <v>46592</v>
      </c>
      <c r="L968" s="3">
        <f t="shared" si="48"/>
        <v>0</v>
      </c>
      <c r="M968" s="3"/>
      <c r="N968" s="3">
        <f t="shared" si="47"/>
        <v>0</v>
      </c>
      <c r="R968" s="23" t="str">
        <f t="shared" si="46"/>
        <v>Yes</v>
      </c>
    </row>
    <row r="969" spans="1:18" ht="15" customHeight="1" x14ac:dyDescent="0.25">
      <c r="A969" s="1">
        <v>46593</v>
      </c>
      <c r="L969" s="3">
        <f t="shared" si="48"/>
        <v>0</v>
      </c>
      <c r="M969" s="3"/>
      <c r="N969" s="3">
        <f t="shared" si="47"/>
        <v>0</v>
      </c>
      <c r="R969" s="23" t="str">
        <f t="shared" si="46"/>
        <v>Yes</v>
      </c>
    </row>
    <row r="970" spans="1:18" ht="15" customHeight="1" x14ac:dyDescent="0.25">
      <c r="A970" s="1">
        <v>46594</v>
      </c>
      <c r="L970" s="3">
        <f t="shared" si="48"/>
        <v>0</v>
      </c>
      <c r="M970" s="3"/>
      <c r="N970" s="3">
        <f t="shared" si="47"/>
        <v>0</v>
      </c>
      <c r="R970" s="23" t="str">
        <f t="shared" si="46"/>
        <v>Yes</v>
      </c>
    </row>
    <row r="971" spans="1:18" ht="15" customHeight="1" x14ac:dyDescent="0.25">
      <c r="A971" s="1">
        <v>46595</v>
      </c>
      <c r="L971" s="3">
        <f t="shared" si="48"/>
        <v>0</v>
      </c>
      <c r="M971" s="3"/>
      <c r="N971" s="3">
        <f t="shared" si="47"/>
        <v>0</v>
      </c>
      <c r="R971" s="23" t="str">
        <f t="shared" si="46"/>
        <v>Yes</v>
      </c>
    </row>
    <row r="972" spans="1:18" ht="15" customHeight="1" x14ac:dyDescent="0.25">
      <c r="A972" s="1">
        <v>46596</v>
      </c>
      <c r="L972" s="3">
        <f t="shared" si="48"/>
        <v>0</v>
      </c>
      <c r="M972" s="3"/>
      <c r="N972" s="3">
        <f t="shared" si="47"/>
        <v>0</v>
      </c>
      <c r="R972" s="23" t="str">
        <f t="shared" si="46"/>
        <v>Yes</v>
      </c>
    </row>
    <row r="973" spans="1:18" ht="15" customHeight="1" x14ac:dyDescent="0.25">
      <c r="A973" s="1">
        <v>46597</v>
      </c>
      <c r="L973" s="3">
        <f t="shared" si="48"/>
        <v>0</v>
      </c>
      <c r="M973" s="3"/>
      <c r="N973" s="3">
        <f t="shared" si="47"/>
        <v>0</v>
      </c>
      <c r="R973" s="23" t="str">
        <f t="shared" si="46"/>
        <v>Yes</v>
      </c>
    </row>
    <row r="974" spans="1:18" ht="15" customHeight="1" x14ac:dyDescent="0.25">
      <c r="A974" s="1">
        <v>46598</v>
      </c>
      <c r="L974" s="3">
        <f t="shared" si="48"/>
        <v>0</v>
      </c>
      <c r="M974" s="3"/>
      <c r="N974" s="3">
        <f t="shared" si="47"/>
        <v>0</v>
      </c>
      <c r="R974" s="23" t="str">
        <f t="shared" si="46"/>
        <v>Yes</v>
      </c>
    </row>
    <row r="975" spans="1:18" ht="15" customHeight="1" x14ac:dyDescent="0.25">
      <c r="A975" s="1">
        <v>46599</v>
      </c>
      <c r="L975" s="3">
        <f t="shared" si="48"/>
        <v>0</v>
      </c>
      <c r="M975" s="3"/>
      <c r="N975" s="3">
        <f t="shared" si="47"/>
        <v>0</v>
      </c>
      <c r="R975" s="23" t="str">
        <f t="shared" si="46"/>
        <v>Yes</v>
      </c>
    </row>
    <row r="976" spans="1:18" ht="15" customHeight="1" x14ac:dyDescent="0.25">
      <c r="A976" s="1">
        <v>46600</v>
      </c>
      <c r="L976" s="3">
        <f t="shared" si="48"/>
        <v>0</v>
      </c>
      <c r="M976" s="3"/>
      <c r="N976" s="3">
        <f t="shared" si="47"/>
        <v>0</v>
      </c>
      <c r="R976" s="23" t="str">
        <f t="shared" si="46"/>
        <v>Yes</v>
      </c>
    </row>
    <row r="977" spans="1:18" ht="15" customHeight="1" x14ac:dyDescent="0.25">
      <c r="A977" s="1">
        <v>46601</v>
      </c>
      <c r="L977" s="3">
        <f t="shared" si="48"/>
        <v>0</v>
      </c>
      <c r="M977" s="3"/>
      <c r="N977" s="3">
        <f t="shared" si="47"/>
        <v>0</v>
      </c>
      <c r="R977" s="23" t="str">
        <f t="shared" si="46"/>
        <v>Yes</v>
      </c>
    </row>
    <row r="978" spans="1:18" ht="15" customHeight="1" x14ac:dyDescent="0.25">
      <c r="A978" s="1">
        <v>46602</v>
      </c>
      <c r="L978" s="3">
        <f t="shared" si="48"/>
        <v>0</v>
      </c>
      <c r="M978" s="3"/>
      <c r="N978" s="3">
        <f t="shared" si="47"/>
        <v>0</v>
      </c>
      <c r="R978" s="23" t="str">
        <f t="shared" si="46"/>
        <v>Yes</v>
      </c>
    </row>
    <row r="979" spans="1:18" ht="15" customHeight="1" x14ac:dyDescent="0.25">
      <c r="A979" s="1">
        <v>46603</v>
      </c>
      <c r="L979" s="3">
        <f t="shared" si="48"/>
        <v>0</v>
      </c>
      <c r="M979" s="3"/>
      <c r="N979" s="3">
        <f t="shared" si="47"/>
        <v>0</v>
      </c>
      <c r="R979" s="23" t="str">
        <f t="shared" si="46"/>
        <v>Yes</v>
      </c>
    </row>
    <row r="980" spans="1:18" ht="15" customHeight="1" x14ac:dyDescent="0.25">
      <c r="A980" s="1">
        <v>46604</v>
      </c>
      <c r="L980" s="3">
        <f t="shared" si="48"/>
        <v>0</v>
      </c>
      <c r="M980" s="3"/>
      <c r="N980" s="3">
        <f t="shared" si="47"/>
        <v>0</v>
      </c>
      <c r="R980" s="23" t="str">
        <f t="shared" si="46"/>
        <v>Yes</v>
      </c>
    </row>
    <row r="981" spans="1:18" ht="15" customHeight="1" x14ac:dyDescent="0.25">
      <c r="A981" s="1">
        <v>46605</v>
      </c>
      <c r="L981" s="3">
        <f t="shared" si="48"/>
        <v>0</v>
      </c>
      <c r="M981" s="3"/>
      <c r="N981" s="3">
        <f t="shared" si="47"/>
        <v>0</v>
      </c>
      <c r="R981" s="23" t="str">
        <f t="shared" si="46"/>
        <v>Yes</v>
      </c>
    </row>
    <row r="982" spans="1:18" ht="15" customHeight="1" x14ac:dyDescent="0.25">
      <c r="A982" s="1">
        <v>46606</v>
      </c>
      <c r="L982" s="3">
        <f t="shared" si="48"/>
        <v>0</v>
      </c>
      <c r="M982" s="3"/>
      <c r="N982" s="3">
        <f t="shared" si="47"/>
        <v>0</v>
      </c>
      <c r="R982" s="23" t="str">
        <f t="shared" si="46"/>
        <v>Yes</v>
      </c>
    </row>
    <row r="983" spans="1:18" ht="15" customHeight="1" x14ac:dyDescent="0.25">
      <c r="A983" s="1">
        <v>46607</v>
      </c>
      <c r="L983" s="3">
        <f t="shared" si="48"/>
        <v>0</v>
      </c>
      <c r="M983" s="3"/>
      <c r="N983" s="3">
        <f t="shared" si="47"/>
        <v>0</v>
      </c>
      <c r="R983" s="23" t="str">
        <f t="shared" si="46"/>
        <v>Yes</v>
      </c>
    </row>
    <row r="984" spans="1:18" ht="15" customHeight="1" x14ac:dyDescent="0.25">
      <c r="A984" s="1">
        <v>46608</v>
      </c>
      <c r="L984" s="3">
        <f t="shared" si="48"/>
        <v>0</v>
      </c>
      <c r="M984" s="3"/>
      <c r="N984" s="3">
        <f t="shared" si="47"/>
        <v>0</v>
      </c>
      <c r="R984" s="23" t="str">
        <f t="shared" si="46"/>
        <v>Yes</v>
      </c>
    </row>
    <row r="985" spans="1:18" ht="15" customHeight="1" x14ac:dyDescent="0.25">
      <c r="A985" s="1">
        <v>46609</v>
      </c>
      <c r="L985" s="3">
        <f t="shared" si="48"/>
        <v>0</v>
      </c>
      <c r="M985" s="3"/>
      <c r="N985" s="3">
        <f t="shared" si="47"/>
        <v>0</v>
      </c>
      <c r="R985" s="23" t="str">
        <f t="shared" si="46"/>
        <v>Yes</v>
      </c>
    </row>
    <row r="986" spans="1:18" ht="15" customHeight="1" x14ac:dyDescent="0.25">
      <c r="A986" s="1">
        <v>46610</v>
      </c>
      <c r="L986" s="3">
        <f t="shared" si="48"/>
        <v>0</v>
      </c>
      <c r="M986" s="3"/>
      <c r="N986" s="3">
        <f t="shared" si="47"/>
        <v>0</v>
      </c>
      <c r="R986" s="23" t="str">
        <f t="shared" si="46"/>
        <v>Yes</v>
      </c>
    </row>
    <row r="987" spans="1:18" ht="15" customHeight="1" x14ac:dyDescent="0.25">
      <c r="A987" s="1">
        <v>46611</v>
      </c>
      <c r="L987" s="3">
        <f t="shared" si="48"/>
        <v>0</v>
      </c>
      <c r="M987" s="3"/>
      <c r="N987" s="3">
        <f t="shared" si="47"/>
        <v>0</v>
      </c>
      <c r="R987" s="23" t="str">
        <f t="shared" si="46"/>
        <v>Yes</v>
      </c>
    </row>
    <row r="988" spans="1:18" ht="15" customHeight="1" x14ac:dyDescent="0.25">
      <c r="A988" s="1">
        <v>46612</v>
      </c>
      <c r="L988" s="3">
        <f t="shared" si="48"/>
        <v>0</v>
      </c>
      <c r="M988" s="3"/>
      <c r="N988" s="3">
        <f t="shared" si="47"/>
        <v>0</v>
      </c>
      <c r="R988" s="23" t="str">
        <f t="shared" si="46"/>
        <v>Yes</v>
      </c>
    </row>
    <row r="989" spans="1:18" ht="15" customHeight="1" x14ac:dyDescent="0.25">
      <c r="A989" s="1">
        <v>46613</v>
      </c>
      <c r="L989" s="3">
        <f t="shared" si="48"/>
        <v>0</v>
      </c>
      <c r="M989" s="3"/>
      <c r="N989" s="3">
        <f t="shared" si="47"/>
        <v>0</v>
      </c>
      <c r="R989" s="23" t="str">
        <f t="shared" si="46"/>
        <v>Yes</v>
      </c>
    </row>
    <row r="990" spans="1:18" ht="15" customHeight="1" x14ac:dyDescent="0.25">
      <c r="A990" s="1">
        <v>46614</v>
      </c>
      <c r="L990" s="3">
        <f t="shared" si="48"/>
        <v>0</v>
      </c>
      <c r="M990" s="3"/>
      <c r="N990" s="3">
        <f t="shared" si="47"/>
        <v>0</v>
      </c>
      <c r="R990" s="23" t="str">
        <f t="shared" si="46"/>
        <v>Yes</v>
      </c>
    </row>
    <row r="991" spans="1:18" ht="15" customHeight="1" x14ac:dyDescent="0.25">
      <c r="A991" s="1">
        <v>46615</v>
      </c>
      <c r="L991" s="3">
        <f t="shared" si="48"/>
        <v>0</v>
      </c>
      <c r="M991" s="3"/>
      <c r="N991" s="3">
        <f t="shared" si="47"/>
        <v>0</v>
      </c>
      <c r="R991" s="23" t="str">
        <f t="shared" si="46"/>
        <v>Yes</v>
      </c>
    </row>
    <row r="992" spans="1:18" ht="15" customHeight="1" x14ac:dyDescent="0.25">
      <c r="A992" s="1">
        <v>46616</v>
      </c>
      <c r="L992" s="3">
        <f t="shared" si="48"/>
        <v>0</v>
      </c>
      <c r="M992" s="3"/>
      <c r="N992" s="3">
        <f t="shared" si="47"/>
        <v>0</v>
      </c>
      <c r="R992" s="23" t="str">
        <f t="shared" si="46"/>
        <v>Yes</v>
      </c>
    </row>
    <row r="993" spans="1:18" ht="15" customHeight="1" x14ac:dyDescent="0.25">
      <c r="A993" s="1">
        <v>46617</v>
      </c>
      <c r="L993" s="3">
        <f t="shared" si="48"/>
        <v>0</v>
      </c>
      <c r="M993" s="3"/>
      <c r="N993" s="3">
        <f t="shared" si="47"/>
        <v>0</v>
      </c>
      <c r="R993" s="23" t="str">
        <f t="shared" si="46"/>
        <v>Yes</v>
      </c>
    </row>
    <row r="994" spans="1:18" ht="15" customHeight="1" x14ac:dyDescent="0.25">
      <c r="A994" s="1">
        <v>46618</v>
      </c>
      <c r="L994" s="3">
        <f t="shared" si="48"/>
        <v>0</v>
      </c>
      <c r="M994" s="3"/>
      <c r="N994" s="3">
        <f t="shared" si="47"/>
        <v>0</v>
      </c>
      <c r="R994" s="23" t="str">
        <f t="shared" si="46"/>
        <v>Yes</v>
      </c>
    </row>
    <row r="995" spans="1:18" ht="15" customHeight="1" x14ac:dyDescent="0.25">
      <c r="A995" s="1">
        <v>46619</v>
      </c>
      <c r="L995" s="3">
        <f t="shared" si="48"/>
        <v>0</v>
      </c>
      <c r="M995" s="3"/>
      <c r="N995" s="3">
        <f t="shared" si="47"/>
        <v>0</v>
      </c>
      <c r="R995" s="23" t="str">
        <f t="shared" si="46"/>
        <v>Yes</v>
      </c>
    </row>
    <row r="996" spans="1:18" ht="15" customHeight="1" x14ac:dyDescent="0.25">
      <c r="A996" s="1">
        <v>46620</v>
      </c>
      <c r="L996" s="3">
        <f t="shared" si="48"/>
        <v>0</v>
      </c>
      <c r="M996" s="3"/>
      <c r="N996" s="3">
        <f t="shared" si="47"/>
        <v>0</v>
      </c>
      <c r="R996" s="23" t="str">
        <f t="shared" si="46"/>
        <v>Yes</v>
      </c>
    </row>
    <row r="997" spans="1:18" ht="15" customHeight="1" x14ac:dyDescent="0.25">
      <c r="A997" s="1">
        <v>46621</v>
      </c>
      <c r="L997" s="3">
        <f t="shared" si="48"/>
        <v>0</v>
      </c>
      <c r="M997" s="3"/>
      <c r="N997" s="3">
        <f t="shared" si="47"/>
        <v>0</v>
      </c>
      <c r="R997" s="23" t="str">
        <f t="shared" si="46"/>
        <v>Yes</v>
      </c>
    </row>
    <row r="998" spans="1:18" ht="15" customHeight="1" x14ac:dyDescent="0.25">
      <c r="A998" s="1">
        <v>46622</v>
      </c>
      <c r="L998" s="3">
        <f t="shared" si="48"/>
        <v>0</v>
      </c>
      <c r="M998" s="3"/>
      <c r="N998" s="3">
        <f t="shared" si="47"/>
        <v>0</v>
      </c>
      <c r="R998" s="23" t="str">
        <f t="shared" si="46"/>
        <v>Yes</v>
      </c>
    </row>
    <row r="999" spans="1:18" ht="15" customHeight="1" x14ac:dyDescent="0.25">
      <c r="A999" s="1">
        <v>46623</v>
      </c>
      <c r="L999" s="3">
        <f t="shared" si="48"/>
        <v>0</v>
      </c>
      <c r="M999" s="3"/>
      <c r="N999" s="3">
        <f t="shared" si="47"/>
        <v>0</v>
      </c>
      <c r="R999" s="23" t="str">
        <f t="shared" si="46"/>
        <v>Yes</v>
      </c>
    </row>
    <row r="1000" spans="1:18" ht="15" customHeight="1" x14ac:dyDescent="0.25">
      <c r="A1000" s="1">
        <v>46624</v>
      </c>
      <c r="L1000" s="3">
        <f t="shared" si="48"/>
        <v>0</v>
      </c>
      <c r="M1000" s="3"/>
      <c r="N1000" s="3">
        <f t="shared" si="47"/>
        <v>0</v>
      </c>
      <c r="R1000" s="23" t="str">
        <f t="shared" si="46"/>
        <v>Yes</v>
      </c>
    </row>
    <row r="1001" spans="1:18" ht="15" customHeight="1" x14ac:dyDescent="0.25">
      <c r="A1001" s="1">
        <v>46625</v>
      </c>
      <c r="L1001" s="3">
        <f t="shared" si="48"/>
        <v>0</v>
      </c>
      <c r="M1001" s="3"/>
      <c r="N1001" s="3">
        <f t="shared" si="47"/>
        <v>0</v>
      </c>
      <c r="R1001" s="23" t="str">
        <f t="shared" si="46"/>
        <v>Yes</v>
      </c>
    </row>
    <row r="1002" spans="1:18" ht="15" customHeight="1" x14ac:dyDescent="0.25">
      <c r="A1002" s="1">
        <v>46626</v>
      </c>
      <c r="L1002" s="3">
        <f t="shared" si="48"/>
        <v>0</v>
      </c>
      <c r="M1002" s="3"/>
      <c r="N1002" s="3">
        <f t="shared" si="47"/>
        <v>0</v>
      </c>
      <c r="R1002" s="23" t="str">
        <f t="shared" si="46"/>
        <v>Yes</v>
      </c>
    </row>
    <row r="1003" spans="1:18" ht="15" customHeight="1" x14ac:dyDescent="0.25">
      <c r="A1003" s="1">
        <v>46627</v>
      </c>
      <c r="L1003" s="3">
        <f t="shared" si="48"/>
        <v>0</v>
      </c>
      <c r="M1003" s="3"/>
      <c r="N1003" s="3">
        <f t="shared" si="47"/>
        <v>0</v>
      </c>
      <c r="R1003" s="23" t="str">
        <f t="shared" si="46"/>
        <v>Yes</v>
      </c>
    </row>
    <row r="1004" spans="1:18" ht="15" customHeight="1" x14ac:dyDescent="0.25">
      <c r="A1004" s="1">
        <v>46628</v>
      </c>
      <c r="L1004" s="3">
        <f t="shared" si="48"/>
        <v>0</v>
      </c>
      <c r="M1004" s="3"/>
      <c r="N1004" s="3">
        <f t="shared" si="47"/>
        <v>0</v>
      </c>
      <c r="R1004" s="23" t="str">
        <f t="shared" si="46"/>
        <v>Yes</v>
      </c>
    </row>
    <row r="1005" spans="1:18" ht="15" customHeight="1" x14ac:dyDescent="0.25">
      <c r="A1005" s="1">
        <v>46629</v>
      </c>
      <c r="L1005" s="3">
        <f t="shared" si="48"/>
        <v>0</v>
      </c>
      <c r="M1005" s="3"/>
      <c r="N1005" s="3">
        <f t="shared" si="47"/>
        <v>0</v>
      </c>
      <c r="R1005" s="23" t="str">
        <f t="shared" ref="R1005:R1068" si="49">IF(Q1005&gt;0,"Yes",IF(OR((O1005+P1005&lt;50000),O1005&lt;24000,P1005&lt;26000),"Yes","No"))</f>
        <v>Yes</v>
      </c>
    </row>
    <row r="1006" spans="1:18" ht="15" customHeight="1" x14ac:dyDescent="0.25">
      <c r="A1006" s="1">
        <v>46630</v>
      </c>
      <c r="L1006" s="3">
        <f t="shared" si="48"/>
        <v>0</v>
      </c>
      <c r="M1006" s="3"/>
      <c r="N1006" s="3">
        <f t="shared" si="47"/>
        <v>0</v>
      </c>
      <c r="R1006" s="23" t="str">
        <f t="shared" si="49"/>
        <v>Yes</v>
      </c>
    </row>
    <row r="1007" spans="1:18" ht="15" customHeight="1" x14ac:dyDescent="0.25">
      <c r="A1007" s="1">
        <v>46631</v>
      </c>
      <c r="L1007" s="3">
        <f t="shared" si="48"/>
        <v>0</v>
      </c>
      <c r="M1007" s="3"/>
      <c r="N1007" s="3">
        <f t="shared" si="47"/>
        <v>0</v>
      </c>
      <c r="R1007" s="23" t="str">
        <f t="shared" si="49"/>
        <v>Yes</v>
      </c>
    </row>
    <row r="1008" spans="1:18" ht="15" customHeight="1" x14ac:dyDescent="0.25">
      <c r="A1008" s="1">
        <v>46632</v>
      </c>
      <c r="L1008" s="3">
        <f t="shared" si="48"/>
        <v>0</v>
      </c>
      <c r="M1008" s="3"/>
      <c r="N1008" s="3">
        <f t="shared" si="47"/>
        <v>0</v>
      </c>
      <c r="R1008" s="23" t="str">
        <f t="shared" si="49"/>
        <v>Yes</v>
      </c>
    </row>
    <row r="1009" spans="1:18" ht="15" customHeight="1" x14ac:dyDescent="0.25">
      <c r="A1009" s="1">
        <v>46633</v>
      </c>
      <c r="L1009" s="3">
        <f t="shared" si="48"/>
        <v>0</v>
      </c>
      <c r="M1009" s="3"/>
      <c r="N1009" s="3">
        <f t="shared" si="47"/>
        <v>0</v>
      </c>
      <c r="R1009" s="23" t="str">
        <f t="shared" si="49"/>
        <v>Yes</v>
      </c>
    </row>
    <row r="1010" spans="1:18" ht="15" customHeight="1" x14ac:dyDescent="0.25">
      <c r="A1010" s="1">
        <v>46634</v>
      </c>
      <c r="L1010" s="3">
        <f t="shared" si="48"/>
        <v>0</v>
      </c>
      <c r="M1010" s="3"/>
      <c r="N1010" s="3">
        <f t="shared" si="47"/>
        <v>0</v>
      </c>
      <c r="R1010" s="23" t="str">
        <f t="shared" si="49"/>
        <v>Yes</v>
      </c>
    </row>
    <row r="1011" spans="1:18" ht="15" customHeight="1" x14ac:dyDescent="0.25">
      <c r="A1011" s="1">
        <v>46635</v>
      </c>
      <c r="L1011" s="3">
        <f t="shared" si="48"/>
        <v>0</v>
      </c>
      <c r="M1011" s="3"/>
      <c r="N1011" s="3">
        <f t="shared" si="47"/>
        <v>0</v>
      </c>
      <c r="R1011" s="23" t="str">
        <f t="shared" si="49"/>
        <v>Yes</v>
      </c>
    </row>
    <row r="1012" spans="1:18" ht="15" customHeight="1" x14ac:dyDescent="0.25">
      <c r="A1012" s="1">
        <v>46636</v>
      </c>
      <c r="L1012" s="3">
        <f t="shared" si="48"/>
        <v>0</v>
      </c>
      <c r="M1012" s="3"/>
      <c r="N1012" s="3">
        <f t="shared" si="47"/>
        <v>0</v>
      </c>
      <c r="R1012" s="23" t="str">
        <f t="shared" si="49"/>
        <v>Yes</v>
      </c>
    </row>
    <row r="1013" spans="1:18" ht="15" customHeight="1" x14ac:dyDescent="0.25">
      <c r="A1013" s="1">
        <v>46637</v>
      </c>
      <c r="L1013" s="3">
        <f t="shared" si="48"/>
        <v>0</v>
      </c>
      <c r="M1013" s="3"/>
      <c r="N1013" s="3">
        <f t="shared" si="47"/>
        <v>0</v>
      </c>
      <c r="R1013" s="23" t="str">
        <f t="shared" si="49"/>
        <v>Yes</v>
      </c>
    </row>
    <row r="1014" spans="1:18" ht="15" customHeight="1" x14ac:dyDescent="0.25">
      <c r="A1014" s="1">
        <v>46638</v>
      </c>
      <c r="L1014" s="3">
        <f t="shared" si="48"/>
        <v>0</v>
      </c>
      <c r="M1014" s="3"/>
      <c r="N1014" s="3">
        <f t="shared" si="47"/>
        <v>0</v>
      </c>
      <c r="R1014" s="23" t="str">
        <f t="shared" si="49"/>
        <v>Yes</v>
      </c>
    </row>
    <row r="1015" spans="1:18" ht="15" customHeight="1" x14ac:dyDescent="0.25">
      <c r="A1015" s="1">
        <v>46639</v>
      </c>
      <c r="L1015" s="3">
        <f t="shared" si="48"/>
        <v>0</v>
      </c>
      <c r="M1015" s="3"/>
      <c r="N1015" s="3">
        <f t="shared" si="47"/>
        <v>0</v>
      </c>
      <c r="R1015" s="23" t="str">
        <f t="shared" si="49"/>
        <v>Yes</v>
      </c>
    </row>
    <row r="1016" spans="1:18" ht="15" customHeight="1" x14ac:dyDescent="0.25">
      <c r="A1016" s="1">
        <v>46640</v>
      </c>
      <c r="L1016" s="3">
        <f t="shared" si="48"/>
        <v>0</v>
      </c>
      <c r="M1016" s="3"/>
      <c r="N1016" s="3">
        <f t="shared" si="47"/>
        <v>0</v>
      </c>
      <c r="R1016" s="23" t="str">
        <f t="shared" si="49"/>
        <v>Yes</v>
      </c>
    </row>
    <row r="1017" spans="1:18" ht="15" customHeight="1" x14ac:dyDescent="0.25">
      <c r="A1017" s="1">
        <v>46641</v>
      </c>
      <c r="L1017" s="3">
        <f t="shared" si="48"/>
        <v>0</v>
      </c>
      <c r="M1017" s="3"/>
      <c r="N1017" s="3">
        <f t="shared" si="47"/>
        <v>0</v>
      </c>
      <c r="R1017" s="23" t="str">
        <f t="shared" si="49"/>
        <v>Yes</v>
      </c>
    </row>
    <row r="1018" spans="1:18" ht="15" customHeight="1" x14ac:dyDescent="0.25">
      <c r="A1018" s="1">
        <v>46642</v>
      </c>
      <c r="L1018" s="3">
        <f t="shared" si="48"/>
        <v>0</v>
      </c>
      <c r="M1018" s="3"/>
      <c r="N1018" s="3">
        <f t="shared" si="47"/>
        <v>0</v>
      </c>
      <c r="R1018" s="23" t="str">
        <f t="shared" si="49"/>
        <v>Yes</v>
      </c>
    </row>
    <row r="1019" spans="1:18" ht="15" customHeight="1" x14ac:dyDescent="0.25">
      <c r="A1019" s="1">
        <v>46643</v>
      </c>
      <c r="L1019" s="3">
        <f t="shared" si="48"/>
        <v>0</v>
      </c>
      <c r="M1019" s="3"/>
      <c r="N1019" s="3">
        <f t="shared" si="47"/>
        <v>0</v>
      </c>
      <c r="R1019" s="23" t="str">
        <f t="shared" si="49"/>
        <v>Yes</v>
      </c>
    </row>
    <row r="1020" spans="1:18" ht="15" customHeight="1" x14ac:dyDescent="0.25">
      <c r="A1020" s="1">
        <v>46644</v>
      </c>
      <c r="L1020" s="3">
        <f t="shared" si="48"/>
        <v>0</v>
      </c>
      <c r="M1020" s="3"/>
      <c r="N1020" s="3">
        <f t="shared" si="47"/>
        <v>0</v>
      </c>
      <c r="R1020" s="23" t="str">
        <f t="shared" si="49"/>
        <v>Yes</v>
      </c>
    </row>
    <row r="1021" spans="1:18" ht="15" customHeight="1" x14ac:dyDescent="0.25">
      <c r="A1021" s="1">
        <v>46645</v>
      </c>
      <c r="L1021" s="3">
        <f t="shared" si="48"/>
        <v>0</v>
      </c>
      <c r="M1021" s="3"/>
      <c r="N1021" s="3">
        <f t="shared" si="47"/>
        <v>0</v>
      </c>
      <c r="R1021" s="23" t="str">
        <f t="shared" si="49"/>
        <v>Yes</v>
      </c>
    </row>
    <row r="1022" spans="1:18" ht="15" customHeight="1" x14ac:dyDescent="0.25">
      <c r="A1022" s="1">
        <v>46646</v>
      </c>
      <c r="L1022" s="3">
        <f t="shared" si="48"/>
        <v>0</v>
      </c>
      <c r="M1022" s="3"/>
      <c r="N1022" s="3">
        <f t="shared" si="47"/>
        <v>0</v>
      </c>
      <c r="R1022" s="23" t="str">
        <f t="shared" si="49"/>
        <v>Yes</v>
      </c>
    </row>
    <row r="1023" spans="1:18" ht="15" customHeight="1" x14ac:dyDescent="0.25">
      <c r="A1023" s="1">
        <v>46647</v>
      </c>
      <c r="L1023" s="3">
        <f t="shared" si="48"/>
        <v>0</v>
      </c>
      <c r="M1023" s="3"/>
      <c r="N1023" s="3">
        <f t="shared" si="47"/>
        <v>0</v>
      </c>
      <c r="R1023" s="23" t="str">
        <f t="shared" si="49"/>
        <v>Yes</v>
      </c>
    </row>
    <row r="1024" spans="1:18" ht="15" customHeight="1" x14ac:dyDescent="0.25">
      <c r="A1024" s="1">
        <v>46648</v>
      </c>
      <c r="L1024" s="3">
        <f t="shared" si="48"/>
        <v>0</v>
      </c>
      <c r="M1024" s="3"/>
      <c r="N1024" s="3">
        <f t="shared" si="47"/>
        <v>0</v>
      </c>
      <c r="R1024" s="23" t="str">
        <f t="shared" si="49"/>
        <v>Yes</v>
      </c>
    </row>
    <row r="1025" spans="1:18" ht="15" customHeight="1" x14ac:dyDescent="0.25">
      <c r="A1025" s="1">
        <v>46649</v>
      </c>
      <c r="L1025" s="3">
        <f t="shared" si="48"/>
        <v>0</v>
      </c>
      <c r="M1025" s="3"/>
      <c r="N1025" s="3">
        <f t="shared" si="47"/>
        <v>0</v>
      </c>
      <c r="R1025" s="23" t="str">
        <f t="shared" si="49"/>
        <v>Yes</v>
      </c>
    </row>
    <row r="1026" spans="1:18" ht="15" customHeight="1" x14ac:dyDescent="0.25">
      <c r="A1026" s="1">
        <v>46650</v>
      </c>
      <c r="L1026" s="3">
        <f t="shared" si="48"/>
        <v>0</v>
      </c>
      <c r="M1026" s="3"/>
      <c r="N1026" s="3">
        <f t="shared" si="47"/>
        <v>0</v>
      </c>
      <c r="R1026" s="23" t="str">
        <f t="shared" si="49"/>
        <v>Yes</v>
      </c>
    </row>
    <row r="1027" spans="1:18" ht="15" customHeight="1" x14ac:dyDescent="0.25">
      <c r="A1027" s="1">
        <v>46651</v>
      </c>
      <c r="L1027" s="3">
        <f t="shared" si="48"/>
        <v>0</v>
      </c>
      <c r="M1027" s="3"/>
      <c r="N1027" s="3">
        <f t="shared" ref="N1027:N1090" si="50">IF(OR(O1027&lt;24300,P1027&lt;25700),MAX(L1027,M1027),L1027)</f>
        <v>0</v>
      </c>
      <c r="R1027" s="23" t="str">
        <f t="shared" si="49"/>
        <v>Yes</v>
      </c>
    </row>
    <row r="1028" spans="1:18" ht="15" customHeight="1" x14ac:dyDescent="0.25">
      <c r="A1028" s="1">
        <v>46652</v>
      </c>
      <c r="L1028" s="3">
        <f t="shared" ref="L1028:L1091" si="51">SUM(B1028:K1028)</f>
        <v>0</v>
      </c>
      <c r="M1028" s="3"/>
      <c r="N1028" s="3">
        <f t="shared" si="50"/>
        <v>0</v>
      </c>
      <c r="R1028" s="23" t="str">
        <f t="shared" si="49"/>
        <v>Yes</v>
      </c>
    </row>
    <row r="1029" spans="1:18" ht="15" customHeight="1" x14ac:dyDescent="0.25">
      <c r="A1029" s="1">
        <v>46653</v>
      </c>
      <c r="L1029" s="3">
        <f t="shared" si="51"/>
        <v>0</v>
      </c>
      <c r="M1029" s="3"/>
      <c r="N1029" s="3">
        <f t="shared" si="50"/>
        <v>0</v>
      </c>
      <c r="R1029" s="23" t="str">
        <f t="shared" si="49"/>
        <v>Yes</v>
      </c>
    </row>
    <row r="1030" spans="1:18" ht="15" customHeight="1" x14ac:dyDescent="0.25">
      <c r="A1030" s="1">
        <v>46654</v>
      </c>
      <c r="L1030" s="3">
        <f t="shared" si="51"/>
        <v>0</v>
      </c>
      <c r="M1030" s="3"/>
      <c r="N1030" s="3">
        <f t="shared" si="50"/>
        <v>0</v>
      </c>
      <c r="R1030" s="23" t="str">
        <f t="shared" si="49"/>
        <v>Yes</v>
      </c>
    </row>
    <row r="1031" spans="1:18" ht="15" customHeight="1" x14ac:dyDescent="0.25">
      <c r="A1031" s="1">
        <v>46655</v>
      </c>
      <c r="L1031" s="3">
        <f t="shared" si="51"/>
        <v>0</v>
      </c>
      <c r="M1031" s="3"/>
      <c r="N1031" s="3">
        <f t="shared" si="50"/>
        <v>0</v>
      </c>
      <c r="R1031" s="23" t="str">
        <f t="shared" si="49"/>
        <v>Yes</v>
      </c>
    </row>
    <row r="1032" spans="1:18" ht="15" customHeight="1" x14ac:dyDescent="0.25">
      <c r="A1032" s="1">
        <v>46656</v>
      </c>
      <c r="L1032" s="3">
        <f t="shared" si="51"/>
        <v>0</v>
      </c>
      <c r="M1032" s="3"/>
      <c r="N1032" s="3">
        <f t="shared" si="50"/>
        <v>0</v>
      </c>
      <c r="R1032" s="23" t="str">
        <f t="shared" si="49"/>
        <v>Yes</v>
      </c>
    </row>
    <row r="1033" spans="1:18" ht="15" customHeight="1" x14ac:dyDescent="0.25">
      <c r="A1033" s="1">
        <v>46657</v>
      </c>
      <c r="L1033" s="3">
        <f t="shared" si="51"/>
        <v>0</v>
      </c>
      <c r="M1033" s="3"/>
      <c r="N1033" s="3">
        <f t="shared" si="50"/>
        <v>0</v>
      </c>
      <c r="R1033" s="23" t="str">
        <f t="shared" si="49"/>
        <v>Yes</v>
      </c>
    </row>
    <row r="1034" spans="1:18" ht="15" customHeight="1" x14ac:dyDescent="0.25">
      <c r="A1034" s="1">
        <v>46658</v>
      </c>
      <c r="L1034" s="3">
        <f t="shared" si="51"/>
        <v>0</v>
      </c>
      <c r="M1034" s="3"/>
      <c r="N1034" s="3">
        <f t="shared" si="50"/>
        <v>0</v>
      </c>
      <c r="R1034" s="23" t="str">
        <f t="shared" si="49"/>
        <v>Yes</v>
      </c>
    </row>
    <row r="1035" spans="1:18" ht="15" customHeight="1" x14ac:dyDescent="0.25">
      <c r="A1035" s="1">
        <v>46659</v>
      </c>
      <c r="L1035" s="3">
        <f t="shared" si="51"/>
        <v>0</v>
      </c>
      <c r="M1035" s="3"/>
      <c r="N1035" s="3">
        <f t="shared" si="50"/>
        <v>0</v>
      </c>
      <c r="R1035" s="23" t="str">
        <f t="shared" si="49"/>
        <v>Yes</v>
      </c>
    </row>
    <row r="1036" spans="1:18" ht="15" customHeight="1" x14ac:dyDescent="0.25">
      <c r="A1036" s="1">
        <v>46660</v>
      </c>
      <c r="L1036" s="3">
        <f t="shared" si="51"/>
        <v>0</v>
      </c>
      <c r="M1036" s="3"/>
      <c r="N1036" s="3">
        <f t="shared" si="50"/>
        <v>0</v>
      </c>
      <c r="R1036" s="23" t="str">
        <f t="shared" si="49"/>
        <v>Yes</v>
      </c>
    </row>
    <row r="1037" spans="1:18" ht="15" customHeight="1" x14ac:dyDescent="0.25">
      <c r="A1037" s="1">
        <v>46661</v>
      </c>
      <c r="L1037" s="3">
        <f t="shared" si="51"/>
        <v>0</v>
      </c>
      <c r="M1037" s="3"/>
      <c r="N1037" s="3">
        <f t="shared" si="50"/>
        <v>0</v>
      </c>
      <c r="R1037" s="23" t="str">
        <f t="shared" si="49"/>
        <v>Yes</v>
      </c>
    </row>
    <row r="1038" spans="1:18" ht="15" customHeight="1" x14ac:dyDescent="0.25">
      <c r="A1038" s="1">
        <v>46662</v>
      </c>
      <c r="L1038" s="3">
        <f t="shared" si="51"/>
        <v>0</v>
      </c>
      <c r="M1038" s="3"/>
      <c r="N1038" s="3">
        <f t="shared" si="50"/>
        <v>0</v>
      </c>
      <c r="R1038" s="23" t="str">
        <f t="shared" si="49"/>
        <v>Yes</v>
      </c>
    </row>
    <row r="1039" spans="1:18" ht="15" customHeight="1" x14ac:dyDescent="0.25">
      <c r="A1039" s="1">
        <v>46663</v>
      </c>
      <c r="L1039" s="3">
        <f t="shared" si="51"/>
        <v>0</v>
      </c>
      <c r="M1039" s="3"/>
      <c r="N1039" s="3">
        <f t="shared" si="50"/>
        <v>0</v>
      </c>
      <c r="R1039" s="23" t="str">
        <f t="shared" si="49"/>
        <v>Yes</v>
      </c>
    </row>
    <row r="1040" spans="1:18" ht="15" customHeight="1" x14ac:dyDescent="0.25">
      <c r="A1040" s="1">
        <v>46664</v>
      </c>
      <c r="L1040" s="3">
        <f t="shared" si="51"/>
        <v>0</v>
      </c>
      <c r="M1040" s="3"/>
      <c r="N1040" s="3">
        <f t="shared" si="50"/>
        <v>0</v>
      </c>
      <c r="R1040" s="23" t="str">
        <f t="shared" si="49"/>
        <v>Yes</v>
      </c>
    </row>
    <row r="1041" spans="1:18" ht="15" customHeight="1" x14ac:dyDescent="0.25">
      <c r="A1041" s="1">
        <v>46665</v>
      </c>
      <c r="L1041" s="3">
        <f t="shared" si="51"/>
        <v>0</v>
      </c>
      <c r="M1041" s="3"/>
      <c r="N1041" s="3">
        <f t="shared" si="50"/>
        <v>0</v>
      </c>
      <c r="R1041" s="23" t="str">
        <f t="shared" si="49"/>
        <v>Yes</v>
      </c>
    </row>
    <row r="1042" spans="1:18" ht="15" customHeight="1" x14ac:dyDescent="0.25">
      <c r="A1042" s="1">
        <v>46666</v>
      </c>
      <c r="L1042" s="3">
        <f t="shared" si="51"/>
        <v>0</v>
      </c>
      <c r="M1042" s="3"/>
      <c r="N1042" s="3">
        <f t="shared" si="50"/>
        <v>0</v>
      </c>
      <c r="R1042" s="23" t="str">
        <f t="shared" si="49"/>
        <v>Yes</v>
      </c>
    </row>
    <row r="1043" spans="1:18" ht="15" customHeight="1" x14ac:dyDescent="0.25">
      <c r="A1043" s="1">
        <v>46667</v>
      </c>
      <c r="L1043" s="3">
        <f t="shared" si="51"/>
        <v>0</v>
      </c>
      <c r="M1043" s="3"/>
      <c r="N1043" s="3">
        <f t="shared" si="50"/>
        <v>0</v>
      </c>
      <c r="R1043" s="23" t="str">
        <f t="shared" si="49"/>
        <v>Yes</v>
      </c>
    </row>
    <row r="1044" spans="1:18" ht="15" customHeight="1" x14ac:dyDescent="0.25">
      <c r="A1044" s="1">
        <v>46668</v>
      </c>
      <c r="L1044" s="3">
        <f t="shared" si="51"/>
        <v>0</v>
      </c>
      <c r="M1044" s="3"/>
      <c r="N1044" s="3">
        <f t="shared" si="50"/>
        <v>0</v>
      </c>
      <c r="R1044" s="23" t="str">
        <f t="shared" si="49"/>
        <v>Yes</v>
      </c>
    </row>
    <row r="1045" spans="1:18" ht="15" customHeight="1" x14ac:dyDescent="0.25">
      <c r="A1045" s="1">
        <v>46669</v>
      </c>
      <c r="L1045" s="3">
        <f t="shared" si="51"/>
        <v>0</v>
      </c>
      <c r="M1045" s="3"/>
      <c r="N1045" s="3">
        <f t="shared" si="50"/>
        <v>0</v>
      </c>
      <c r="R1045" s="23" t="str">
        <f t="shared" si="49"/>
        <v>Yes</v>
      </c>
    </row>
    <row r="1046" spans="1:18" ht="15" customHeight="1" x14ac:dyDescent="0.25">
      <c r="A1046" s="1">
        <v>46670</v>
      </c>
      <c r="L1046" s="3">
        <f t="shared" si="51"/>
        <v>0</v>
      </c>
      <c r="M1046" s="3"/>
      <c r="N1046" s="3">
        <f t="shared" si="50"/>
        <v>0</v>
      </c>
      <c r="R1046" s="23" t="str">
        <f t="shared" si="49"/>
        <v>Yes</v>
      </c>
    </row>
    <row r="1047" spans="1:18" ht="15" customHeight="1" x14ac:dyDescent="0.25">
      <c r="A1047" s="1">
        <v>46671</v>
      </c>
      <c r="L1047" s="3">
        <f t="shared" si="51"/>
        <v>0</v>
      </c>
      <c r="M1047" s="3"/>
      <c r="N1047" s="3">
        <f t="shared" si="50"/>
        <v>0</v>
      </c>
      <c r="R1047" s="23" t="str">
        <f t="shared" si="49"/>
        <v>Yes</v>
      </c>
    </row>
    <row r="1048" spans="1:18" ht="15" customHeight="1" x14ac:dyDescent="0.25">
      <c r="A1048" s="1">
        <v>46672</v>
      </c>
      <c r="L1048" s="3">
        <f t="shared" si="51"/>
        <v>0</v>
      </c>
      <c r="M1048" s="3"/>
      <c r="N1048" s="3">
        <f t="shared" si="50"/>
        <v>0</v>
      </c>
      <c r="R1048" s="23" t="str">
        <f t="shared" si="49"/>
        <v>Yes</v>
      </c>
    </row>
    <row r="1049" spans="1:18" ht="15" customHeight="1" x14ac:dyDescent="0.25">
      <c r="A1049" s="1">
        <v>46673</v>
      </c>
      <c r="L1049" s="3">
        <f t="shared" si="51"/>
        <v>0</v>
      </c>
      <c r="M1049" s="3"/>
      <c r="N1049" s="3">
        <f t="shared" si="50"/>
        <v>0</v>
      </c>
      <c r="R1049" s="23" t="str">
        <f t="shared" si="49"/>
        <v>Yes</v>
      </c>
    </row>
    <row r="1050" spans="1:18" ht="15" customHeight="1" x14ac:dyDescent="0.25">
      <c r="A1050" s="1">
        <v>46674</v>
      </c>
      <c r="L1050" s="3">
        <f t="shared" si="51"/>
        <v>0</v>
      </c>
      <c r="M1050" s="3"/>
      <c r="N1050" s="3">
        <f t="shared" si="50"/>
        <v>0</v>
      </c>
      <c r="R1050" s="23" t="str">
        <f t="shared" si="49"/>
        <v>Yes</v>
      </c>
    </row>
    <row r="1051" spans="1:18" ht="15" customHeight="1" x14ac:dyDescent="0.25">
      <c r="A1051" s="1">
        <v>46675</v>
      </c>
      <c r="L1051" s="3">
        <f t="shared" si="51"/>
        <v>0</v>
      </c>
      <c r="M1051" s="3"/>
      <c r="N1051" s="3">
        <f t="shared" si="50"/>
        <v>0</v>
      </c>
      <c r="R1051" s="23" t="str">
        <f t="shared" si="49"/>
        <v>Yes</v>
      </c>
    </row>
    <row r="1052" spans="1:18" ht="15" customHeight="1" x14ac:dyDescent="0.25">
      <c r="A1052" s="1">
        <v>46676</v>
      </c>
      <c r="L1052" s="3">
        <f t="shared" si="51"/>
        <v>0</v>
      </c>
      <c r="M1052" s="3"/>
      <c r="N1052" s="3">
        <f t="shared" si="50"/>
        <v>0</v>
      </c>
      <c r="R1052" s="23" t="str">
        <f t="shared" si="49"/>
        <v>Yes</v>
      </c>
    </row>
    <row r="1053" spans="1:18" ht="15" customHeight="1" x14ac:dyDescent="0.25">
      <c r="A1053" s="1">
        <v>46677</v>
      </c>
      <c r="L1053" s="3">
        <f t="shared" si="51"/>
        <v>0</v>
      </c>
      <c r="M1053" s="3"/>
      <c r="N1053" s="3">
        <f t="shared" si="50"/>
        <v>0</v>
      </c>
      <c r="R1053" s="23" t="str">
        <f t="shared" si="49"/>
        <v>Yes</v>
      </c>
    </row>
    <row r="1054" spans="1:18" ht="15" customHeight="1" x14ac:dyDescent="0.25">
      <c r="A1054" s="1">
        <v>46678</v>
      </c>
      <c r="L1054" s="3">
        <f t="shared" si="51"/>
        <v>0</v>
      </c>
      <c r="M1054" s="3"/>
      <c r="N1054" s="3">
        <f t="shared" si="50"/>
        <v>0</v>
      </c>
      <c r="R1054" s="23" t="str">
        <f t="shared" si="49"/>
        <v>Yes</v>
      </c>
    </row>
    <row r="1055" spans="1:18" ht="15" customHeight="1" x14ac:dyDescent="0.25">
      <c r="A1055" s="1">
        <v>46679</v>
      </c>
      <c r="L1055" s="3">
        <f t="shared" si="51"/>
        <v>0</v>
      </c>
      <c r="M1055" s="3"/>
      <c r="N1055" s="3">
        <f t="shared" si="50"/>
        <v>0</v>
      </c>
      <c r="R1055" s="23" t="str">
        <f t="shared" si="49"/>
        <v>Yes</v>
      </c>
    </row>
    <row r="1056" spans="1:18" ht="15" customHeight="1" x14ac:dyDescent="0.25">
      <c r="A1056" s="1">
        <v>46680</v>
      </c>
      <c r="L1056" s="3">
        <f t="shared" si="51"/>
        <v>0</v>
      </c>
      <c r="M1056" s="3"/>
      <c r="N1056" s="3">
        <f t="shared" si="50"/>
        <v>0</v>
      </c>
      <c r="R1056" s="23" t="str">
        <f t="shared" si="49"/>
        <v>Yes</v>
      </c>
    </row>
    <row r="1057" spans="1:18" ht="15" customHeight="1" x14ac:dyDescent="0.25">
      <c r="A1057" s="1">
        <v>46681</v>
      </c>
      <c r="L1057" s="3">
        <f t="shared" si="51"/>
        <v>0</v>
      </c>
      <c r="M1057" s="3"/>
      <c r="N1057" s="3">
        <f t="shared" si="50"/>
        <v>0</v>
      </c>
      <c r="R1057" s="23" t="str">
        <f t="shared" si="49"/>
        <v>Yes</v>
      </c>
    </row>
    <row r="1058" spans="1:18" ht="15" customHeight="1" x14ac:dyDescent="0.25">
      <c r="A1058" s="1">
        <v>46682</v>
      </c>
      <c r="L1058" s="3">
        <f t="shared" si="51"/>
        <v>0</v>
      </c>
      <c r="M1058" s="3"/>
      <c r="N1058" s="3">
        <f t="shared" si="50"/>
        <v>0</v>
      </c>
      <c r="R1058" s="23" t="str">
        <f t="shared" si="49"/>
        <v>Yes</v>
      </c>
    </row>
    <row r="1059" spans="1:18" ht="15" customHeight="1" x14ac:dyDescent="0.25">
      <c r="A1059" s="1">
        <v>46683</v>
      </c>
      <c r="L1059" s="3">
        <f t="shared" si="51"/>
        <v>0</v>
      </c>
      <c r="M1059" s="3"/>
      <c r="N1059" s="3">
        <f t="shared" si="50"/>
        <v>0</v>
      </c>
      <c r="R1059" s="23" t="str">
        <f t="shared" si="49"/>
        <v>Yes</v>
      </c>
    </row>
    <row r="1060" spans="1:18" ht="15" customHeight="1" x14ac:dyDescent="0.25">
      <c r="A1060" s="1">
        <v>46684</v>
      </c>
      <c r="L1060" s="3">
        <f t="shared" si="51"/>
        <v>0</v>
      </c>
      <c r="M1060" s="3"/>
      <c r="N1060" s="3">
        <f t="shared" si="50"/>
        <v>0</v>
      </c>
      <c r="R1060" s="23" t="str">
        <f t="shared" si="49"/>
        <v>Yes</v>
      </c>
    </row>
    <row r="1061" spans="1:18" ht="15" customHeight="1" x14ac:dyDescent="0.25">
      <c r="A1061" s="1">
        <v>46685</v>
      </c>
      <c r="L1061" s="3">
        <f t="shared" si="51"/>
        <v>0</v>
      </c>
      <c r="M1061" s="3"/>
      <c r="N1061" s="3">
        <f t="shared" si="50"/>
        <v>0</v>
      </c>
      <c r="R1061" s="23" t="str">
        <f t="shared" si="49"/>
        <v>Yes</v>
      </c>
    </row>
    <row r="1062" spans="1:18" ht="15" customHeight="1" x14ac:dyDescent="0.25">
      <c r="A1062" s="1">
        <v>46686</v>
      </c>
      <c r="L1062" s="3">
        <f t="shared" si="51"/>
        <v>0</v>
      </c>
      <c r="M1062" s="3"/>
      <c r="N1062" s="3">
        <f t="shared" si="50"/>
        <v>0</v>
      </c>
      <c r="R1062" s="23" t="str">
        <f t="shared" si="49"/>
        <v>Yes</v>
      </c>
    </row>
    <row r="1063" spans="1:18" ht="15" customHeight="1" x14ac:dyDescent="0.25">
      <c r="A1063" s="1">
        <v>46687</v>
      </c>
      <c r="L1063" s="3">
        <f t="shared" si="51"/>
        <v>0</v>
      </c>
      <c r="M1063" s="3"/>
      <c r="N1063" s="3">
        <f t="shared" si="50"/>
        <v>0</v>
      </c>
      <c r="R1063" s="23" t="str">
        <f t="shared" si="49"/>
        <v>Yes</v>
      </c>
    </row>
    <row r="1064" spans="1:18" ht="15" customHeight="1" x14ac:dyDescent="0.25">
      <c r="A1064" s="1">
        <v>46688</v>
      </c>
      <c r="L1064" s="3">
        <f t="shared" si="51"/>
        <v>0</v>
      </c>
      <c r="M1064" s="3"/>
      <c r="N1064" s="3">
        <f t="shared" si="50"/>
        <v>0</v>
      </c>
      <c r="R1064" s="23" t="str">
        <f t="shared" si="49"/>
        <v>Yes</v>
      </c>
    </row>
    <row r="1065" spans="1:18" ht="15" customHeight="1" x14ac:dyDescent="0.25">
      <c r="A1065" s="1">
        <v>46689</v>
      </c>
      <c r="L1065" s="3">
        <f t="shared" si="51"/>
        <v>0</v>
      </c>
      <c r="M1065" s="3"/>
      <c r="N1065" s="3">
        <f t="shared" si="50"/>
        <v>0</v>
      </c>
      <c r="R1065" s="23" t="str">
        <f t="shared" si="49"/>
        <v>Yes</v>
      </c>
    </row>
    <row r="1066" spans="1:18" ht="15" customHeight="1" x14ac:dyDescent="0.25">
      <c r="A1066" s="1">
        <v>46690</v>
      </c>
      <c r="L1066" s="3">
        <f t="shared" si="51"/>
        <v>0</v>
      </c>
      <c r="M1066" s="3"/>
      <c r="N1066" s="3">
        <f t="shared" si="50"/>
        <v>0</v>
      </c>
      <c r="R1066" s="23" t="str">
        <f t="shared" si="49"/>
        <v>Yes</v>
      </c>
    </row>
    <row r="1067" spans="1:18" ht="15" customHeight="1" x14ac:dyDescent="0.25">
      <c r="A1067" s="1">
        <v>46691</v>
      </c>
      <c r="L1067" s="3">
        <f t="shared" si="51"/>
        <v>0</v>
      </c>
      <c r="M1067" s="3"/>
      <c r="N1067" s="3">
        <f t="shared" si="50"/>
        <v>0</v>
      </c>
      <c r="R1067" s="23" t="str">
        <f t="shared" si="49"/>
        <v>Yes</v>
      </c>
    </row>
    <row r="1068" spans="1:18" ht="15" customHeight="1" x14ac:dyDescent="0.25">
      <c r="A1068" s="1">
        <v>46692</v>
      </c>
      <c r="L1068" s="3">
        <f t="shared" si="51"/>
        <v>0</v>
      </c>
      <c r="M1068" s="3"/>
      <c r="N1068" s="3">
        <f t="shared" si="50"/>
        <v>0</v>
      </c>
      <c r="R1068" s="23" t="str">
        <f t="shared" si="49"/>
        <v>Yes</v>
      </c>
    </row>
    <row r="1069" spans="1:18" ht="15" customHeight="1" x14ac:dyDescent="0.25">
      <c r="A1069" s="1">
        <v>46693</v>
      </c>
      <c r="L1069" s="3">
        <f t="shared" si="51"/>
        <v>0</v>
      </c>
      <c r="M1069" s="3"/>
      <c r="N1069" s="3">
        <f t="shared" si="50"/>
        <v>0</v>
      </c>
      <c r="R1069" s="23" t="str">
        <f t="shared" ref="R1069:R1132" si="52">IF(Q1069&gt;0,"Yes",IF(OR((O1069+P1069&lt;50000),O1069&lt;24000,P1069&lt;26000),"Yes","No"))</f>
        <v>Yes</v>
      </c>
    </row>
    <row r="1070" spans="1:18" ht="15" customHeight="1" x14ac:dyDescent="0.25">
      <c r="A1070" s="1">
        <v>46694</v>
      </c>
      <c r="L1070" s="3">
        <f t="shared" si="51"/>
        <v>0</v>
      </c>
      <c r="M1070" s="3"/>
      <c r="N1070" s="3">
        <f t="shared" si="50"/>
        <v>0</v>
      </c>
      <c r="R1070" s="23" t="str">
        <f t="shared" si="52"/>
        <v>Yes</v>
      </c>
    </row>
    <row r="1071" spans="1:18" ht="15" customHeight="1" x14ac:dyDescent="0.25">
      <c r="A1071" s="1">
        <v>46695</v>
      </c>
      <c r="L1071" s="3">
        <f t="shared" si="51"/>
        <v>0</v>
      </c>
      <c r="M1071" s="3"/>
      <c r="N1071" s="3">
        <f t="shared" si="50"/>
        <v>0</v>
      </c>
      <c r="R1071" s="23" t="str">
        <f t="shared" si="52"/>
        <v>Yes</v>
      </c>
    </row>
    <row r="1072" spans="1:18" ht="15" customHeight="1" x14ac:dyDescent="0.25">
      <c r="A1072" s="1">
        <v>46696</v>
      </c>
      <c r="L1072" s="3">
        <f t="shared" si="51"/>
        <v>0</v>
      </c>
      <c r="M1072" s="3"/>
      <c r="N1072" s="3">
        <f t="shared" si="50"/>
        <v>0</v>
      </c>
      <c r="R1072" s="23" t="str">
        <f t="shared" si="52"/>
        <v>Yes</v>
      </c>
    </row>
    <row r="1073" spans="1:18" ht="15" customHeight="1" x14ac:dyDescent="0.25">
      <c r="A1073" s="1">
        <v>46697</v>
      </c>
      <c r="L1073" s="3">
        <f t="shared" si="51"/>
        <v>0</v>
      </c>
      <c r="M1073" s="3"/>
      <c r="N1073" s="3">
        <f t="shared" si="50"/>
        <v>0</v>
      </c>
      <c r="R1073" s="23" t="str">
        <f t="shared" si="52"/>
        <v>Yes</v>
      </c>
    </row>
    <row r="1074" spans="1:18" ht="15" customHeight="1" x14ac:dyDescent="0.25">
      <c r="A1074" s="1">
        <v>46698</v>
      </c>
      <c r="L1074" s="3">
        <f t="shared" si="51"/>
        <v>0</v>
      </c>
      <c r="M1074" s="3"/>
      <c r="N1074" s="3">
        <f t="shared" si="50"/>
        <v>0</v>
      </c>
      <c r="R1074" s="23" t="str">
        <f t="shared" si="52"/>
        <v>Yes</v>
      </c>
    </row>
    <row r="1075" spans="1:18" ht="15" customHeight="1" x14ac:dyDescent="0.25">
      <c r="A1075" s="1">
        <v>46699</v>
      </c>
      <c r="L1075" s="3">
        <f t="shared" si="51"/>
        <v>0</v>
      </c>
      <c r="M1075" s="3"/>
      <c r="N1075" s="3">
        <f t="shared" si="50"/>
        <v>0</v>
      </c>
      <c r="R1075" s="23" t="str">
        <f t="shared" si="52"/>
        <v>Yes</v>
      </c>
    </row>
    <row r="1076" spans="1:18" ht="15" customHeight="1" x14ac:dyDescent="0.25">
      <c r="A1076" s="1">
        <v>46700</v>
      </c>
      <c r="L1076" s="3">
        <f t="shared" si="51"/>
        <v>0</v>
      </c>
      <c r="M1076" s="3"/>
      <c r="N1076" s="3">
        <f t="shared" si="50"/>
        <v>0</v>
      </c>
      <c r="R1076" s="23" t="str">
        <f t="shared" si="52"/>
        <v>Yes</v>
      </c>
    </row>
    <row r="1077" spans="1:18" ht="15" customHeight="1" x14ac:dyDescent="0.25">
      <c r="A1077" s="1">
        <v>46701</v>
      </c>
      <c r="L1077" s="3">
        <f t="shared" si="51"/>
        <v>0</v>
      </c>
      <c r="M1077" s="3"/>
      <c r="N1077" s="3">
        <f t="shared" si="50"/>
        <v>0</v>
      </c>
      <c r="R1077" s="23" t="str">
        <f t="shared" si="52"/>
        <v>Yes</v>
      </c>
    </row>
    <row r="1078" spans="1:18" ht="15" customHeight="1" x14ac:dyDescent="0.25">
      <c r="A1078" s="1">
        <v>46702</v>
      </c>
      <c r="L1078" s="3">
        <f t="shared" si="51"/>
        <v>0</v>
      </c>
      <c r="M1078" s="3"/>
      <c r="N1078" s="3">
        <f t="shared" si="50"/>
        <v>0</v>
      </c>
      <c r="R1078" s="23" t="str">
        <f t="shared" si="52"/>
        <v>Yes</v>
      </c>
    </row>
    <row r="1079" spans="1:18" ht="15" customHeight="1" x14ac:dyDescent="0.25">
      <c r="A1079" s="1">
        <v>46703</v>
      </c>
      <c r="L1079" s="3">
        <f t="shared" si="51"/>
        <v>0</v>
      </c>
      <c r="M1079" s="3"/>
      <c r="N1079" s="3">
        <f t="shared" si="50"/>
        <v>0</v>
      </c>
      <c r="R1079" s="23" t="str">
        <f t="shared" si="52"/>
        <v>Yes</v>
      </c>
    </row>
    <row r="1080" spans="1:18" ht="15" customHeight="1" x14ac:dyDescent="0.25">
      <c r="A1080" s="1">
        <v>46704</v>
      </c>
      <c r="L1080" s="3">
        <f t="shared" si="51"/>
        <v>0</v>
      </c>
      <c r="M1080" s="3"/>
      <c r="N1080" s="3">
        <f t="shared" si="50"/>
        <v>0</v>
      </c>
      <c r="R1080" s="23" t="str">
        <f t="shared" si="52"/>
        <v>Yes</v>
      </c>
    </row>
    <row r="1081" spans="1:18" ht="15" customHeight="1" x14ac:dyDescent="0.25">
      <c r="A1081" s="1">
        <v>46705</v>
      </c>
      <c r="L1081" s="3">
        <f t="shared" si="51"/>
        <v>0</v>
      </c>
      <c r="M1081" s="3"/>
      <c r="N1081" s="3">
        <f t="shared" si="50"/>
        <v>0</v>
      </c>
      <c r="R1081" s="23" t="str">
        <f t="shared" si="52"/>
        <v>Yes</v>
      </c>
    </row>
    <row r="1082" spans="1:18" ht="15" customHeight="1" x14ac:dyDescent="0.25">
      <c r="A1082" s="1">
        <v>46706</v>
      </c>
      <c r="L1082" s="3">
        <f t="shared" si="51"/>
        <v>0</v>
      </c>
      <c r="M1082" s="3"/>
      <c r="N1082" s="3">
        <f t="shared" si="50"/>
        <v>0</v>
      </c>
      <c r="R1082" s="23" t="str">
        <f t="shared" si="52"/>
        <v>Yes</v>
      </c>
    </row>
    <row r="1083" spans="1:18" ht="15" customHeight="1" x14ac:dyDescent="0.25">
      <c r="A1083" s="1">
        <v>46707</v>
      </c>
      <c r="L1083" s="3">
        <f t="shared" si="51"/>
        <v>0</v>
      </c>
      <c r="M1083" s="3"/>
      <c r="N1083" s="3">
        <f t="shared" si="50"/>
        <v>0</v>
      </c>
      <c r="R1083" s="23" t="str">
        <f t="shared" si="52"/>
        <v>Yes</v>
      </c>
    </row>
    <row r="1084" spans="1:18" ht="15" customHeight="1" x14ac:dyDescent="0.25">
      <c r="A1084" s="1">
        <v>46708</v>
      </c>
      <c r="L1084" s="3">
        <f t="shared" si="51"/>
        <v>0</v>
      </c>
      <c r="M1084" s="3"/>
      <c r="N1084" s="3">
        <f t="shared" si="50"/>
        <v>0</v>
      </c>
      <c r="R1084" s="23" t="str">
        <f t="shared" si="52"/>
        <v>Yes</v>
      </c>
    </row>
    <row r="1085" spans="1:18" ht="15" customHeight="1" x14ac:dyDescent="0.25">
      <c r="A1085" s="1">
        <v>46709</v>
      </c>
      <c r="L1085" s="3">
        <f t="shared" si="51"/>
        <v>0</v>
      </c>
      <c r="M1085" s="3"/>
      <c r="N1085" s="3">
        <f t="shared" si="50"/>
        <v>0</v>
      </c>
      <c r="R1085" s="23" t="str">
        <f t="shared" si="52"/>
        <v>Yes</v>
      </c>
    </row>
    <row r="1086" spans="1:18" ht="15" customHeight="1" x14ac:dyDescent="0.25">
      <c r="A1086" s="1">
        <v>46710</v>
      </c>
      <c r="L1086" s="3">
        <f t="shared" si="51"/>
        <v>0</v>
      </c>
      <c r="M1086" s="3"/>
      <c r="N1086" s="3">
        <f t="shared" si="50"/>
        <v>0</v>
      </c>
      <c r="R1086" s="23" t="str">
        <f t="shared" si="52"/>
        <v>Yes</v>
      </c>
    </row>
    <row r="1087" spans="1:18" ht="15" customHeight="1" x14ac:dyDescent="0.25">
      <c r="A1087" s="1">
        <v>46711</v>
      </c>
      <c r="L1087" s="3">
        <f t="shared" si="51"/>
        <v>0</v>
      </c>
      <c r="M1087" s="3"/>
      <c r="N1087" s="3">
        <f t="shared" si="50"/>
        <v>0</v>
      </c>
      <c r="R1087" s="23" t="str">
        <f t="shared" si="52"/>
        <v>Yes</v>
      </c>
    </row>
    <row r="1088" spans="1:18" ht="15" customHeight="1" x14ac:dyDescent="0.25">
      <c r="A1088" s="1">
        <v>46712</v>
      </c>
      <c r="L1088" s="3">
        <f t="shared" si="51"/>
        <v>0</v>
      </c>
      <c r="M1088" s="3"/>
      <c r="N1088" s="3">
        <f t="shared" si="50"/>
        <v>0</v>
      </c>
      <c r="R1088" s="23" t="str">
        <f t="shared" si="52"/>
        <v>Yes</v>
      </c>
    </row>
    <row r="1089" spans="1:18" ht="15" customHeight="1" x14ac:dyDescent="0.25">
      <c r="A1089" s="1">
        <v>46713</v>
      </c>
      <c r="L1089" s="3">
        <f t="shared" si="51"/>
        <v>0</v>
      </c>
      <c r="M1089" s="3"/>
      <c r="N1089" s="3">
        <f t="shared" si="50"/>
        <v>0</v>
      </c>
      <c r="R1089" s="23" t="str">
        <f t="shared" si="52"/>
        <v>Yes</v>
      </c>
    </row>
    <row r="1090" spans="1:18" ht="15" customHeight="1" x14ac:dyDescent="0.25">
      <c r="A1090" s="1">
        <v>46714</v>
      </c>
      <c r="L1090" s="3">
        <f t="shared" si="51"/>
        <v>0</v>
      </c>
      <c r="M1090" s="3"/>
      <c r="N1090" s="3">
        <f t="shared" si="50"/>
        <v>0</v>
      </c>
      <c r="R1090" s="23" t="str">
        <f t="shared" si="52"/>
        <v>Yes</v>
      </c>
    </row>
    <row r="1091" spans="1:18" ht="15" customHeight="1" x14ac:dyDescent="0.25">
      <c r="A1091" s="1">
        <v>46715</v>
      </c>
      <c r="L1091" s="3">
        <f t="shared" si="51"/>
        <v>0</v>
      </c>
      <c r="M1091" s="3"/>
      <c r="N1091" s="3">
        <f t="shared" ref="N1091:N1154" si="53">IF(OR(O1091&lt;24300,P1091&lt;25700),MAX(L1091,M1091),L1091)</f>
        <v>0</v>
      </c>
      <c r="R1091" s="23" t="str">
        <f t="shared" si="52"/>
        <v>Yes</v>
      </c>
    </row>
    <row r="1092" spans="1:18" ht="15" customHeight="1" x14ac:dyDescent="0.25">
      <c r="A1092" s="1">
        <v>46716</v>
      </c>
      <c r="L1092" s="3">
        <f t="shared" ref="L1092:L1155" si="54">SUM(B1092:K1092)</f>
        <v>0</v>
      </c>
      <c r="M1092" s="3"/>
      <c r="N1092" s="3">
        <f t="shared" si="53"/>
        <v>0</v>
      </c>
      <c r="R1092" s="23" t="str">
        <f t="shared" si="52"/>
        <v>Yes</v>
      </c>
    </row>
    <row r="1093" spans="1:18" ht="15" customHeight="1" x14ac:dyDescent="0.25">
      <c r="A1093" s="1">
        <v>46717</v>
      </c>
      <c r="L1093" s="3">
        <f t="shared" si="54"/>
        <v>0</v>
      </c>
      <c r="M1093" s="3"/>
      <c r="N1093" s="3">
        <f t="shared" si="53"/>
        <v>0</v>
      </c>
      <c r="R1093" s="23" t="str">
        <f t="shared" si="52"/>
        <v>Yes</v>
      </c>
    </row>
    <row r="1094" spans="1:18" ht="15" customHeight="1" x14ac:dyDescent="0.25">
      <c r="A1094" s="1">
        <v>46718</v>
      </c>
      <c r="L1094" s="3">
        <f t="shared" si="54"/>
        <v>0</v>
      </c>
      <c r="M1094" s="3"/>
      <c r="N1094" s="3">
        <f t="shared" si="53"/>
        <v>0</v>
      </c>
      <c r="R1094" s="23" t="str">
        <f t="shared" si="52"/>
        <v>Yes</v>
      </c>
    </row>
    <row r="1095" spans="1:18" ht="15" customHeight="1" x14ac:dyDescent="0.25">
      <c r="A1095" s="1">
        <v>46719</v>
      </c>
      <c r="L1095" s="3">
        <f t="shared" si="54"/>
        <v>0</v>
      </c>
      <c r="M1095" s="3"/>
      <c r="N1095" s="3">
        <f t="shared" si="53"/>
        <v>0</v>
      </c>
      <c r="R1095" s="23" t="str">
        <f t="shared" si="52"/>
        <v>Yes</v>
      </c>
    </row>
    <row r="1096" spans="1:18" ht="15" customHeight="1" x14ac:dyDescent="0.25">
      <c r="A1096" s="1">
        <v>46720</v>
      </c>
      <c r="L1096" s="3">
        <f t="shared" si="54"/>
        <v>0</v>
      </c>
      <c r="M1096" s="3"/>
      <c r="N1096" s="3">
        <f t="shared" si="53"/>
        <v>0</v>
      </c>
      <c r="R1096" s="23" t="str">
        <f t="shared" si="52"/>
        <v>Yes</v>
      </c>
    </row>
    <row r="1097" spans="1:18" ht="15" customHeight="1" x14ac:dyDescent="0.25">
      <c r="A1097" s="1">
        <v>46721</v>
      </c>
      <c r="L1097" s="3">
        <f t="shared" si="54"/>
        <v>0</v>
      </c>
      <c r="M1097" s="3"/>
      <c r="N1097" s="3">
        <f t="shared" si="53"/>
        <v>0</v>
      </c>
      <c r="R1097" s="23" t="str">
        <f t="shared" si="52"/>
        <v>Yes</v>
      </c>
    </row>
    <row r="1098" spans="1:18" ht="15" customHeight="1" x14ac:dyDescent="0.25">
      <c r="A1098" s="1">
        <v>46722</v>
      </c>
      <c r="L1098" s="3">
        <f t="shared" si="54"/>
        <v>0</v>
      </c>
      <c r="M1098" s="3"/>
      <c r="N1098" s="3">
        <f t="shared" si="53"/>
        <v>0</v>
      </c>
      <c r="R1098" s="23" t="str">
        <f t="shared" si="52"/>
        <v>Yes</v>
      </c>
    </row>
    <row r="1099" spans="1:18" ht="15" customHeight="1" x14ac:dyDescent="0.25">
      <c r="A1099" s="1">
        <v>46723</v>
      </c>
      <c r="L1099" s="3">
        <f t="shared" si="54"/>
        <v>0</v>
      </c>
      <c r="M1099" s="3"/>
      <c r="N1099" s="3">
        <f t="shared" si="53"/>
        <v>0</v>
      </c>
      <c r="R1099" s="23" t="str">
        <f t="shared" si="52"/>
        <v>Yes</v>
      </c>
    </row>
    <row r="1100" spans="1:18" ht="15" customHeight="1" x14ac:dyDescent="0.25">
      <c r="A1100" s="1">
        <v>46724</v>
      </c>
      <c r="L1100" s="3">
        <f t="shared" si="54"/>
        <v>0</v>
      </c>
      <c r="M1100" s="3"/>
      <c r="N1100" s="3">
        <f t="shared" si="53"/>
        <v>0</v>
      </c>
      <c r="R1100" s="23" t="str">
        <f t="shared" si="52"/>
        <v>Yes</v>
      </c>
    </row>
    <row r="1101" spans="1:18" ht="15" customHeight="1" x14ac:dyDescent="0.25">
      <c r="A1101" s="1">
        <v>46725</v>
      </c>
      <c r="L1101" s="3">
        <f t="shared" si="54"/>
        <v>0</v>
      </c>
      <c r="M1101" s="3"/>
      <c r="N1101" s="3">
        <f t="shared" si="53"/>
        <v>0</v>
      </c>
      <c r="R1101" s="23" t="str">
        <f t="shared" si="52"/>
        <v>Yes</v>
      </c>
    </row>
    <row r="1102" spans="1:18" ht="15" customHeight="1" x14ac:dyDescent="0.25">
      <c r="A1102" s="1">
        <v>46726</v>
      </c>
      <c r="L1102" s="3">
        <f t="shared" si="54"/>
        <v>0</v>
      </c>
      <c r="M1102" s="3"/>
      <c r="N1102" s="3">
        <f t="shared" si="53"/>
        <v>0</v>
      </c>
      <c r="R1102" s="23" t="str">
        <f t="shared" si="52"/>
        <v>Yes</v>
      </c>
    </row>
    <row r="1103" spans="1:18" ht="15" customHeight="1" x14ac:dyDescent="0.25">
      <c r="A1103" s="1">
        <v>46727</v>
      </c>
      <c r="L1103" s="3">
        <f t="shared" si="54"/>
        <v>0</v>
      </c>
      <c r="M1103" s="3"/>
      <c r="N1103" s="3">
        <f t="shared" si="53"/>
        <v>0</v>
      </c>
      <c r="R1103" s="23" t="str">
        <f t="shared" si="52"/>
        <v>Yes</v>
      </c>
    </row>
    <row r="1104" spans="1:18" ht="15" customHeight="1" x14ac:dyDescent="0.25">
      <c r="A1104" s="1">
        <v>46728</v>
      </c>
      <c r="L1104" s="3">
        <f t="shared" si="54"/>
        <v>0</v>
      </c>
      <c r="M1104" s="3"/>
      <c r="N1104" s="3">
        <f t="shared" si="53"/>
        <v>0</v>
      </c>
      <c r="R1104" s="23" t="str">
        <f t="shared" si="52"/>
        <v>Yes</v>
      </c>
    </row>
    <row r="1105" spans="1:18" ht="15" customHeight="1" x14ac:dyDescent="0.25">
      <c r="A1105" s="1">
        <v>46729</v>
      </c>
      <c r="L1105" s="3">
        <f t="shared" si="54"/>
        <v>0</v>
      </c>
      <c r="M1105" s="3"/>
      <c r="N1105" s="3">
        <f t="shared" si="53"/>
        <v>0</v>
      </c>
      <c r="R1105" s="23" t="str">
        <f t="shared" si="52"/>
        <v>Yes</v>
      </c>
    </row>
    <row r="1106" spans="1:18" ht="15" customHeight="1" x14ac:dyDescent="0.25">
      <c r="A1106" s="1">
        <v>46730</v>
      </c>
      <c r="L1106" s="3">
        <f t="shared" si="54"/>
        <v>0</v>
      </c>
      <c r="M1106" s="3"/>
      <c r="N1106" s="3">
        <f t="shared" si="53"/>
        <v>0</v>
      </c>
      <c r="R1106" s="23" t="str">
        <f t="shared" si="52"/>
        <v>Yes</v>
      </c>
    </row>
    <row r="1107" spans="1:18" ht="15" customHeight="1" x14ac:dyDescent="0.25">
      <c r="A1107" s="1">
        <v>46731</v>
      </c>
      <c r="L1107" s="3">
        <f t="shared" si="54"/>
        <v>0</v>
      </c>
      <c r="M1107" s="3"/>
      <c r="N1107" s="3">
        <f t="shared" si="53"/>
        <v>0</v>
      </c>
      <c r="R1107" s="23" t="str">
        <f t="shared" si="52"/>
        <v>Yes</v>
      </c>
    </row>
    <row r="1108" spans="1:18" ht="15" customHeight="1" x14ac:dyDescent="0.25">
      <c r="A1108" s="1">
        <v>46732</v>
      </c>
      <c r="L1108" s="3">
        <f t="shared" si="54"/>
        <v>0</v>
      </c>
      <c r="M1108" s="3"/>
      <c r="N1108" s="3">
        <f t="shared" si="53"/>
        <v>0</v>
      </c>
      <c r="R1108" s="23" t="str">
        <f t="shared" si="52"/>
        <v>Yes</v>
      </c>
    </row>
    <row r="1109" spans="1:18" ht="15" customHeight="1" x14ac:dyDescent="0.25">
      <c r="A1109" s="1">
        <v>46733</v>
      </c>
      <c r="L1109" s="3">
        <f t="shared" si="54"/>
        <v>0</v>
      </c>
      <c r="M1109" s="3"/>
      <c r="N1109" s="3">
        <f t="shared" si="53"/>
        <v>0</v>
      </c>
      <c r="R1109" s="23" t="str">
        <f t="shared" si="52"/>
        <v>Yes</v>
      </c>
    </row>
    <row r="1110" spans="1:18" ht="15" customHeight="1" x14ac:dyDescent="0.25">
      <c r="A1110" s="1">
        <v>46734</v>
      </c>
      <c r="L1110" s="3">
        <f t="shared" si="54"/>
        <v>0</v>
      </c>
      <c r="M1110" s="3"/>
      <c r="N1110" s="3">
        <f t="shared" si="53"/>
        <v>0</v>
      </c>
      <c r="R1110" s="23" t="str">
        <f t="shared" si="52"/>
        <v>Yes</v>
      </c>
    </row>
    <row r="1111" spans="1:18" ht="15" customHeight="1" x14ac:dyDescent="0.25">
      <c r="A1111" s="1">
        <v>46735</v>
      </c>
      <c r="L1111" s="3">
        <f t="shared" si="54"/>
        <v>0</v>
      </c>
      <c r="M1111" s="3"/>
      <c r="N1111" s="3">
        <f t="shared" si="53"/>
        <v>0</v>
      </c>
      <c r="R1111" s="23" t="str">
        <f t="shared" si="52"/>
        <v>Yes</v>
      </c>
    </row>
    <row r="1112" spans="1:18" ht="15" customHeight="1" x14ac:dyDescent="0.25">
      <c r="A1112" s="1">
        <v>46736</v>
      </c>
      <c r="L1112" s="3">
        <f t="shared" si="54"/>
        <v>0</v>
      </c>
      <c r="M1112" s="3"/>
      <c r="N1112" s="3">
        <f t="shared" si="53"/>
        <v>0</v>
      </c>
      <c r="R1112" s="23" t="str">
        <f t="shared" si="52"/>
        <v>Yes</v>
      </c>
    </row>
    <row r="1113" spans="1:18" ht="15" customHeight="1" x14ac:dyDescent="0.25">
      <c r="A1113" s="1">
        <v>46737</v>
      </c>
      <c r="L1113" s="3">
        <f t="shared" si="54"/>
        <v>0</v>
      </c>
      <c r="M1113" s="3"/>
      <c r="N1113" s="3">
        <f t="shared" si="53"/>
        <v>0</v>
      </c>
      <c r="R1113" s="23" t="str">
        <f t="shared" si="52"/>
        <v>Yes</v>
      </c>
    </row>
    <row r="1114" spans="1:18" ht="15" customHeight="1" x14ac:dyDescent="0.25">
      <c r="A1114" s="1">
        <v>46738</v>
      </c>
      <c r="L1114" s="3">
        <f t="shared" si="54"/>
        <v>0</v>
      </c>
      <c r="M1114" s="3"/>
      <c r="N1114" s="3">
        <f t="shared" si="53"/>
        <v>0</v>
      </c>
      <c r="R1114" s="23" t="str">
        <f t="shared" si="52"/>
        <v>Yes</v>
      </c>
    </row>
    <row r="1115" spans="1:18" ht="15" customHeight="1" x14ac:dyDescent="0.25">
      <c r="A1115" s="1">
        <v>46739</v>
      </c>
      <c r="L1115" s="3">
        <f t="shared" si="54"/>
        <v>0</v>
      </c>
      <c r="M1115" s="3"/>
      <c r="N1115" s="3">
        <f t="shared" si="53"/>
        <v>0</v>
      </c>
      <c r="R1115" s="23" t="str">
        <f t="shared" si="52"/>
        <v>Yes</v>
      </c>
    </row>
    <row r="1116" spans="1:18" ht="15" customHeight="1" x14ac:dyDescent="0.25">
      <c r="A1116" s="1">
        <v>46740</v>
      </c>
      <c r="L1116" s="3">
        <f t="shared" si="54"/>
        <v>0</v>
      </c>
      <c r="M1116" s="3"/>
      <c r="N1116" s="3">
        <f t="shared" si="53"/>
        <v>0</v>
      </c>
      <c r="R1116" s="23" t="str">
        <f t="shared" si="52"/>
        <v>Yes</v>
      </c>
    </row>
    <row r="1117" spans="1:18" ht="15" customHeight="1" x14ac:dyDescent="0.25">
      <c r="A1117" s="1">
        <v>46741</v>
      </c>
      <c r="L1117" s="3">
        <f t="shared" si="54"/>
        <v>0</v>
      </c>
      <c r="M1117" s="3"/>
      <c r="N1117" s="3">
        <f t="shared" si="53"/>
        <v>0</v>
      </c>
      <c r="R1117" s="23" t="str">
        <f t="shared" si="52"/>
        <v>Yes</v>
      </c>
    </row>
    <row r="1118" spans="1:18" ht="15" customHeight="1" x14ac:dyDescent="0.25">
      <c r="A1118" s="1">
        <v>46742</v>
      </c>
      <c r="L1118" s="3">
        <f t="shared" si="54"/>
        <v>0</v>
      </c>
      <c r="M1118" s="3"/>
      <c r="N1118" s="3">
        <f t="shared" si="53"/>
        <v>0</v>
      </c>
      <c r="R1118" s="23" t="str">
        <f t="shared" si="52"/>
        <v>Yes</v>
      </c>
    </row>
    <row r="1119" spans="1:18" ht="15" customHeight="1" x14ac:dyDescent="0.25">
      <c r="A1119" s="1">
        <v>46743</v>
      </c>
      <c r="L1119" s="3">
        <f t="shared" si="54"/>
        <v>0</v>
      </c>
      <c r="M1119" s="3"/>
      <c r="N1119" s="3">
        <f t="shared" si="53"/>
        <v>0</v>
      </c>
      <c r="R1119" s="23" t="str">
        <f t="shared" si="52"/>
        <v>Yes</v>
      </c>
    </row>
    <row r="1120" spans="1:18" ht="15" customHeight="1" x14ac:dyDescent="0.25">
      <c r="A1120" s="1">
        <v>46744</v>
      </c>
      <c r="L1120" s="3">
        <f t="shared" si="54"/>
        <v>0</v>
      </c>
      <c r="M1120" s="3"/>
      <c r="N1120" s="3">
        <f t="shared" si="53"/>
        <v>0</v>
      </c>
      <c r="R1120" s="23" t="str">
        <f t="shared" si="52"/>
        <v>Yes</v>
      </c>
    </row>
    <row r="1121" spans="1:18" ht="15" customHeight="1" x14ac:dyDescent="0.25">
      <c r="A1121" s="1">
        <v>46745</v>
      </c>
      <c r="L1121" s="3">
        <f t="shared" si="54"/>
        <v>0</v>
      </c>
      <c r="M1121" s="3"/>
      <c r="N1121" s="3">
        <f t="shared" si="53"/>
        <v>0</v>
      </c>
      <c r="R1121" s="23" t="str">
        <f t="shared" si="52"/>
        <v>Yes</v>
      </c>
    </row>
    <row r="1122" spans="1:18" ht="15" customHeight="1" x14ac:dyDescent="0.25">
      <c r="A1122" s="1">
        <v>46746</v>
      </c>
      <c r="L1122" s="3">
        <f t="shared" si="54"/>
        <v>0</v>
      </c>
      <c r="M1122" s="3"/>
      <c r="N1122" s="3">
        <f t="shared" si="53"/>
        <v>0</v>
      </c>
      <c r="R1122" s="23" t="str">
        <f t="shared" si="52"/>
        <v>Yes</v>
      </c>
    </row>
    <row r="1123" spans="1:18" ht="15" customHeight="1" x14ac:dyDescent="0.25">
      <c r="A1123" s="1">
        <v>46747</v>
      </c>
      <c r="L1123" s="3">
        <f t="shared" si="54"/>
        <v>0</v>
      </c>
      <c r="M1123" s="3"/>
      <c r="N1123" s="3">
        <f t="shared" si="53"/>
        <v>0</v>
      </c>
      <c r="R1123" s="23" t="str">
        <f t="shared" si="52"/>
        <v>Yes</v>
      </c>
    </row>
    <row r="1124" spans="1:18" ht="15" customHeight="1" x14ac:dyDescent="0.25">
      <c r="A1124" s="1">
        <v>46748</v>
      </c>
      <c r="L1124" s="3">
        <f t="shared" si="54"/>
        <v>0</v>
      </c>
      <c r="M1124" s="3"/>
      <c r="N1124" s="3">
        <f t="shared" si="53"/>
        <v>0</v>
      </c>
      <c r="R1124" s="23" t="str">
        <f t="shared" si="52"/>
        <v>Yes</v>
      </c>
    </row>
    <row r="1125" spans="1:18" ht="15" customHeight="1" x14ac:dyDescent="0.25">
      <c r="A1125" s="1">
        <v>46749</v>
      </c>
      <c r="L1125" s="3">
        <f t="shared" si="54"/>
        <v>0</v>
      </c>
      <c r="M1125" s="3"/>
      <c r="N1125" s="3">
        <f t="shared" si="53"/>
        <v>0</v>
      </c>
      <c r="R1125" s="23" t="str">
        <f t="shared" si="52"/>
        <v>Yes</v>
      </c>
    </row>
    <row r="1126" spans="1:18" ht="15" customHeight="1" x14ac:dyDescent="0.25">
      <c r="A1126" s="1">
        <v>46750</v>
      </c>
      <c r="L1126" s="3">
        <f t="shared" si="54"/>
        <v>0</v>
      </c>
      <c r="M1126" s="3"/>
      <c r="N1126" s="3">
        <f t="shared" si="53"/>
        <v>0</v>
      </c>
      <c r="R1126" s="23" t="str">
        <f t="shared" si="52"/>
        <v>Yes</v>
      </c>
    </row>
    <row r="1127" spans="1:18" ht="15" customHeight="1" x14ac:dyDescent="0.25">
      <c r="A1127" s="1">
        <v>46751</v>
      </c>
      <c r="L1127" s="3">
        <f t="shared" si="54"/>
        <v>0</v>
      </c>
      <c r="M1127" s="3"/>
      <c r="N1127" s="3">
        <f t="shared" si="53"/>
        <v>0</v>
      </c>
      <c r="R1127" s="23" t="str">
        <f t="shared" si="52"/>
        <v>Yes</v>
      </c>
    </row>
    <row r="1128" spans="1:18" ht="15" customHeight="1" x14ac:dyDescent="0.25">
      <c r="A1128" s="1">
        <v>46752</v>
      </c>
      <c r="L1128" s="3">
        <f t="shared" si="54"/>
        <v>0</v>
      </c>
      <c r="M1128" s="3"/>
      <c r="N1128" s="3">
        <f t="shared" si="53"/>
        <v>0</v>
      </c>
      <c r="R1128" s="23" t="str">
        <f t="shared" si="52"/>
        <v>Yes</v>
      </c>
    </row>
    <row r="1129" spans="1:18" ht="15" customHeight="1" x14ac:dyDescent="0.25">
      <c r="A1129" s="1">
        <v>46753</v>
      </c>
      <c r="L1129" s="3">
        <f t="shared" si="54"/>
        <v>0</v>
      </c>
      <c r="M1129" s="3"/>
      <c r="N1129" s="3">
        <f t="shared" si="53"/>
        <v>0</v>
      </c>
      <c r="R1129" s="23" t="str">
        <f t="shared" si="52"/>
        <v>Yes</v>
      </c>
    </row>
    <row r="1130" spans="1:18" ht="15" customHeight="1" x14ac:dyDescent="0.25">
      <c r="A1130" s="1">
        <v>46754</v>
      </c>
      <c r="L1130" s="3">
        <f t="shared" si="54"/>
        <v>0</v>
      </c>
      <c r="M1130" s="3"/>
      <c r="N1130" s="3">
        <f t="shared" si="53"/>
        <v>0</v>
      </c>
      <c r="R1130" s="23" t="str">
        <f t="shared" si="52"/>
        <v>Yes</v>
      </c>
    </row>
    <row r="1131" spans="1:18" ht="15" customHeight="1" x14ac:dyDescent="0.25">
      <c r="A1131" s="1">
        <v>46755</v>
      </c>
      <c r="L1131" s="3">
        <f t="shared" si="54"/>
        <v>0</v>
      </c>
      <c r="M1131" s="3"/>
      <c r="N1131" s="3">
        <f t="shared" si="53"/>
        <v>0</v>
      </c>
      <c r="R1131" s="23" t="str">
        <f t="shared" si="52"/>
        <v>Yes</v>
      </c>
    </row>
    <row r="1132" spans="1:18" ht="15" customHeight="1" x14ac:dyDescent="0.25">
      <c r="A1132" s="1">
        <v>46756</v>
      </c>
      <c r="L1132" s="3">
        <f t="shared" si="54"/>
        <v>0</v>
      </c>
      <c r="M1132" s="3"/>
      <c r="N1132" s="3">
        <f t="shared" si="53"/>
        <v>0</v>
      </c>
      <c r="R1132" s="23" t="str">
        <f t="shared" si="52"/>
        <v>Yes</v>
      </c>
    </row>
    <row r="1133" spans="1:18" ht="15" customHeight="1" x14ac:dyDescent="0.25">
      <c r="A1133" s="1">
        <v>46757</v>
      </c>
      <c r="L1133" s="3">
        <f t="shared" si="54"/>
        <v>0</v>
      </c>
      <c r="M1133" s="3"/>
      <c r="N1133" s="3">
        <f t="shared" si="53"/>
        <v>0</v>
      </c>
      <c r="R1133" s="23" t="str">
        <f t="shared" ref="R1133:R1196" si="55">IF(Q1133&gt;0,"Yes",IF(OR((O1133+P1133&lt;50000),O1133&lt;24000,P1133&lt;26000),"Yes","No"))</f>
        <v>Yes</v>
      </c>
    </row>
    <row r="1134" spans="1:18" ht="15" customHeight="1" x14ac:dyDescent="0.25">
      <c r="A1134" s="1">
        <v>46758</v>
      </c>
      <c r="L1134" s="3">
        <f t="shared" si="54"/>
        <v>0</v>
      </c>
      <c r="M1134" s="3"/>
      <c r="N1134" s="3">
        <f t="shared" si="53"/>
        <v>0</v>
      </c>
      <c r="R1134" s="23" t="str">
        <f t="shared" si="55"/>
        <v>Yes</v>
      </c>
    </row>
    <row r="1135" spans="1:18" ht="15" customHeight="1" x14ac:dyDescent="0.25">
      <c r="A1135" s="1">
        <v>46759</v>
      </c>
      <c r="L1135" s="3">
        <f t="shared" si="54"/>
        <v>0</v>
      </c>
      <c r="M1135" s="3"/>
      <c r="N1135" s="3">
        <f t="shared" si="53"/>
        <v>0</v>
      </c>
      <c r="R1135" s="23" t="str">
        <f t="shared" si="55"/>
        <v>Yes</v>
      </c>
    </row>
    <row r="1136" spans="1:18" ht="15" customHeight="1" x14ac:dyDescent="0.25">
      <c r="A1136" s="1">
        <v>46760</v>
      </c>
      <c r="L1136" s="3">
        <f t="shared" si="54"/>
        <v>0</v>
      </c>
      <c r="M1136" s="3"/>
      <c r="N1136" s="3">
        <f t="shared" si="53"/>
        <v>0</v>
      </c>
      <c r="R1136" s="23" t="str">
        <f t="shared" si="55"/>
        <v>Yes</v>
      </c>
    </row>
    <row r="1137" spans="1:18" ht="15" customHeight="1" x14ac:dyDescent="0.25">
      <c r="A1137" s="1">
        <v>46761</v>
      </c>
      <c r="L1137" s="3">
        <f t="shared" si="54"/>
        <v>0</v>
      </c>
      <c r="M1137" s="3"/>
      <c r="N1137" s="3">
        <f t="shared" si="53"/>
        <v>0</v>
      </c>
      <c r="R1137" s="23" t="str">
        <f t="shared" si="55"/>
        <v>Yes</v>
      </c>
    </row>
    <row r="1138" spans="1:18" ht="15" customHeight="1" x14ac:dyDescent="0.25">
      <c r="A1138" s="1">
        <v>46762</v>
      </c>
      <c r="L1138" s="3">
        <f t="shared" si="54"/>
        <v>0</v>
      </c>
      <c r="M1138" s="3"/>
      <c r="N1138" s="3">
        <f t="shared" si="53"/>
        <v>0</v>
      </c>
      <c r="R1138" s="23" t="str">
        <f t="shared" si="55"/>
        <v>Yes</v>
      </c>
    </row>
    <row r="1139" spans="1:18" ht="15" customHeight="1" x14ac:dyDescent="0.25">
      <c r="A1139" s="1">
        <v>46763</v>
      </c>
      <c r="L1139" s="3">
        <f t="shared" si="54"/>
        <v>0</v>
      </c>
      <c r="M1139" s="3"/>
      <c r="N1139" s="3">
        <f t="shared" si="53"/>
        <v>0</v>
      </c>
      <c r="R1139" s="23" t="str">
        <f t="shared" si="55"/>
        <v>Yes</v>
      </c>
    </row>
    <row r="1140" spans="1:18" ht="15" customHeight="1" x14ac:dyDescent="0.25">
      <c r="A1140" s="1">
        <v>46764</v>
      </c>
      <c r="L1140" s="3">
        <f t="shared" si="54"/>
        <v>0</v>
      </c>
      <c r="M1140" s="3"/>
      <c r="N1140" s="3">
        <f t="shared" si="53"/>
        <v>0</v>
      </c>
      <c r="R1140" s="23" t="str">
        <f t="shared" si="55"/>
        <v>Yes</v>
      </c>
    </row>
    <row r="1141" spans="1:18" ht="15" customHeight="1" x14ac:dyDescent="0.25">
      <c r="A1141" s="1">
        <v>46765</v>
      </c>
      <c r="L1141" s="3">
        <f t="shared" si="54"/>
        <v>0</v>
      </c>
      <c r="M1141" s="3"/>
      <c r="N1141" s="3">
        <f t="shared" si="53"/>
        <v>0</v>
      </c>
      <c r="R1141" s="23" t="str">
        <f t="shared" si="55"/>
        <v>Yes</v>
      </c>
    </row>
    <row r="1142" spans="1:18" ht="15" customHeight="1" x14ac:dyDescent="0.25">
      <c r="A1142" s="1">
        <v>46766</v>
      </c>
      <c r="L1142" s="3">
        <f t="shared" si="54"/>
        <v>0</v>
      </c>
      <c r="M1142" s="3"/>
      <c r="N1142" s="3">
        <f t="shared" si="53"/>
        <v>0</v>
      </c>
      <c r="R1142" s="23" t="str">
        <f t="shared" si="55"/>
        <v>Yes</v>
      </c>
    </row>
    <row r="1143" spans="1:18" ht="15" customHeight="1" x14ac:dyDescent="0.25">
      <c r="A1143" s="1">
        <v>46767</v>
      </c>
      <c r="L1143" s="3">
        <f t="shared" si="54"/>
        <v>0</v>
      </c>
      <c r="M1143" s="3"/>
      <c r="N1143" s="3">
        <f t="shared" si="53"/>
        <v>0</v>
      </c>
      <c r="R1143" s="23" t="str">
        <f t="shared" si="55"/>
        <v>Yes</v>
      </c>
    </row>
    <row r="1144" spans="1:18" ht="15" customHeight="1" x14ac:dyDescent="0.25">
      <c r="A1144" s="1">
        <v>46768</v>
      </c>
      <c r="L1144" s="3">
        <f t="shared" si="54"/>
        <v>0</v>
      </c>
      <c r="M1144" s="3"/>
      <c r="N1144" s="3">
        <f t="shared" si="53"/>
        <v>0</v>
      </c>
      <c r="R1144" s="23" t="str">
        <f t="shared" si="55"/>
        <v>Yes</v>
      </c>
    </row>
    <row r="1145" spans="1:18" ht="15" customHeight="1" x14ac:dyDescent="0.25">
      <c r="A1145" s="1">
        <v>46769</v>
      </c>
      <c r="L1145" s="3">
        <f t="shared" si="54"/>
        <v>0</v>
      </c>
      <c r="M1145" s="3"/>
      <c r="N1145" s="3">
        <f t="shared" si="53"/>
        <v>0</v>
      </c>
      <c r="R1145" s="23" t="str">
        <f t="shared" si="55"/>
        <v>Yes</v>
      </c>
    </row>
    <row r="1146" spans="1:18" ht="15" customHeight="1" x14ac:dyDescent="0.25">
      <c r="A1146" s="1">
        <v>46770</v>
      </c>
      <c r="L1146" s="3">
        <f t="shared" si="54"/>
        <v>0</v>
      </c>
      <c r="M1146" s="3"/>
      <c r="N1146" s="3">
        <f t="shared" si="53"/>
        <v>0</v>
      </c>
      <c r="R1146" s="23" t="str">
        <f t="shared" si="55"/>
        <v>Yes</v>
      </c>
    </row>
    <row r="1147" spans="1:18" ht="15" customHeight="1" x14ac:dyDescent="0.25">
      <c r="A1147" s="1">
        <v>46771</v>
      </c>
      <c r="L1147" s="3">
        <f t="shared" si="54"/>
        <v>0</v>
      </c>
      <c r="M1147" s="3"/>
      <c r="N1147" s="3">
        <f t="shared" si="53"/>
        <v>0</v>
      </c>
      <c r="R1147" s="23" t="str">
        <f t="shared" si="55"/>
        <v>Yes</v>
      </c>
    </row>
    <row r="1148" spans="1:18" ht="15" customHeight="1" x14ac:dyDescent="0.25">
      <c r="A1148" s="1">
        <v>46772</v>
      </c>
      <c r="L1148" s="3">
        <f t="shared" si="54"/>
        <v>0</v>
      </c>
      <c r="M1148" s="3"/>
      <c r="N1148" s="3">
        <f t="shared" si="53"/>
        <v>0</v>
      </c>
      <c r="R1148" s="23" t="str">
        <f t="shared" si="55"/>
        <v>Yes</v>
      </c>
    </row>
    <row r="1149" spans="1:18" ht="15" customHeight="1" x14ac:dyDescent="0.25">
      <c r="A1149" s="1">
        <v>46773</v>
      </c>
      <c r="L1149" s="3">
        <f t="shared" si="54"/>
        <v>0</v>
      </c>
      <c r="M1149" s="3"/>
      <c r="N1149" s="3">
        <f t="shared" si="53"/>
        <v>0</v>
      </c>
      <c r="R1149" s="23" t="str">
        <f t="shared" si="55"/>
        <v>Yes</v>
      </c>
    </row>
    <row r="1150" spans="1:18" ht="15" customHeight="1" x14ac:dyDescent="0.25">
      <c r="A1150" s="1">
        <v>46774</v>
      </c>
      <c r="L1150" s="3">
        <f t="shared" si="54"/>
        <v>0</v>
      </c>
      <c r="M1150" s="3"/>
      <c r="N1150" s="3">
        <f t="shared" si="53"/>
        <v>0</v>
      </c>
      <c r="R1150" s="23" t="str">
        <f t="shared" si="55"/>
        <v>Yes</v>
      </c>
    </row>
    <row r="1151" spans="1:18" ht="15" customHeight="1" x14ac:dyDescent="0.25">
      <c r="A1151" s="1">
        <v>46775</v>
      </c>
      <c r="L1151" s="3">
        <f t="shared" si="54"/>
        <v>0</v>
      </c>
      <c r="M1151" s="3"/>
      <c r="N1151" s="3">
        <f t="shared" si="53"/>
        <v>0</v>
      </c>
      <c r="R1151" s="23" t="str">
        <f t="shared" si="55"/>
        <v>Yes</v>
      </c>
    </row>
    <row r="1152" spans="1:18" ht="15" customHeight="1" x14ac:dyDescent="0.25">
      <c r="A1152" s="1">
        <v>46776</v>
      </c>
      <c r="L1152" s="3">
        <f t="shared" si="54"/>
        <v>0</v>
      </c>
      <c r="M1152" s="3"/>
      <c r="N1152" s="3">
        <f t="shared" si="53"/>
        <v>0</v>
      </c>
      <c r="R1152" s="23" t="str">
        <f t="shared" si="55"/>
        <v>Yes</v>
      </c>
    </row>
    <row r="1153" spans="1:18" ht="15" customHeight="1" x14ac:dyDescent="0.25">
      <c r="A1153" s="1">
        <v>46777</v>
      </c>
      <c r="L1153" s="3">
        <f t="shared" si="54"/>
        <v>0</v>
      </c>
      <c r="M1153" s="3"/>
      <c r="N1153" s="3">
        <f t="shared" si="53"/>
        <v>0</v>
      </c>
      <c r="R1153" s="23" t="str">
        <f t="shared" si="55"/>
        <v>Yes</v>
      </c>
    </row>
    <row r="1154" spans="1:18" ht="15" customHeight="1" x14ac:dyDescent="0.25">
      <c r="A1154" s="1">
        <v>46778</v>
      </c>
      <c r="L1154" s="3">
        <f t="shared" si="54"/>
        <v>0</v>
      </c>
      <c r="M1154" s="3"/>
      <c r="N1154" s="3">
        <f t="shared" si="53"/>
        <v>0</v>
      </c>
      <c r="R1154" s="23" t="str">
        <f t="shared" si="55"/>
        <v>Yes</v>
      </c>
    </row>
    <row r="1155" spans="1:18" ht="15" customHeight="1" x14ac:dyDescent="0.25">
      <c r="A1155" s="1">
        <v>46779</v>
      </c>
      <c r="L1155" s="3">
        <f t="shared" si="54"/>
        <v>0</v>
      </c>
      <c r="M1155" s="3"/>
      <c r="N1155" s="3">
        <f t="shared" ref="N1155:N1218" si="56">IF(OR(O1155&lt;24300,P1155&lt;25700),MAX(L1155,M1155),L1155)</f>
        <v>0</v>
      </c>
      <c r="R1155" s="23" t="str">
        <f t="shared" si="55"/>
        <v>Yes</v>
      </c>
    </row>
    <row r="1156" spans="1:18" ht="15" customHeight="1" x14ac:dyDescent="0.25">
      <c r="A1156" s="1">
        <v>46780</v>
      </c>
      <c r="L1156" s="3">
        <f t="shared" ref="L1156:L1219" si="57">SUM(B1156:K1156)</f>
        <v>0</v>
      </c>
      <c r="M1156" s="3"/>
      <c r="N1156" s="3">
        <f t="shared" si="56"/>
        <v>0</v>
      </c>
      <c r="R1156" s="23" t="str">
        <f t="shared" si="55"/>
        <v>Yes</v>
      </c>
    </row>
    <row r="1157" spans="1:18" ht="15" customHeight="1" x14ac:dyDescent="0.25">
      <c r="A1157" s="1">
        <v>46781</v>
      </c>
      <c r="L1157" s="3">
        <f t="shared" si="57"/>
        <v>0</v>
      </c>
      <c r="M1157" s="3"/>
      <c r="N1157" s="3">
        <f t="shared" si="56"/>
        <v>0</v>
      </c>
      <c r="R1157" s="23" t="str">
        <f t="shared" si="55"/>
        <v>Yes</v>
      </c>
    </row>
    <row r="1158" spans="1:18" ht="15" customHeight="1" x14ac:dyDescent="0.25">
      <c r="A1158" s="1">
        <v>46782</v>
      </c>
      <c r="L1158" s="3">
        <f t="shared" si="57"/>
        <v>0</v>
      </c>
      <c r="M1158" s="3"/>
      <c r="N1158" s="3">
        <f t="shared" si="56"/>
        <v>0</v>
      </c>
      <c r="R1158" s="23" t="str">
        <f t="shared" si="55"/>
        <v>Yes</v>
      </c>
    </row>
    <row r="1159" spans="1:18" ht="15" customHeight="1" x14ac:dyDescent="0.25">
      <c r="A1159" s="1">
        <v>46783</v>
      </c>
      <c r="L1159" s="3">
        <f t="shared" si="57"/>
        <v>0</v>
      </c>
      <c r="M1159" s="3"/>
      <c r="N1159" s="3">
        <f t="shared" si="56"/>
        <v>0</v>
      </c>
      <c r="R1159" s="23" t="str">
        <f t="shared" si="55"/>
        <v>Yes</v>
      </c>
    </row>
    <row r="1160" spans="1:18" ht="15" customHeight="1" x14ac:dyDescent="0.25">
      <c r="A1160" s="1">
        <v>46784</v>
      </c>
      <c r="L1160" s="3">
        <f t="shared" si="57"/>
        <v>0</v>
      </c>
      <c r="M1160" s="3"/>
      <c r="N1160" s="3">
        <f t="shared" si="56"/>
        <v>0</v>
      </c>
      <c r="R1160" s="23" t="str">
        <f t="shared" si="55"/>
        <v>Yes</v>
      </c>
    </row>
    <row r="1161" spans="1:18" ht="15" customHeight="1" x14ac:dyDescent="0.25">
      <c r="A1161" s="1">
        <v>46785</v>
      </c>
      <c r="L1161" s="3">
        <f t="shared" si="57"/>
        <v>0</v>
      </c>
      <c r="M1161" s="3"/>
      <c r="N1161" s="3">
        <f t="shared" si="56"/>
        <v>0</v>
      </c>
      <c r="R1161" s="23" t="str">
        <f t="shared" si="55"/>
        <v>Yes</v>
      </c>
    </row>
    <row r="1162" spans="1:18" ht="15" customHeight="1" x14ac:dyDescent="0.25">
      <c r="A1162" s="1">
        <v>46786</v>
      </c>
      <c r="L1162" s="3">
        <f t="shared" si="57"/>
        <v>0</v>
      </c>
      <c r="M1162" s="3"/>
      <c r="N1162" s="3">
        <f t="shared" si="56"/>
        <v>0</v>
      </c>
      <c r="R1162" s="23" t="str">
        <f t="shared" si="55"/>
        <v>Yes</v>
      </c>
    </row>
    <row r="1163" spans="1:18" ht="15" customHeight="1" x14ac:dyDescent="0.25">
      <c r="A1163" s="1">
        <v>46787</v>
      </c>
      <c r="L1163" s="3">
        <f t="shared" si="57"/>
        <v>0</v>
      </c>
      <c r="M1163" s="3"/>
      <c r="N1163" s="3">
        <f t="shared" si="56"/>
        <v>0</v>
      </c>
      <c r="R1163" s="23" t="str">
        <f t="shared" si="55"/>
        <v>Yes</v>
      </c>
    </row>
    <row r="1164" spans="1:18" ht="15" customHeight="1" x14ac:dyDescent="0.25">
      <c r="A1164" s="1">
        <v>46788</v>
      </c>
      <c r="L1164" s="3">
        <f t="shared" si="57"/>
        <v>0</v>
      </c>
      <c r="M1164" s="3"/>
      <c r="N1164" s="3">
        <f t="shared" si="56"/>
        <v>0</v>
      </c>
      <c r="R1164" s="23" t="str">
        <f t="shared" si="55"/>
        <v>Yes</v>
      </c>
    </row>
    <row r="1165" spans="1:18" ht="15" customHeight="1" x14ac:dyDescent="0.25">
      <c r="A1165" s="1">
        <v>46789</v>
      </c>
      <c r="L1165" s="3">
        <f t="shared" si="57"/>
        <v>0</v>
      </c>
      <c r="M1165" s="3"/>
      <c r="N1165" s="3">
        <f t="shared" si="56"/>
        <v>0</v>
      </c>
      <c r="R1165" s="23" t="str">
        <f t="shared" si="55"/>
        <v>Yes</v>
      </c>
    </row>
    <row r="1166" spans="1:18" ht="15" customHeight="1" x14ac:dyDescent="0.25">
      <c r="A1166" s="1">
        <v>46790</v>
      </c>
      <c r="L1166" s="3">
        <f t="shared" si="57"/>
        <v>0</v>
      </c>
      <c r="M1166" s="3"/>
      <c r="N1166" s="3">
        <f t="shared" si="56"/>
        <v>0</v>
      </c>
      <c r="R1166" s="23" t="str">
        <f t="shared" si="55"/>
        <v>Yes</v>
      </c>
    </row>
    <row r="1167" spans="1:18" ht="15" customHeight="1" x14ac:dyDescent="0.25">
      <c r="A1167" s="1">
        <v>46791</v>
      </c>
      <c r="L1167" s="3">
        <f t="shared" si="57"/>
        <v>0</v>
      </c>
      <c r="M1167" s="3"/>
      <c r="N1167" s="3">
        <f t="shared" si="56"/>
        <v>0</v>
      </c>
      <c r="R1167" s="23" t="str">
        <f t="shared" si="55"/>
        <v>Yes</v>
      </c>
    </row>
    <row r="1168" spans="1:18" ht="15" customHeight="1" x14ac:dyDescent="0.25">
      <c r="A1168" s="1">
        <v>46792</v>
      </c>
      <c r="L1168" s="3">
        <f t="shared" si="57"/>
        <v>0</v>
      </c>
      <c r="M1168" s="3"/>
      <c r="N1168" s="3">
        <f t="shared" si="56"/>
        <v>0</v>
      </c>
      <c r="R1168" s="23" t="str">
        <f t="shared" si="55"/>
        <v>Yes</v>
      </c>
    </row>
    <row r="1169" spans="1:18" ht="15" customHeight="1" x14ac:dyDescent="0.25">
      <c r="A1169" s="1">
        <v>46793</v>
      </c>
      <c r="L1169" s="3">
        <f t="shared" si="57"/>
        <v>0</v>
      </c>
      <c r="M1169" s="3"/>
      <c r="N1169" s="3">
        <f t="shared" si="56"/>
        <v>0</v>
      </c>
      <c r="R1169" s="23" t="str">
        <f t="shared" si="55"/>
        <v>Yes</v>
      </c>
    </row>
    <row r="1170" spans="1:18" ht="15" customHeight="1" x14ac:dyDescent="0.25">
      <c r="A1170" s="1">
        <v>46794</v>
      </c>
      <c r="L1170" s="3">
        <f t="shared" si="57"/>
        <v>0</v>
      </c>
      <c r="M1170" s="3"/>
      <c r="N1170" s="3">
        <f t="shared" si="56"/>
        <v>0</v>
      </c>
      <c r="R1170" s="23" t="str">
        <f t="shared" si="55"/>
        <v>Yes</v>
      </c>
    </row>
    <row r="1171" spans="1:18" ht="15" customHeight="1" x14ac:dyDescent="0.25">
      <c r="A1171" s="1">
        <v>46795</v>
      </c>
      <c r="L1171" s="3">
        <f t="shared" si="57"/>
        <v>0</v>
      </c>
      <c r="M1171" s="3"/>
      <c r="N1171" s="3">
        <f t="shared" si="56"/>
        <v>0</v>
      </c>
      <c r="R1171" s="23" t="str">
        <f t="shared" si="55"/>
        <v>Yes</v>
      </c>
    </row>
    <row r="1172" spans="1:18" ht="15" customHeight="1" x14ac:dyDescent="0.25">
      <c r="A1172" s="1">
        <v>46796</v>
      </c>
      <c r="L1172" s="3">
        <f t="shared" si="57"/>
        <v>0</v>
      </c>
      <c r="M1172" s="3"/>
      <c r="N1172" s="3">
        <f t="shared" si="56"/>
        <v>0</v>
      </c>
      <c r="R1172" s="23" t="str">
        <f t="shared" si="55"/>
        <v>Yes</v>
      </c>
    </row>
    <row r="1173" spans="1:18" ht="15" customHeight="1" x14ac:dyDescent="0.25">
      <c r="A1173" s="1">
        <v>46797</v>
      </c>
      <c r="L1173" s="3">
        <f t="shared" si="57"/>
        <v>0</v>
      </c>
      <c r="M1173" s="3"/>
      <c r="N1173" s="3">
        <f t="shared" si="56"/>
        <v>0</v>
      </c>
      <c r="R1173" s="23" t="str">
        <f t="shared" si="55"/>
        <v>Yes</v>
      </c>
    </row>
    <row r="1174" spans="1:18" ht="15" customHeight="1" x14ac:dyDescent="0.25">
      <c r="A1174" s="1">
        <v>46798</v>
      </c>
      <c r="L1174" s="3">
        <f t="shared" si="57"/>
        <v>0</v>
      </c>
      <c r="M1174" s="3"/>
      <c r="N1174" s="3">
        <f t="shared" si="56"/>
        <v>0</v>
      </c>
      <c r="R1174" s="23" t="str">
        <f t="shared" si="55"/>
        <v>Yes</v>
      </c>
    </row>
    <row r="1175" spans="1:18" ht="15" customHeight="1" x14ac:dyDescent="0.25">
      <c r="A1175" s="1">
        <v>46799</v>
      </c>
      <c r="L1175" s="3">
        <f t="shared" si="57"/>
        <v>0</v>
      </c>
      <c r="M1175" s="3"/>
      <c r="N1175" s="3">
        <f t="shared" si="56"/>
        <v>0</v>
      </c>
      <c r="R1175" s="23" t="str">
        <f t="shared" si="55"/>
        <v>Yes</v>
      </c>
    </row>
    <row r="1176" spans="1:18" ht="15" customHeight="1" x14ac:dyDescent="0.25">
      <c r="A1176" s="1">
        <v>46800</v>
      </c>
      <c r="L1176" s="3">
        <f t="shared" si="57"/>
        <v>0</v>
      </c>
      <c r="M1176" s="3"/>
      <c r="N1176" s="3">
        <f t="shared" si="56"/>
        <v>0</v>
      </c>
      <c r="R1176" s="23" t="str">
        <f t="shared" si="55"/>
        <v>Yes</v>
      </c>
    </row>
    <row r="1177" spans="1:18" ht="15" customHeight="1" x14ac:dyDescent="0.25">
      <c r="A1177" s="1">
        <v>46801</v>
      </c>
      <c r="L1177" s="3">
        <f t="shared" si="57"/>
        <v>0</v>
      </c>
      <c r="M1177" s="3"/>
      <c r="N1177" s="3">
        <f t="shared" si="56"/>
        <v>0</v>
      </c>
      <c r="R1177" s="23" t="str">
        <f t="shared" si="55"/>
        <v>Yes</v>
      </c>
    </row>
    <row r="1178" spans="1:18" ht="15" customHeight="1" x14ac:dyDescent="0.25">
      <c r="A1178" s="1">
        <v>46802</v>
      </c>
      <c r="L1178" s="3">
        <f t="shared" si="57"/>
        <v>0</v>
      </c>
      <c r="M1178" s="3"/>
      <c r="N1178" s="3">
        <f t="shared" si="56"/>
        <v>0</v>
      </c>
      <c r="R1178" s="23" t="str">
        <f t="shared" si="55"/>
        <v>Yes</v>
      </c>
    </row>
    <row r="1179" spans="1:18" ht="15" customHeight="1" x14ac:dyDescent="0.25">
      <c r="A1179" s="1">
        <v>46803</v>
      </c>
      <c r="L1179" s="3">
        <f t="shared" si="57"/>
        <v>0</v>
      </c>
      <c r="M1179" s="3"/>
      <c r="N1179" s="3">
        <f t="shared" si="56"/>
        <v>0</v>
      </c>
      <c r="R1179" s="23" t="str">
        <f t="shared" si="55"/>
        <v>Yes</v>
      </c>
    </row>
    <row r="1180" spans="1:18" ht="15" customHeight="1" x14ac:dyDescent="0.25">
      <c r="A1180" s="1">
        <v>46804</v>
      </c>
      <c r="L1180" s="3">
        <f t="shared" si="57"/>
        <v>0</v>
      </c>
      <c r="M1180" s="3"/>
      <c r="N1180" s="3">
        <f t="shared" si="56"/>
        <v>0</v>
      </c>
      <c r="R1180" s="23" t="str">
        <f t="shared" si="55"/>
        <v>Yes</v>
      </c>
    </row>
    <row r="1181" spans="1:18" ht="15" customHeight="1" x14ac:dyDescent="0.25">
      <c r="A1181" s="1">
        <v>46805</v>
      </c>
      <c r="L1181" s="3">
        <f t="shared" si="57"/>
        <v>0</v>
      </c>
      <c r="M1181" s="3"/>
      <c r="N1181" s="3">
        <f t="shared" si="56"/>
        <v>0</v>
      </c>
      <c r="R1181" s="23" t="str">
        <f t="shared" si="55"/>
        <v>Yes</v>
      </c>
    </row>
    <row r="1182" spans="1:18" ht="15" customHeight="1" x14ac:dyDescent="0.25">
      <c r="A1182" s="1">
        <v>46806</v>
      </c>
      <c r="L1182" s="3">
        <f t="shared" si="57"/>
        <v>0</v>
      </c>
      <c r="M1182" s="3"/>
      <c r="N1182" s="3">
        <f t="shared" si="56"/>
        <v>0</v>
      </c>
      <c r="R1182" s="23" t="str">
        <f t="shared" si="55"/>
        <v>Yes</v>
      </c>
    </row>
    <row r="1183" spans="1:18" ht="15" customHeight="1" x14ac:dyDescent="0.25">
      <c r="A1183" s="1">
        <v>46807</v>
      </c>
      <c r="L1183" s="3">
        <f t="shared" si="57"/>
        <v>0</v>
      </c>
      <c r="M1183" s="3"/>
      <c r="N1183" s="3">
        <f t="shared" si="56"/>
        <v>0</v>
      </c>
      <c r="R1183" s="23" t="str">
        <f t="shared" si="55"/>
        <v>Yes</v>
      </c>
    </row>
    <row r="1184" spans="1:18" ht="15" customHeight="1" x14ac:dyDescent="0.25">
      <c r="A1184" s="1">
        <v>46808</v>
      </c>
      <c r="L1184" s="3">
        <f t="shared" si="57"/>
        <v>0</v>
      </c>
      <c r="M1184" s="3"/>
      <c r="N1184" s="3">
        <f t="shared" si="56"/>
        <v>0</v>
      </c>
      <c r="R1184" s="23" t="str">
        <f t="shared" si="55"/>
        <v>Yes</v>
      </c>
    </row>
    <row r="1185" spans="1:18" ht="15" customHeight="1" x14ac:dyDescent="0.25">
      <c r="A1185" s="1">
        <v>46809</v>
      </c>
      <c r="L1185" s="3">
        <f t="shared" si="57"/>
        <v>0</v>
      </c>
      <c r="M1185" s="3"/>
      <c r="N1185" s="3">
        <f t="shared" si="56"/>
        <v>0</v>
      </c>
      <c r="R1185" s="23" t="str">
        <f t="shared" si="55"/>
        <v>Yes</v>
      </c>
    </row>
    <row r="1186" spans="1:18" ht="15" customHeight="1" x14ac:dyDescent="0.25">
      <c r="A1186" s="1">
        <v>46810</v>
      </c>
      <c r="L1186" s="3">
        <f t="shared" si="57"/>
        <v>0</v>
      </c>
      <c r="M1186" s="3"/>
      <c r="N1186" s="3">
        <f t="shared" si="56"/>
        <v>0</v>
      </c>
      <c r="R1186" s="23" t="str">
        <f t="shared" si="55"/>
        <v>Yes</v>
      </c>
    </row>
    <row r="1187" spans="1:18" ht="15" customHeight="1" x14ac:dyDescent="0.25">
      <c r="A1187" s="1">
        <v>46811</v>
      </c>
      <c r="L1187" s="3">
        <f t="shared" si="57"/>
        <v>0</v>
      </c>
      <c r="M1187" s="3"/>
      <c r="N1187" s="3">
        <f t="shared" si="56"/>
        <v>0</v>
      </c>
      <c r="R1187" s="23" t="str">
        <f t="shared" si="55"/>
        <v>Yes</v>
      </c>
    </row>
    <row r="1188" spans="1:18" ht="15" customHeight="1" x14ac:dyDescent="0.25">
      <c r="A1188" s="1">
        <v>46812</v>
      </c>
      <c r="L1188" s="3">
        <f t="shared" si="57"/>
        <v>0</v>
      </c>
      <c r="M1188" s="3"/>
      <c r="N1188" s="3">
        <f t="shared" si="56"/>
        <v>0</v>
      </c>
      <c r="R1188" s="23" t="str">
        <f t="shared" si="55"/>
        <v>Yes</v>
      </c>
    </row>
    <row r="1189" spans="1:18" ht="15" customHeight="1" x14ac:dyDescent="0.25">
      <c r="A1189" s="1">
        <v>46813</v>
      </c>
      <c r="L1189" s="3">
        <f t="shared" si="57"/>
        <v>0</v>
      </c>
      <c r="M1189" s="3"/>
      <c r="N1189" s="3">
        <f t="shared" si="56"/>
        <v>0</v>
      </c>
      <c r="R1189" s="23" t="str">
        <f t="shared" si="55"/>
        <v>Yes</v>
      </c>
    </row>
    <row r="1190" spans="1:18" ht="15" customHeight="1" x14ac:dyDescent="0.25">
      <c r="A1190" s="1">
        <v>46814</v>
      </c>
      <c r="L1190" s="3">
        <f t="shared" si="57"/>
        <v>0</v>
      </c>
      <c r="M1190" s="3"/>
      <c r="N1190" s="3">
        <f t="shared" si="56"/>
        <v>0</v>
      </c>
      <c r="R1190" s="23" t="str">
        <f t="shared" si="55"/>
        <v>Yes</v>
      </c>
    </row>
    <row r="1191" spans="1:18" ht="15" customHeight="1" x14ac:dyDescent="0.25">
      <c r="A1191" s="1">
        <v>46815</v>
      </c>
      <c r="L1191" s="3">
        <f t="shared" si="57"/>
        <v>0</v>
      </c>
      <c r="M1191" s="3"/>
      <c r="N1191" s="3">
        <f t="shared" si="56"/>
        <v>0</v>
      </c>
      <c r="R1191" s="23" t="str">
        <f t="shared" si="55"/>
        <v>Yes</v>
      </c>
    </row>
    <row r="1192" spans="1:18" ht="15" customHeight="1" x14ac:dyDescent="0.25">
      <c r="A1192" s="1">
        <v>46816</v>
      </c>
      <c r="L1192" s="3">
        <f t="shared" si="57"/>
        <v>0</v>
      </c>
      <c r="M1192" s="3"/>
      <c r="N1192" s="3">
        <f t="shared" si="56"/>
        <v>0</v>
      </c>
      <c r="R1192" s="23" t="str">
        <f t="shared" si="55"/>
        <v>Yes</v>
      </c>
    </row>
    <row r="1193" spans="1:18" ht="15" customHeight="1" x14ac:dyDescent="0.25">
      <c r="A1193" s="1">
        <v>46817</v>
      </c>
      <c r="L1193" s="3">
        <f t="shared" si="57"/>
        <v>0</v>
      </c>
      <c r="M1193" s="3"/>
      <c r="N1193" s="3">
        <f t="shared" si="56"/>
        <v>0</v>
      </c>
      <c r="R1193" s="23" t="str">
        <f t="shared" si="55"/>
        <v>Yes</v>
      </c>
    </row>
    <row r="1194" spans="1:18" ht="15" customHeight="1" x14ac:dyDescent="0.25">
      <c r="A1194" s="1">
        <v>46818</v>
      </c>
      <c r="L1194" s="3">
        <f t="shared" si="57"/>
        <v>0</v>
      </c>
      <c r="M1194" s="3"/>
      <c r="N1194" s="3">
        <f t="shared" si="56"/>
        <v>0</v>
      </c>
      <c r="R1194" s="23" t="str">
        <f t="shared" si="55"/>
        <v>Yes</v>
      </c>
    </row>
    <row r="1195" spans="1:18" ht="15" customHeight="1" x14ac:dyDescent="0.25">
      <c r="A1195" s="1">
        <v>46819</v>
      </c>
      <c r="L1195" s="3">
        <f t="shared" si="57"/>
        <v>0</v>
      </c>
      <c r="M1195" s="3"/>
      <c r="N1195" s="3">
        <f t="shared" si="56"/>
        <v>0</v>
      </c>
      <c r="R1195" s="23" t="str">
        <f t="shared" si="55"/>
        <v>Yes</v>
      </c>
    </row>
    <row r="1196" spans="1:18" ht="15" customHeight="1" x14ac:dyDescent="0.25">
      <c r="A1196" s="1">
        <v>46820</v>
      </c>
      <c r="L1196" s="3">
        <f t="shared" si="57"/>
        <v>0</v>
      </c>
      <c r="M1196" s="3"/>
      <c r="N1196" s="3">
        <f t="shared" si="56"/>
        <v>0</v>
      </c>
      <c r="R1196" s="23" t="str">
        <f t="shared" si="55"/>
        <v>Yes</v>
      </c>
    </row>
    <row r="1197" spans="1:18" ht="15" customHeight="1" x14ac:dyDescent="0.25">
      <c r="A1197" s="1">
        <v>46821</v>
      </c>
      <c r="L1197" s="3">
        <f t="shared" si="57"/>
        <v>0</v>
      </c>
      <c r="M1197" s="3"/>
      <c r="N1197" s="3">
        <f t="shared" si="56"/>
        <v>0</v>
      </c>
      <c r="R1197" s="23" t="str">
        <f t="shared" ref="R1197:R1260" si="58">IF(Q1197&gt;0,"Yes",IF(OR((O1197+P1197&lt;50000),O1197&lt;24000,P1197&lt;26000),"Yes","No"))</f>
        <v>Yes</v>
      </c>
    </row>
    <row r="1198" spans="1:18" ht="15" customHeight="1" x14ac:dyDescent="0.25">
      <c r="A1198" s="1">
        <v>46822</v>
      </c>
      <c r="L1198" s="3">
        <f t="shared" si="57"/>
        <v>0</v>
      </c>
      <c r="M1198" s="3"/>
      <c r="N1198" s="3">
        <f t="shared" si="56"/>
        <v>0</v>
      </c>
      <c r="R1198" s="23" t="str">
        <f t="shared" si="58"/>
        <v>Yes</v>
      </c>
    </row>
    <row r="1199" spans="1:18" ht="15" customHeight="1" x14ac:dyDescent="0.25">
      <c r="A1199" s="1">
        <v>46823</v>
      </c>
      <c r="L1199" s="3">
        <f t="shared" si="57"/>
        <v>0</v>
      </c>
      <c r="M1199" s="3"/>
      <c r="N1199" s="3">
        <f t="shared" si="56"/>
        <v>0</v>
      </c>
      <c r="R1199" s="23" t="str">
        <f t="shared" si="58"/>
        <v>Yes</v>
      </c>
    </row>
    <row r="1200" spans="1:18" ht="15" customHeight="1" x14ac:dyDescent="0.25">
      <c r="A1200" s="1">
        <v>46824</v>
      </c>
      <c r="L1200" s="3">
        <f t="shared" si="57"/>
        <v>0</v>
      </c>
      <c r="M1200" s="3"/>
      <c r="N1200" s="3">
        <f t="shared" si="56"/>
        <v>0</v>
      </c>
      <c r="R1200" s="23" t="str">
        <f t="shared" si="58"/>
        <v>Yes</v>
      </c>
    </row>
    <row r="1201" spans="1:18" ht="15" customHeight="1" x14ac:dyDescent="0.25">
      <c r="A1201" s="1">
        <v>46825</v>
      </c>
      <c r="L1201" s="3">
        <f t="shared" si="57"/>
        <v>0</v>
      </c>
      <c r="M1201" s="3"/>
      <c r="N1201" s="3">
        <f t="shared" si="56"/>
        <v>0</v>
      </c>
      <c r="R1201" s="23" t="str">
        <f t="shared" si="58"/>
        <v>Yes</v>
      </c>
    </row>
    <row r="1202" spans="1:18" ht="15" customHeight="1" x14ac:dyDescent="0.25">
      <c r="A1202" s="1">
        <v>46826</v>
      </c>
      <c r="L1202" s="3">
        <f t="shared" si="57"/>
        <v>0</v>
      </c>
      <c r="M1202" s="3"/>
      <c r="N1202" s="3">
        <f t="shared" si="56"/>
        <v>0</v>
      </c>
      <c r="R1202" s="23" t="str">
        <f t="shared" si="58"/>
        <v>Yes</v>
      </c>
    </row>
    <row r="1203" spans="1:18" ht="15" customHeight="1" x14ac:dyDescent="0.25">
      <c r="A1203" s="1">
        <v>46827</v>
      </c>
      <c r="L1203" s="3">
        <f t="shared" si="57"/>
        <v>0</v>
      </c>
      <c r="M1203" s="3"/>
      <c r="N1203" s="3">
        <f t="shared" si="56"/>
        <v>0</v>
      </c>
      <c r="R1203" s="23" t="str">
        <f t="shared" si="58"/>
        <v>Yes</v>
      </c>
    </row>
    <row r="1204" spans="1:18" ht="15" customHeight="1" x14ac:dyDescent="0.25">
      <c r="A1204" s="1">
        <v>46828</v>
      </c>
      <c r="L1204" s="3">
        <f t="shared" si="57"/>
        <v>0</v>
      </c>
      <c r="M1204" s="3"/>
      <c r="N1204" s="3">
        <f t="shared" si="56"/>
        <v>0</v>
      </c>
      <c r="R1204" s="23" t="str">
        <f t="shared" si="58"/>
        <v>Yes</v>
      </c>
    </row>
    <row r="1205" spans="1:18" ht="15" customHeight="1" x14ac:dyDescent="0.25">
      <c r="A1205" s="1">
        <v>46829</v>
      </c>
      <c r="L1205" s="3">
        <f t="shared" si="57"/>
        <v>0</v>
      </c>
      <c r="M1205" s="3"/>
      <c r="N1205" s="3">
        <f t="shared" si="56"/>
        <v>0</v>
      </c>
      <c r="R1205" s="23" t="str">
        <f t="shared" si="58"/>
        <v>Yes</v>
      </c>
    </row>
    <row r="1206" spans="1:18" ht="15" customHeight="1" x14ac:dyDescent="0.25">
      <c r="A1206" s="1">
        <v>46830</v>
      </c>
      <c r="L1206" s="3">
        <f t="shared" si="57"/>
        <v>0</v>
      </c>
      <c r="M1206" s="3"/>
      <c r="N1206" s="3">
        <f t="shared" si="56"/>
        <v>0</v>
      </c>
      <c r="R1206" s="23" t="str">
        <f t="shared" si="58"/>
        <v>Yes</v>
      </c>
    </row>
    <row r="1207" spans="1:18" ht="15" customHeight="1" x14ac:dyDescent="0.25">
      <c r="A1207" s="1">
        <v>46831</v>
      </c>
      <c r="L1207" s="3">
        <f t="shared" si="57"/>
        <v>0</v>
      </c>
      <c r="M1207" s="3"/>
      <c r="N1207" s="3">
        <f t="shared" si="56"/>
        <v>0</v>
      </c>
      <c r="R1207" s="23" t="str">
        <f t="shared" si="58"/>
        <v>Yes</v>
      </c>
    </row>
    <row r="1208" spans="1:18" ht="15" customHeight="1" x14ac:dyDescent="0.25">
      <c r="A1208" s="1">
        <v>46832</v>
      </c>
      <c r="L1208" s="3">
        <f t="shared" si="57"/>
        <v>0</v>
      </c>
      <c r="M1208" s="3"/>
      <c r="N1208" s="3">
        <f t="shared" si="56"/>
        <v>0</v>
      </c>
      <c r="R1208" s="23" t="str">
        <f t="shared" si="58"/>
        <v>Yes</v>
      </c>
    </row>
    <row r="1209" spans="1:18" ht="15" customHeight="1" x14ac:dyDescent="0.25">
      <c r="A1209" s="1">
        <v>46833</v>
      </c>
      <c r="L1209" s="3">
        <f t="shared" si="57"/>
        <v>0</v>
      </c>
      <c r="M1209" s="3"/>
      <c r="N1209" s="3">
        <f t="shared" si="56"/>
        <v>0</v>
      </c>
      <c r="R1209" s="23" t="str">
        <f t="shared" si="58"/>
        <v>Yes</v>
      </c>
    </row>
    <row r="1210" spans="1:18" ht="15" customHeight="1" x14ac:dyDescent="0.25">
      <c r="A1210" s="1">
        <v>46834</v>
      </c>
      <c r="L1210" s="3">
        <f t="shared" si="57"/>
        <v>0</v>
      </c>
      <c r="M1210" s="3"/>
      <c r="N1210" s="3">
        <f t="shared" si="56"/>
        <v>0</v>
      </c>
      <c r="R1210" s="23" t="str">
        <f t="shared" si="58"/>
        <v>Yes</v>
      </c>
    </row>
    <row r="1211" spans="1:18" ht="15" customHeight="1" x14ac:dyDescent="0.25">
      <c r="A1211" s="1">
        <v>46835</v>
      </c>
      <c r="L1211" s="3">
        <f t="shared" si="57"/>
        <v>0</v>
      </c>
      <c r="M1211" s="3"/>
      <c r="N1211" s="3">
        <f t="shared" si="56"/>
        <v>0</v>
      </c>
      <c r="R1211" s="23" t="str">
        <f t="shared" si="58"/>
        <v>Yes</v>
      </c>
    </row>
    <row r="1212" spans="1:18" ht="15" customHeight="1" x14ac:dyDescent="0.25">
      <c r="A1212" s="1">
        <v>46836</v>
      </c>
      <c r="L1212" s="3">
        <f t="shared" si="57"/>
        <v>0</v>
      </c>
      <c r="M1212" s="3"/>
      <c r="N1212" s="3">
        <f t="shared" si="56"/>
        <v>0</v>
      </c>
      <c r="R1212" s="23" t="str">
        <f t="shared" si="58"/>
        <v>Yes</v>
      </c>
    </row>
    <row r="1213" spans="1:18" ht="15" customHeight="1" x14ac:dyDescent="0.25">
      <c r="A1213" s="1">
        <v>46837</v>
      </c>
      <c r="L1213" s="3">
        <f t="shared" si="57"/>
        <v>0</v>
      </c>
      <c r="M1213" s="3"/>
      <c r="N1213" s="3">
        <f t="shared" si="56"/>
        <v>0</v>
      </c>
      <c r="R1213" s="23" t="str">
        <f t="shared" si="58"/>
        <v>Yes</v>
      </c>
    </row>
    <row r="1214" spans="1:18" ht="15" customHeight="1" x14ac:dyDescent="0.25">
      <c r="A1214" s="1">
        <v>46838</v>
      </c>
      <c r="L1214" s="3">
        <f t="shared" si="57"/>
        <v>0</v>
      </c>
      <c r="M1214" s="3"/>
      <c r="N1214" s="3">
        <f t="shared" si="56"/>
        <v>0</v>
      </c>
      <c r="R1214" s="23" t="str">
        <f t="shared" si="58"/>
        <v>Yes</v>
      </c>
    </row>
    <row r="1215" spans="1:18" ht="15" customHeight="1" x14ac:dyDescent="0.25">
      <c r="A1215" s="1">
        <v>46839</v>
      </c>
      <c r="L1215" s="3">
        <f t="shared" si="57"/>
        <v>0</v>
      </c>
      <c r="M1215" s="3"/>
      <c r="N1215" s="3">
        <f t="shared" si="56"/>
        <v>0</v>
      </c>
      <c r="R1215" s="23" t="str">
        <f t="shared" si="58"/>
        <v>Yes</v>
      </c>
    </row>
    <row r="1216" spans="1:18" ht="15" customHeight="1" x14ac:dyDescent="0.25">
      <c r="A1216" s="1">
        <v>46840</v>
      </c>
      <c r="L1216" s="3">
        <f t="shared" si="57"/>
        <v>0</v>
      </c>
      <c r="M1216" s="3"/>
      <c r="N1216" s="3">
        <f t="shared" si="56"/>
        <v>0</v>
      </c>
      <c r="R1216" s="23" t="str">
        <f t="shared" si="58"/>
        <v>Yes</v>
      </c>
    </row>
    <row r="1217" spans="1:18" ht="15" customHeight="1" x14ac:dyDescent="0.25">
      <c r="A1217" s="1">
        <v>46841</v>
      </c>
      <c r="L1217" s="3">
        <f t="shared" si="57"/>
        <v>0</v>
      </c>
      <c r="M1217" s="3"/>
      <c r="N1217" s="3">
        <f t="shared" si="56"/>
        <v>0</v>
      </c>
      <c r="R1217" s="23" t="str">
        <f t="shared" si="58"/>
        <v>Yes</v>
      </c>
    </row>
    <row r="1218" spans="1:18" ht="15" customHeight="1" x14ac:dyDescent="0.25">
      <c r="A1218" s="1">
        <v>46842</v>
      </c>
      <c r="L1218" s="3">
        <f t="shared" si="57"/>
        <v>0</v>
      </c>
      <c r="M1218" s="3"/>
      <c r="N1218" s="3">
        <f t="shared" si="56"/>
        <v>0</v>
      </c>
      <c r="R1218" s="23" t="str">
        <f t="shared" si="58"/>
        <v>Yes</v>
      </c>
    </row>
    <row r="1219" spans="1:18" ht="15" customHeight="1" x14ac:dyDescent="0.25">
      <c r="A1219" s="1">
        <v>46843</v>
      </c>
      <c r="L1219" s="3">
        <f t="shared" si="57"/>
        <v>0</v>
      </c>
      <c r="M1219" s="3"/>
      <c r="N1219" s="3">
        <f t="shared" ref="N1219:N1282" si="59">IF(OR(O1219&lt;24300,P1219&lt;25700),MAX(L1219,M1219),L1219)</f>
        <v>0</v>
      </c>
      <c r="R1219" s="23" t="str">
        <f t="shared" si="58"/>
        <v>Yes</v>
      </c>
    </row>
    <row r="1220" spans="1:18" ht="15" customHeight="1" x14ac:dyDescent="0.25">
      <c r="A1220" s="1">
        <v>46844</v>
      </c>
      <c r="L1220" s="3">
        <f t="shared" ref="L1220:L1283" si="60">SUM(B1220:K1220)</f>
        <v>0</v>
      </c>
      <c r="M1220" s="3"/>
      <c r="N1220" s="3">
        <f t="shared" si="59"/>
        <v>0</v>
      </c>
      <c r="R1220" s="23" t="str">
        <f t="shared" si="58"/>
        <v>Yes</v>
      </c>
    </row>
    <row r="1221" spans="1:18" ht="15" customHeight="1" x14ac:dyDescent="0.25">
      <c r="A1221" s="1">
        <v>46845</v>
      </c>
      <c r="L1221" s="3">
        <f t="shared" si="60"/>
        <v>0</v>
      </c>
      <c r="M1221" s="3"/>
      <c r="N1221" s="3">
        <f t="shared" si="59"/>
        <v>0</v>
      </c>
      <c r="R1221" s="23" t="str">
        <f t="shared" si="58"/>
        <v>Yes</v>
      </c>
    </row>
    <row r="1222" spans="1:18" ht="15" customHeight="1" x14ac:dyDescent="0.25">
      <c r="A1222" s="1">
        <v>46846</v>
      </c>
      <c r="L1222" s="3">
        <f t="shared" si="60"/>
        <v>0</v>
      </c>
      <c r="M1222" s="3"/>
      <c r="N1222" s="3">
        <f t="shared" si="59"/>
        <v>0</v>
      </c>
      <c r="R1222" s="23" t="str">
        <f t="shared" si="58"/>
        <v>Yes</v>
      </c>
    </row>
    <row r="1223" spans="1:18" ht="15" customHeight="1" x14ac:dyDescent="0.25">
      <c r="A1223" s="1">
        <v>46847</v>
      </c>
      <c r="L1223" s="3">
        <f t="shared" si="60"/>
        <v>0</v>
      </c>
      <c r="M1223" s="3"/>
      <c r="N1223" s="3">
        <f t="shared" si="59"/>
        <v>0</v>
      </c>
      <c r="R1223" s="23" t="str">
        <f t="shared" si="58"/>
        <v>Yes</v>
      </c>
    </row>
    <row r="1224" spans="1:18" ht="15" customHeight="1" x14ac:dyDescent="0.25">
      <c r="A1224" s="1">
        <v>46848</v>
      </c>
      <c r="L1224" s="3">
        <f t="shared" si="60"/>
        <v>0</v>
      </c>
      <c r="M1224" s="3"/>
      <c r="N1224" s="3">
        <f t="shared" si="59"/>
        <v>0</v>
      </c>
      <c r="R1224" s="23" t="str">
        <f t="shared" si="58"/>
        <v>Yes</v>
      </c>
    </row>
    <row r="1225" spans="1:18" ht="15" customHeight="1" x14ac:dyDescent="0.25">
      <c r="A1225" s="1">
        <v>46849</v>
      </c>
      <c r="L1225" s="3">
        <f t="shared" si="60"/>
        <v>0</v>
      </c>
      <c r="M1225" s="3"/>
      <c r="N1225" s="3">
        <f t="shared" si="59"/>
        <v>0</v>
      </c>
      <c r="R1225" s="23" t="str">
        <f t="shared" si="58"/>
        <v>Yes</v>
      </c>
    </row>
    <row r="1226" spans="1:18" ht="15" customHeight="1" x14ac:dyDescent="0.25">
      <c r="A1226" s="1">
        <v>46850</v>
      </c>
      <c r="L1226" s="3">
        <f t="shared" si="60"/>
        <v>0</v>
      </c>
      <c r="M1226" s="3"/>
      <c r="N1226" s="3">
        <f t="shared" si="59"/>
        <v>0</v>
      </c>
      <c r="R1226" s="23" t="str">
        <f t="shared" si="58"/>
        <v>Yes</v>
      </c>
    </row>
    <row r="1227" spans="1:18" ht="15" customHeight="1" x14ac:dyDescent="0.25">
      <c r="A1227" s="1">
        <v>46851</v>
      </c>
      <c r="L1227" s="3">
        <f t="shared" si="60"/>
        <v>0</v>
      </c>
      <c r="M1227" s="3"/>
      <c r="N1227" s="3">
        <f t="shared" si="59"/>
        <v>0</v>
      </c>
      <c r="R1227" s="23" t="str">
        <f t="shared" si="58"/>
        <v>Yes</v>
      </c>
    </row>
    <row r="1228" spans="1:18" ht="15" customHeight="1" x14ac:dyDescent="0.25">
      <c r="A1228" s="1">
        <v>46852</v>
      </c>
      <c r="L1228" s="3">
        <f t="shared" si="60"/>
        <v>0</v>
      </c>
      <c r="M1228" s="3"/>
      <c r="N1228" s="3">
        <f t="shared" si="59"/>
        <v>0</v>
      </c>
      <c r="R1228" s="23" t="str">
        <f t="shared" si="58"/>
        <v>Yes</v>
      </c>
    </row>
    <row r="1229" spans="1:18" ht="15" customHeight="1" x14ac:dyDescent="0.25">
      <c r="A1229" s="1">
        <v>46853</v>
      </c>
      <c r="L1229" s="3">
        <f t="shared" si="60"/>
        <v>0</v>
      </c>
      <c r="M1229" s="3"/>
      <c r="N1229" s="3">
        <f t="shared" si="59"/>
        <v>0</v>
      </c>
      <c r="R1229" s="23" t="str">
        <f t="shared" si="58"/>
        <v>Yes</v>
      </c>
    </row>
    <row r="1230" spans="1:18" ht="15" customHeight="1" x14ac:dyDescent="0.25">
      <c r="A1230" s="1">
        <v>46854</v>
      </c>
      <c r="L1230" s="3">
        <f t="shared" si="60"/>
        <v>0</v>
      </c>
      <c r="M1230" s="3"/>
      <c r="N1230" s="3">
        <f t="shared" si="59"/>
        <v>0</v>
      </c>
      <c r="R1230" s="23" t="str">
        <f t="shared" si="58"/>
        <v>Yes</v>
      </c>
    </row>
    <row r="1231" spans="1:18" ht="15" customHeight="1" x14ac:dyDescent="0.25">
      <c r="A1231" s="1">
        <v>46855</v>
      </c>
      <c r="L1231" s="3">
        <f t="shared" si="60"/>
        <v>0</v>
      </c>
      <c r="M1231" s="3"/>
      <c r="N1231" s="3">
        <f t="shared" si="59"/>
        <v>0</v>
      </c>
      <c r="R1231" s="23" t="str">
        <f t="shared" si="58"/>
        <v>Yes</v>
      </c>
    </row>
    <row r="1232" spans="1:18" ht="15" customHeight="1" x14ac:dyDescent="0.25">
      <c r="A1232" s="1">
        <v>46856</v>
      </c>
      <c r="L1232" s="3">
        <f t="shared" si="60"/>
        <v>0</v>
      </c>
      <c r="M1232" s="3"/>
      <c r="N1232" s="3">
        <f t="shared" si="59"/>
        <v>0</v>
      </c>
      <c r="R1232" s="23" t="str">
        <f t="shared" si="58"/>
        <v>Yes</v>
      </c>
    </row>
    <row r="1233" spans="1:18" ht="15" customHeight="1" x14ac:dyDescent="0.25">
      <c r="A1233" s="1">
        <v>46857</v>
      </c>
      <c r="L1233" s="3">
        <f t="shared" si="60"/>
        <v>0</v>
      </c>
      <c r="M1233" s="3"/>
      <c r="N1233" s="3">
        <f t="shared" si="59"/>
        <v>0</v>
      </c>
      <c r="R1233" s="23" t="str">
        <f t="shared" si="58"/>
        <v>Yes</v>
      </c>
    </row>
    <row r="1234" spans="1:18" ht="15" customHeight="1" x14ac:dyDescent="0.25">
      <c r="A1234" s="1">
        <v>46858</v>
      </c>
      <c r="L1234" s="3">
        <f t="shared" si="60"/>
        <v>0</v>
      </c>
      <c r="M1234" s="3"/>
      <c r="N1234" s="3">
        <f t="shared" si="59"/>
        <v>0</v>
      </c>
      <c r="R1234" s="23" t="str">
        <f t="shared" si="58"/>
        <v>Yes</v>
      </c>
    </row>
    <row r="1235" spans="1:18" ht="15" customHeight="1" x14ac:dyDescent="0.25">
      <c r="A1235" s="1">
        <v>46859</v>
      </c>
      <c r="L1235" s="3">
        <f t="shared" si="60"/>
        <v>0</v>
      </c>
      <c r="M1235" s="3"/>
      <c r="N1235" s="3">
        <f t="shared" si="59"/>
        <v>0</v>
      </c>
      <c r="R1235" s="23" t="str">
        <f t="shared" si="58"/>
        <v>Yes</v>
      </c>
    </row>
    <row r="1236" spans="1:18" ht="15" customHeight="1" x14ac:dyDescent="0.25">
      <c r="A1236" s="1">
        <v>46860</v>
      </c>
      <c r="L1236" s="3">
        <f t="shared" si="60"/>
        <v>0</v>
      </c>
      <c r="M1236" s="3"/>
      <c r="N1236" s="3">
        <f t="shared" si="59"/>
        <v>0</v>
      </c>
      <c r="R1236" s="23" t="str">
        <f t="shared" si="58"/>
        <v>Yes</v>
      </c>
    </row>
    <row r="1237" spans="1:18" ht="15" customHeight="1" x14ac:dyDescent="0.25">
      <c r="A1237" s="1">
        <v>46861</v>
      </c>
      <c r="L1237" s="3">
        <f t="shared" si="60"/>
        <v>0</v>
      </c>
      <c r="M1237" s="3"/>
      <c r="N1237" s="3">
        <f t="shared" si="59"/>
        <v>0</v>
      </c>
      <c r="R1237" s="23" t="str">
        <f t="shared" si="58"/>
        <v>Yes</v>
      </c>
    </row>
    <row r="1238" spans="1:18" ht="15" customHeight="1" x14ac:dyDescent="0.25">
      <c r="A1238" s="1">
        <v>46862</v>
      </c>
      <c r="L1238" s="3">
        <f t="shared" si="60"/>
        <v>0</v>
      </c>
      <c r="M1238" s="3"/>
      <c r="N1238" s="3">
        <f t="shared" si="59"/>
        <v>0</v>
      </c>
      <c r="R1238" s="23" t="str">
        <f t="shared" si="58"/>
        <v>Yes</v>
      </c>
    </row>
    <row r="1239" spans="1:18" ht="15" customHeight="1" x14ac:dyDescent="0.25">
      <c r="A1239" s="1">
        <v>46863</v>
      </c>
      <c r="L1239" s="3">
        <f t="shared" si="60"/>
        <v>0</v>
      </c>
      <c r="M1239" s="3"/>
      <c r="N1239" s="3">
        <f t="shared" si="59"/>
        <v>0</v>
      </c>
      <c r="R1239" s="23" t="str">
        <f t="shared" si="58"/>
        <v>Yes</v>
      </c>
    </row>
    <row r="1240" spans="1:18" ht="15" customHeight="1" x14ac:dyDescent="0.25">
      <c r="A1240" s="1">
        <v>46864</v>
      </c>
      <c r="L1240" s="3">
        <f t="shared" si="60"/>
        <v>0</v>
      </c>
      <c r="M1240" s="3"/>
      <c r="N1240" s="3">
        <f t="shared" si="59"/>
        <v>0</v>
      </c>
      <c r="R1240" s="23" t="str">
        <f t="shared" si="58"/>
        <v>Yes</v>
      </c>
    </row>
    <row r="1241" spans="1:18" ht="15" customHeight="1" x14ac:dyDescent="0.25">
      <c r="A1241" s="1">
        <v>46865</v>
      </c>
      <c r="L1241" s="3">
        <f t="shared" si="60"/>
        <v>0</v>
      </c>
      <c r="M1241" s="3"/>
      <c r="N1241" s="3">
        <f t="shared" si="59"/>
        <v>0</v>
      </c>
      <c r="R1241" s="23" t="str">
        <f t="shared" si="58"/>
        <v>Yes</v>
      </c>
    </row>
    <row r="1242" spans="1:18" ht="15" customHeight="1" x14ac:dyDescent="0.25">
      <c r="A1242" s="1">
        <v>46866</v>
      </c>
      <c r="L1242" s="3">
        <f t="shared" si="60"/>
        <v>0</v>
      </c>
      <c r="M1242" s="3"/>
      <c r="N1242" s="3">
        <f t="shared" si="59"/>
        <v>0</v>
      </c>
      <c r="R1242" s="23" t="str">
        <f t="shared" si="58"/>
        <v>Yes</v>
      </c>
    </row>
    <row r="1243" spans="1:18" ht="15" customHeight="1" x14ac:dyDescent="0.25">
      <c r="A1243" s="1">
        <v>46867</v>
      </c>
      <c r="L1243" s="3">
        <f t="shared" si="60"/>
        <v>0</v>
      </c>
      <c r="M1243" s="3"/>
      <c r="N1243" s="3">
        <f t="shared" si="59"/>
        <v>0</v>
      </c>
      <c r="R1243" s="23" t="str">
        <f t="shared" si="58"/>
        <v>Yes</v>
      </c>
    </row>
    <row r="1244" spans="1:18" ht="15" customHeight="1" x14ac:dyDescent="0.25">
      <c r="A1244" s="1">
        <v>46868</v>
      </c>
      <c r="L1244" s="3">
        <f t="shared" si="60"/>
        <v>0</v>
      </c>
      <c r="M1244" s="3"/>
      <c r="N1244" s="3">
        <f t="shared" si="59"/>
        <v>0</v>
      </c>
      <c r="R1244" s="23" t="str">
        <f t="shared" si="58"/>
        <v>Yes</v>
      </c>
    </row>
    <row r="1245" spans="1:18" ht="15" customHeight="1" x14ac:dyDescent="0.25">
      <c r="A1245" s="1">
        <v>46869</v>
      </c>
      <c r="L1245" s="3">
        <f t="shared" si="60"/>
        <v>0</v>
      </c>
      <c r="M1245" s="3"/>
      <c r="N1245" s="3">
        <f t="shared" si="59"/>
        <v>0</v>
      </c>
      <c r="R1245" s="23" t="str">
        <f t="shared" si="58"/>
        <v>Yes</v>
      </c>
    </row>
    <row r="1246" spans="1:18" ht="15" customHeight="1" x14ac:dyDescent="0.25">
      <c r="A1246" s="1">
        <v>46870</v>
      </c>
      <c r="L1246" s="3">
        <f t="shared" si="60"/>
        <v>0</v>
      </c>
      <c r="M1246" s="3"/>
      <c r="N1246" s="3">
        <f t="shared" si="59"/>
        <v>0</v>
      </c>
      <c r="R1246" s="23" t="str">
        <f t="shared" si="58"/>
        <v>Yes</v>
      </c>
    </row>
    <row r="1247" spans="1:18" ht="15" customHeight="1" x14ac:dyDescent="0.25">
      <c r="A1247" s="1">
        <v>46871</v>
      </c>
      <c r="L1247" s="3">
        <f t="shared" si="60"/>
        <v>0</v>
      </c>
      <c r="M1247" s="3"/>
      <c r="N1247" s="3">
        <f t="shared" si="59"/>
        <v>0</v>
      </c>
      <c r="R1247" s="23" t="str">
        <f t="shared" si="58"/>
        <v>Yes</v>
      </c>
    </row>
    <row r="1248" spans="1:18" ht="15" customHeight="1" x14ac:dyDescent="0.25">
      <c r="A1248" s="1">
        <v>46872</v>
      </c>
      <c r="L1248" s="3">
        <f t="shared" si="60"/>
        <v>0</v>
      </c>
      <c r="M1248" s="3"/>
      <c r="N1248" s="3">
        <f t="shared" si="59"/>
        <v>0</v>
      </c>
      <c r="R1248" s="23" t="str">
        <f t="shared" si="58"/>
        <v>Yes</v>
      </c>
    </row>
    <row r="1249" spans="1:18" ht="15" customHeight="1" x14ac:dyDescent="0.25">
      <c r="A1249" s="1">
        <v>46873</v>
      </c>
      <c r="L1249" s="3">
        <f t="shared" si="60"/>
        <v>0</v>
      </c>
      <c r="M1249" s="3"/>
      <c r="N1249" s="3">
        <f t="shared" si="59"/>
        <v>0</v>
      </c>
      <c r="R1249" s="23" t="str">
        <f t="shared" si="58"/>
        <v>Yes</v>
      </c>
    </row>
    <row r="1250" spans="1:18" ht="15" customHeight="1" x14ac:dyDescent="0.25">
      <c r="A1250" s="1">
        <v>46874</v>
      </c>
      <c r="L1250" s="3">
        <f t="shared" si="60"/>
        <v>0</v>
      </c>
      <c r="M1250" s="3"/>
      <c r="N1250" s="3">
        <f t="shared" si="59"/>
        <v>0</v>
      </c>
      <c r="R1250" s="23" t="str">
        <f t="shared" si="58"/>
        <v>Yes</v>
      </c>
    </row>
    <row r="1251" spans="1:18" ht="15" customHeight="1" x14ac:dyDescent="0.25">
      <c r="A1251" s="1">
        <v>46875</v>
      </c>
      <c r="L1251" s="3">
        <f t="shared" si="60"/>
        <v>0</v>
      </c>
      <c r="M1251" s="3"/>
      <c r="N1251" s="3">
        <f t="shared" si="59"/>
        <v>0</v>
      </c>
      <c r="R1251" s="23" t="str">
        <f t="shared" si="58"/>
        <v>Yes</v>
      </c>
    </row>
    <row r="1252" spans="1:18" ht="15" customHeight="1" x14ac:dyDescent="0.25">
      <c r="A1252" s="1">
        <v>46876</v>
      </c>
      <c r="L1252" s="3">
        <f t="shared" si="60"/>
        <v>0</v>
      </c>
      <c r="M1252" s="3"/>
      <c r="N1252" s="3">
        <f t="shared" si="59"/>
        <v>0</v>
      </c>
      <c r="R1252" s="23" t="str">
        <f t="shared" si="58"/>
        <v>Yes</v>
      </c>
    </row>
    <row r="1253" spans="1:18" ht="15" customHeight="1" x14ac:dyDescent="0.25">
      <c r="A1253" s="1">
        <v>46877</v>
      </c>
      <c r="L1253" s="3">
        <f t="shared" si="60"/>
        <v>0</v>
      </c>
      <c r="M1253" s="3"/>
      <c r="N1253" s="3">
        <f t="shared" si="59"/>
        <v>0</v>
      </c>
      <c r="R1253" s="23" t="str">
        <f t="shared" si="58"/>
        <v>Yes</v>
      </c>
    </row>
    <row r="1254" spans="1:18" ht="15" customHeight="1" x14ac:dyDescent="0.25">
      <c r="A1254" s="1">
        <v>46878</v>
      </c>
      <c r="L1254" s="3">
        <f t="shared" si="60"/>
        <v>0</v>
      </c>
      <c r="M1254" s="3"/>
      <c r="N1254" s="3">
        <f t="shared" si="59"/>
        <v>0</v>
      </c>
      <c r="R1254" s="23" t="str">
        <f t="shared" si="58"/>
        <v>Yes</v>
      </c>
    </row>
    <row r="1255" spans="1:18" ht="15" customHeight="1" x14ac:dyDescent="0.25">
      <c r="A1255" s="1">
        <v>46879</v>
      </c>
      <c r="L1255" s="3">
        <f t="shared" si="60"/>
        <v>0</v>
      </c>
      <c r="M1255" s="3"/>
      <c r="N1255" s="3">
        <f t="shared" si="59"/>
        <v>0</v>
      </c>
      <c r="R1255" s="23" t="str">
        <f t="shared" si="58"/>
        <v>Yes</v>
      </c>
    </row>
    <row r="1256" spans="1:18" ht="15" customHeight="1" x14ac:dyDescent="0.25">
      <c r="A1256" s="1">
        <v>46880</v>
      </c>
      <c r="L1256" s="3">
        <f t="shared" si="60"/>
        <v>0</v>
      </c>
      <c r="M1256" s="3"/>
      <c r="N1256" s="3">
        <f t="shared" si="59"/>
        <v>0</v>
      </c>
      <c r="R1256" s="23" t="str">
        <f t="shared" si="58"/>
        <v>Yes</v>
      </c>
    </row>
    <row r="1257" spans="1:18" ht="15" customHeight="1" x14ac:dyDescent="0.25">
      <c r="A1257" s="1">
        <v>46881</v>
      </c>
      <c r="L1257" s="3">
        <f t="shared" si="60"/>
        <v>0</v>
      </c>
      <c r="M1257" s="3"/>
      <c r="N1257" s="3">
        <f t="shared" si="59"/>
        <v>0</v>
      </c>
      <c r="R1257" s="23" t="str">
        <f t="shared" si="58"/>
        <v>Yes</v>
      </c>
    </row>
    <row r="1258" spans="1:18" ht="15" customHeight="1" x14ac:dyDescent="0.25">
      <c r="A1258" s="1">
        <v>46882</v>
      </c>
      <c r="L1258" s="3">
        <f t="shared" si="60"/>
        <v>0</v>
      </c>
      <c r="M1258" s="3"/>
      <c r="N1258" s="3">
        <f t="shared" si="59"/>
        <v>0</v>
      </c>
      <c r="R1258" s="23" t="str">
        <f t="shared" si="58"/>
        <v>Yes</v>
      </c>
    </row>
    <row r="1259" spans="1:18" ht="15" customHeight="1" x14ac:dyDescent="0.25">
      <c r="A1259" s="1">
        <v>46883</v>
      </c>
      <c r="L1259" s="3">
        <f t="shared" si="60"/>
        <v>0</v>
      </c>
      <c r="M1259" s="3"/>
      <c r="N1259" s="3">
        <f t="shared" si="59"/>
        <v>0</v>
      </c>
      <c r="R1259" s="23" t="str">
        <f t="shared" si="58"/>
        <v>Yes</v>
      </c>
    </row>
    <row r="1260" spans="1:18" ht="15" customHeight="1" x14ac:dyDescent="0.25">
      <c r="A1260" s="1">
        <v>46884</v>
      </c>
      <c r="L1260" s="3">
        <f t="shared" si="60"/>
        <v>0</v>
      </c>
      <c r="M1260" s="3"/>
      <c r="N1260" s="3">
        <f t="shared" si="59"/>
        <v>0</v>
      </c>
      <c r="R1260" s="23" t="str">
        <f t="shared" si="58"/>
        <v>Yes</v>
      </c>
    </row>
    <row r="1261" spans="1:18" ht="15" customHeight="1" x14ac:dyDescent="0.25">
      <c r="A1261" s="1">
        <v>46885</v>
      </c>
      <c r="L1261" s="3">
        <f t="shared" si="60"/>
        <v>0</v>
      </c>
      <c r="M1261" s="3"/>
      <c r="N1261" s="3">
        <f t="shared" si="59"/>
        <v>0</v>
      </c>
      <c r="R1261" s="23" t="str">
        <f t="shared" ref="R1261:R1324" si="61">IF(Q1261&gt;0,"Yes",IF(OR((O1261+P1261&lt;50000),O1261&lt;24000,P1261&lt;26000),"Yes","No"))</f>
        <v>Yes</v>
      </c>
    </row>
    <row r="1262" spans="1:18" ht="15" customHeight="1" x14ac:dyDescent="0.25">
      <c r="A1262" s="1">
        <v>46886</v>
      </c>
      <c r="L1262" s="3">
        <f t="shared" si="60"/>
        <v>0</v>
      </c>
      <c r="M1262" s="3"/>
      <c r="N1262" s="3">
        <f t="shared" si="59"/>
        <v>0</v>
      </c>
      <c r="R1262" s="23" t="str">
        <f t="shared" si="61"/>
        <v>Yes</v>
      </c>
    </row>
    <row r="1263" spans="1:18" ht="15" customHeight="1" x14ac:dyDescent="0.25">
      <c r="A1263" s="1">
        <v>46887</v>
      </c>
      <c r="L1263" s="3">
        <f t="shared" si="60"/>
        <v>0</v>
      </c>
      <c r="M1263" s="3"/>
      <c r="N1263" s="3">
        <f t="shared" si="59"/>
        <v>0</v>
      </c>
      <c r="R1263" s="23" t="str">
        <f t="shared" si="61"/>
        <v>Yes</v>
      </c>
    </row>
    <row r="1264" spans="1:18" ht="15" customHeight="1" x14ac:dyDescent="0.25">
      <c r="A1264" s="1">
        <v>46888</v>
      </c>
      <c r="L1264" s="3">
        <f t="shared" si="60"/>
        <v>0</v>
      </c>
      <c r="M1264" s="3"/>
      <c r="N1264" s="3">
        <f t="shared" si="59"/>
        <v>0</v>
      </c>
      <c r="R1264" s="23" t="str">
        <f t="shared" si="61"/>
        <v>Yes</v>
      </c>
    </row>
    <row r="1265" spans="1:18" ht="15" customHeight="1" x14ac:dyDescent="0.25">
      <c r="A1265" s="1">
        <v>46889</v>
      </c>
      <c r="L1265" s="3">
        <f t="shared" si="60"/>
        <v>0</v>
      </c>
      <c r="M1265" s="3"/>
      <c r="N1265" s="3">
        <f t="shared" si="59"/>
        <v>0</v>
      </c>
      <c r="R1265" s="23" t="str">
        <f t="shared" si="61"/>
        <v>Yes</v>
      </c>
    </row>
    <row r="1266" spans="1:18" ht="15" customHeight="1" x14ac:dyDescent="0.25">
      <c r="A1266" s="1">
        <v>46890</v>
      </c>
      <c r="L1266" s="3">
        <f t="shared" si="60"/>
        <v>0</v>
      </c>
      <c r="M1266" s="3"/>
      <c r="N1266" s="3">
        <f t="shared" si="59"/>
        <v>0</v>
      </c>
      <c r="R1266" s="23" t="str">
        <f t="shared" si="61"/>
        <v>Yes</v>
      </c>
    </row>
    <row r="1267" spans="1:18" ht="15" customHeight="1" x14ac:dyDescent="0.25">
      <c r="A1267" s="1">
        <v>46891</v>
      </c>
      <c r="L1267" s="3">
        <f t="shared" si="60"/>
        <v>0</v>
      </c>
      <c r="M1267" s="3"/>
      <c r="N1267" s="3">
        <f t="shared" si="59"/>
        <v>0</v>
      </c>
      <c r="R1267" s="23" t="str">
        <f t="shared" si="61"/>
        <v>Yes</v>
      </c>
    </row>
    <row r="1268" spans="1:18" ht="15" customHeight="1" x14ac:dyDescent="0.25">
      <c r="A1268" s="1">
        <v>46892</v>
      </c>
      <c r="L1268" s="3">
        <f t="shared" si="60"/>
        <v>0</v>
      </c>
      <c r="M1268" s="3"/>
      <c r="N1268" s="3">
        <f t="shared" si="59"/>
        <v>0</v>
      </c>
      <c r="R1268" s="23" t="str">
        <f t="shared" si="61"/>
        <v>Yes</v>
      </c>
    </row>
    <row r="1269" spans="1:18" ht="15" customHeight="1" x14ac:dyDescent="0.25">
      <c r="A1269" s="1">
        <v>46893</v>
      </c>
      <c r="L1269" s="3">
        <f t="shared" si="60"/>
        <v>0</v>
      </c>
      <c r="M1269" s="3"/>
      <c r="N1269" s="3">
        <f t="shared" si="59"/>
        <v>0</v>
      </c>
      <c r="R1269" s="23" t="str">
        <f t="shared" si="61"/>
        <v>Yes</v>
      </c>
    </row>
    <row r="1270" spans="1:18" ht="15" customHeight="1" x14ac:dyDescent="0.25">
      <c r="A1270" s="1">
        <v>46894</v>
      </c>
      <c r="L1270" s="3">
        <f t="shared" si="60"/>
        <v>0</v>
      </c>
      <c r="M1270" s="3"/>
      <c r="N1270" s="3">
        <f t="shared" si="59"/>
        <v>0</v>
      </c>
      <c r="R1270" s="23" t="str">
        <f t="shared" si="61"/>
        <v>Yes</v>
      </c>
    </row>
    <row r="1271" spans="1:18" ht="15" customHeight="1" x14ac:dyDescent="0.25">
      <c r="A1271" s="1">
        <v>46895</v>
      </c>
      <c r="L1271" s="3">
        <f t="shared" si="60"/>
        <v>0</v>
      </c>
      <c r="M1271" s="3"/>
      <c r="N1271" s="3">
        <f t="shared" si="59"/>
        <v>0</v>
      </c>
      <c r="R1271" s="23" t="str">
        <f t="shared" si="61"/>
        <v>Yes</v>
      </c>
    </row>
    <row r="1272" spans="1:18" ht="15" customHeight="1" x14ac:dyDescent="0.25">
      <c r="A1272" s="1">
        <v>46896</v>
      </c>
      <c r="L1272" s="3">
        <f t="shared" si="60"/>
        <v>0</v>
      </c>
      <c r="M1272" s="3"/>
      <c r="N1272" s="3">
        <f t="shared" si="59"/>
        <v>0</v>
      </c>
      <c r="R1272" s="23" t="str">
        <f t="shared" si="61"/>
        <v>Yes</v>
      </c>
    </row>
    <row r="1273" spans="1:18" ht="15" customHeight="1" x14ac:dyDescent="0.25">
      <c r="A1273" s="1">
        <v>46897</v>
      </c>
      <c r="L1273" s="3">
        <f t="shared" si="60"/>
        <v>0</v>
      </c>
      <c r="M1273" s="3"/>
      <c r="N1273" s="3">
        <f t="shared" si="59"/>
        <v>0</v>
      </c>
      <c r="R1273" s="23" t="str">
        <f t="shared" si="61"/>
        <v>Yes</v>
      </c>
    </row>
    <row r="1274" spans="1:18" ht="15" customHeight="1" x14ac:dyDescent="0.25">
      <c r="A1274" s="1">
        <v>46898</v>
      </c>
      <c r="L1274" s="3">
        <f t="shared" si="60"/>
        <v>0</v>
      </c>
      <c r="M1274" s="3"/>
      <c r="N1274" s="3">
        <f t="shared" si="59"/>
        <v>0</v>
      </c>
      <c r="R1274" s="23" t="str">
        <f t="shared" si="61"/>
        <v>Yes</v>
      </c>
    </row>
    <row r="1275" spans="1:18" ht="15" customHeight="1" x14ac:dyDescent="0.25">
      <c r="A1275" s="1">
        <v>46899</v>
      </c>
      <c r="L1275" s="3">
        <f t="shared" si="60"/>
        <v>0</v>
      </c>
      <c r="M1275" s="3"/>
      <c r="N1275" s="3">
        <f t="shared" si="59"/>
        <v>0</v>
      </c>
      <c r="R1275" s="23" t="str">
        <f t="shared" si="61"/>
        <v>Yes</v>
      </c>
    </row>
    <row r="1276" spans="1:18" ht="15" customHeight="1" x14ac:dyDescent="0.25">
      <c r="A1276" s="1">
        <v>46900</v>
      </c>
      <c r="L1276" s="3">
        <f t="shared" si="60"/>
        <v>0</v>
      </c>
      <c r="M1276" s="3"/>
      <c r="N1276" s="3">
        <f t="shared" si="59"/>
        <v>0</v>
      </c>
      <c r="R1276" s="23" t="str">
        <f t="shared" si="61"/>
        <v>Yes</v>
      </c>
    </row>
    <row r="1277" spans="1:18" ht="15" customHeight="1" x14ac:dyDescent="0.25">
      <c r="A1277" s="1">
        <v>46901</v>
      </c>
      <c r="L1277" s="3">
        <f t="shared" si="60"/>
        <v>0</v>
      </c>
      <c r="M1277" s="3"/>
      <c r="N1277" s="3">
        <f t="shared" si="59"/>
        <v>0</v>
      </c>
      <c r="R1277" s="23" t="str">
        <f t="shared" si="61"/>
        <v>Yes</v>
      </c>
    </row>
    <row r="1278" spans="1:18" ht="15" customHeight="1" x14ac:dyDescent="0.25">
      <c r="A1278" s="1">
        <v>46902</v>
      </c>
      <c r="L1278" s="3">
        <f t="shared" si="60"/>
        <v>0</v>
      </c>
      <c r="M1278" s="3"/>
      <c r="N1278" s="3">
        <f t="shared" si="59"/>
        <v>0</v>
      </c>
      <c r="R1278" s="23" t="str">
        <f t="shared" si="61"/>
        <v>Yes</v>
      </c>
    </row>
    <row r="1279" spans="1:18" ht="15" customHeight="1" x14ac:dyDescent="0.25">
      <c r="A1279" s="1">
        <v>46903</v>
      </c>
      <c r="L1279" s="3">
        <f t="shared" si="60"/>
        <v>0</v>
      </c>
      <c r="M1279" s="3"/>
      <c r="N1279" s="3">
        <f t="shared" si="59"/>
        <v>0</v>
      </c>
      <c r="R1279" s="23" t="str">
        <f t="shared" si="61"/>
        <v>Yes</v>
      </c>
    </row>
    <row r="1280" spans="1:18" ht="15" customHeight="1" x14ac:dyDescent="0.25">
      <c r="A1280" s="1">
        <v>46904</v>
      </c>
      <c r="L1280" s="3">
        <f t="shared" si="60"/>
        <v>0</v>
      </c>
      <c r="M1280" s="3"/>
      <c r="N1280" s="3">
        <f t="shared" si="59"/>
        <v>0</v>
      </c>
      <c r="R1280" s="23" t="str">
        <f t="shared" si="61"/>
        <v>Yes</v>
      </c>
    </row>
    <row r="1281" spans="1:18" ht="15" customHeight="1" x14ac:dyDescent="0.25">
      <c r="A1281" s="1">
        <v>46905</v>
      </c>
      <c r="L1281" s="3">
        <f t="shared" si="60"/>
        <v>0</v>
      </c>
      <c r="M1281" s="3"/>
      <c r="N1281" s="3">
        <f t="shared" si="59"/>
        <v>0</v>
      </c>
      <c r="R1281" s="23" t="str">
        <f t="shared" si="61"/>
        <v>Yes</v>
      </c>
    </row>
    <row r="1282" spans="1:18" ht="15" customHeight="1" x14ac:dyDescent="0.25">
      <c r="A1282" s="1">
        <v>46906</v>
      </c>
      <c r="L1282" s="3">
        <f t="shared" si="60"/>
        <v>0</v>
      </c>
      <c r="M1282" s="3"/>
      <c r="N1282" s="3">
        <f t="shared" si="59"/>
        <v>0</v>
      </c>
      <c r="R1282" s="23" t="str">
        <f t="shared" si="61"/>
        <v>Yes</v>
      </c>
    </row>
    <row r="1283" spans="1:18" ht="15" customHeight="1" x14ac:dyDescent="0.25">
      <c r="A1283" s="1">
        <v>46907</v>
      </c>
      <c r="L1283" s="3">
        <f t="shared" si="60"/>
        <v>0</v>
      </c>
      <c r="M1283" s="3"/>
      <c r="N1283" s="3">
        <f t="shared" ref="N1283:N1346" si="62">IF(OR(O1283&lt;24300,P1283&lt;25700),MAX(L1283,M1283),L1283)</f>
        <v>0</v>
      </c>
      <c r="R1283" s="23" t="str">
        <f t="shared" si="61"/>
        <v>Yes</v>
      </c>
    </row>
    <row r="1284" spans="1:18" ht="15" customHeight="1" x14ac:dyDescent="0.25">
      <c r="A1284" s="1">
        <v>46908</v>
      </c>
      <c r="L1284" s="3">
        <f t="shared" ref="L1284:L1347" si="63">SUM(B1284:K1284)</f>
        <v>0</v>
      </c>
      <c r="M1284" s="3"/>
      <c r="N1284" s="3">
        <f t="shared" si="62"/>
        <v>0</v>
      </c>
      <c r="R1284" s="23" t="str">
        <f t="shared" si="61"/>
        <v>Yes</v>
      </c>
    </row>
    <row r="1285" spans="1:18" ht="15" customHeight="1" x14ac:dyDescent="0.25">
      <c r="A1285" s="1">
        <v>46909</v>
      </c>
      <c r="L1285" s="3">
        <f t="shared" si="63"/>
        <v>0</v>
      </c>
      <c r="M1285" s="3"/>
      <c r="N1285" s="3">
        <f t="shared" si="62"/>
        <v>0</v>
      </c>
      <c r="R1285" s="23" t="str">
        <f t="shared" si="61"/>
        <v>Yes</v>
      </c>
    </row>
    <row r="1286" spans="1:18" ht="15" customHeight="1" x14ac:dyDescent="0.25">
      <c r="A1286" s="1">
        <v>46910</v>
      </c>
      <c r="L1286" s="3">
        <f t="shared" si="63"/>
        <v>0</v>
      </c>
      <c r="M1286" s="3"/>
      <c r="N1286" s="3">
        <f t="shared" si="62"/>
        <v>0</v>
      </c>
      <c r="R1286" s="23" t="str">
        <f t="shared" si="61"/>
        <v>Yes</v>
      </c>
    </row>
    <row r="1287" spans="1:18" ht="15" customHeight="1" x14ac:dyDescent="0.25">
      <c r="A1287" s="1">
        <v>46911</v>
      </c>
      <c r="L1287" s="3">
        <f t="shared" si="63"/>
        <v>0</v>
      </c>
      <c r="M1287" s="3"/>
      <c r="N1287" s="3">
        <f t="shared" si="62"/>
        <v>0</v>
      </c>
      <c r="R1287" s="23" t="str">
        <f t="shared" si="61"/>
        <v>Yes</v>
      </c>
    </row>
    <row r="1288" spans="1:18" ht="15" customHeight="1" x14ac:dyDescent="0.25">
      <c r="A1288" s="1">
        <v>46912</v>
      </c>
      <c r="L1288" s="3">
        <f t="shared" si="63"/>
        <v>0</v>
      </c>
      <c r="M1288" s="3"/>
      <c r="N1288" s="3">
        <f t="shared" si="62"/>
        <v>0</v>
      </c>
      <c r="R1288" s="23" t="str">
        <f t="shared" si="61"/>
        <v>Yes</v>
      </c>
    </row>
    <row r="1289" spans="1:18" ht="13.5" customHeight="1" x14ac:dyDescent="0.25">
      <c r="A1289" s="1">
        <v>46913</v>
      </c>
      <c r="L1289" s="3">
        <f t="shared" si="63"/>
        <v>0</v>
      </c>
      <c r="M1289" s="3"/>
      <c r="N1289" s="3">
        <f t="shared" si="62"/>
        <v>0</v>
      </c>
      <c r="R1289" s="23" t="str">
        <f t="shared" si="61"/>
        <v>Yes</v>
      </c>
    </row>
    <row r="1290" spans="1:18" ht="15" customHeight="1" x14ac:dyDescent="0.25">
      <c r="A1290" s="1">
        <v>46914</v>
      </c>
      <c r="L1290" s="3">
        <f t="shared" si="63"/>
        <v>0</v>
      </c>
      <c r="M1290" s="3"/>
      <c r="N1290" s="3">
        <f t="shared" si="62"/>
        <v>0</v>
      </c>
      <c r="R1290" s="23" t="str">
        <f t="shared" si="61"/>
        <v>Yes</v>
      </c>
    </row>
    <row r="1291" spans="1:18" ht="15" customHeight="1" x14ac:dyDescent="0.25">
      <c r="A1291" s="1">
        <v>46915</v>
      </c>
      <c r="L1291" s="3">
        <f t="shared" si="63"/>
        <v>0</v>
      </c>
      <c r="M1291" s="3"/>
      <c r="N1291" s="3">
        <f t="shared" si="62"/>
        <v>0</v>
      </c>
      <c r="R1291" s="23" t="str">
        <f t="shared" si="61"/>
        <v>Yes</v>
      </c>
    </row>
    <row r="1292" spans="1:18" ht="15" customHeight="1" x14ac:dyDescent="0.25">
      <c r="A1292" s="1">
        <v>46916</v>
      </c>
      <c r="L1292" s="3">
        <f t="shared" si="63"/>
        <v>0</v>
      </c>
      <c r="M1292" s="3"/>
      <c r="N1292" s="3">
        <f t="shared" si="62"/>
        <v>0</v>
      </c>
      <c r="R1292" s="23" t="str">
        <f t="shared" si="61"/>
        <v>Yes</v>
      </c>
    </row>
    <row r="1293" spans="1:18" ht="15" customHeight="1" x14ac:dyDescent="0.25">
      <c r="A1293" s="1">
        <v>46917</v>
      </c>
      <c r="L1293" s="3">
        <f t="shared" si="63"/>
        <v>0</v>
      </c>
      <c r="M1293" s="3"/>
      <c r="N1293" s="3">
        <f t="shared" si="62"/>
        <v>0</v>
      </c>
      <c r="R1293" s="23" t="str">
        <f t="shared" si="61"/>
        <v>Yes</v>
      </c>
    </row>
    <row r="1294" spans="1:18" ht="15" customHeight="1" x14ac:dyDescent="0.25">
      <c r="A1294" s="1">
        <v>46918</v>
      </c>
      <c r="L1294" s="3">
        <f t="shared" si="63"/>
        <v>0</v>
      </c>
      <c r="M1294" s="3"/>
      <c r="N1294" s="3">
        <f t="shared" si="62"/>
        <v>0</v>
      </c>
      <c r="R1294" s="23" t="str">
        <f t="shared" si="61"/>
        <v>Yes</v>
      </c>
    </row>
    <row r="1295" spans="1:18" ht="15" customHeight="1" x14ac:dyDescent="0.25">
      <c r="A1295" s="1">
        <v>46919</v>
      </c>
      <c r="L1295" s="3">
        <f t="shared" si="63"/>
        <v>0</v>
      </c>
      <c r="M1295" s="3"/>
      <c r="N1295" s="3">
        <f t="shared" si="62"/>
        <v>0</v>
      </c>
      <c r="R1295" s="23" t="str">
        <f t="shared" si="61"/>
        <v>Yes</v>
      </c>
    </row>
    <row r="1296" spans="1:18" ht="15" customHeight="1" x14ac:dyDescent="0.25">
      <c r="A1296" s="1">
        <v>46920</v>
      </c>
      <c r="L1296" s="3">
        <f t="shared" si="63"/>
        <v>0</v>
      </c>
      <c r="M1296" s="3"/>
      <c r="N1296" s="3">
        <f t="shared" si="62"/>
        <v>0</v>
      </c>
      <c r="R1296" s="23" t="str">
        <f t="shared" si="61"/>
        <v>Yes</v>
      </c>
    </row>
    <row r="1297" spans="1:18" ht="15" customHeight="1" x14ac:dyDescent="0.25">
      <c r="A1297" s="1">
        <v>46921</v>
      </c>
      <c r="L1297" s="3">
        <f t="shared" si="63"/>
        <v>0</v>
      </c>
      <c r="M1297" s="3"/>
      <c r="N1297" s="3">
        <f t="shared" si="62"/>
        <v>0</v>
      </c>
      <c r="R1297" s="23" t="str">
        <f t="shared" si="61"/>
        <v>Yes</v>
      </c>
    </row>
    <row r="1298" spans="1:18" ht="15" customHeight="1" x14ac:dyDescent="0.25">
      <c r="A1298" s="1">
        <v>46922</v>
      </c>
      <c r="L1298" s="3">
        <f t="shared" si="63"/>
        <v>0</v>
      </c>
      <c r="M1298" s="3"/>
      <c r="N1298" s="3">
        <f t="shared" si="62"/>
        <v>0</v>
      </c>
      <c r="R1298" s="23" t="str">
        <f t="shared" si="61"/>
        <v>Yes</v>
      </c>
    </row>
    <row r="1299" spans="1:18" ht="15" customHeight="1" x14ac:dyDescent="0.25">
      <c r="A1299" s="1">
        <v>46923</v>
      </c>
      <c r="L1299" s="3">
        <f t="shared" si="63"/>
        <v>0</v>
      </c>
      <c r="M1299" s="3"/>
      <c r="N1299" s="3">
        <f t="shared" si="62"/>
        <v>0</v>
      </c>
      <c r="R1299" s="23" t="str">
        <f t="shared" si="61"/>
        <v>Yes</v>
      </c>
    </row>
    <row r="1300" spans="1:18" ht="15" customHeight="1" x14ac:dyDescent="0.25">
      <c r="A1300" s="1">
        <v>46924</v>
      </c>
      <c r="L1300" s="3">
        <f t="shared" si="63"/>
        <v>0</v>
      </c>
      <c r="M1300" s="3"/>
      <c r="N1300" s="3">
        <f t="shared" si="62"/>
        <v>0</v>
      </c>
      <c r="R1300" s="23" t="str">
        <f t="shared" si="61"/>
        <v>Yes</v>
      </c>
    </row>
    <row r="1301" spans="1:18" ht="15" customHeight="1" x14ac:dyDescent="0.25">
      <c r="A1301" s="1">
        <v>46925</v>
      </c>
      <c r="L1301" s="3">
        <f t="shared" si="63"/>
        <v>0</v>
      </c>
      <c r="M1301" s="3"/>
      <c r="N1301" s="3">
        <f t="shared" si="62"/>
        <v>0</v>
      </c>
      <c r="R1301" s="23" t="str">
        <f t="shared" si="61"/>
        <v>Yes</v>
      </c>
    </row>
    <row r="1302" spans="1:18" ht="15" customHeight="1" x14ac:dyDescent="0.25">
      <c r="A1302" s="1">
        <v>46926</v>
      </c>
      <c r="L1302" s="3">
        <f t="shared" si="63"/>
        <v>0</v>
      </c>
      <c r="M1302" s="3"/>
      <c r="N1302" s="3">
        <f t="shared" si="62"/>
        <v>0</v>
      </c>
      <c r="R1302" s="23" t="str">
        <f t="shared" si="61"/>
        <v>Yes</v>
      </c>
    </row>
    <row r="1303" spans="1:18" ht="15" customHeight="1" x14ac:dyDescent="0.25">
      <c r="A1303" s="1">
        <v>46927</v>
      </c>
      <c r="L1303" s="3">
        <f t="shared" si="63"/>
        <v>0</v>
      </c>
      <c r="M1303" s="3"/>
      <c r="N1303" s="3">
        <f t="shared" si="62"/>
        <v>0</v>
      </c>
      <c r="R1303" s="23" t="str">
        <f t="shared" si="61"/>
        <v>Yes</v>
      </c>
    </row>
    <row r="1304" spans="1:18" ht="15" customHeight="1" x14ac:dyDescent="0.25">
      <c r="A1304" s="1">
        <v>46928</v>
      </c>
      <c r="L1304" s="3">
        <f t="shared" si="63"/>
        <v>0</v>
      </c>
      <c r="M1304" s="3"/>
      <c r="N1304" s="3">
        <f t="shared" si="62"/>
        <v>0</v>
      </c>
      <c r="R1304" s="23" t="str">
        <f t="shared" si="61"/>
        <v>Yes</v>
      </c>
    </row>
    <row r="1305" spans="1:18" ht="15" customHeight="1" x14ac:dyDescent="0.25">
      <c r="A1305" s="1">
        <v>46929</v>
      </c>
      <c r="L1305" s="3">
        <f t="shared" si="63"/>
        <v>0</v>
      </c>
      <c r="M1305" s="3"/>
      <c r="N1305" s="3">
        <f t="shared" si="62"/>
        <v>0</v>
      </c>
      <c r="R1305" s="23" t="str">
        <f t="shared" si="61"/>
        <v>Yes</v>
      </c>
    </row>
    <row r="1306" spans="1:18" ht="15" customHeight="1" x14ac:dyDescent="0.25">
      <c r="A1306" s="1">
        <v>46930</v>
      </c>
      <c r="L1306" s="3">
        <f t="shared" si="63"/>
        <v>0</v>
      </c>
      <c r="M1306" s="3"/>
      <c r="N1306" s="3">
        <f t="shared" si="62"/>
        <v>0</v>
      </c>
      <c r="R1306" s="23" t="str">
        <f t="shared" si="61"/>
        <v>Yes</v>
      </c>
    </row>
    <row r="1307" spans="1:18" ht="15" customHeight="1" x14ac:dyDescent="0.25">
      <c r="A1307" s="1">
        <v>46931</v>
      </c>
      <c r="L1307" s="3">
        <f t="shared" si="63"/>
        <v>0</v>
      </c>
      <c r="M1307" s="3"/>
      <c r="N1307" s="3">
        <f t="shared" si="62"/>
        <v>0</v>
      </c>
      <c r="R1307" s="23" t="str">
        <f t="shared" si="61"/>
        <v>Yes</v>
      </c>
    </row>
    <row r="1308" spans="1:18" ht="15" customHeight="1" x14ac:dyDescent="0.25">
      <c r="A1308" s="1">
        <v>46932</v>
      </c>
      <c r="L1308" s="3">
        <f t="shared" si="63"/>
        <v>0</v>
      </c>
      <c r="M1308" s="3"/>
      <c r="N1308" s="3">
        <f t="shared" si="62"/>
        <v>0</v>
      </c>
      <c r="R1308" s="23" t="str">
        <f t="shared" si="61"/>
        <v>Yes</v>
      </c>
    </row>
    <row r="1309" spans="1:18" ht="15" customHeight="1" x14ac:dyDescent="0.25">
      <c r="A1309" s="1">
        <v>46933</v>
      </c>
      <c r="L1309" s="3">
        <f t="shared" si="63"/>
        <v>0</v>
      </c>
      <c r="M1309" s="3"/>
      <c r="N1309" s="3">
        <f t="shared" si="62"/>
        <v>0</v>
      </c>
      <c r="R1309" s="23" t="str">
        <f t="shared" si="61"/>
        <v>Yes</v>
      </c>
    </row>
    <row r="1310" spans="1:18" ht="15" customHeight="1" x14ac:dyDescent="0.25">
      <c r="A1310" s="1">
        <v>46934</v>
      </c>
      <c r="L1310" s="3">
        <f t="shared" si="63"/>
        <v>0</v>
      </c>
      <c r="M1310" s="3"/>
      <c r="N1310" s="3">
        <f t="shared" si="62"/>
        <v>0</v>
      </c>
      <c r="R1310" s="23" t="str">
        <f t="shared" si="61"/>
        <v>Yes</v>
      </c>
    </row>
    <row r="1311" spans="1:18" ht="15" customHeight="1" x14ac:dyDescent="0.25">
      <c r="A1311" s="1">
        <v>46935</v>
      </c>
      <c r="L1311" s="3">
        <f t="shared" si="63"/>
        <v>0</v>
      </c>
      <c r="M1311" s="3"/>
      <c r="N1311" s="3">
        <f t="shared" si="62"/>
        <v>0</v>
      </c>
      <c r="R1311" s="23" t="str">
        <f t="shared" si="61"/>
        <v>Yes</v>
      </c>
    </row>
    <row r="1312" spans="1:18" ht="15" customHeight="1" x14ac:dyDescent="0.25">
      <c r="A1312" s="1">
        <v>46936</v>
      </c>
      <c r="L1312" s="3">
        <f t="shared" si="63"/>
        <v>0</v>
      </c>
      <c r="M1312" s="3"/>
      <c r="N1312" s="3">
        <f t="shared" si="62"/>
        <v>0</v>
      </c>
      <c r="R1312" s="23" t="str">
        <f t="shared" si="61"/>
        <v>Yes</v>
      </c>
    </row>
    <row r="1313" spans="1:18" ht="15" customHeight="1" x14ac:dyDescent="0.25">
      <c r="A1313" s="1">
        <v>46937</v>
      </c>
      <c r="L1313" s="3">
        <f t="shared" si="63"/>
        <v>0</v>
      </c>
      <c r="M1313" s="3"/>
      <c r="N1313" s="3">
        <f t="shared" si="62"/>
        <v>0</v>
      </c>
      <c r="R1313" s="23" t="str">
        <f t="shared" si="61"/>
        <v>Yes</v>
      </c>
    </row>
    <row r="1314" spans="1:18" ht="15" customHeight="1" x14ac:dyDescent="0.25">
      <c r="A1314" s="1">
        <v>46938</v>
      </c>
      <c r="L1314" s="3">
        <f t="shared" si="63"/>
        <v>0</v>
      </c>
      <c r="M1314" s="3"/>
      <c r="N1314" s="3">
        <f t="shared" si="62"/>
        <v>0</v>
      </c>
      <c r="R1314" s="23" t="str">
        <f t="shared" si="61"/>
        <v>Yes</v>
      </c>
    </row>
    <row r="1315" spans="1:18" ht="15" customHeight="1" x14ac:dyDescent="0.25">
      <c r="A1315" s="1">
        <v>46939</v>
      </c>
      <c r="L1315" s="3">
        <f t="shared" si="63"/>
        <v>0</v>
      </c>
      <c r="M1315" s="3"/>
      <c r="N1315" s="3">
        <f t="shared" si="62"/>
        <v>0</v>
      </c>
      <c r="R1315" s="23" t="str">
        <f t="shared" si="61"/>
        <v>Yes</v>
      </c>
    </row>
    <row r="1316" spans="1:18" ht="15" customHeight="1" x14ac:dyDescent="0.25">
      <c r="A1316" s="1">
        <v>46940</v>
      </c>
      <c r="L1316" s="3">
        <f t="shared" si="63"/>
        <v>0</v>
      </c>
      <c r="M1316" s="3"/>
      <c r="N1316" s="3">
        <f t="shared" si="62"/>
        <v>0</v>
      </c>
      <c r="R1316" s="23" t="str">
        <f t="shared" si="61"/>
        <v>Yes</v>
      </c>
    </row>
    <row r="1317" spans="1:18" ht="15" customHeight="1" x14ac:dyDescent="0.25">
      <c r="A1317" s="1">
        <v>46941</v>
      </c>
      <c r="L1317" s="3">
        <f t="shared" si="63"/>
        <v>0</v>
      </c>
      <c r="M1317" s="3"/>
      <c r="N1317" s="3">
        <f t="shared" si="62"/>
        <v>0</v>
      </c>
      <c r="R1317" s="23" t="str">
        <f t="shared" si="61"/>
        <v>Yes</v>
      </c>
    </row>
    <row r="1318" spans="1:18" ht="15" customHeight="1" x14ac:dyDescent="0.25">
      <c r="A1318" s="1">
        <v>46942</v>
      </c>
      <c r="L1318" s="3">
        <f t="shared" si="63"/>
        <v>0</v>
      </c>
      <c r="M1318" s="3"/>
      <c r="N1318" s="3">
        <f t="shared" si="62"/>
        <v>0</v>
      </c>
      <c r="R1318" s="23" t="str">
        <f t="shared" si="61"/>
        <v>Yes</v>
      </c>
    </row>
    <row r="1319" spans="1:18" ht="15" customHeight="1" x14ac:dyDescent="0.25">
      <c r="A1319" s="1">
        <v>46943</v>
      </c>
      <c r="L1319" s="3">
        <f t="shared" si="63"/>
        <v>0</v>
      </c>
      <c r="M1319" s="3"/>
      <c r="N1319" s="3">
        <f t="shared" si="62"/>
        <v>0</v>
      </c>
      <c r="R1319" s="23" t="str">
        <f t="shared" si="61"/>
        <v>Yes</v>
      </c>
    </row>
    <row r="1320" spans="1:18" ht="15" customHeight="1" x14ac:dyDescent="0.25">
      <c r="A1320" s="1">
        <v>46944</v>
      </c>
      <c r="L1320" s="3">
        <f t="shared" si="63"/>
        <v>0</v>
      </c>
      <c r="M1320" s="3"/>
      <c r="N1320" s="3">
        <f t="shared" si="62"/>
        <v>0</v>
      </c>
      <c r="R1320" s="23" t="str">
        <f t="shared" si="61"/>
        <v>Yes</v>
      </c>
    </row>
    <row r="1321" spans="1:18" ht="15" customHeight="1" x14ac:dyDescent="0.25">
      <c r="A1321" s="1">
        <v>46945</v>
      </c>
      <c r="L1321" s="3">
        <f t="shared" si="63"/>
        <v>0</v>
      </c>
      <c r="M1321" s="3"/>
      <c r="N1321" s="3">
        <f t="shared" si="62"/>
        <v>0</v>
      </c>
      <c r="R1321" s="23" t="str">
        <f t="shared" si="61"/>
        <v>Yes</v>
      </c>
    </row>
    <row r="1322" spans="1:18" ht="15" customHeight="1" x14ac:dyDescent="0.25">
      <c r="A1322" s="1">
        <v>46946</v>
      </c>
      <c r="L1322" s="3">
        <f t="shared" si="63"/>
        <v>0</v>
      </c>
      <c r="M1322" s="3"/>
      <c r="N1322" s="3">
        <f t="shared" si="62"/>
        <v>0</v>
      </c>
      <c r="R1322" s="23" t="str">
        <f t="shared" si="61"/>
        <v>Yes</v>
      </c>
    </row>
    <row r="1323" spans="1:18" ht="15" customHeight="1" x14ac:dyDescent="0.25">
      <c r="A1323" s="1">
        <v>46947</v>
      </c>
      <c r="L1323" s="3">
        <f t="shared" si="63"/>
        <v>0</v>
      </c>
      <c r="M1323" s="3"/>
      <c r="N1323" s="3">
        <f t="shared" si="62"/>
        <v>0</v>
      </c>
      <c r="R1323" s="23" t="str">
        <f t="shared" si="61"/>
        <v>Yes</v>
      </c>
    </row>
    <row r="1324" spans="1:18" ht="15" customHeight="1" x14ac:dyDescent="0.25">
      <c r="A1324" s="1">
        <v>46948</v>
      </c>
      <c r="L1324" s="3">
        <f t="shared" si="63"/>
        <v>0</v>
      </c>
      <c r="M1324" s="3"/>
      <c r="N1324" s="3">
        <f t="shared" si="62"/>
        <v>0</v>
      </c>
      <c r="R1324" s="23" t="str">
        <f t="shared" si="61"/>
        <v>Yes</v>
      </c>
    </row>
    <row r="1325" spans="1:18" ht="15" customHeight="1" x14ac:dyDescent="0.25">
      <c r="A1325" s="1">
        <v>46949</v>
      </c>
      <c r="L1325" s="3">
        <f t="shared" si="63"/>
        <v>0</v>
      </c>
      <c r="M1325" s="3"/>
      <c r="N1325" s="3">
        <f t="shared" si="62"/>
        <v>0</v>
      </c>
      <c r="R1325" s="23" t="str">
        <f t="shared" ref="R1325:R1388" si="64">IF(Q1325&gt;0,"Yes",IF(OR((O1325+P1325&lt;50000),O1325&lt;24000,P1325&lt;26000),"Yes","No"))</f>
        <v>Yes</v>
      </c>
    </row>
    <row r="1326" spans="1:18" ht="15" customHeight="1" x14ac:dyDescent="0.25">
      <c r="A1326" s="1">
        <v>46950</v>
      </c>
      <c r="L1326" s="3">
        <f t="shared" si="63"/>
        <v>0</v>
      </c>
      <c r="M1326" s="3"/>
      <c r="N1326" s="3">
        <f t="shared" si="62"/>
        <v>0</v>
      </c>
      <c r="R1326" s="23" t="str">
        <f t="shared" si="64"/>
        <v>Yes</v>
      </c>
    </row>
    <row r="1327" spans="1:18" ht="15" customHeight="1" x14ac:dyDescent="0.25">
      <c r="A1327" s="1">
        <v>46951</v>
      </c>
      <c r="L1327" s="3">
        <f t="shared" si="63"/>
        <v>0</v>
      </c>
      <c r="M1327" s="3"/>
      <c r="N1327" s="3">
        <f t="shared" si="62"/>
        <v>0</v>
      </c>
      <c r="R1327" s="23" t="str">
        <f t="shared" si="64"/>
        <v>Yes</v>
      </c>
    </row>
    <row r="1328" spans="1:18" ht="15" customHeight="1" x14ac:dyDescent="0.25">
      <c r="A1328" s="1">
        <v>46952</v>
      </c>
      <c r="L1328" s="3">
        <f t="shared" si="63"/>
        <v>0</v>
      </c>
      <c r="M1328" s="3"/>
      <c r="N1328" s="3">
        <f t="shared" si="62"/>
        <v>0</v>
      </c>
      <c r="R1328" s="23" t="str">
        <f t="shared" si="64"/>
        <v>Yes</v>
      </c>
    </row>
    <row r="1329" spans="1:18" ht="15" customHeight="1" x14ac:dyDescent="0.25">
      <c r="A1329" s="1">
        <v>46953</v>
      </c>
      <c r="L1329" s="3">
        <f t="shared" si="63"/>
        <v>0</v>
      </c>
      <c r="M1329" s="3"/>
      <c r="N1329" s="3">
        <f t="shared" si="62"/>
        <v>0</v>
      </c>
      <c r="R1329" s="23" t="str">
        <f t="shared" si="64"/>
        <v>Yes</v>
      </c>
    </row>
    <row r="1330" spans="1:18" ht="15" customHeight="1" x14ac:dyDescent="0.25">
      <c r="A1330" s="1">
        <v>46954</v>
      </c>
      <c r="L1330" s="3">
        <f t="shared" si="63"/>
        <v>0</v>
      </c>
      <c r="M1330" s="3"/>
      <c r="N1330" s="3">
        <f t="shared" si="62"/>
        <v>0</v>
      </c>
      <c r="R1330" s="23" t="str">
        <f t="shared" si="64"/>
        <v>Yes</v>
      </c>
    </row>
    <row r="1331" spans="1:18" ht="15" customHeight="1" x14ac:dyDescent="0.25">
      <c r="A1331" s="1">
        <v>46955</v>
      </c>
      <c r="L1331" s="3">
        <f t="shared" si="63"/>
        <v>0</v>
      </c>
      <c r="M1331" s="3"/>
      <c r="N1331" s="3">
        <f t="shared" si="62"/>
        <v>0</v>
      </c>
      <c r="R1331" s="23" t="str">
        <f t="shared" si="64"/>
        <v>Yes</v>
      </c>
    </row>
    <row r="1332" spans="1:18" ht="15" customHeight="1" x14ac:dyDescent="0.25">
      <c r="A1332" s="1">
        <v>46956</v>
      </c>
      <c r="L1332" s="3">
        <f t="shared" si="63"/>
        <v>0</v>
      </c>
      <c r="M1332" s="3"/>
      <c r="N1332" s="3">
        <f t="shared" si="62"/>
        <v>0</v>
      </c>
      <c r="R1332" s="23" t="str">
        <f t="shared" si="64"/>
        <v>Yes</v>
      </c>
    </row>
    <row r="1333" spans="1:18" ht="15" customHeight="1" x14ac:dyDescent="0.25">
      <c r="A1333" s="1">
        <v>46957</v>
      </c>
      <c r="L1333" s="3">
        <f t="shared" si="63"/>
        <v>0</v>
      </c>
      <c r="M1333" s="3"/>
      <c r="N1333" s="3">
        <f t="shared" si="62"/>
        <v>0</v>
      </c>
      <c r="R1333" s="23" t="str">
        <f t="shared" si="64"/>
        <v>Yes</v>
      </c>
    </row>
    <row r="1334" spans="1:18" ht="15" customHeight="1" x14ac:dyDescent="0.25">
      <c r="A1334" s="1">
        <v>46958</v>
      </c>
      <c r="L1334" s="3">
        <f t="shared" si="63"/>
        <v>0</v>
      </c>
      <c r="M1334" s="3"/>
      <c r="N1334" s="3">
        <f t="shared" si="62"/>
        <v>0</v>
      </c>
      <c r="R1334" s="23" t="str">
        <f t="shared" si="64"/>
        <v>Yes</v>
      </c>
    </row>
    <row r="1335" spans="1:18" ht="15" customHeight="1" x14ac:dyDescent="0.25">
      <c r="A1335" s="1">
        <v>46959</v>
      </c>
      <c r="L1335" s="3">
        <f t="shared" si="63"/>
        <v>0</v>
      </c>
      <c r="M1335" s="3"/>
      <c r="N1335" s="3">
        <f t="shared" si="62"/>
        <v>0</v>
      </c>
      <c r="R1335" s="23" t="str">
        <f t="shared" si="64"/>
        <v>Yes</v>
      </c>
    </row>
    <row r="1336" spans="1:18" ht="15" customHeight="1" x14ac:dyDescent="0.25">
      <c r="A1336" s="1">
        <v>46960</v>
      </c>
      <c r="L1336" s="3">
        <f t="shared" si="63"/>
        <v>0</v>
      </c>
      <c r="M1336" s="3"/>
      <c r="N1336" s="3">
        <f t="shared" si="62"/>
        <v>0</v>
      </c>
      <c r="R1336" s="23" t="str">
        <f t="shared" si="64"/>
        <v>Yes</v>
      </c>
    </row>
    <row r="1337" spans="1:18" ht="15" customHeight="1" x14ac:dyDescent="0.25">
      <c r="A1337" s="1">
        <v>46961</v>
      </c>
      <c r="L1337" s="3">
        <f t="shared" si="63"/>
        <v>0</v>
      </c>
      <c r="M1337" s="3"/>
      <c r="N1337" s="3">
        <f t="shared" si="62"/>
        <v>0</v>
      </c>
      <c r="R1337" s="23" t="str">
        <f t="shared" si="64"/>
        <v>Yes</v>
      </c>
    </row>
    <row r="1338" spans="1:18" ht="15" customHeight="1" x14ac:dyDescent="0.25">
      <c r="A1338" s="1">
        <v>46962</v>
      </c>
      <c r="L1338" s="3">
        <f t="shared" si="63"/>
        <v>0</v>
      </c>
      <c r="M1338" s="3"/>
      <c r="N1338" s="3">
        <f t="shared" si="62"/>
        <v>0</v>
      </c>
      <c r="R1338" s="23" t="str">
        <f t="shared" si="64"/>
        <v>Yes</v>
      </c>
    </row>
    <row r="1339" spans="1:18" ht="15" customHeight="1" x14ac:dyDescent="0.25">
      <c r="A1339" s="1">
        <v>46963</v>
      </c>
      <c r="L1339" s="3">
        <f t="shared" si="63"/>
        <v>0</v>
      </c>
      <c r="M1339" s="3"/>
      <c r="N1339" s="3">
        <f t="shared" si="62"/>
        <v>0</v>
      </c>
      <c r="R1339" s="23" t="str">
        <f t="shared" si="64"/>
        <v>Yes</v>
      </c>
    </row>
    <row r="1340" spans="1:18" ht="15" customHeight="1" x14ac:dyDescent="0.25">
      <c r="A1340" s="1">
        <v>46964</v>
      </c>
      <c r="L1340" s="3">
        <f t="shared" si="63"/>
        <v>0</v>
      </c>
      <c r="M1340" s="3"/>
      <c r="N1340" s="3">
        <f t="shared" si="62"/>
        <v>0</v>
      </c>
      <c r="R1340" s="23" t="str">
        <f t="shared" si="64"/>
        <v>Yes</v>
      </c>
    </row>
    <row r="1341" spans="1:18" ht="15" customHeight="1" x14ac:dyDescent="0.25">
      <c r="A1341" s="1">
        <v>46965</v>
      </c>
      <c r="L1341" s="3">
        <f t="shared" si="63"/>
        <v>0</v>
      </c>
      <c r="M1341" s="3"/>
      <c r="N1341" s="3">
        <f t="shared" si="62"/>
        <v>0</v>
      </c>
      <c r="R1341" s="23" t="str">
        <f t="shared" si="64"/>
        <v>Yes</v>
      </c>
    </row>
    <row r="1342" spans="1:18" ht="15" customHeight="1" x14ac:dyDescent="0.25">
      <c r="A1342" s="1">
        <v>46966</v>
      </c>
      <c r="L1342" s="3">
        <f t="shared" si="63"/>
        <v>0</v>
      </c>
      <c r="M1342" s="3"/>
      <c r="N1342" s="3">
        <f t="shared" si="62"/>
        <v>0</v>
      </c>
      <c r="R1342" s="23" t="str">
        <f t="shared" si="64"/>
        <v>Yes</v>
      </c>
    </row>
    <row r="1343" spans="1:18" ht="15" customHeight="1" x14ac:dyDescent="0.25">
      <c r="A1343" s="1">
        <v>46967</v>
      </c>
      <c r="L1343" s="3">
        <f t="shared" si="63"/>
        <v>0</v>
      </c>
      <c r="M1343" s="3"/>
      <c r="N1343" s="3">
        <f t="shared" si="62"/>
        <v>0</v>
      </c>
      <c r="R1343" s="23" t="str">
        <f t="shared" si="64"/>
        <v>Yes</v>
      </c>
    </row>
    <row r="1344" spans="1:18" ht="15" customHeight="1" x14ac:dyDescent="0.25">
      <c r="A1344" s="1">
        <v>46968</v>
      </c>
      <c r="L1344" s="3">
        <f t="shared" si="63"/>
        <v>0</v>
      </c>
      <c r="M1344" s="3"/>
      <c r="N1344" s="3">
        <f t="shared" si="62"/>
        <v>0</v>
      </c>
      <c r="R1344" s="23" t="str">
        <f t="shared" si="64"/>
        <v>Yes</v>
      </c>
    </row>
    <row r="1345" spans="1:18" ht="15" customHeight="1" x14ac:dyDescent="0.25">
      <c r="A1345" s="1">
        <v>46969</v>
      </c>
      <c r="L1345" s="3">
        <f t="shared" si="63"/>
        <v>0</v>
      </c>
      <c r="M1345" s="3"/>
      <c r="N1345" s="3">
        <f t="shared" si="62"/>
        <v>0</v>
      </c>
      <c r="R1345" s="23" t="str">
        <f t="shared" si="64"/>
        <v>Yes</v>
      </c>
    </row>
    <row r="1346" spans="1:18" ht="15" customHeight="1" x14ac:dyDescent="0.25">
      <c r="A1346" s="1">
        <v>46970</v>
      </c>
      <c r="L1346" s="3">
        <f t="shared" si="63"/>
        <v>0</v>
      </c>
      <c r="M1346" s="3"/>
      <c r="N1346" s="3">
        <f t="shared" si="62"/>
        <v>0</v>
      </c>
      <c r="R1346" s="23" t="str">
        <f t="shared" si="64"/>
        <v>Yes</v>
      </c>
    </row>
    <row r="1347" spans="1:18" ht="15" customHeight="1" x14ac:dyDescent="0.25">
      <c r="A1347" s="1">
        <v>46971</v>
      </c>
      <c r="L1347" s="3">
        <f t="shared" si="63"/>
        <v>0</v>
      </c>
      <c r="M1347" s="3"/>
      <c r="N1347" s="3">
        <f t="shared" ref="N1347:N1410" si="65">IF(OR(O1347&lt;24300,P1347&lt;25700),MAX(L1347,M1347),L1347)</f>
        <v>0</v>
      </c>
      <c r="R1347" s="23" t="str">
        <f t="shared" si="64"/>
        <v>Yes</v>
      </c>
    </row>
    <row r="1348" spans="1:18" ht="15" customHeight="1" x14ac:dyDescent="0.25">
      <c r="A1348" s="1">
        <v>46972</v>
      </c>
      <c r="L1348" s="3">
        <f t="shared" ref="L1348:L1411" si="66">SUM(B1348:K1348)</f>
        <v>0</v>
      </c>
      <c r="M1348" s="3"/>
      <c r="N1348" s="3">
        <f t="shared" si="65"/>
        <v>0</v>
      </c>
      <c r="R1348" s="23" t="str">
        <f t="shared" si="64"/>
        <v>Yes</v>
      </c>
    </row>
    <row r="1349" spans="1:18" ht="15" customHeight="1" x14ac:dyDescent="0.25">
      <c r="A1349" s="1">
        <v>46973</v>
      </c>
      <c r="L1349" s="3">
        <f t="shared" si="66"/>
        <v>0</v>
      </c>
      <c r="M1349" s="3"/>
      <c r="N1349" s="3">
        <f t="shared" si="65"/>
        <v>0</v>
      </c>
      <c r="R1349" s="23" t="str">
        <f t="shared" si="64"/>
        <v>Yes</v>
      </c>
    </row>
    <row r="1350" spans="1:18" ht="15" customHeight="1" x14ac:dyDescent="0.25">
      <c r="A1350" s="1">
        <v>46974</v>
      </c>
      <c r="L1350" s="3">
        <f t="shared" si="66"/>
        <v>0</v>
      </c>
      <c r="M1350" s="3"/>
      <c r="N1350" s="3">
        <f t="shared" si="65"/>
        <v>0</v>
      </c>
      <c r="R1350" s="23" t="str">
        <f t="shared" si="64"/>
        <v>Yes</v>
      </c>
    </row>
    <row r="1351" spans="1:18" ht="15" customHeight="1" x14ac:dyDescent="0.25">
      <c r="A1351" s="1">
        <v>46975</v>
      </c>
      <c r="L1351" s="3">
        <f t="shared" si="66"/>
        <v>0</v>
      </c>
      <c r="M1351" s="3"/>
      <c r="N1351" s="3">
        <f t="shared" si="65"/>
        <v>0</v>
      </c>
      <c r="R1351" s="23" t="str">
        <f t="shared" si="64"/>
        <v>Yes</v>
      </c>
    </row>
    <row r="1352" spans="1:18" ht="15" customHeight="1" x14ac:dyDescent="0.25">
      <c r="A1352" s="1">
        <v>46976</v>
      </c>
      <c r="L1352" s="3">
        <f t="shared" si="66"/>
        <v>0</v>
      </c>
      <c r="M1352" s="3"/>
      <c r="N1352" s="3">
        <f t="shared" si="65"/>
        <v>0</v>
      </c>
      <c r="R1352" s="23" t="str">
        <f t="shared" si="64"/>
        <v>Yes</v>
      </c>
    </row>
    <row r="1353" spans="1:18" ht="15" customHeight="1" x14ac:dyDescent="0.25">
      <c r="A1353" s="1">
        <v>46977</v>
      </c>
      <c r="L1353" s="3">
        <f t="shared" si="66"/>
        <v>0</v>
      </c>
      <c r="M1353" s="3"/>
      <c r="N1353" s="3">
        <f t="shared" si="65"/>
        <v>0</v>
      </c>
      <c r="R1353" s="23" t="str">
        <f t="shared" si="64"/>
        <v>Yes</v>
      </c>
    </row>
    <row r="1354" spans="1:18" ht="15" customHeight="1" x14ac:dyDescent="0.25">
      <c r="A1354" s="1">
        <v>46978</v>
      </c>
      <c r="L1354" s="3">
        <f t="shared" si="66"/>
        <v>0</v>
      </c>
      <c r="M1354" s="3"/>
      <c r="N1354" s="3">
        <f t="shared" si="65"/>
        <v>0</v>
      </c>
      <c r="R1354" s="23" t="str">
        <f t="shared" si="64"/>
        <v>Yes</v>
      </c>
    </row>
    <row r="1355" spans="1:18" ht="15" customHeight="1" x14ac:dyDescent="0.25">
      <c r="A1355" s="1">
        <v>46979</v>
      </c>
      <c r="L1355" s="3">
        <f t="shared" si="66"/>
        <v>0</v>
      </c>
      <c r="M1355" s="3"/>
      <c r="N1355" s="3">
        <f t="shared" si="65"/>
        <v>0</v>
      </c>
      <c r="R1355" s="23" t="str">
        <f t="shared" si="64"/>
        <v>Yes</v>
      </c>
    </row>
    <row r="1356" spans="1:18" ht="15" customHeight="1" x14ac:dyDescent="0.25">
      <c r="A1356" s="1">
        <v>46980</v>
      </c>
      <c r="L1356" s="3">
        <f t="shared" si="66"/>
        <v>0</v>
      </c>
      <c r="M1356" s="3"/>
      <c r="N1356" s="3">
        <f t="shared" si="65"/>
        <v>0</v>
      </c>
      <c r="R1356" s="23" t="str">
        <f t="shared" si="64"/>
        <v>Yes</v>
      </c>
    </row>
    <row r="1357" spans="1:18" ht="15" customHeight="1" x14ac:dyDescent="0.25">
      <c r="A1357" s="1">
        <v>46981</v>
      </c>
      <c r="L1357" s="3">
        <f t="shared" si="66"/>
        <v>0</v>
      </c>
      <c r="M1357" s="3"/>
      <c r="N1357" s="3">
        <f t="shared" si="65"/>
        <v>0</v>
      </c>
      <c r="R1357" s="23" t="str">
        <f t="shared" si="64"/>
        <v>Yes</v>
      </c>
    </row>
    <row r="1358" spans="1:18" ht="15" customHeight="1" x14ac:dyDescent="0.25">
      <c r="A1358" s="1">
        <v>46982</v>
      </c>
      <c r="L1358" s="3">
        <f t="shared" si="66"/>
        <v>0</v>
      </c>
      <c r="M1358" s="3"/>
      <c r="N1358" s="3">
        <f t="shared" si="65"/>
        <v>0</v>
      </c>
      <c r="R1358" s="23" t="str">
        <f t="shared" si="64"/>
        <v>Yes</v>
      </c>
    </row>
    <row r="1359" spans="1:18" ht="15" customHeight="1" x14ac:dyDescent="0.25">
      <c r="A1359" s="1">
        <v>46983</v>
      </c>
      <c r="L1359" s="3">
        <f t="shared" si="66"/>
        <v>0</v>
      </c>
      <c r="M1359" s="3"/>
      <c r="N1359" s="3">
        <f t="shared" si="65"/>
        <v>0</v>
      </c>
      <c r="R1359" s="23" t="str">
        <f t="shared" si="64"/>
        <v>Yes</v>
      </c>
    </row>
    <row r="1360" spans="1:18" ht="15" customHeight="1" x14ac:dyDescent="0.25">
      <c r="A1360" s="1">
        <v>46984</v>
      </c>
      <c r="L1360" s="3">
        <f t="shared" si="66"/>
        <v>0</v>
      </c>
      <c r="M1360" s="3"/>
      <c r="N1360" s="3">
        <f t="shared" si="65"/>
        <v>0</v>
      </c>
      <c r="R1360" s="23" t="str">
        <f t="shared" si="64"/>
        <v>Yes</v>
      </c>
    </row>
    <row r="1361" spans="1:18" ht="15" customHeight="1" x14ac:dyDescent="0.25">
      <c r="A1361" s="1">
        <v>46985</v>
      </c>
      <c r="L1361" s="3">
        <f t="shared" si="66"/>
        <v>0</v>
      </c>
      <c r="M1361" s="3"/>
      <c r="N1361" s="3">
        <f t="shared" si="65"/>
        <v>0</v>
      </c>
      <c r="R1361" s="23" t="str">
        <f t="shared" si="64"/>
        <v>Yes</v>
      </c>
    </row>
    <row r="1362" spans="1:18" ht="15" customHeight="1" x14ac:dyDescent="0.25">
      <c r="A1362" s="1">
        <v>46986</v>
      </c>
      <c r="L1362" s="3">
        <f t="shared" si="66"/>
        <v>0</v>
      </c>
      <c r="M1362" s="3"/>
      <c r="N1362" s="3">
        <f t="shared" si="65"/>
        <v>0</v>
      </c>
      <c r="R1362" s="23" t="str">
        <f t="shared" si="64"/>
        <v>Yes</v>
      </c>
    </row>
    <row r="1363" spans="1:18" ht="15" customHeight="1" x14ac:dyDescent="0.25">
      <c r="A1363" s="1">
        <v>46987</v>
      </c>
      <c r="L1363" s="3">
        <f t="shared" si="66"/>
        <v>0</v>
      </c>
      <c r="M1363" s="3"/>
      <c r="N1363" s="3">
        <f t="shared" si="65"/>
        <v>0</v>
      </c>
      <c r="R1363" s="23" t="str">
        <f t="shared" si="64"/>
        <v>Yes</v>
      </c>
    </row>
    <row r="1364" spans="1:18" ht="15" customHeight="1" x14ac:dyDescent="0.25">
      <c r="A1364" s="1">
        <v>46988</v>
      </c>
      <c r="L1364" s="3">
        <f t="shared" si="66"/>
        <v>0</v>
      </c>
      <c r="M1364" s="3"/>
      <c r="N1364" s="3">
        <f t="shared" si="65"/>
        <v>0</v>
      </c>
      <c r="R1364" s="23" t="str">
        <f t="shared" si="64"/>
        <v>Yes</v>
      </c>
    </row>
    <row r="1365" spans="1:18" ht="15" customHeight="1" x14ac:dyDescent="0.25">
      <c r="A1365" s="1">
        <v>46989</v>
      </c>
      <c r="L1365" s="3">
        <f t="shared" si="66"/>
        <v>0</v>
      </c>
      <c r="M1365" s="3"/>
      <c r="N1365" s="3">
        <f t="shared" si="65"/>
        <v>0</v>
      </c>
      <c r="R1365" s="23" t="str">
        <f t="shared" si="64"/>
        <v>Yes</v>
      </c>
    </row>
    <row r="1366" spans="1:18" ht="15" customHeight="1" x14ac:dyDescent="0.25">
      <c r="A1366" s="1">
        <v>46990</v>
      </c>
      <c r="L1366" s="3">
        <f t="shared" si="66"/>
        <v>0</v>
      </c>
      <c r="M1366" s="3"/>
      <c r="N1366" s="3">
        <f t="shared" si="65"/>
        <v>0</v>
      </c>
      <c r="R1366" s="23" t="str">
        <f t="shared" si="64"/>
        <v>Yes</v>
      </c>
    </row>
    <row r="1367" spans="1:18" ht="15" customHeight="1" x14ac:dyDescent="0.25">
      <c r="A1367" s="1">
        <v>46991</v>
      </c>
      <c r="L1367" s="3">
        <f t="shared" si="66"/>
        <v>0</v>
      </c>
      <c r="M1367" s="3"/>
      <c r="N1367" s="3">
        <f t="shared" si="65"/>
        <v>0</v>
      </c>
      <c r="R1367" s="23" t="str">
        <f t="shared" si="64"/>
        <v>Yes</v>
      </c>
    </row>
    <row r="1368" spans="1:18" ht="15" customHeight="1" x14ac:dyDescent="0.25">
      <c r="A1368" s="1">
        <v>46992</v>
      </c>
      <c r="L1368" s="3">
        <f t="shared" si="66"/>
        <v>0</v>
      </c>
      <c r="M1368" s="3"/>
      <c r="N1368" s="3">
        <f t="shared" si="65"/>
        <v>0</v>
      </c>
      <c r="R1368" s="23" t="str">
        <f t="shared" si="64"/>
        <v>Yes</v>
      </c>
    </row>
    <row r="1369" spans="1:18" ht="15" customHeight="1" x14ac:dyDescent="0.25">
      <c r="A1369" s="1">
        <v>46993</v>
      </c>
      <c r="L1369" s="3">
        <f t="shared" si="66"/>
        <v>0</v>
      </c>
      <c r="M1369" s="3"/>
      <c r="N1369" s="3">
        <f t="shared" si="65"/>
        <v>0</v>
      </c>
      <c r="R1369" s="23" t="str">
        <f t="shared" si="64"/>
        <v>Yes</v>
      </c>
    </row>
    <row r="1370" spans="1:18" ht="15" customHeight="1" x14ac:dyDescent="0.25">
      <c r="A1370" s="1">
        <v>46994</v>
      </c>
      <c r="L1370" s="3">
        <f t="shared" si="66"/>
        <v>0</v>
      </c>
      <c r="M1370" s="3"/>
      <c r="N1370" s="3">
        <f t="shared" si="65"/>
        <v>0</v>
      </c>
      <c r="R1370" s="23" t="str">
        <f t="shared" si="64"/>
        <v>Yes</v>
      </c>
    </row>
    <row r="1371" spans="1:18" ht="15" customHeight="1" x14ac:dyDescent="0.25">
      <c r="A1371" s="1">
        <v>46995</v>
      </c>
      <c r="L1371" s="3">
        <f t="shared" si="66"/>
        <v>0</v>
      </c>
      <c r="M1371" s="3"/>
      <c r="N1371" s="3">
        <f t="shared" si="65"/>
        <v>0</v>
      </c>
      <c r="R1371" s="23" t="str">
        <f t="shared" si="64"/>
        <v>Yes</v>
      </c>
    </row>
    <row r="1372" spans="1:18" ht="15" customHeight="1" x14ac:dyDescent="0.25">
      <c r="A1372" s="1">
        <v>46996</v>
      </c>
      <c r="L1372" s="3">
        <f t="shared" si="66"/>
        <v>0</v>
      </c>
      <c r="M1372" s="3"/>
      <c r="N1372" s="3">
        <f t="shared" si="65"/>
        <v>0</v>
      </c>
      <c r="R1372" s="23" t="str">
        <f t="shared" si="64"/>
        <v>Yes</v>
      </c>
    </row>
    <row r="1373" spans="1:18" ht="15" customHeight="1" x14ac:dyDescent="0.25">
      <c r="A1373" s="1">
        <v>46997</v>
      </c>
      <c r="L1373" s="3">
        <f t="shared" si="66"/>
        <v>0</v>
      </c>
      <c r="M1373" s="3"/>
      <c r="N1373" s="3">
        <f t="shared" si="65"/>
        <v>0</v>
      </c>
      <c r="R1373" s="23" t="str">
        <f t="shared" si="64"/>
        <v>Yes</v>
      </c>
    </row>
    <row r="1374" spans="1:18" ht="15" customHeight="1" x14ac:dyDescent="0.25">
      <c r="A1374" s="1">
        <v>46998</v>
      </c>
      <c r="L1374" s="3">
        <f t="shared" si="66"/>
        <v>0</v>
      </c>
      <c r="M1374" s="3"/>
      <c r="N1374" s="3">
        <f t="shared" si="65"/>
        <v>0</v>
      </c>
      <c r="R1374" s="23" t="str">
        <f t="shared" si="64"/>
        <v>Yes</v>
      </c>
    </row>
    <row r="1375" spans="1:18" ht="15" customHeight="1" x14ac:dyDescent="0.25">
      <c r="A1375" s="1">
        <v>46999</v>
      </c>
      <c r="L1375" s="3">
        <f t="shared" si="66"/>
        <v>0</v>
      </c>
      <c r="M1375" s="3"/>
      <c r="N1375" s="3">
        <f t="shared" si="65"/>
        <v>0</v>
      </c>
      <c r="R1375" s="23" t="str">
        <f t="shared" si="64"/>
        <v>Yes</v>
      </c>
    </row>
    <row r="1376" spans="1:18" ht="15" customHeight="1" x14ac:dyDescent="0.25">
      <c r="A1376" s="1">
        <v>47000</v>
      </c>
      <c r="L1376" s="3">
        <f t="shared" si="66"/>
        <v>0</v>
      </c>
      <c r="M1376" s="3"/>
      <c r="N1376" s="3">
        <f t="shared" si="65"/>
        <v>0</v>
      </c>
      <c r="R1376" s="23" t="str">
        <f t="shared" si="64"/>
        <v>Yes</v>
      </c>
    </row>
    <row r="1377" spans="1:18" ht="15" customHeight="1" x14ac:dyDescent="0.25">
      <c r="A1377" s="1">
        <v>47001</v>
      </c>
      <c r="L1377" s="3">
        <f t="shared" si="66"/>
        <v>0</v>
      </c>
      <c r="M1377" s="3"/>
      <c r="N1377" s="3">
        <f t="shared" si="65"/>
        <v>0</v>
      </c>
      <c r="R1377" s="23" t="str">
        <f t="shared" si="64"/>
        <v>Yes</v>
      </c>
    </row>
    <row r="1378" spans="1:18" ht="15" customHeight="1" x14ac:dyDescent="0.25">
      <c r="A1378" s="1">
        <v>47002</v>
      </c>
      <c r="L1378" s="3">
        <f t="shared" si="66"/>
        <v>0</v>
      </c>
      <c r="M1378" s="3"/>
      <c r="N1378" s="3">
        <f t="shared" si="65"/>
        <v>0</v>
      </c>
      <c r="R1378" s="23" t="str">
        <f t="shared" si="64"/>
        <v>Yes</v>
      </c>
    </row>
    <row r="1379" spans="1:18" ht="15" customHeight="1" x14ac:dyDescent="0.25">
      <c r="A1379" s="1">
        <v>47003</v>
      </c>
      <c r="L1379" s="3">
        <f t="shared" si="66"/>
        <v>0</v>
      </c>
      <c r="M1379" s="3"/>
      <c r="N1379" s="3">
        <f t="shared" si="65"/>
        <v>0</v>
      </c>
      <c r="R1379" s="23" t="str">
        <f t="shared" si="64"/>
        <v>Yes</v>
      </c>
    </row>
    <row r="1380" spans="1:18" ht="15" customHeight="1" x14ac:dyDescent="0.25">
      <c r="A1380" s="1">
        <v>47004</v>
      </c>
      <c r="L1380" s="3">
        <f t="shared" si="66"/>
        <v>0</v>
      </c>
      <c r="M1380" s="3"/>
      <c r="N1380" s="3">
        <f t="shared" si="65"/>
        <v>0</v>
      </c>
      <c r="R1380" s="23" t="str">
        <f t="shared" si="64"/>
        <v>Yes</v>
      </c>
    </row>
    <row r="1381" spans="1:18" ht="15" customHeight="1" x14ac:dyDescent="0.25">
      <c r="A1381" s="1">
        <v>47005</v>
      </c>
      <c r="L1381" s="3">
        <f t="shared" si="66"/>
        <v>0</v>
      </c>
      <c r="M1381" s="3"/>
      <c r="N1381" s="3">
        <f t="shared" si="65"/>
        <v>0</v>
      </c>
      <c r="R1381" s="23" t="str">
        <f t="shared" si="64"/>
        <v>Yes</v>
      </c>
    </row>
    <row r="1382" spans="1:18" ht="15" customHeight="1" x14ac:dyDescent="0.25">
      <c r="A1382" s="1">
        <v>47006</v>
      </c>
      <c r="L1382" s="3">
        <f t="shared" si="66"/>
        <v>0</v>
      </c>
      <c r="M1382" s="3"/>
      <c r="N1382" s="3">
        <f t="shared" si="65"/>
        <v>0</v>
      </c>
      <c r="R1382" s="23" t="str">
        <f t="shared" si="64"/>
        <v>Yes</v>
      </c>
    </row>
    <row r="1383" spans="1:18" ht="15" customHeight="1" x14ac:dyDescent="0.25">
      <c r="A1383" s="1">
        <v>47007</v>
      </c>
      <c r="L1383" s="3">
        <f t="shared" si="66"/>
        <v>0</v>
      </c>
      <c r="M1383" s="3"/>
      <c r="N1383" s="3">
        <f t="shared" si="65"/>
        <v>0</v>
      </c>
      <c r="R1383" s="23" t="str">
        <f t="shared" si="64"/>
        <v>Yes</v>
      </c>
    </row>
    <row r="1384" spans="1:18" ht="15" customHeight="1" x14ac:dyDescent="0.25">
      <c r="A1384" s="1">
        <v>47008</v>
      </c>
      <c r="L1384" s="3">
        <f t="shared" si="66"/>
        <v>0</v>
      </c>
      <c r="M1384" s="3"/>
      <c r="N1384" s="3">
        <f t="shared" si="65"/>
        <v>0</v>
      </c>
      <c r="R1384" s="23" t="str">
        <f t="shared" si="64"/>
        <v>Yes</v>
      </c>
    </row>
    <row r="1385" spans="1:18" ht="15" customHeight="1" x14ac:dyDescent="0.25">
      <c r="A1385" s="1">
        <v>47009</v>
      </c>
      <c r="L1385" s="3">
        <f t="shared" si="66"/>
        <v>0</v>
      </c>
      <c r="M1385" s="3"/>
      <c r="N1385" s="3">
        <f t="shared" si="65"/>
        <v>0</v>
      </c>
      <c r="R1385" s="23" t="str">
        <f t="shared" si="64"/>
        <v>Yes</v>
      </c>
    </row>
    <row r="1386" spans="1:18" ht="15" customHeight="1" x14ac:dyDescent="0.25">
      <c r="A1386" s="1">
        <v>47010</v>
      </c>
      <c r="L1386" s="3">
        <f t="shared" si="66"/>
        <v>0</v>
      </c>
      <c r="M1386" s="3"/>
      <c r="N1386" s="3">
        <f t="shared" si="65"/>
        <v>0</v>
      </c>
      <c r="R1386" s="23" t="str">
        <f t="shared" si="64"/>
        <v>Yes</v>
      </c>
    </row>
    <row r="1387" spans="1:18" ht="15" customHeight="1" x14ac:dyDescent="0.25">
      <c r="A1387" s="1">
        <v>47011</v>
      </c>
      <c r="L1387" s="3">
        <f t="shared" si="66"/>
        <v>0</v>
      </c>
      <c r="M1387" s="3"/>
      <c r="N1387" s="3">
        <f t="shared" si="65"/>
        <v>0</v>
      </c>
      <c r="R1387" s="23" t="str">
        <f t="shared" si="64"/>
        <v>Yes</v>
      </c>
    </row>
    <row r="1388" spans="1:18" ht="15" customHeight="1" x14ac:dyDescent="0.25">
      <c r="A1388" s="1">
        <v>47012</v>
      </c>
      <c r="L1388" s="3">
        <f t="shared" si="66"/>
        <v>0</v>
      </c>
      <c r="M1388" s="3"/>
      <c r="N1388" s="3">
        <f t="shared" si="65"/>
        <v>0</v>
      </c>
      <c r="R1388" s="23" t="str">
        <f t="shared" si="64"/>
        <v>Yes</v>
      </c>
    </row>
    <row r="1389" spans="1:18" ht="15" customHeight="1" x14ac:dyDescent="0.25">
      <c r="A1389" s="1">
        <v>47013</v>
      </c>
      <c r="L1389" s="3">
        <f t="shared" si="66"/>
        <v>0</v>
      </c>
      <c r="M1389" s="3"/>
      <c r="N1389" s="3">
        <f t="shared" si="65"/>
        <v>0</v>
      </c>
      <c r="R1389" s="23" t="str">
        <f t="shared" ref="R1389:R1452" si="67">IF(Q1389&gt;0,"Yes",IF(OR((O1389+P1389&lt;50000),O1389&lt;24000,P1389&lt;26000),"Yes","No"))</f>
        <v>Yes</v>
      </c>
    </row>
    <row r="1390" spans="1:18" ht="15" customHeight="1" x14ac:dyDescent="0.25">
      <c r="A1390" s="1">
        <v>47014</v>
      </c>
      <c r="L1390" s="3">
        <f t="shared" si="66"/>
        <v>0</v>
      </c>
      <c r="M1390" s="3"/>
      <c r="N1390" s="3">
        <f t="shared" si="65"/>
        <v>0</v>
      </c>
      <c r="R1390" s="23" t="str">
        <f t="shared" si="67"/>
        <v>Yes</v>
      </c>
    </row>
    <row r="1391" spans="1:18" ht="15" customHeight="1" x14ac:dyDescent="0.25">
      <c r="A1391" s="1">
        <v>47015</v>
      </c>
      <c r="L1391" s="3">
        <f t="shared" si="66"/>
        <v>0</v>
      </c>
      <c r="M1391" s="3"/>
      <c r="N1391" s="3">
        <f t="shared" si="65"/>
        <v>0</v>
      </c>
      <c r="R1391" s="23" t="str">
        <f t="shared" si="67"/>
        <v>Yes</v>
      </c>
    </row>
    <row r="1392" spans="1:18" ht="15" customHeight="1" x14ac:dyDescent="0.25">
      <c r="A1392" s="1">
        <v>47016</v>
      </c>
      <c r="L1392" s="3">
        <f t="shared" si="66"/>
        <v>0</v>
      </c>
      <c r="M1392" s="3"/>
      <c r="N1392" s="3">
        <f t="shared" si="65"/>
        <v>0</v>
      </c>
      <c r="R1392" s="23" t="str">
        <f t="shared" si="67"/>
        <v>Yes</v>
      </c>
    </row>
    <row r="1393" spans="1:18" ht="15" customHeight="1" x14ac:dyDescent="0.25">
      <c r="A1393" s="1">
        <v>47017</v>
      </c>
      <c r="L1393" s="3">
        <f t="shared" si="66"/>
        <v>0</v>
      </c>
      <c r="M1393" s="3"/>
      <c r="N1393" s="3">
        <f t="shared" si="65"/>
        <v>0</v>
      </c>
      <c r="R1393" s="23" t="str">
        <f t="shared" si="67"/>
        <v>Yes</v>
      </c>
    </row>
    <row r="1394" spans="1:18" ht="15" customHeight="1" x14ac:dyDescent="0.25">
      <c r="A1394" s="1">
        <v>47018</v>
      </c>
      <c r="L1394" s="3">
        <f t="shared" si="66"/>
        <v>0</v>
      </c>
      <c r="M1394" s="3"/>
      <c r="N1394" s="3">
        <f t="shared" si="65"/>
        <v>0</v>
      </c>
      <c r="R1394" s="23" t="str">
        <f t="shared" si="67"/>
        <v>Yes</v>
      </c>
    </row>
    <row r="1395" spans="1:18" ht="15" customHeight="1" x14ac:dyDescent="0.25">
      <c r="A1395" s="1">
        <v>47019</v>
      </c>
      <c r="L1395" s="3">
        <f t="shared" si="66"/>
        <v>0</v>
      </c>
      <c r="M1395" s="3"/>
      <c r="N1395" s="3">
        <f t="shared" si="65"/>
        <v>0</v>
      </c>
      <c r="R1395" s="23" t="str">
        <f t="shared" si="67"/>
        <v>Yes</v>
      </c>
    </row>
    <row r="1396" spans="1:18" ht="15" customHeight="1" x14ac:dyDescent="0.25">
      <c r="A1396" s="1">
        <v>47020</v>
      </c>
      <c r="L1396" s="3">
        <f t="shared" si="66"/>
        <v>0</v>
      </c>
      <c r="M1396" s="3"/>
      <c r="N1396" s="3">
        <f t="shared" si="65"/>
        <v>0</v>
      </c>
      <c r="R1396" s="23" t="str">
        <f t="shared" si="67"/>
        <v>Yes</v>
      </c>
    </row>
    <row r="1397" spans="1:18" ht="15" customHeight="1" x14ac:dyDescent="0.25">
      <c r="A1397" s="1">
        <v>47021</v>
      </c>
      <c r="L1397" s="3">
        <f t="shared" si="66"/>
        <v>0</v>
      </c>
      <c r="M1397" s="3"/>
      <c r="N1397" s="3">
        <f t="shared" si="65"/>
        <v>0</v>
      </c>
      <c r="R1397" s="23" t="str">
        <f t="shared" si="67"/>
        <v>Yes</v>
      </c>
    </row>
    <row r="1398" spans="1:18" ht="15" customHeight="1" x14ac:dyDescent="0.25">
      <c r="A1398" s="1">
        <v>47022</v>
      </c>
      <c r="L1398" s="3">
        <f t="shared" si="66"/>
        <v>0</v>
      </c>
      <c r="M1398" s="3"/>
      <c r="N1398" s="3">
        <f t="shared" si="65"/>
        <v>0</v>
      </c>
      <c r="R1398" s="23" t="str">
        <f t="shared" si="67"/>
        <v>Yes</v>
      </c>
    </row>
    <row r="1399" spans="1:18" ht="15" customHeight="1" x14ac:dyDescent="0.25">
      <c r="A1399" s="1">
        <v>47023</v>
      </c>
      <c r="L1399" s="3">
        <f t="shared" si="66"/>
        <v>0</v>
      </c>
      <c r="M1399" s="3"/>
      <c r="N1399" s="3">
        <f t="shared" si="65"/>
        <v>0</v>
      </c>
      <c r="R1399" s="23" t="str">
        <f t="shared" si="67"/>
        <v>Yes</v>
      </c>
    </row>
    <row r="1400" spans="1:18" ht="15" customHeight="1" x14ac:dyDescent="0.25">
      <c r="A1400" s="1">
        <v>47024</v>
      </c>
      <c r="L1400" s="3">
        <f t="shared" si="66"/>
        <v>0</v>
      </c>
      <c r="M1400" s="3"/>
      <c r="N1400" s="3">
        <f t="shared" si="65"/>
        <v>0</v>
      </c>
      <c r="R1400" s="23" t="str">
        <f t="shared" si="67"/>
        <v>Yes</v>
      </c>
    </row>
    <row r="1401" spans="1:18" ht="15" customHeight="1" x14ac:dyDescent="0.25">
      <c r="A1401" s="1">
        <v>47025</v>
      </c>
      <c r="L1401" s="3">
        <f t="shared" si="66"/>
        <v>0</v>
      </c>
      <c r="M1401" s="3"/>
      <c r="N1401" s="3">
        <f t="shared" si="65"/>
        <v>0</v>
      </c>
      <c r="R1401" s="23" t="str">
        <f t="shared" si="67"/>
        <v>Yes</v>
      </c>
    </row>
    <row r="1402" spans="1:18" ht="15" customHeight="1" x14ac:dyDescent="0.25">
      <c r="A1402" s="1">
        <v>47026</v>
      </c>
      <c r="L1402" s="3">
        <f t="shared" si="66"/>
        <v>0</v>
      </c>
      <c r="M1402" s="3"/>
      <c r="N1402" s="3">
        <f t="shared" si="65"/>
        <v>0</v>
      </c>
      <c r="R1402" s="23" t="str">
        <f t="shared" si="67"/>
        <v>Yes</v>
      </c>
    </row>
    <row r="1403" spans="1:18" ht="15" customHeight="1" x14ac:dyDescent="0.25">
      <c r="A1403" s="1">
        <v>47027</v>
      </c>
      <c r="L1403" s="3">
        <f t="shared" si="66"/>
        <v>0</v>
      </c>
      <c r="M1403" s="3"/>
      <c r="N1403" s="3">
        <f t="shared" si="65"/>
        <v>0</v>
      </c>
      <c r="R1403" s="23" t="str">
        <f t="shared" si="67"/>
        <v>Yes</v>
      </c>
    </row>
    <row r="1404" spans="1:18" ht="15" customHeight="1" x14ac:dyDescent="0.25">
      <c r="A1404" s="1">
        <v>47028</v>
      </c>
      <c r="L1404" s="3">
        <f t="shared" si="66"/>
        <v>0</v>
      </c>
      <c r="M1404" s="3"/>
      <c r="N1404" s="3">
        <f t="shared" si="65"/>
        <v>0</v>
      </c>
      <c r="R1404" s="23" t="str">
        <f t="shared" si="67"/>
        <v>Yes</v>
      </c>
    </row>
    <row r="1405" spans="1:18" ht="15" customHeight="1" x14ac:dyDescent="0.25">
      <c r="A1405" s="1">
        <v>47029</v>
      </c>
      <c r="L1405" s="3">
        <f t="shared" si="66"/>
        <v>0</v>
      </c>
      <c r="M1405" s="3"/>
      <c r="N1405" s="3">
        <f t="shared" si="65"/>
        <v>0</v>
      </c>
      <c r="R1405" s="23" t="str">
        <f t="shared" si="67"/>
        <v>Yes</v>
      </c>
    </row>
    <row r="1406" spans="1:18" ht="15" customHeight="1" x14ac:dyDescent="0.25">
      <c r="A1406" s="1">
        <v>47030</v>
      </c>
      <c r="L1406" s="3">
        <f t="shared" si="66"/>
        <v>0</v>
      </c>
      <c r="M1406" s="3"/>
      <c r="N1406" s="3">
        <f t="shared" si="65"/>
        <v>0</v>
      </c>
      <c r="R1406" s="23" t="str">
        <f t="shared" si="67"/>
        <v>Yes</v>
      </c>
    </row>
    <row r="1407" spans="1:18" ht="15" customHeight="1" x14ac:dyDescent="0.25">
      <c r="A1407" s="1">
        <v>47031</v>
      </c>
      <c r="L1407" s="3">
        <f t="shared" si="66"/>
        <v>0</v>
      </c>
      <c r="M1407" s="3"/>
      <c r="N1407" s="3">
        <f t="shared" si="65"/>
        <v>0</v>
      </c>
      <c r="R1407" s="23" t="str">
        <f t="shared" si="67"/>
        <v>Yes</v>
      </c>
    </row>
    <row r="1408" spans="1:18" ht="15" customHeight="1" x14ac:dyDescent="0.25">
      <c r="A1408" s="1">
        <v>47032</v>
      </c>
      <c r="L1408" s="3">
        <f t="shared" si="66"/>
        <v>0</v>
      </c>
      <c r="M1408" s="3"/>
      <c r="N1408" s="3">
        <f t="shared" si="65"/>
        <v>0</v>
      </c>
      <c r="R1408" s="23" t="str">
        <f t="shared" si="67"/>
        <v>Yes</v>
      </c>
    </row>
    <row r="1409" spans="1:18" ht="15" customHeight="1" x14ac:dyDescent="0.25">
      <c r="A1409" s="1">
        <v>47033</v>
      </c>
      <c r="L1409" s="3">
        <f t="shared" si="66"/>
        <v>0</v>
      </c>
      <c r="M1409" s="3"/>
      <c r="N1409" s="3">
        <f t="shared" si="65"/>
        <v>0</v>
      </c>
      <c r="R1409" s="23" t="str">
        <f t="shared" si="67"/>
        <v>Yes</v>
      </c>
    </row>
    <row r="1410" spans="1:18" ht="15" customHeight="1" x14ac:dyDescent="0.25">
      <c r="A1410" s="1">
        <v>47034</v>
      </c>
      <c r="L1410" s="3">
        <f t="shared" si="66"/>
        <v>0</v>
      </c>
      <c r="M1410" s="3"/>
      <c r="N1410" s="3">
        <f t="shared" si="65"/>
        <v>0</v>
      </c>
      <c r="R1410" s="23" t="str">
        <f t="shared" si="67"/>
        <v>Yes</v>
      </c>
    </row>
    <row r="1411" spans="1:18" ht="15" customHeight="1" x14ac:dyDescent="0.25">
      <c r="A1411" s="1">
        <v>47035</v>
      </c>
      <c r="L1411" s="3">
        <f t="shared" si="66"/>
        <v>0</v>
      </c>
      <c r="M1411" s="3"/>
      <c r="N1411" s="3">
        <f t="shared" ref="N1411:N1474" si="68">IF(OR(O1411&lt;24300,P1411&lt;25700),MAX(L1411,M1411),L1411)</f>
        <v>0</v>
      </c>
      <c r="R1411" s="23" t="str">
        <f t="shared" si="67"/>
        <v>Yes</v>
      </c>
    </row>
    <row r="1412" spans="1:18" ht="15" customHeight="1" x14ac:dyDescent="0.25">
      <c r="A1412" s="1">
        <v>47036</v>
      </c>
      <c r="L1412" s="3">
        <f t="shared" ref="L1412:L1475" si="69">SUM(B1412:K1412)</f>
        <v>0</v>
      </c>
      <c r="M1412" s="3"/>
      <c r="N1412" s="3">
        <f t="shared" si="68"/>
        <v>0</v>
      </c>
      <c r="R1412" s="23" t="str">
        <f t="shared" si="67"/>
        <v>Yes</v>
      </c>
    </row>
    <row r="1413" spans="1:18" ht="15" customHeight="1" x14ac:dyDescent="0.25">
      <c r="A1413" s="1">
        <v>47037</v>
      </c>
      <c r="L1413" s="3">
        <f t="shared" si="69"/>
        <v>0</v>
      </c>
      <c r="M1413" s="3"/>
      <c r="N1413" s="3">
        <f t="shared" si="68"/>
        <v>0</v>
      </c>
      <c r="R1413" s="23" t="str">
        <f t="shared" si="67"/>
        <v>Yes</v>
      </c>
    </row>
    <row r="1414" spans="1:18" ht="15" customHeight="1" x14ac:dyDescent="0.25">
      <c r="A1414" s="1">
        <v>47038</v>
      </c>
      <c r="L1414" s="3">
        <f t="shared" si="69"/>
        <v>0</v>
      </c>
      <c r="M1414" s="3"/>
      <c r="N1414" s="3">
        <f t="shared" si="68"/>
        <v>0</v>
      </c>
      <c r="R1414" s="23" t="str">
        <f t="shared" si="67"/>
        <v>Yes</v>
      </c>
    </row>
    <row r="1415" spans="1:18" ht="15" customHeight="1" x14ac:dyDescent="0.25">
      <c r="A1415" s="1">
        <v>47039</v>
      </c>
      <c r="L1415" s="3">
        <f t="shared" si="69"/>
        <v>0</v>
      </c>
      <c r="M1415" s="3"/>
      <c r="N1415" s="3">
        <f t="shared" si="68"/>
        <v>0</v>
      </c>
      <c r="R1415" s="23" t="str">
        <f t="shared" si="67"/>
        <v>Yes</v>
      </c>
    </row>
    <row r="1416" spans="1:18" ht="15" customHeight="1" x14ac:dyDescent="0.25">
      <c r="A1416" s="1">
        <v>47040</v>
      </c>
      <c r="L1416" s="3">
        <f t="shared" si="69"/>
        <v>0</v>
      </c>
      <c r="M1416" s="3"/>
      <c r="N1416" s="3">
        <f t="shared" si="68"/>
        <v>0</v>
      </c>
      <c r="R1416" s="23" t="str">
        <f t="shared" si="67"/>
        <v>Yes</v>
      </c>
    </row>
    <row r="1417" spans="1:18" ht="15" customHeight="1" x14ac:dyDescent="0.25">
      <c r="A1417" s="1">
        <v>47041</v>
      </c>
      <c r="L1417" s="3">
        <f t="shared" si="69"/>
        <v>0</v>
      </c>
      <c r="M1417" s="3"/>
      <c r="N1417" s="3">
        <f t="shared" si="68"/>
        <v>0</v>
      </c>
      <c r="R1417" s="23" t="str">
        <f t="shared" si="67"/>
        <v>Yes</v>
      </c>
    </row>
    <row r="1418" spans="1:18" ht="15" customHeight="1" x14ac:dyDescent="0.25">
      <c r="A1418" s="1">
        <v>47042</v>
      </c>
      <c r="L1418" s="3">
        <f t="shared" si="69"/>
        <v>0</v>
      </c>
      <c r="M1418" s="3"/>
      <c r="N1418" s="3">
        <f t="shared" si="68"/>
        <v>0</v>
      </c>
      <c r="R1418" s="23" t="str">
        <f t="shared" si="67"/>
        <v>Yes</v>
      </c>
    </row>
    <row r="1419" spans="1:18" ht="15" customHeight="1" x14ac:dyDescent="0.25">
      <c r="A1419" s="1">
        <v>47043</v>
      </c>
      <c r="L1419" s="3">
        <f t="shared" si="69"/>
        <v>0</v>
      </c>
      <c r="M1419" s="3"/>
      <c r="N1419" s="3">
        <f t="shared" si="68"/>
        <v>0</v>
      </c>
      <c r="R1419" s="23" t="str">
        <f t="shared" si="67"/>
        <v>Yes</v>
      </c>
    </row>
    <row r="1420" spans="1:18" ht="15" customHeight="1" x14ac:dyDescent="0.25">
      <c r="A1420" s="1">
        <v>47044</v>
      </c>
      <c r="L1420" s="3">
        <f t="shared" si="69"/>
        <v>0</v>
      </c>
      <c r="M1420" s="3"/>
      <c r="N1420" s="3">
        <f t="shared" si="68"/>
        <v>0</v>
      </c>
      <c r="R1420" s="23" t="str">
        <f t="shared" si="67"/>
        <v>Yes</v>
      </c>
    </row>
    <row r="1421" spans="1:18" ht="15" customHeight="1" x14ac:dyDescent="0.25">
      <c r="A1421" s="1">
        <v>47045</v>
      </c>
      <c r="L1421" s="3">
        <f t="shared" si="69"/>
        <v>0</v>
      </c>
      <c r="M1421" s="3"/>
      <c r="N1421" s="3">
        <f t="shared" si="68"/>
        <v>0</v>
      </c>
      <c r="R1421" s="23" t="str">
        <f t="shared" si="67"/>
        <v>Yes</v>
      </c>
    </row>
    <row r="1422" spans="1:18" ht="15" customHeight="1" x14ac:dyDescent="0.25">
      <c r="A1422" s="1">
        <v>47046</v>
      </c>
      <c r="L1422" s="3">
        <f t="shared" si="69"/>
        <v>0</v>
      </c>
      <c r="M1422" s="3"/>
      <c r="N1422" s="3">
        <f t="shared" si="68"/>
        <v>0</v>
      </c>
      <c r="R1422" s="23" t="str">
        <f t="shared" si="67"/>
        <v>Yes</v>
      </c>
    </row>
    <row r="1423" spans="1:18" ht="15" customHeight="1" x14ac:dyDescent="0.25">
      <c r="A1423" s="1">
        <v>47047</v>
      </c>
      <c r="L1423" s="3">
        <f t="shared" si="69"/>
        <v>0</v>
      </c>
      <c r="M1423" s="3"/>
      <c r="N1423" s="3">
        <f t="shared" si="68"/>
        <v>0</v>
      </c>
      <c r="R1423" s="23" t="str">
        <f t="shared" si="67"/>
        <v>Yes</v>
      </c>
    </row>
    <row r="1424" spans="1:18" ht="15" customHeight="1" x14ac:dyDescent="0.25">
      <c r="A1424" s="1">
        <v>47048</v>
      </c>
      <c r="L1424" s="3">
        <f t="shared" si="69"/>
        <v>0</v>
      </c>
      <c r="M1424" s="3"/>
      <c r="N1424" s="3">
        <f t="shared" si="68"/>
        <v>0</v>
      </c>
      <c r="R1424" s="23" t="str">
        <f t="shared" si="67"/>
        <v>Yes</v>
      </c>
    </row>
    <row r="1425" spans="1:18" ht="15" customHeight="1" x14ac:dyDescent="0.25">
      <c r="A1425" s="1">
        <v>47049</v>
      </c>
      <c r="L1425" s="3">
        <f t="shared" si="69"/>
        <v>0</v>
      </c>
      <c r="M1425" s="3"/>
      <c r="N1425" s="3">
        <f t="shared" si="68"/>
        <v>0</v>
      </c>
      <c r="R1425" s="23" t="str">
        <f t="shared" si="67"/>
        <v>Yes</v>
      </c>
    </row>
    <row r="1426" spans="1:18" ht="15" customHeight="1" x14ac:dyDescent="0.25">
      <c r="A1426" s="1">
        <v>47050</v>
      </c>
      <c r="L1426" s="3">
        <f t="shared" si="69"/>
        <v>0</v>
      </c>
      <c r="M1426" s="3"/>
      <c r="N1426" s="3">
        <f t="shared" si="68"/>
        <v>0</v>
      </c>
      <c r="R1426" s="23" t="str">
        <f t="shared" si="67"/>
        <v>Yes</v>
      </c>
    </row>
    <row r="1427" spans="1:18" ht="15" customHeight="1" x14ac:dyDescent="0.25">
      <c r="A1427" s="1">
        <v>47051</v>
      </c>
      <c r="L1427" s="3">
        <f t="shared" si="69"/>
        <v>0</v>
      </c>
      <c r="M1427" s="3"/>
      <c r="N1427" s="3">
        <f t="shared" si="68"/>
        <v>0</v>
      </c>
      <c r="R1427" s="23" t="str">
        <f t="shared" si="67"/>
        <v>Yes</v>
      </c>
    </row>
    <row r="1428" spans="1:18" ht="15" customHeight="1" x14ac:dyDescent="0.25">
      <c r="A1428" s="1">
        <v>47052</v>
      </c>
      <c r="L1428" s="3">
        <f t="shared" si="69"/>
        <v>0</v>
      </c>
      <c r="M1428" s="3"/>
      <c r="N1428" s="3">
        <f t="shared" si="68"/>
        <v>0</v>
      </c>
      <c r="R1428" s="23" t="str">
        <f t="shared" si="67"/>
        <v>Yes</v>
      </c>
    </row>
    <row r="1429" spans="1:18" ht="15" customHeight="1" x14ac:dyDescent="0.25">
      <c r="A1429" s="1">
        <v>47053</v>
      </c>
      <c r="L1429" s="3">
        <f t="shared" si="69"/>
        <v>0</v>
      </c>
      <c r="M1429" s="3"/>
      <c r="N1429" s="3">
        <f t="shared" si="68"/>
        <v>0</v>
      </c>
      <c r="R1429" s="23" t="str">
        <f t="shared" si="67"/>
        <v>Yes</v>
      </c>
    </row>
    <row r="1430" spans="1:18" ht="15" customHeight="1" x14ac:dyDescent="0.25">
      <c r="A1430" s="1">
        <v>47054</v>
      </c>
      <c r="L1430" s="3">
        <f t="shared" si="69"/>
        <v>0</v>
      </c>
      <c r="M1430" s="3"/>
      <c r="N1430" s="3">
        <f t="shared" si="68"/>
        <v>0</v>
      </c>
      <c r="R1430" s="23" t="str">
        <f t="shared" si="67"/>
        <v>Yes</v>
      </c>
    </row>
    <row r="1431" spans="1:18" ht="15" customHeight="1" x14ac:dyDescent="0.25">
      <c r="A1431" s="1">
        <v>47055</v>
      </c>
      <c r="L1431" s="3">
        <f t="shared" si="69"/>
        <v>0</v>
      </c>
      <c r="M1431" s="3"/>
      <c r="N1431" s="3">
        <f t="shared" si="68"/>
        <v>0</v>
      </c>
      <c r="R1431" s="23" t="str">
        <f t="shared" si="67"/>
        <v>Yes</v>
      </c>
    </row>
    <row r="1432" spans="1:18" ht="15" customHeight="1" x14ac:dyDescent="0.25">
      <c r="A1432" s="1">
        <v>47056</v>
      </c>
      <c r="L1432" s="3">
        <f t="shared" si="69"/>
        <v>0</v>
      </c>
      <c r="M1432" s="3"/>
      <c r="N1432" s="3">
        <f t="shared" si="68"/>
        <v>0</v>
      </c>
      <c r="R1432" s="23" t="str">
        <f t="shared" si="67"/>
        <v>Yes</v>
      </c>
    </row>
    <row r="1433" spans="1:18" ht="15" customHeight="1" x14ac:dyDescent="0.25">
      <c r="A1433" s="1">
        <v>47057</v>
      </c>
      <c r="L1433" s="3">
        <f t="shared" si="69"/>
        <v>0</v>
      </c>
      <c r="M1433" s="3"/>
      <c r="N1433" s="3">
        <f t="shared" si="68"/>
        <v>0</v>
      </c>
      <c r="R1433" s="23" t="str">
        <f t="shared" si="67"/>
        <v>Yes</v>
      </c>
    </row>
    <row r="1434" spans="1:18" ht="15" customHeight="1" x14ac:dyDescent="0.25">
      <c r="A1434" s="1">
        <v>47058</v>
      </c>
      <c r="L1434" s="3">
        <f t="shared" si="69"/>
        <v>0</v>
      </c>
      <c r="M1434" s="3"/>
      <c r="N1434" s="3">
        <f t="shared" si="68"/>
        <v>0</v>
      </c>
      <c r="R1434" s="23" t="str">
        <f t="shared" si="67"/>
        <v>Yes</v>
      </c>
    </row>
    <row r="1435" spans="1:18" ht="15" customHeight="1" x14ac:dyDescent="0.25">
      <c r="A1435" s="1">
        <v>47059</v>
      </c>
      <c r="L1435" s="3">
        <f t="shared" si="69"/>
        <v>0</v>
      </c>
      <c r="M1435" s="3"/>
      <c r="N1435" s="3">
        <f t="shared" si="68"/>
        <v>0</v>
      </c>
      <c r="R1435" s="23" t="str">
        <f t="shared" si="67"/>
        <v>Yes</v>
      </c>
    </row>
    <row r="1436" spans="1:18" ht="15" customHeight="1" x14ac:dyDescent="0.25">
      <c r="A1436" s="1">
        <v>47060</v>
      </c>
      <c r="L1436" s="3">
        <f t="shared" si="69"/>
        <v>0</v>
      </c>
      <c r="M1436" s="3"/>
      <c r="N1436" s="3">
        <f t="shared" si="68"/>
        <v>0</v>
      </c>
      <c r="R1436" s="23" t="str">
        <f t="shared" si="67"/>
        <v>Yes</v>
      </c>
    </row>
    <row r="1437" spans="1:18" ht="15" customHeight="1" x14ac:dyDescent="0.25">
      <c r="A1437" s="1">
        <v>47061</v>
      </c>
      <c r="L1437" s="3">
        <f t="shared" si="69"/>
        <v>0</v>
      </c>
      <c r="M1437" s="3"/>
      <c r="N1437" s="3">
        <f t="shared" si="68"/>
        <v>0</v>
      </c>
      <c r="R1437" s="23" t="str">
        <f t="shared" si="67"/>
        <v>Yes</v>
      </c>
    </row>
    <row r="1438" spans="1:18" ht="15" customHeight="1" x14ac:dyDescent="0.25">
      <c r="A1438" s="1">
        <v>47062</v>
      </c>
      <c r="L1438" s="3">
        <f t="shared" si="69"/>
        <v>0</v>
      </c>
      <c r="M1438" s="3"/>
      <c r="N1438" s="3">
        <f t="shared" si="68"/>
        <v>0</v>
      </c>
      <c r="R1438" s="23" t="str">
        <f t="shared" si="67"/>
        <v>Yes</v>
      </c>
    </row>
    <row r="1439" spans="1:18" ht="15" customHeight="1" x14ac:dyDescent="0.25">
      <c r="A1439" s="1">
        <v>47063</v>
      </c>
      <c r="L1439" s="3">
        <f t="shared" si="69"/>
        <v>0</v>
      </c>
      <c r="M1439" s="3"/>
      <c r="N1439" s="3">
        <f t="shared" si="68"/>
        <v>0</v>
      </c>
      <c r="R1439" s="23" t="str">
        <f t="shared" si="67"/>
        <v>Yes</v>
      </c>
    </row>
    <row r="1440" spans="1:18" ht="15" customHeight="1" x14ac:dyDescent="0.25">
      <c r="A1440" s="1">
        <v>47064</v>
      </c>
      <c r="L1440" s="3">
        <f t="shared" si="69"/>
        <v>0</v>
      </c>
      <c r="M1440" s="3"/>
      <c r="N1440" s="3">
        <f t="shared" si="68"/>
        <v>0</v>
      </c>
      <c r="R1440" s="23" t="str">
        <f t="shared" si="67"/>
        <v>Yes</v>
      </c>
    </row>
    <row r="1441" spans="1:18" ht="15" customHeight="1" x14ac:dyDescent="0.25">
      <c r="A1441" s="1">
        <v>47065</v>
      </c>
      <c r="L1441" s="3">
        <f t="shared" si="69"/>
        <v>0</v>
      </c>
      <c r="M1441" s="3"/>
      <c r="N1441" s="3">
        <f t="shared" si="68"/>
        <v>0</v>
      </c>
      <c r="R1441" s="23" t="str">
        <f t="shared" si="67"/>
        <v>Yes</v>
      </c>
    </row>
    <row r="1442" spans="1:18" ht="15" customHeight="1" x14ac:dyDescent="0.25">
      <c r="A1442" s="1">
        <v>47066</v>
      </c>
      <c r="L1442" s="3">
        <f t="shared" si="69"/>
        <v>0</v>
      </c>
      <c r="M1442" s="3"/>
      <c r="N1442" s="3">
        <f t="shared" si="68"/>
        <v>0</v>
      </c>
      <c r="R1442" s="23" t="str">
        <f t="shared" si="67"/>
        <v>Yes</v>
      </c>
    </row>
    <row r="1443" spans="1:18" ht="15" customHeight="1" x14ac:dyDescent="0.25">
      <c r="A1443" s="1">
        <v>47067</v>
      </c>
      <c r="L1443" s="3">
        <f t="shared" si="69"/>
        <v>0</v>
      </c>
      <c r="M1443" s="3"/>
      <c r="N1443" s="3">
        <f t="shared" si="68"/>
        <v>0</v>
      </c>
      <c r="R1443" s="23" t="str">
        <f t="shared" si="67"/>
        <v>Yes</v>
      </c>
    </row>
    <row r="1444" spans="1:18" ht="15" customHeight="1" x14ac:dyDescent="0.25">
      <c r="A1444" s="1">
        <v>47068</v>
      </c>
      <c r="L1444" s="3">
        <f t="shared" si="69"/>
        <v>0</v>
      </c>
      <c r="M1444" s="3"/>
      <c r="N1444" s="3">
        <f t="shared" si="68"/>
        <v>0</v>
      </c>
      <c r="R1444" s="23" t="str">
        <f t="shared" si="67"/>
        <v>Yes</v>
      </c>
    </row>
    <row r="1445" spans="1:18" ht="15" customHeight="1" x14ac:dyDescent="0.25">
      <c r="A1445" s="1">
        <v>47069</v>
      </c>
      <c r="L1445" s="3">
        <f t="shared" si="69"/>
        <v>0</v>
      </c>
      <c r="M1445" s="3"/>
      <c r="N1445" s="3">
        <f t="shared" si="68"/>
        <v>0</v>
      </c>
      <c r="R1445" s="23" t="str">
        <f t="shared" si="67"/>
        <v>Yes</v>
      </c>
    </row>
    <row r="1446" spans="1:18" ht="15" customHeight="1" x14ac:dyDescent="0.25">
      <c r="A1446" s="1">
        <v>47070</v>
      </c>
      <c r="L1446" s="3">
        <f t="shared" si="69"/>
        <v>0</v>
      </c>
      <c r="M1446" s="3"/>
      <c r="N1446" s="3">
        <f t="shared" si="68"/>
        <v>0</v>
      </c>
      <c r="R1446" s="23" t="str">
        <f t="shared" si="67"/>
        <v>Yes</v>
      </c>
    </row>
    <row r="1447" spans="1:18" ht="15" customHeight="1" x14ac:dyDescent="0.25">
      <c r="A1447" s="1">
        <v>47071</v>
      </c>
      <c r="L1447" s="3">
        <f t="shared" si="69"/>
        <v>0</v>
      </c>
      <c r="M1447" s="3"/>
      <c r="N1447" s="3">
        <f t="shared" si="68"/>
        <v>0</v>
      </c>
      <c r="R1447" s="23" t="str">
        <f t="shared" si="67"/>
        <v>Yes</v>
      </c>
    </row>
    <row r="1448" spans="1:18" ht="15" customHeight="1" x14ac:dyDescent="0.25">
      <c r="A1448" s="1">
        <v>47072</v>
      </c>
      <c r="L1448" s="3">
        <f t="shared" si="69"/>
        <v>0</v>
      </c>
      <c r="M1448" s="3"/>
      <c r="N1448" s="3">
        <f t="shared" si="68"/>
        <v>0</v>
      </c>
      <c r="R1448" s="23" t="str">
        <f t="shared" si="67"/>
        <v>Yes</v>
      </c>
    </row>
    <row r="1449" spans="1:18" ht="15" customHeight="1" x14ac:dyDescent="0.25">
      <c r="A1449" s="1">
        <v>47073</v>
      </c>
      <c r="L1449" s="3">
        <f t="shared" si="69"/>
        <v>0</v>
      </c>
      <c r="M1449" s="3"/>
      <c r="N1449" s="3">
        <f t="shared" si="68"/>
        <v>0</v>
      </c>
      <c r="R1449" s="23" t="str">
        <f t="shared" si="67"/>
        <v>Yes</v>
      </c>
    </row>
    <row r="1450" spans="1:18" ht="15" customHeight="1" x14ac:dyDescent="0.25">
      <c r="A1450" s="1">
        <v>47074</v>
      </c>
      <c r="L1450" s="3">
        <f t="shared" si="69"/>
        <v>0</v>
      </c>
      <c r="M1450" s="3"/>
      <c r="N1450" s="3">
        <f t="shared" si="68"/>
        <v>0</v>
      </c>
      <c r="R1450" s="23" t="str">
        <f t="shared" si="67"/>
        <v>Yes</v>
      </c>
    </row>
    <row r="1451" spans="1:18" ht="15" customHeight="1" x14ac:dyDescent="0.25">
      <c r="A1451" s="1">
        <v>47075</v>
      </c>
      <c r="L1451" s="3">
        <f t="shared" si="69"/>
        <v>0</v>
      </c>
      <c r="M1451" s="3"/>
      <c r="N1451" s="3">
        <f t="shared" si="68"/>
        <v>0</v>
      </c>
      <c r="R1451" s="23" t="str">
        <f t="shared" si="67"/>
        <v>Yes</v>
      </c>
    </row>
    <row r="1452" spans="1:18" ht="15" customHeight="1" x14ac:dyDescent="0.25">
      <c r="A1452" s="1">
        <v>47076</v>
      </c>
      <c r="L1452" s="3">
        <f t="shared" si="69"/>
        <v>0</v>
      </c>
      <c r="M1452" s="3"/>
      <c r="N1452" s="3">
        <f t="shared" si="68"/>
        <v>0</v>
      </c>
      <c r="R1452" s="23" t="str">
        <f t="shared" si="67"/>
        <v>Yes</v>
      </c>
    </row>
    <row r="1453" spans="1:18" ht="15" customHeight="1" x14ac:dyDescent="0.25">
      <c r="A1453" s="1">
        <v>47077</v>
      </c>
      <c r="L1453" s="3">
        <f t="shared" si="69"/>
        <v>0</v>
      </c>
      <c r="M1453" s="3"/>
      <c r="N1453" s="3">
        <f t="shared" si="68"/>
        <v>0</v>
      </c>
      <c r="R1453" s="23" t="str">
        <f t="shared" ref="R1453:R1516" si="70">IF(Q1453&gt;0,"Yes",IF(OR((O1453+P1453&lt;50000),O1453&lt;24000,P1453&lt;26000),"Yes","No"))</f>
        <v>Yes</v>
      </c>
    </row>
    <row r="1454" spans="1:18" ht="15" customHeight="1" x14ac:dyDescent="0.25">
      <c r="A1454" s="1">
        <v>47078</v>
      </c>
      <c r="L1454" s="3">
        <f t="shared" si="69"/>
        <v>0</v>
      </c>
      <c r="M1454" s="3"/>
      <c r="N1454" s="3">
        <f t="shared" si="68"/>
        <v>0</v>
      </c>
      <c r="R1454" s="23" t="str">
        <f t="shared" si="70"/>
        <v>Yes</v>
      </c>
    </row>
    <row r="1455" spans="1:18" ht="15" customHeight="1" x14ac:dyDescent="0.25">
      <c r="A1455" s="1">
        <v>47079</v>
      </c>
      <c r="L1455" s="3">
        <f t="shared" si="69"/>
        <v>0</v>
      </c>
      <c r="M1455" s="3"/>
      <c r="N1455" s="3">
        <f t="shared" si="68"/>
        <v>0</v>
      </c>
      <c r="R1455" s="23" t="str">
        <f t="shared" si="70"/>
        <v>Yes</v>
      </c>
    </row>
    <row r="1456" spans="1:18" ht="15" customHeight="1" x14ac:dyDescent="0.25">
      <c r="A1456" s="1">
        <v>47080</v>
      </c>
      <c r="L1456" s="3">
        <f t="shared" si="69"/>
        <v>0</v>
      </c>
      <c r="M1456" s="3"/>
      <c r="N1456" s="3">
        <f t="shared" si="68"/>
        <v>0</v>
      </c>
      <c r="R1456" s="23" t="str">
        <f t="shared" si="70"/>
        <v>Yes</v>
      </c>
    </row>
    <row r="1457" spans="1:18" ht="15" customHeight="1" x14ac:dyDescent="0.25">
      <c r="A1457" s="1">
        <v>47081</v>
      </c>
      <c r="L1457" s="3">
        <f t="shared" si="69"/>
        <v>0</v>
      </c>
      <c r="M1457" s="3"/>
      <c r="N1457" s="3">
        <f t="shared" si="68"/>
        <v>0</v>
      </c>
      <c r="R1457" s="23" t="str">
        <f t="shared" si="70"/>
        <v>Yes</v>
      </c>
    </row>
    <row r="1458" spans="1:18" ht="15" customHeight="1" x14ac:dyDescent="0.25">
      <c r="A1458" s="1">
        <v>47082</v>
      </c>
      <c r="L1458" s="3">
        <f t="shared" si="69"/>
        <v>0</v>
      </c>
      <c r="M1458" s="3"/>
      <c r="N1458" s="3">
        <f t="shared" si="68"/>
        <v>0</v>
      </c>
      <c r="R1458" s="23" t="str">
        <f t="shared" si="70"/>
        <v>Yes</v>
      </c>
    </row>
    <row r="1459" spans="1:18" ht="15" customHeight="1" x14ac:dyDescent="0.25">
      <c r="A1459" s="1">
        <v>47083</v>
      </c>
      <c r="L1459" s="3">
        <f t="shared" si="69"/>
        <v>0</v>
      </c>
      <c r="M1459" s="3"/>
      <c r="N1459" s="3">
        <f t="shared" si="68"/>
        <v>0</v>
      </c>
      <c r="R1459" s="23" t="str">
        <f t="shared" si="70"/>
        <v>Yes</v>
      </c>
    </row>
    <row r="1460" spans="1:18" ht="15" customHeight="1" x14ac:dyDescent="0.25">
      <c r="A1460" s="1">
        <v>47084</v>
      </c>
      <c r="L1460" s="3">
        <f t="shared" si="69"/>
        <v>0</v>
      </c>
      <c r="M1460" s="3"/>
      <c r="N1460" s="3">
        <f t="shared" si="68"/>
        <v>0</v>
      </c>
      <c r="R1460" s="23" t="str">
        <f t="shared" si="70"/>
        <v>Yes</v>
      </c>
    </row>
    <row r="1461" spans="1:18" ht="15" customHeight="1" x14ac:dyDescent="0.25">
      <c r="A1461" s="1">
        <v>47085</v>
      </c>
      <c r="L1461" s="3">
        <f t="shared" si="69"/>
        <v>0</v>
      </c>
      <c r="M1461" s="3"/>
      <c r="N1461" s="3">
        <f t="shared" si="68"/>
        <v>0</v>
      </c>
      <c r="R1461" s="23" t="str">
        <f t="shared" si="70"/>
        <v>Yes</v>
      </c>
    </row>
    <row r="1462" spans="1:18" ht="15" customHeight="1" x14ac:dyDescent="0.25">
      <c r="A1462" s="1">
        <v>47086</v>
      </c>
      <c r="L1462" s="3">
        <f t="shared" si="69"/>
        <v>0</v>
      </c>
      <c r="M1462" s="3"/>
      <c r="N1462" s="3">
        <f t="shared" si="68"/>
        <v>0</v>
      </c>
      <c r="R1462" s="23" t="str">
        <f t="shared" si="70"/>
        <v>Yes</v>
      </c>
    </row>
    <row r="1463" spans="1:18" ht="15" customHeight="1" x14ac:dyDescent="0.25">
      <c r="A1463" s="1">
        <v>47087</v>
      </c>
      <c r="L1463" s="3">
        <f t="shared" si="69"/>
        <v>0</v>
      </c>
      <c r="M1463" s="3"/>
      <c r="N1463" s="3">
        <f t="shared" si="68"/>
        <v>0</v>
      </c>
      <c r="R1463" s="23" t="str">
        <f t="shared" si="70"/>
        <v>Yes</v>
      </c>
    </row>
    <row r="1464" spans="1:18" ht="15" customHeight="1" x14ac:dyDescent="0.25">
      <c r="A1464" s="1">
        <v>47088</v>
      </c>
      <c r="L1464" s="3">
        <f t="shared" si="69"/>
        <v>0</v>
      </c>
      <c r="M1464" s="3"/>
      <c r="N1464" s="3">
        <f t="shared" si="68"/>
        <v>0</v>
      </c>
      <c r="R1464" s="23" t="str">
        <f t="shared" si="70"/>
        <v>Yes</v>
      </c>
    </row>
    <row r="1465" spans="1:18" ht="15" customHeight="1" x14ac:dyDescent="0.25">
      <c r="A1465" s="1">
        <v>47089</v>
      </c>
      <c r="L1465" s="3">
        <f t="shared" si="69"/>
        <v>0</v>
      </c>
      <c r="M1465" s="3"/>
      <c r="N1465" s="3">
        <f t="shared" si="68"/>
        <v>0</v>
      </c>
      <c r="R1465" s="23" t="str">
        <f t="shared" si="70"/>
        <v>Yes</v>
      </c>
    </row>
    <row r="1466" spans="1:18" ht="15" customHeight="1" x14ac:dyDescent="0.25">
      <c r="A1466" s="1">
        <v>47090</v>
      </c>
      <c r="L1466" s="3">
        <f t="shared" si="69"/>
        <v>0</v>
      </c>
      <c r="M1466" s="3"/>
      <c r="N1466" s="3">
        <f t="shared" si="68"/>
        <v>0</v>
      </c>
      <c r="R1466" s="23" t="str">
        <f t="shared" si="70"/>
        <v>Yes</v>
      </c>
    </row>
    <row r="1467" spans="1:18" ht="15" customHeight="1" x14ac:dyDescent="0.25">
      <c r="A1467" s="1">
        <v>47091</v>
      </c>
      <c r="L1467" s="3">
        <f t="shared" si="69"/>
        <v>0</v>
      </c>
      <c r="M1467" s="3"/>
      <c r="N1467" s="3">
        <f t="shared" si="68"/>
        <v>0</v>
      </c>
      <c r="R1467" s="23" t="str">
        <f t="shared" si="70"/>
        <v>Yes</v>
      </c>
    </row>
    <row r="1468" spans="1:18" ht="15" customHeight="1" x14ac:dyDescent="0.25">
      <c r="A1468" s="1">
        <v>47092</v>
      </c>
      <c r="L1468" s="3">
        <f t="shared" si="69"/>
        <v>0</v>
      </c>
      <c r="M1468" s="3"/>
      <c r="N1468" s="3">
        <f t="shared" si="68"/>
        <v>0</v>
      </c>
      <c r="R1468" s="23" t="str">
        <f t="shared" si="70"/>
        <v>Yes</v>
      </c>
    </row>
    <row r="1469" spans="1:18" ht="15" customHeight="1" x14ac:dyDescent="0.25">
      <c r="A1469" s="1">
        <v>47093</v>
      </c>
      <c r="L1469" s="3">
        <f t="shared" si="69"/>
        <v>0</v>
      </c>
      <c r="M1469" s="3"/>
      <c r="N1469" s="3">
        <f t="shared" si="68"/>
        <v>0</v>
      </c>
      <c r="R1469" s="23" t="str">
        <f t="shared" si="70"/>
        <v>Yes</v>
      </c>
    </row>
    <row r="1470" spans="1:18" ht="15" customHeight="1" x14ac:dyDescent="0.25">
      <c r="A1470" s="1">
        <v>47094</v>
      </c>
      <c r="L1470" s="3">
        <f t="shared" si="69"/>
        <v>0</v>
      </c>
      <c r="M1470" s="3"/>
      <c r="N1470" s="3">
        <f t="shared" si="68"/>
        <v>0</v>
      </c>
      <c r="R1470" s="23" t="str">
        <f t="shared" si="70"/>
        <v>Yes</v>
      </c>
    </row>
    <row r="1471" spans="1:18" ht="15" customHeight="1" x14ac:dyDescent="0.25">
      <c r="A1471" s="1">
        <v>47095</v>
      </c>
      <c r="L1471" s="3">
        <f t="shared" si="69"/>
        <v>0</v>
      </c>
      <c r="M1471" s="3"/>
      <c r="N1471" s="3">
        <f t="shared" si="68"/>
        <v>0</v>
      </c>
      <c r="R1471" s="23" t="str">
        <f t="shared" si="70"/>
        <v>Yes</v>
      </c>
    </row>
    <row r="1472" spans="1:18" ht="15" customHeight="1" x14ac:dyDescent="0.25">
      <c r="A1472" s="1">
        <v>47096</v>
      </c>
      <c r="L1472" s="3">
        <f t="shared" si="69"/>
        <v>0</v>
      </c>
      <c r="M1472" s="3"/>
      <c r="N1472" s="3">
        <f t="shared" si="68"/>
        <v>0</v>
      </c>
      <c r="R1472" s="23" t="str">
        <f t="shared" si="70"/>
        <v>Yes</v>
      </c>
    </row>
    <row r="1473" spans="1:18" ht="15" customHeight="1" x14ac:dyDescent="0.25">
      <c r="A1473" s="1">
        <v>47097</v>
      </c>
      <c r="L1473" s="3">
        <f t="shared" si="69"/>
        <v>0</v>
      </c>
      <c r="M1473" s="3"/>
      <c r="N1473" s="3">
        <f t="shared" si="68"/>
        <v>0</v>
      </c>
      <c r="R1473" s="23" t="str">
        <f t="shared" si="70"/>
        <v>Yes</v>
      </c>
    </row>
    <row r="1474" spans="1:18" ht="15" customHeight="1" x14ac:dyDescent="0.25">
      <c r="A1474" s="1">
        <v>47098</v>
      </c>
      <c r="L1474" s="3">
        <f t="shared" si="69"/>
        <v>0</v>
      </c>
      <c r="M1474" s="3"/>
      <c r="N1474" s="3">
        <f t="shared" si="68"/>
        <v>0</v>
      </c>
      <c r="R1474" s="23" t="str">
        <f t="shared" si="70"/>
        <v>Yes</v>
      </c>
    </row>
    <row r="1475" spans="1:18" ht="15" customHeight="1" x14ac:dyDescent="0.25">
      <c r="A1475" s="1">
        <v>47099</v>
      </c>
      <c r="L1475" s="3">
        <f t="shared" si="69"/>
        <v>0</v>
      </c>
      <c r="M1475" s="3"/>
      <c r="N1475" s="3">
        <f t="shared" ref="N1475:N1538" si="71">IF(OR(O1475&lt;24300,P1475&lt;25700),MAX(L1475,M1475),L1475)</f>
        <v>0</v>
      </c>
      <c r="R1475" s="23" t="str">
        <f t="shared" si="70"/>
        <v>Yes</v>
      </c>
    </row>
    <row r="1476" spans="1:18" ht="15" customHeight="1" x14ac:dyDescent="0.25">
      <c r="A1476" s="1">
        <v>47100</v>
      </c>
      <c r="L1476" s="3">
        <f t="shared" ref="L1476:L1539" si="72">SUM(B1476:K1476)</f>
        <v>0</v>
      </c>
      <c r="M1476" s="3"/>
      <c r="N1476" s="3">
        <f t="shared" si="71"/>
        <v>0</v>
      </c>
      <c r="R1476" s="23" t="str">
        <f t="shared" si="70"/>
        <v>Yes</v>
      </c>
    </row>
    <row r="1477" spans="1:18" ht="15" customHeight="1" x14ac:dyDescent="0.25">
      <c r="A1477" s="1">
        <v>47101</v>
      </c>
      <c r="L1477" s="3">
        <f t="shared" si="72"/>
        <v>0</v>
      </c>
      <c r="M1477" s="3"/>
      <c r="N1477" s="3">
        <f t="shared" si="71"/>
        <v>0</v>
      </c>
      <c r="R1477" s="23" t="str">
        <f t="shared" si="70"/>
        <v>Yes</v>
      </c>
    </row>
    <row r="1478" spans="1:18" ht="15" customHeight="1" x14ac:dyDescent="0.25">
      <c r="A1478" s="1">
        <v>47102</v>
      </c>
      <c r="L1478" s="3">
        <f t="shared" si="72"/>
        <v>0</v>
      </c>
      <c r="M1478" s="3"/>
      <c r="N1478" s="3">
        <f t="shared" si="71"/>
        <v>0</v>
      </c>
      <c r="R1478" s="23" t="str">
        <f t="shared" si="70"/>
        <v>Yes</v>
      </c>
    </row>
    <row r="1479" spans="1:18" ht="15" customHeight="1" x14ac:dyDescent="0.25">
      <c r="A1479" s="1">
        <v>47103</v>
      </c>
      <c r="L1479" s="3">
        <f t="shared" si="72"/>
        <v>0</v>
      </c>
      <c r="M1479" s="3"/>
      <c r="N1479" s="3">
        <f t="shared" si="71"/>
        <v>0</v>
      </c>
      <c r="R1479" s="23" t="str">
        <f t="shared" si="70"/>
        <v>Yes</v>
      </c>
    </row>
    <row r="1480" spans="1:18" ht="15" customHeight="1" x14ac:dyDescent="0.25">
      <c r="A1480" s="1">
        <v>47104</v>
      </c>
      <c r="L1480" s="3">
        <f t="shared" si="72"/>
        <v>0</v>
      </c>
      <c r="M1480" s="3"/>
      <c r="N1480" s="3">
        <f t="shared" si="71"/>
        <v>0</v>
      </c>
      <c r="R1480" s="23" t="str">
        <f t="shared" si="70"/>
        <v>Yes</v>
      </c>
    </row>
    <row r="1481" spans="1:18" ht="15" customHeight="1" x14ac:dyDescent="0.25">
      <c r="A1481" s="1">
        <v>47105</v>
      </c>
      <c r="L1481" s="3">
        <f t="shared" si="72"/>
        <v>0</v>
      </c>
      <c r="M1481" s="3"/>
      <c r="N1481" s="3">
        <f t="shared" si="71"/>
        <v>0</v>
      </c>
      <c r="R1481" s="23" t="str">
        <f t="shared" si="70"/>
        <v>Yes</v>
      </c>
    </row>
    <row r="1482" spans="1:18" ht="15" customHeight="1" x14ac:dyDescent="0.25">
      <c r="A1482" s="1">
        <v>47106</v>
      </c>
      <c r="L1482" s="3">
        <f t="shared" si="72"/>
        <v>0</v>
      </c>
      <c r="M1482" s="3"/>
      <c r="N1482" s="3">
        <f t="shared" si="71"/>
        <v>0</v>
      </c>
      <c r="R1482" s="23" t="str">
        <f t="shared" si="70"/>
        <v>Yes</v>
      </c>
    </row>
    <row r="1483" spans="1:18" ht="15" customHeight="1" x14ac:dyDescent="0.25">
      <c r="A1483" s="1">
        <v>47107</v>
      </c>
      <c r="L1483" s="3">
        <f t="shared" si="72"/>
        <v>0</v>
      </c>
      <c r="M1483" s="3"/>
      <c r="N1483" s="3">
        <f t="shared" si="71"/>
        <v>0</v>
      </c>
      <c r="R1483" s="23" t="str">
        <f t="shared" si="70"/>
        <v>Yes</v>
      </c>
    </row>
    <row r="1484" spans="1:18" ht="15" customHeight="1" x14ac:dyDescent="0.25">
      <c r="A1484" s="1">
        <v>47108</v>
      </c>
      <c r="L1484" s="3">
        <f t="shared" si="72"/>
        <v>0</v>
      </c>
      <c r="M1484" s="3"/>
      <c r="N1484" s="3">
        <f t="shared" si="71"/>
        <v>0</v>
      </c>
      <c r="R1484" s="23" t="str">
        <f t="shared" si="70"/>
        <v>Yes</v>
      </c>
    </row>
    <row r="1485" spans="1:18" ht="15" customHeight="1" x14ac:dyDescent="0.25">
      <c r="A1485" s="1">
        <v>47109</v>
      </c>
      <c r="L1485" s="3">
        <f t="shared" si="72"/>
        <v>0</v>
      </c>
      <c r="M1485" s="3"/>
      <c r="N1485" s="3">
        <f t="shared" si="71"/>
        <v>0</v>
      </c>
      <c r="R1485" s="23" t="str">
        <f t="shared" si="70"/>
        <v>Yes</v>
      </c>
    </row>
    <row r="1486" spans="1:18" ht="15" customHeight="1" x14ac:dyDescent="0.25">
      <c r="A1486" s="1">
        <v>47110</v>
      </c>
      <c r="L1486" s="3">
        <f t="shared" si="72"/>
        <v>0</v>
      </c>
      <c r="M1486" s="3"/>
      <c r="N1486" s="3">
        <f t="shared" si="71"/>
        <v>0</v>
      </c>
      <c r="R1486" s="23" t="str">
        <f t="shared" si="70"/>
        <v>Yes</v>
      </c>
    </row>
    <row r="1487" spans="1:18" ht="15" customHeight="1" x14ac:dyDescent="0.25">
      <c r="A1487" s="1">
        <v>47111</v>
      </c>
      <c r="L1487" s="3">
        <f t="shared" si="72"/>
        <v>0</v>
      </c>
      <c r="M1487" s="3"/>
      <c r="N1487" s="3">
        <f t="shared" si="71"/>
        <v>0</v>
      </c>
      <c r="R1487" s="23" t="str">
        <f t="shared" si="70"/>
        <v>Yes</v>
      </c>
    </row>
    <row r="1488" spans="1:18" ht="15" customHeight="1" x14ac:dyDescent="0.25">
      <c r="A1488" s="1">
        <v>47112</v>
      </c>
      <c r="L1488" s="3">
        <f t="shared" si="72"/>
        <v>0</v>
      </c>
      <c r="M1488" s="3"/>
      <c r="N1488" s="3">
        <f t="shared" si="71"/>
        <v>0</v>
      </c>
      <c r="R1488" s="23" t="str">
        <f t="shared" si="70"/>
        <v>Yes</v>
      </c>
    </row>
    <row r="1489" spans="1:18" ht="15" customHeight="1" x14ac:dyDescent="0.25">
      <c r="A1489" s="1">
        <v>47113</v>
      </c>
      <c r="L1489" s="3">
        <f t="shared" si="72"/>
        <v>0</v>
      </c>
      <c r="M1489" s="3"/>
      <c r="N1489" s="3">
        <f t="shared" si="71"/>
        <v>0</v>
      </c>
      <c r="R1489" s="23" t="str">
        <f t="shared" si="70"/>
        <v>Yes</v>
      </c>
    </row>
    <row r="1490" spans="1:18" ht="15" customHeight="1" x14ac:dyDescent="0.25">
      <c r="A1490" s="1">
        <v>47114</v>
      </c>
      <c r="L1490" s="3">
        <f t="shared" si="72"/>
        <v>0</v>
      </c>
      <c r="M1490" s="3"/>
      <c r="N1490" s="3">
        <f t="shared" si="71"/>
        <v>0</v>
      </c>
      <c r="R1490" s="23" t="str">
        <f t="shared" si="70"/>
        <v>Yes</v>
      </c>
    </row>
    <row r="1491" spans="1:18" ht="15" customHeight="1" x14ac:dyDescent="0.25">
      <c r="A1491" s="1">
        <v>47115</v>
      </c>
      <c r="L1491" s="3">
        <f t="shared" si="72"/>
        <v>0</v>
      </c>
      <c r="M1491" s="3"/>
      <c r="N1491" s="3">
        <f t="shared" si="71"/>
        <v>0</v>
      </c>
      <c r="R1491" s="23" t="str">
        <f t="shared" si="70"/>
        <v>Yes</v>
      </c>
    </row>
    <row r="1492" spans="1:18" ht="15" customHeight="1" x14ac:dyDescent="0.25">
      <c r="A1492" s="1">
        <v>47116</v>
      </c>
      <c r="L1492" s="3">
        <f t="shared" si="72"/>
        <v>0</v>
      </c>
      <c r="M1492" s="3"/>
      <c r="N1492" s="3">
        <f t="shared" si="71"/>
        <v>0</v>
      </c>
      <c r="R1492" s="23" t="str">
        <f t="shared" si="70"/>
        <v>Yes</v>
      </c>
    </row>
    <row r="1493" spans="1:18" ht="15" customHeight="1" x14ac:dyDescent="0.25">
      <c r="A1493" s="1">
        <v>47117</v>
      </c>
      <c r="L1493" s="3">
        <f t="shared" si="72"/>
        <v>0</v>
      </c>
      <c r="M1493" s="3"/>
      <c r="N1493" s="3">
        <f t="shared" si="71"/>
        <v>0</v>
      </c>
      <c r="R1493" s="23" t="str">
        <f t="shared" si="70"/>
        <v>Yes</v>
      </c>
    </row>
    <row r="1494" spans="1:18" ht="15" customHeight="1" x14ac:dyDescent="0.25">
      <c r="A1494" s="1">
        <v>47118</v>
      </c>
      <c r="L1494" s="3">
        <f t="shared" si="72"/>
        <v>0</v>
      </c>
      <c r="M1494" s="3"/>
      <c r="N1494" s="3">
        <f t="shared" si="71"/>
        <v>0</v>
      </c>
      <c r="R1494" s="23" t="str">
        <f t="shared" si="70"/>
        <v>Yes</v>
      </c>
    </row>
    <row r="1495" spans="1:18" ht="15" customHeight="1" x14ac:dyDescent="0.25">
      <c r="A1495" s="1">
        <v>47119</v>
      </c>
      <c r="L1495" s="3">
        <f t="shared" si="72"/>
        <v>0</v>
      </c>
      <c r="M1495" s="3"/>
      <c r="N1495" s="3">
        <f t="shared" si="71"/>
        <v>0</v>
      </c>
      <c r="R1495" s="23" t="str">
        <f t="shared" si="70"/>
        <v>Yes</v>
      </c>
    </row>
    <row r="1496" spans="1:18" ht="15" customHeight="1" x14ac:dyDescent="0.25">
      <c r="A1496" s="1">
        <v>47120</v>
      </c>
      <c r="L1496" s="3">
        <f t="shared" si="72"/>
        <v>0</v>
      </c>
      <c r="M1496" s="3"/>
      <c r="N1496" s="3">
        <f t="shared" si="71"/>
        <v>0</v>
      </c>
      <c r="R1496" s="23" t="str">
        <f t="shared" si="70"/>
        <v>Yes</v>
      </c>
    </row>
    <row r="1497" spans="1:18" ht="15" customHeight="1" x14ac:dyDescent="0.25">
      <c r="A1497" s="1">
        <v>47121</v>
      </c>
      <c r="L1497" s="3">
        <f t="shared" si="72"/>
        <v>0</v>
      </c>
      <c r="M1497" s="3"/>
      <c r="N1497" s="3">
        <f t="shared" si="71"/>
        <v>0</v>
      </c>
      <c r="R1497" s="23" t="str">
        <f t="shared" si="70"/>
        <v>Yes</v>
      </c>
    </row>
    <row r="1498" spans="1:18" ht="15" customHeight="1" x14ac:dyDescent="0.25">
      <c r="A1498" s="1">
        <v>47122</v>
      </c>
      <c r="L1498" s="3">
        <f t="shared" si="72"/>
        <v>0</v>
      </c>
      <c r="M1498" s="3"/>
      <c r="N1498" s="3">
        <f t="shared" si="71"/>
        <v>0</v>
      </c>
      <c r="R1498" s="23" t="str">
        <f t="shared" si="70"/>
        <v>Yes</v>
      </c>
    </row>
    <row r="1499" spans="1:18" ht="15" customHeight="1" x14ac:dyDescent="0.25">
      <c r="A1499" s="1">
        <v>47123</v>
      </c>
      <c r="L1499" s="3">
        <f t="shared" si="72"/>
        <v>0</v>
      </c>
      <c r="M1499" s="3"/>
      <c r="N1499" s="3">
        <f t="shared" si="71"/>
        <v>0</v>
      </c>
      <c r="R1499" s="23" t="str">
        <f t="shared" si="70"/>
        <v>Yes</v>
      </c>
    </row>
    <row r="1500" spans="1:18" ht="15" customHeight="1" x14ac:dyDescent="0.25">
      <c r="A1500" s="1">
        <v>47124</v>
      </c>
      <c r="L1500" s="3">
        <f t="shared" si="72"/>
        <v>0</v>
      </c>
      <c r="M1500" s="3"/>
      <c r="N1500" s="3">
        <f t="shared" si="71"/>
        <v>0</v>
      </c>
      <c r="R1500" s="23" t="str">
        <f t="shared" si="70"/>
        <v>Yes</v>
      </c>
    </row>
    <row r="1501" spans="1:18" ht="15" customHeight="1" x14ac:dyDescent="0.25">
      <c r="A1501" s="1">
        <v>47125</v>
      </c>
      <c r="L1501" s="3">
        <f t="shared" si="72"/>
        <v>0</v>
      </c>
      <c r="M1501" s="3"/>
      <c r="N1501" s="3">
        <f t="shared" si="71"/>
        <v>0</v>
      </c>
      <c r="R1501" s="23" t="str">
        <f t="shared" si="70"/>
        <v>Yes</v>
      </c>
    </row>
    <row r="1502" spans="1:18" ht="15" customHeight="1" x14ac:dyDescent="0.25">
      <c r="A1502" s="1">
        <v>47126</v>
      </c>
      <c r="L1502" s="3">
        <f t="shared" si="72"/>
        <v>0</v>
      </c>
      <c r="M1502" s="3"/>
      <c r="N1502" s="3">
        <f t="shared" si="71"/>
        <v>0</v>
      </c>
      <c r="R1502" s="23" t="str">
        <f t="shared" si="70"/>
        <v>Yes</v>
      </c>
    </row>
    <row r="1503" spans="1:18" ht="15" customHeight="1" x14ac:dyDescent="0.25">
      <c r="A1503" s="1">
        <v>47127</v>
      </c>
      <c r="L1503" s="3">
        <f t="shared" si="72"/>
        <v>0</v>
      </c>
      <c r="M1503" s="3"/>
      <c r="N1503" s="3">
        <f t="shared" si="71"/>
        <v>0</v>
      </c>
      <c r="R1503" s="23" t="str">
        <f t="shared" si="70"/>
        <v>Yes</v>
      </c>
    </row>
    <row r="1504" spans="1:18" ht="15" customHeight="1" x14ac:dyDescent="0.25">
      <c r="A1504" s="1">
        <v>47128</v>
      </c>
      <c r="L1504" s="3">
        <f t="shared" si="72"/>
        <v>0</v>
      </c>
      <c r="M1504" s="3"/>
      <c r="N1504" s="3">
        <f t="shared" si="71"/>
        <v>0</v>
      </c>
      <c r="R1504" s="23" t="str">
        <f t="shared" si="70"/>
        <v>Yes</v>
      </c>
    </row>
    <row r="1505" spans="1:18" ht="15" customHeight="1" x14ac:dyDescent="0.25">
      <c r="A1505" s="1">
        <v>47129</v>
      </c>
      <c r="L1505" s="3">
        <f t="shared" si="72"/>
        <v>0</v>
      </c>
      <c r="M1505" s="3"/>
      <c r="N1505" s="3">
        <f t="shared" si="71"/>
        <v>0</v>
      </c>
      <c r="R1505" s="23" t="str">
        <f t="shared" si="70"/>
        <v>Yes</v>
      </c>
    </row>
    <row r="1506" spans="1:18" ht="15" customHeight="1" x14ac:dyDescent="0.25">
      <c r="A1506" s="1">
        <v>47130</v>
      </c>
      <c r="L1506" s="3">
        <f t="shared" si="72"/>
        <v>0</v>
      </c>
      <c r="M1506" s="3"/>
      <c r="N1506" s="3">
        <f t="shared" si="71"/>
        <v>0</v>
      </c>
      <c r="R1506" s="23" t="str">
        <f t="shared" si="70"/>
        <v>Yes</v>
      </c>
    </row>
    <row r="1507" spans="1:18" ht="15" customHeight="1" x14ac:dyDescent="0.25">
      <c r="A1507" s="1">
        <v>47131</v>
      </c>
      <c r="L1507" s="3">
        <f t="shared" si="72"/>
        <v>0</v>
      </c>
      <c r="M1507" s="3"/>
      <c r="N1507" s="3">
        <f t="shared" si="71"/>
        <v>0</v>
      </c>
      <c r="R1507" s="23" t="str">
        <f t="shared" si="70"/>
        <v>Yes</v>
      </c>
    </row>
    <row r="1508" spans="1:18" ht="15" customHeight="1" x14ac:dyDescent="0.25">
      <c r="A1508" s="1">
        <v>47132</v>
      </c>
      <c r="L1508" s="3">
        <f t="shared" si="72"/>
        <v>0</v>
      </c>
      <c r="M1508" s="3"/>
      <c r="N1508" s="3">
        <f t="shared" si="71"/>
        <v>0</v>
      </c>
      <c r="R1508" s="23" t="str">
        <f t="shared" si="70"/>
        <v>Yes</v>
      </c>
    </row>
    <row r="1509" spans="1:18" ht="15" customHeight="1" x14ac:dyDescent="0.25">
      <c r="A1509" s="1">
        <v>47133</v>
      </c>
      <c r="L1509" s="3">
        <f t="shared" si="72"/>
        <v>0</v>
      </c>
      <c r="M1509" s="3"/>
      <c r="N1509" s="3">
        <f t="shared" si="71"/>
        <v>0</v>
      </c>
      <c r="R1509" s="23" t="str">
        <f t="shared" si="70"/>
        <v>Yes</v>
      </c>
    </row>
    <row r="1510" spans="1:18" ht="15" customHeight="1" x14ac:dyDescent="0.25">
      <c r="A1510" s="1">
        <v>47134</v>
      </c>
      <c r="L1510" s="3">
        <f t="shared" si="72"/>
        <v>0</v>
      </c>
      <c r="M1510" s="3"/>
      <c r="N1510" s="3">
        <f t="shared" si="71"/>
        <v>0</v>
      </c>
      <c r="R1510" s="23" t="str">
        <f t="shared" si="70"/>
        <v>Yes</v>
      </c>
    </row>
    <row r="1511" spans="1:18" ht="15" customHeight="1" x14ac:dyDescent="0.25">
      <c r="A1511" s="1">
        <v>47135</v>
      </c>
      <c r="L1511" s="3">
        <f t="shared" si="72"/>
        <v>0</v>
      </c>
      <c r="M1511" s="3"/>
      <c r="N1511" s="3">
        <f t="shared" si="71"/>
        <v>0</v>
      </c>
      <c r="R1511" s="23" t="str">
        <f t="shared" si="70"/>
        <v>Yes</v>
      </c>
    </row>
    <row r="1512" spans="1:18" ht="15" customHeight="1" x14ac:dyDescent="0.25">
      <c r="A1512" s="1">
        <v>47136</v>
      </c>
      <c r="L1512" s="3">
        <f t="shared" si="72"/>
        <v>0</v>
      </c>
      <c r="M1512" s="3"/>
      <c r="N1512" s="3">
        <f t="shared" si="71"/>
        <v>0</v>
      </c>
      <c r="R1512" s="23" t="str">
        <f t="shared" si="70"/>
        <v>Yes</v>
      </c>
    </row>
    <row r="1513" spans="1:18" ht="15" customHeight="1" x14ac:dyDescent="0.25">
      <c r="A1513" s="1">
        <v>47137</v>
      </c>
      <c r="L1513" s="3">
        <f t="shared" si="72"/>
        <v>0</v>
      </c>
      <c r="M1513" s="3"/>
      <c r="N1513" s="3">
        <f t="shared" si="71"/>
        <v>0</v>
      </c>
      <c r="R1513" s="23" t="str">
        <f t="shared" si="70"/>
        <v>Yes</v>
      </c>
    </row>
    <row r="1514" spans="1:18" ht="15" customHeight="1" x14ac:dyDescent="0.25">
      <c r="A1514" s="1">
        <v>47138</v>
      </c>
      <c r="L1514" s="3">
        <f t="shared" si="72"/>
        <v>0</v>
      </c>
      <c r="M1514" s="3"/>
      <c r="N1514" s="3">
        <f t="shared" si="71"/>
        <v>0</v>
      </c>
      <c r="R1514" s="23" t="str">
        <f t="shared" si="70"/>
        <v>Yes</v>
      </c>
    </row>
    <row r="1515" spans="1:18" ht="15" customHeight="1" x14ac:dyDescent="0.25">
      <c r="A1515" s="1">
        <v>47139</v>
      </c>
      <c r="L1515" s="3">
        <f t="shared" si="72"/>
        <v>0</v>
      </c>
      <c r="M1515" s="3"/>
      <c r="N1515" s="3">
        <f t="shared" si="71"/>
        <v>0</v>
      </c>
      <c r="R1515" s="23" t="str">
        <f t="shared" si="70"/>
        <v>Yes</v>
      </c>
    </row>
    <row r="1516" spans="1:18" ht="15" customHeight="1" x14ac:dyDescent="0.25">
      <c r="A1516" s="1">
        <v>47140</v>
      </c>
      <c r="L1516" s="3">
        <f t="shared" si="72"/>
        <v>0</v>
      </c>
      <c r="M1516" s="3"/>
      <c r="N1516" s="3">
        <f t="shared" si="71"/>
        <v>0</v>
      </c>
      <c r="R1516" s="23" t="str">
        <f t="shared" si="70"/>
        <v>Yes</v>
      </c>
    </row>
    <row r="1517" spans="1:18" ht="15" customHeight="1" x14ac:dyDescent="0.25">
      <c r="A1517" s="1">
        <v>47141</v>
      </c>
      <c r="L1517" s="3">
        <f t="shared" si="72"/>
        <v>0</v>
      </c>
      <c r="M1517" s="3"/>
      <c r="N1517" s="3">
        <f t="shared" si="71"/>
        <v>0</v>
      </c>
      <c r="R1517" s="23" t="str">
        <f t="shared" ref="R1517:R1580" si="73">IF(Q1517&gt;0,"Yes",IF(OR((O1517+P1517&lt;50000),O1517&lt;24000,P1517&lt;26000),"Yes","No"))</f>
        <v>Yes</v>
      </c>
    </row>
    <row r="1518" spans="1:18" ht="15" customHeight="1" x14ac:dyDescent="0.25">
      <c r="A1518" s="1">
        <v>47142</v>
      </c>
      <c r="L1518" s="3">
        <f t="shared" si="72"/>
        <v>0</v>
      </c>
      <c r="M1518" s="3"/>
      <c r="N1518" s="3">
        <f t="shared" si="71"/>
        <v>0</v>
      </c>
      <c r="R1518" s="23" t="str">
        <f t="shared" si="73"/>
        <v>Yes</v>
      </c>
    </row>
    <row r="1519" spans="1:18" ht="15" customHeight="1" x14ac:dyDescent="0.25">
      <c r="A1519" s="1">
        <v>47143</v>
      </c>
      <c r="L1519" s="3">
        <f t="shared" si="72"/>
        <v>0</v>
      </c>
      <c r="M1519" s="3"/>
      <c r="N1519" s="3">
        <f t="shared" si="71"/>
        <v>0</v>
      </c>
      <c r="R1519" s="23" t="str">
        <f t="shared" si="73"/>
        <v>Yes</v>
      </c>
    </row>
    <row r="1520" spans="1:18" ht="15" customHeight="1" x14ac:dyDescent="0.25">
      <c r="A1520" s="1">
        <v>47144</v>
      </c>
      <c r="L1520" s="3">
        <f t="shared" si="72"/>
        <v>0</v>
      </c>
      <c r="M1520" s="3"/>
      <c r="N1520" s="3">
        <f t="shared" si="71"/>
        <v>0</v>
      </c>
      <c r="R1520" s="23" t="str">
        <f t="shared" si="73"/>
        <v>Yes</v>
      </c>
    </row>
    <row r="1521" spans="1:18" ht="15" customHeight="1" x14ac:dyDescent="0.25">
      <c r="A1521" s="1">
        <v>47145</v>
      </c>
      <c r="L1521" s="3">
        <f t="shared" si="72"/>
        <v>0</v>
      </c>
      <c r="M1521" s="3"/>
      <c r="N1521" s="3">
        <f t="shared" si="71"/>
        <v>0</v>
      </c>
      <c r="R1521" s="23" t="str">
        <f t="shared" si="73"/>
        <v>Yes</v>
      </c>
    </row>
    <row r="1522" spans="1:18" ht="15" customHeight="1" x14ac:dyDescent="0.25">
      <c r="A1522" s="1">
        <v>47146</v>
      </c>
      <c r="L1522" s="3">
        <f t="shared" si="72"/>
        <v>0</v>
      </c>
      <c r="M1522" s="3"/>
      <c r="N1522" s="3">
        <f t="shared" si="71"/>
        <v>0</v>
      </c>
      <c r="R1522" s="23" t="str">
        <f t="shared" si="73"/>
        <v>Yes</v>
      </c>
    </row>
    <row r="1523" spans="1:18" ht="15" customHeight="1" x14ac:dyDescent="0.25">
      <c r="A1523" s="1">
        <v>47147</v>
      </c>
      <c r="L1523" s="3">
        <f t="shared" si="72"/>
        <v>0</v>
      </c>
      <c r="M1523" s="3"/>
      <c r="N1523" s="3">
        <f t="shared" si="71"/>
        <v>0</v>
      </c>
      <c r="R1523" s="23" t="str">
        <f t="shared" si="73"/>
        <v>Yes</v>
      </c>
    </row>
    <row r="1524" spans="1:18" ht="15" customHeight="1" x14ac:dyDescent="0.25">
      <c r="A1524" s="1">
        <v>47148</v>
      </c>
      <c r="L1524" s="3">
        <f t="shared" si="72"/>
        <v>0</v>
      </c>
      <c r="M1524" s="3"/>
      <c r="N1524" s="3">
        <f t="shared" si="71"/>
        <v>0</v>
      </c>
      <c r="R1524" s="23" t="str">
        <f t="shared" si="73"/>
        <v>Yes</v>
      </c>
    </row>
    <row r="1525" spans="1:18" ht="15" customHeight="1" x14ac:dyDescent="0.25">
      <c r="A1525" s="1">
        <v>47149</v>
      </c>
      <c r="L1525" s="3">
        <f t="shared" si="72"/>
        <v>0</v>
      </c>
      <c r="M1525" s="3"/>
      <c r="N1525" s="3">
        <f t="shared" si="71"/>
        <v>0</v>
      </c>
      <c r="R1525" s="23" t="str">
        <f t="shared" si="73"/>
        <v>Yes</v>
      </c>
    </row>
    <row r="1526" spans="1:18" ht="15" customHeight="1" x14ac:dyDescent="0.25">
      <c r="A1526" s="1">
        <v>47150</v>
      </c>
      <c r="L1526" s="3">
        <f t="shared" si="72"/>
        <v>0</v>
      </c>
      <c r="M1526" s="3"/>
      <c r="N1526" s="3">
        <f t="shared" si="71"/>
        <v>0</v>
      </c>
      <c r="R1526" s="23" t="str">
        <f t="shared" si="73"/>
        <v>Yes</v>
      </c>
    </row>
    <row r="1527" spans="1:18" ht="15" customHeight="1" x14ac:dyDescent="0.25">
      <c r="A1527" s="1">
        <v>47151</v>
      </c>
      <c r="L1527" s="3">
        <f t="shared" si="72"/>
        <v>0</v>
      </c>
      <c r="M1527" s="3"/>
      <c r="N1527" s="3">
        <f t="shared" si="71"/>
        <v>0</v>
      </c>
      <c r="R1527" s="23" t="str">
        <f t="shared" si="73"/>
        <v>Yes</v>
      </c>
    </row>
    <row r="1528" spans="1:18" ht="15" customHeight="1" x14ac:dyDescent="0.25">
      <c r="A1528" s="1">
        <v>47152</v>
      </c>
      <c r="L1528" s="3">
        <f t="shared" si="72"/>
        <v>0</v>
      </c>
      <c r="M1528" s="3"/>
      <c r="N1528" s="3">
        <f t="shared" si="71"/>
        <v>0</v>
      </c>
      <c r="R1528" s="23" t="str">
        <f t="shared" si="73"/>
        <v>Yes</v>
      </c>
    </row>
    <row r="1529" spans="1:18" ht="15" customHeight="1" x14ac:dyDescent="0.25">
      <c r="A1529" s="1">
        <v>47153</v>
      </c>
      <c r="L1529" s="3">
        <f t="shared" si="72"/>
        <v>0</v>
      </c>
      <c r="M1529" s="3"/>
      <c r="N1529" s="3">
        <f t="shared" si="71"/>
        <v>0</v>
      </c>
      <c r="R1529" s="23" t="str">
        <f t="shared" si="73"/>
        <v>Yes</v>
      </c>
    </row>
    <row r="1530" spans="1:18" ht="15" customHeight="1" x14ac:dyDescent="0.25">
      <c r="A1530" s="1">
        <v>47154</v>
      </c>
      <c r="L1530" s="3">
        <f t="shared" si="72"/>
        <v>0</v>
      </c>
      <c r="M1530" s="3"/>
      <c r="N1530" s="3">
        <f t="shared" si="71"/>
        <v>0</v>
      </c>
      <c r="R1530" s="23" t="str">
        <f t="shared" si="73"/>
        <v>Yes</v>
      </c>
    </row>
    <row r="1531" spans="1:18" ht="15" customHeight="1" x14ac:dyDescent="0.25">
      <c r="A1531" s="1">
        <v>47155</v>
      </c>
      <c r="L1531" s="3">
        <f t="shared" si="72"/>
        <v>0</v>
      </c>
      <c r="M1531" s="3"/>
      <c r="N1531" s="3">
        <f t="shared" si="71"/>
        <v>0</v>
      </c>
      <c r="R1531" s="23" t="str">
        <f t="shared" si="73"/>
        <v>Yes</v>
      </c>
    </row>
    <row r="1532" spans="1:18" ht="15" customHeight="1" x14ac:dyDescent="0.25">
      <c r="A1532" s="1">
        <v>47156</v>
      </c>
      <c r="L1532" s="3">
        <f t="shared" si="72"/>
        <v>0</v>
      </c>
      <c r="M1532" s="3"/>
      <c r="N1532" s="3">
        <f t="shared" si="71"/>
        <v>0</v>
      </c>
      <c r="R1532" s="23" t="str">
        <f t="shared" si="73"/>
        <v>Yes</v>
      </c>
    </row>
    <row r="1533" spans="1:18" ht="15" customHeight="1" x14ac:dyDescent="0.25">
      <c r="A1533" s="1">
        <v>47157</v>
      </c>
      <c r="L1533" s="3">
        <f t="shared" si="72"/>
        <v>0</v>
      </c>
      <c r="M1533" s="3"/>
      <c r="N1533" s="3">
        <f t="shared" si="71"/>
        <v>0</v>
      </c>
      <c r="R1533" s="23" t="str">
        <f t="shared" si="73"/>
        <v>Yes</v>
      </c>
    </row>
    <row r="1534" spans="1:18" ht="15" customHeight="1" x14ac:dyDescent="0.25">
      <c r="A1534" s="1">
        <v>47158</v>
      </c>
      <c r="L1534" s="3">
        <f t="shared" si="72"/>
        <v>0</v>
      </c>
      <c r="M1534" s="3"/>
      <c r="N1534" s="3">
        <f t="shared" si="71"/>
        <v>0</v>
      </c>
      <c r="R1534" s="23" t="str">
        <f t="shared" si="73"/>
        <v>Yes</v>
      </c>
    </row>
    <row r="1535" spans="1:18" ht="15" customHeight="1" x14ac:dyDescent="0.25">
      <c r="A1535" s="1">
        <v>47159</v>
      </c>
      <c r="L1535" s="3">
        <f t="shared" si="72"/>
        <v>0</v>
      </c>
      <c r="M1535" s="3"/>
      <c r="N1535" s="3">
        <f t="shared" si="71"/>
        <v>0</v>
      </c>
      <c r="R1535" s="23" t="str">
        <f t="shared" si="73"/>
        <v>Yes</v>
      </c>
    </row>
    <row r="1536" spans="1:18" ht="15" customHeight="1" x14ac:dyDescent="0.25">
      <c r="A1536" s="1">
        <v>47160</v>
      </c>
      <c r="L1536" s="3">
        <f t="shared" si="72"/>
        <v>0</v>
      </c>
      <c r="M1536" s="3"/>
      <c r="N1536" s="3">
        <f t="shared" si="71"/>
        <v>0</v>
      </c>
      <c r="R1536" s="23" t="str">
        <f t="shared" si="73"/>
        <v>Yes</v>
      </c>
    </row>
    <row r="1537" spans="1:18" ht="15" customHeight="1" x14ac:dyDescent="0.25">
      <c r="A1537" s="1">
        <v>47161</v>
      </c>
      <c r="L1537" s="3">
        <f t="shared" si="72"/>
        <v>0</v>
      </c>
      <c r="M1537" s="3"/>
      <c r="N1537" s="3">
        <f t="shared" si="71"/>
        <v>0</v>
      </c>
      <c r="R1537" s="23" t="str">
        <f t="shared" si="73"/>
        <v>Yes</v>
      </c>
    </row>
    <row r="1538" spans="1:18" ht="15" customHeight="1" x14ac:dyDescent="0.25">
      <c r="A1538" s="1">
        <v>47162</v>
      </c>
      <c r="L1538" s="3">
        <f t="shared" si="72"/>
        <v>0</v>
      </c>
      <c r="M1538" s="3"/>
      <c r="N1538" s="3">
        <f t="shared" si="71"/>
        <v>0</v>
      </c>
      <c r="R1538" s="23" t="str">
        <f t="shared" si="73"/>
        <v>Yes</v>
      </c>
    </row>
    <row r="1539" spans="1:18" ht="15" customHeight="1" x14ac:dyDescent="0.25">
      <c r="A1539" s="1">
        <v>47163</v>
      </c>
      <c r="L1539" s="3">
        <f t="shared" si="72"/>
        <v>0</v>
      </c>
      <c r="M1539" s="3"/>
      <c r="N1539" s="3">
        <f t="shared" ref="N1539:N1602" si="74">IF(OR(O1539&lt;24300,P1539&lt;25700),MAX(L1539,M1539),L1539)</f>
        <v>0</v>
      </c>
      <c r="R1539" s="23" t="str">
        <f t="shared" si="73"/>
        <v>Yes</v>
      </c>
    </row>
    <row r="1540" spans="1:18" ht="15" customHeight="1" x14ac:dyDescent="0.25">
      <c r="A1540" s="1">
        <v>47164</v>
      </c>
      <c r="L1540" s="3">
        <f t="shared" ref="L1540:L1603" si="75">SUM(B1540:K1540)</f>
        <v>0</v>
      </c>
      <c r="M1540" s="3"/>
      <c r="N1540" s="3">
        <f t="shared" si="74"/>
        <v>0</v>
      </c>
      <c r="R1540" s="23" t="str">
        <f t="shared" si="73"/>
        <v>Yes</v>
      </c>
    </row>
    <row r="1541" spans="1:18" ht="15" customHeight="1" x14ac:dyDescent="0.25">
      <c r="A1541" s="1">
        <v>47165</v>
      </c>
      <c r="L1541" s="3">
        <f t="shared" si="75"/>
        <v>0</v>
      </c>
      <c r="M1541" s="3"/>
      <c r="N1541" s="3">
        <f t="shared" si="74"/>
        <v>0</v>
      </c>
      <c r="R1541" s="23" t="str">
        <f t="shared" si="73"/>
        <v>Yes</v>
      </c>
    </row>
    <row r="1542" spans="1:18" ht="15" customHeight="1" x14ac:dyDescent="0.25">
      <c r="A1542" s="1">
        <v>47166</v>
      </c>
      <c r="L1542" s="3">
        <f t="shared" si="75"/>
        <v>0</v>
      </c>
      <c r="M1542" s="3"/>
      <c r="N1542" s="3">
        <f t="shared" si="74"/>
        <v>0</v>
      </c>
      <c r="R1542" s="23" t="str">
        <f t="shared" si="73"/>
        <v>Yes</v>
      </c>
    </row>
    <row r="1543" spans="1:18" ht="15" customHeight="1" x14ac:dyDescent="0.25">
      <c r="A1543" s="1">
        <v>47167</v>
      </c>
      <c r="L1543" s="3">
        <f t="shared" si="75"/>
        <v>0</v>
      </c>
      <c r="M1543" s="3"/>
      <c r="N1543" s="3">
        <f t="shared" si="74"/>
        <v>0</v>
      </c>
      <c r="R1543" s="23" t="str">
        <f t="shared" si="73"/>
        <v>Yes</v>
      </c>
    </row>
    <row r="1544" spans="1:18" ht="15" customHeight="1" x14ac:dyDescent="0.25">
      <c r="A1544" s="1">
        <v>47168</v>
      </c>
      <c r="L1544" s="3">
        <f t="shared" si="75"/>
        <v>0</v>
      </c>
      <c r="M1544" s="3"/>
      <c r="N1544" s="3">
        <f t="shared" si="74"/>
        <v>0</v>
      </c>
      <c r="R1544" s="23" t="str">
        <f t="shared" si="73"/>
        <v>Yes</v>
      </c>
    </row>
    <row r="1545" spans="1:18" ht="15" customHeight="1" x14ac:dyDescent="0.25">
      <c r="A1545" s="1">
        <v>47169</v>
      </c>
      <c r="L1545" s="3">
        <f t="shared" si="75"/>
        <v>0</v>
      </c>
      <c r="M1545" s="3"/>
      <c r="N1545" s="3">
        <f t="shared" si="74"/>
        <v>0</v>
      </c>
      <c r="R1545" s="23" t="str">
        <f t="shared" si="73"/>
        <v>Yes</v>
      </c>
    </row>
    <row r="1546" spans="1:18" ht="15" customHeight="1" x14ac:dyDescent="0.25">
      <c r="A1546" s="1">
        <v>47170</v>
      </c>
      <c r="L1546" s="3">
        <f t="shared" si="75"/>
        <v>0</v>
      </c>
      <c r="M1546" s="3"/>
      <c r="N1546" s="3">
        <f t="shared" si="74"/>
        <v>0</v>
      </c>
      <c r="R1546" s="23" t="str">
        <f t="shared" si="73"/>
        <v>Yes</v>
      </c>
    </row>
    <row r="1547" spans="1:18" ht="15" customHeight="1" x14ac:dyDescent="0.25">
      <c r="A1547" s="1">
        <v>47171</v>
      </c>
      <c r="L1547" s="3">
        <f t="shared" si="75"/>
        <v>0</v>
      </c>
      <c r="M1547" s="3"/>
      <c r="N1547" s="3">
        <f t="shared" si="74"/>
        <v>0</v>
      </c>
      <c r="R1547" s="23" t="str">
        <f t="shared" si="73"/>
        <v>Yes</v>
      </c>
    </row>
    <row r="1548" spans="1:18" ht="15" customHeight="1" x14ac:dyDescent="0.25">
      <c r="A1548" s="1">
        <v>47172</v>
      </c>
      <c r="L1548" s="3">
        <f t="shared" si="75"/>
        <v>0</v>
      </c>
      <c r="M1548" s="3"/>
      <c r="N1548" s="3">
        <f t="shared" si="74"/>
        <v>0</v>
      </c>
      <c r="R1548" s="23" t="str">
        <f t="shared" si="73"/>
        <v>Yes</v>
      </c>
    </row>
    <row r="1549" spans="1:18" ht="15" customHeight="1" x14ac:dyDescent="0.25">
      <c r="A1549" s="1">
        <v>47173</v>
      </c>
      <c r="L1549" s="3">
        <f t="shared" si="75"/>
        <v>0</v>
      </c>
      <c r="M1549" s="3"/>
      <c r="N1549" s="3">
        <f t="shared" si="74"/>
        <v>0</v>
      </c>
      <c r="R1549" s="23" t="str">
        <f t="shared" si="73"/>
        <v>Yes</v>
      </c>
    </row>
    <row r="1550" spans="1:18" ht="15" customHeight="1" x14ac:dyDescent="0.25">
      <c r="A1550" s="1">
        <v>47174</v>
      </c>
      <c r="L1550" s="3">
        <f t="shared" si="75"/>
        <v>0</v>
      </c>
      <c r="M1550" s="3"/>
      <c r="N1550" s="3">
        <f t="shared" si="74"/>
        <v>0</v>
      </c>
      <c r="R1550" s="23" t="str">
        <f t="shared" si="73"/>
        <v>Yes</v>
      </c>
    </row>
    <row r="1551" spans="1:18" ht="15" customHeight="1" x14ac:dyDescent="0.25">
      <c r="A1551" s="1">
        <v>47175</v>
      </c>
      <c r="L1551" s="3">
        <f t="shared" si="75"/>
        <v>0</v>
      </c>
      <c r="M1551" s="3"/>
      <c r="N1551" s="3">
        <f t="shared" si="74"/>
        <v>0</v>
      </c>
      <c r="R1551" s="23" t="str">
        <f t="shared" si="73"/>
        <v>Yes</v>
      </c>
    </row>
    <row r="1552" spans="1:18" ht="15" customHeight="1" x14ac:dyDescent="0.25">
      <c r="A1552" s="1">
        <v>47176</v>
      </c>
      <c r="L1552" s="3">
        <f t="shared" si="75"/>
        <v>0</v>
      </c>
      <c r="M1552" s="3"/>
      <c r="N1552" s="3">
        <f t="shared" si="74"/>
        <v>0</v>
      </c>
      <c r="R1552" s="23" t="str">
        <f t="shared" si="73"/>
        <v>Yes</v>
      </c>
    </row>
    <row r="1553" spans="1:18" ht="15" customHeight="1" x14ac:dyDescent="0.25">
      <c r="A1553" s="1">
        <v>47177</v>
      </c>
      <c r="L1553" s="3">
        <f t="shared" si="75"/>
        <v>0</v>
      </c>
      <c r="M1553" s="3"/>
      <c r="N1553" s="3">
        <f t="shared" si="74"/>
        <v>0</v>
      </c>
      <c r="R1553" s="23" t="str">
        <f t="shared" si="73"/>
        <v>Yes</v>
      </c>
    </row>
    <row r="1554" spans="1:18" ht="15" customHeight="1" x14ac:dyDescent="0.25">
      <c r="A1554" s="1">
        <v>47178</v>
      </c>
      <c r="L1554" s="3">
        <f t="shared" si="75"/>
        <v>0</v>
      </c>
      <c r="M1554" s="3"/>
      <c r="N1554" s="3">
        <f t="shared" si="74"/>
        <v>0</v>
      </c>
      <c r="R1554" s="23" t="str">
        <f t="shared" si="73"/>
        <v>Yes</v>
      </c>
    </row>
    <row r="1555" spans="1:18" ht="15" customHeight="1" x14ac:dyDescent="0.25">
      <c r="A1555" s="1">
        <v>47179</v>
      </c>
      <c r="L1555" s="3">
        <f t="shared" si="75"/>
        <v>0</v>
      </c>
      <c r="M1555" s="3"/>
      <c r="N1555" s="3">
        <f t="shared" si="74"/>
        <v>0</v>
      </c>
      <c r="R1555" s="23" t="str">
        <f t="shared" si="73"/>
        <v>Yes</v>
      </c>
    </row>
    <row r="1556" spans="1:18" ht="15" customHeight="1" x14ac:dyDescent="0.25">
      <c r="A1556" s="1">
        <v>47180</v>
      </c>
      <c r="L1556" s="3">
        <f t="shared" si="75"/>
        <v>0</v>
      </c>
      <c r="M1556" s="3"/>
      <c r="N1556" s="3">
        <f t="shared" si="74"/>
        <v>0</v>
      </c>
      <c r="R1556" s="23" t="str">
        <f t="shared" si="73"/>
        <v>Yes</v>
      </c>
    </row>
    <row r="1557" spans="1:18" ht="15" customHeight="1" x14ac:dyDescent="0.25">
      <c r="A1557" s="1">
        <v>47181</v>
      </c>
      <c r="L1557" s="3">
        <f t="shared" si="75"/>
        <v>0</v>
      </c>
      <c r="M1557" s="3"/>
      <c r="N1557" s="3">
        <f t="shared" si="74"/>
        <v>0</v>
      </c>
      <c r="R1557" s="23" t="str">
        <f t="shared" si="73"/>
        <v>Yes</v>
      </c>
    </row>
    <row r="1558" spans="1:18" ht="15" customHeight="1" x14ac:dyDescent="0.25">
      <c r="A1558" s="1">
        <v>47182</v>
      </c>
      <c r="L1558" s="3">
        <f t="shared" si="75"/>
        <v>0</v>
      </c>
      <c r="M1558" s="3"/>
      <c r="N1558" s="3">
        <f t="shared" si="74"/>
        <v>0</v>
      </c>
      <c r="R1558" s="23" t="str">
        <f t="shared" si="73"/>
        <v>Yes</v>
      </c>
    </row>
    <row r="1559" spans="1:18" ht="15" customHeight="1" x14ac:dyDescent="0.25">
      <c r="A1559" s="1">
        <v>47183</v>
      </c>
      <c r="L1559" s="3">
        <f t="shared" si="75"/>
        <v>0</v>
      </c>
      <c r="M1559" s="3"/>
      <c r="N1559" s="3">
        <f t="shared" si="74"/>
        <v>0</v>
      </c>
      <c r="R1559" s="23" t="str">
        <f t="shared" si="73"/>
        <v>Yes</v>
      </c>
    </row>
    <row r="1560" spans="1:18" ht="15" customHeight="1" x14ac:dyDescent="0.25">
      <c r="A1560" s="1">
        <v>47184</v>
      </c>
      <c r="L1560" s="3">
        <f t="shared" si="75"/>
        <v>0</v>
      </c>
      <c r="M1560" s="3"/>
      <c r="N1560" s="3">
        <f t="shared" si="74"/>
        <v>0</v>
      </c>
      <c r="R1560" s="23" t="str">
        <f t="shared" si="73"/>
        <v>Yes</v>
      </c>
    </row>
    <row r="1561" spans="1:18" ht="15" customHeight="1" x14ac:dyDescent="0.25">
      <c r="A1561" s="1">
        <v>47185</v>
      </c>
      <c r="L1561" s="3">
        <f t="shared" si="75"/>
        <v>0</v>
      </c>
      <c r="M1561" s="3"/>
      <c r="N1561" s="3">
        <f t="shared" si="74"/>
        <v>0</v>
      </c>
      <c r="R1561" s="23" t="str">
        <f t="shared" si="73"/>
        <v>Yes</v>
      </c>
    </row>
    <row r="1562" spans="1:18" ht="15" customHeight="1" x14ac:dyDescent="0.25">
      <c r="A1562" s="1">
        <v>47186</v>
      </c>
      <c r="L1562" s="3">
        <f t="shared" si="75"/>
        <v>0</v>
      </c>
      <c r="M1562" s="3"/>
      <c r="N1562" s="3">
        <f t="shared" si="74"/>
        <v>0</v>
      </c>
      <c r="R1562" s="23" t="str">
        <f t="shared" si="73"/>
        <v>Yes</v>
      </c>
    </row>
    <row r="1563" spans="1:18" ht="15" customHeight="1" x14ac:dyDescent="0.25">
      <c r="A1563" s="1">
        <v>47187</v>
      </c>
      <c r="L1563" s="3">
        <f t="shared" si="75"/>
        <v>0</v>
      </c>
      <c r="M1563" s="3"/>
      <c r="N1563" s="3">
        <f t="shared" si="74"/>
        <v>0</v>
      </c>
      <c r="R1563" s="23" t="str">
        <f t="shared" si="73"/>
        <v>Yes</v>
      </c>
    </row>
    <row r="1564" spans="1:18" ht="15" customHeight="1" x14ac:dyDescent="0.25">
      <c r="A1564" s="1">
        <v>47188</v>
      </c>
      <c r="L1564" s="3">
        <f t="shared" si="75"/>
        <v>0</v>
      </c>
      <c r="M1564" s="3"/>
      <c r="N1564" s="3">
        <f t="shared" si="74"/>
        <v>0</v>
      </c>
      <c r="R1564" s="23" t="str">
        <f t="shared" si="73"/>
        <v>Yes</v>
      </c>
    </row>
    <row r="1565" spans="1:18" ht="15" customHeight="1" x14ac:dyDescent="0.25">
      <c r="A1565" s="1">
        <v>47189</v>
      </c>
      <c r="L1565" s="3">
        <f t="shared" si="75"/>
        <v>0</v>
      </c>
      <c r="M1565" s="3"/>
      <c r="N1565" s="3">
        <f t="shared" si="74"/>
        <v>0</v>
      </c>
      <c r="R1565" s="23" t="str">
        <f t="shared" si="73"/>
        <v>Yes</v>
      </c>
    </row>
    <row r="1566" spans="1:18" ht="15" customHeight="1" x14ac:dyDescent="0.25">
      <c r="A1566" s="1">
        <v>47190</v>
      </c>
      <c r="L1566" s="3">
        <f t="shared" si="75"/>
        <v>0</v>
      </c>
      <c r="M1566" s="3"/>
      <c r="N1566" s="3">
        <f t="shared" si="74"/>
        <v>0</v>
      </c>
      <c r="R1566" s="23" t="str">
        <f t="shared" si="73"/>
        <v>Yes</v>
      </c>
    </row>
    <row r="1567" spans="1:18" ht="15" customHeight="1" x14ac:dyDescent="0.25">
      <c r="A1567" s="1">
        <v>47191</v>
      </c>
      <c r="L1567" s="3">
        <f t="shared" si="75"/>
        <v>0</v>
      </c>
      <c r="M1567" s="3"/>
      <c r="N1567" s="3">
        <f t="shared" si="74"/>
        <v>0</v>
      </c>
      <c r="R1567" s="23" t="str">
        <f t="shared" si="73"/>
        <v>Yes</v>
      </c>
    </row>
    <row r="1568" spans="1:18" ht="15" customHeight="1" x14ac:dyDescent="0.25">
      <c r="A1568" s="1">
        <v>47192</v>
      </c>
      <c r="L1568" s="3">
        <f t="shared" si="75"/>
        <v>0</v>
      </c>
      <c r="M1568" s="3"/>
      <c r="N1568" s="3">
        <f t="shared" si="74"/>
        <v>0</v>
      </c>
      <c r="R1568" s="23" t="str">
        <f t="shared" si="73"/>
        <v>Yes</v>
      </c>
    </row>
    <row r="1569" spans="1:18" ht="15" customHeight="1" x14ac:dyDescent="0.25">
      <c r="A1569" s="1">
        <v>47193</v>
      </c>
      <c r="L1569" s="3">
        <f t="shared" si="75"/>
        <v>0</v>
      </c>
      <c r="M1569" s="3"/>
      <c r="N1569" s="3">
        <f t="shared" si="74"/>
        <v>0</v>
      </c>
      <c r="R1569" s="23" t="str">
        <f t="shared" si="73"/>
        <v>Yes</v>
      </c>
    </row>
    <row r="1570" spans="1:18" ht="15" customHeight="1" x14ac:dyDescent="0.25">
      <c r="A1570" s="1">
        <v>47194</v>
      </c>
      <c r="L1570" s="3">
        <f t="shared" si="75"/>
        <v>0</v>
      </c>
      <c r="M1570" s="3"/>
      <c r="N1570" s="3">
        <f t="shared" si="74"/>
        <v>0</v>
      </c>
      <c r="R1570" s="23" t="str">
        <f t="shared" si="73"/>
        <v>Yes</v>
      </c>
    </row>
    <row r="1571" spans="1:18" ht="15" customHeight="1" x14ac:dyDescent="0.25">
      <c r="A1571" s="1">
        <v>47195</v>
      </c>
      <c r="L1571" s="3">
        <f t="shared" si="75"/>
        <v>0</v>
      </c>
      <c r="M1571" s="3"/>
      <c r="N1571" s="3">
        <f t="shared" si="74"/>
        <v>0</v>
      </c>
      <c r="R1571" s="23" t="str">
        <f t="shared" si="73"/>
        <v>Yes</v>
      </c>
    </row>
    <row r="1572" spans="1:18" ht="15" customHeight="1" x14ac:dyDescent="0.25">
      <c r="A1572" s="1">
        <v>47196</v>
      </c>
      <c r="L1572" s="3">
        <f t="shared" si="75"/>
        <v>0</v>
      </c>
      <c r="M1572" s="3"/>
      <c r="N1572" s="3">
        <f t="shared" si="74"/>
        <v>0</v>
      </c>
      <c r="R1572" s="23" t="str">
        <f t="shared" si="73"/>
        <v>Yes</v>
      </c>
    </row>
    <row r="1573" spans="1:18" ht="15" customHeight="1" x14ac:dyDescent="0.25">
      <c r="A1573" s="1">
        <v>47197</v>
      </c>
      <c r="L1573" s="3">
        <f t="shared" si="75"/>
        <v>0</v>
      </c>
      <c r="M1573" s="3"/>
      <c r="N1573" s="3">
        <f t="shared" si="74"/>
        <v>0</v>
      </c>
      <c r="R1573" s="23" t="str">
        <f t="shared" si="73"/>
        <v>Yes</v>
      </c>
    </row>
    <row r="1574" spans="1:18" ht="15" customHeight="1" x14ac:dyDescent="0.25">
      <c r="A1574" s="1">
        <v>47198</v>
      </c>
      <c r="L1574" s="3">
        <f t="shared" si="75"/>
        <v>0</v>
      </c>
      <c r="M1574" s="3"/>
      <c r="N1574" s="3">
        <f t="shared" si="74"/>
        <v>0</v>
      </c>
      <c r="R1574" s="23" t="str">
        <f t="shared" si="73"/>
        <v>Yes</v>
      </c>
    </row>
    <row r="1575" spans="1:18" ht="15" customHeight="1" x14ac:dyDescent="0.25">
      <c r="A1575" s="1">
        <v>47199</v>
      </c>
      <c r="L1575" s="3">
        <f t="shared" si="75"/>
        <v>0</v>
      </c>
      <c r="M1575" s="3"/>
      <c r="N1575" s="3">
        <f t="shared" si="74"/>
        <v>0</v>
      </c>
      <c r="R1575" s="23" t="str">
        <f t="shared" si="73"/>
        <v>Yes</v>
      </c>
    </row>
    <row r="1576" spans="1:18" ht="15" customHeight="1" x14ac:dyDescent="0.25">
      <c r="A1576" s="1">
        <v>47200</v>
      </c>
      <c r="L1576" s="3">
        <f t="shared" si="75"/>
        <v>0</v>
      </c>
      <c r="M1576" s="3"/>
      <c r="N1576" s="3">
        <f t="shared" si="74"/>
        <v>0</v>
      </c>
      <c r="R1576" s="23" t="str">
        <f t="shared" si="73"/>
        <v>Yes</v>
      </c>
    </row>
    <row r="1577" spans="1:18" ht="15" customHeight="1" x14ac:dyDescent="0.25">
      <c r="A1577" s="1">
        <v>47201</v>
      </c>
      <c r="L1577" s="3">
        <f t="shared" si="75"/>
        <v>0</v>
      </c>
      <c r="M1577" s="3"/>
      <c r="N1577" s="3">
        <f t="shared" si="74"/>
        <v>0</v>
      </c>
      <c r="R1577" s="23" t="str">
        <f t="shared" si="73"/>
        <v>Yes</v>
      </c>
    </row>
    <row r="1578" spans="1:18" ht="15" customHeight="1" x14ac:dyDescent="0.25">
      <c r="A1578" s="1">
        <v>47202</v>
      </c>
      <c r="L1578" s="3">
        <f t="shared" si="75"/>
        <v>0</v>
      </c>
      <c r="M1578" s="3"/>
      <c r="N1578" s="3">
        <f t="shared" si="74"/>
        <v>0</v>
      </c>
      <c r="R1578" s="23" t="str">
        <f t="shared" si="73"/>
        <v>Yes</v>
      </c>
    </row>
    <row r="1579" spans="1:18" ht="15" customHeight="1" x14ac:dyDescent="0.25">
      <c r="A1579" s="1">
        <v>47203</v>
      </c>
      <c r="L1579" s="3">
        <f t="shared" si="75"/>
        <v>0</v>
      </c>
      <c r="M1579" s="3"/>
      <c r="N1579" s="3">
        <f t="shared" si="74"/>
        <v>0</v>
      </c>
      <c r="R1579" s="23" t="str">
        <f t="shared" si="73"/>
        <v>Yes</v>
      </c>
    </row>
    <row r="1580" spans="1:18" ht="15" customHeight="1" x14ac:dyDescent="0.25">
      <c r="A1580" s="1">
        <v>47204</v>
      </c>
      <c r="L1580" s="3">
        <f t="shared" si="75"/>
        <v>0</v>
      </c>
      <c r="M1580" s="3"/>
      <c r="N1580" s="3">
        <f t="shared" si="74"/>
        <v>0</v>
      </c>
      <c r="R1580" s="23" t="str">
        <f t="shared" si="73"/>
        <v>Yes</v>
      </c>
    </row>
    <row r="1581" spans="1:18" ht="15" customHeight="1" x14ac:dyDescent="0.25">
      <c r="A1581" s="1">
        <v>47205</v>
      </c>
      <c r="L1581" s="3">
        <f t="shared" si="75"/>
        <v>0</v>
      </c>
      <c r="M1581" s="3"/>
      <c r="N1581" s="3">
        <f t="shared" si="74"/>
        <v>0</v>
      </c>
      <c r="R1581" s="23" t="str">
        <f t="shared" ref="R1581:R1644" si="76">IF(Q1581&gt;0,"Yes",IF(OR((O1581+P1581&lt;50000),O1581&lt;24000,P1581&lt;26000),"Yes","No"))</f>
        <v>Yes</v>
      </c>
    </row>
    <row r="1582" spans="1:18" ht="15" customHeight="1" x14ac:dyDescent="0.25">
      <c r="A1582" s="1">
        <v>47206</v>
      </c>
      <c r="L1582" s="3">
        <f t="shared" si="75"/>
        <v>0</v>
      </c>
      <c r="M1582" s="3"/>
      <c r="N1582" s="3">
        <f t="shared" si="74"/>
        <v>0</v>
      </c>
      <c r="R1582" s="23" t="str">
        <f t="shared" si="76"/>
        <v>Yes</v>
      </c>
    </row>
    <row r="1583" spans="1:18" ht="15" customHeight="1" x14ac:dyDescent="0.25">
      <c r="A1583" s="1">
        <v>47207</v>
      </c>
      <c r="L1583" s="3">
        <f t="shared" si="75"/>
        <v>0</v>
      </c>
      <c r="M1583" s="3"/>
      <c r="N1583" s="3">
        <f t="shared" si="74"/>
        <v>0</v>
      </c>
      <c r="R1583" s="23" t="str">
        <f t="shared" si="76"/>
        <v>Yes</v>
      </c>
    </row>
    <row r="1584" spans="1:18" ht="15" customHeight="1" x14ac:dyDescent="0.25">
      <c r="A1584" s="1">
        <v>47208</v>
      </c>
      <c r="L1584" s="3">
        <f t="shared" si="75"/>
        <v>0</v>
      </c>
      <c r="M1584" s="3"/>
      <c r="N1584" s="3">
        <f t="shared" si="74"/>
        <v>0</v>
      </c>
      <c r="R1584" s="23" t="str">
        <f t="shared" si="76"/>
        <v>Yes</v>
      </c>
    </row>
    <row r="1585" spans="1:18" ht="15" customHeight="1" x14ac:dyDescent="0.25">
      <c r="A1585" s="1">
        <v>47209</v>
      </c>
      <c r="L1585" s="3">
        <f t="shared" si="75"/>
        <v>0</v>
      </c>
      <c r="M1585" s="3"/>
      <c r="N1585" s="3">
        <f t="shared" si="74"/>
        <v>0</v>
      </c>
      <c r="R1585" s="23" t="str">
        <f t="shared" si="76"/>
        <v>Yes</v>
      </c>
    </row>
    <row r="1586" spans="1:18" ht="15" customHeight="1" x14ac:dyDescent="0.25">
      <c r="A1586" s="1">
        <v>47210</v>
      </c>
      <c r="L1586" s="3">
        <f t="shared" si="75"/>
        <v>0</v>
      </c>
      <c r="M1586" s="3"/>
      <c r="N1586" s="3">
        <f t="shared" si="74"/>
        <v>0</v>
      </c>
      <c r="R1586" s="23" t="str">
        <f t="shared" si="76"/>
        <v>Yes</v>
      </c>
    </row>
    <row r="1587" spans="1:18" ht="15" customHeight="1" x14ac:dyDescent="0.25">
      <c r="A1587" s="1">
        <v>47211</v>
      </c>
      <c r="L1587" s="3">
        <f t="shared" si="75"/>
        <v>0</v>
      </c>
      <c r="M1587" s="3"/>
      <c r="N1587" s="3">
        <f t="shared" si="74"/>
        <v>0</v>
      </c>
      <c r="R1587" s="23" t="str">
        <f t="shared" si="76"/>
        <v>Yes</v>
      </c>
    </row>
    <row r="1588" spans="1:18" ht="15" customHeight="1" x14ac:dyDescent="0.25">
      <c r="A1588" s="1">
        <v>47212</v>
      </c>
      <c r="L1588" s="3">
        <f t="shared" si="75"/>
        <v>0</v>
      </c>
      <c r="M1588" s="3"/>
      <c r="N1588" s="3">
        <f t="shared" si="74"/>
        <v>0</v>
      </c>
      <c r="R1588" s="23" t="str">
        <f t="shared" si="76"/>
        <v>Yes</v>
      </c>
    </row>
    <row r="1589" spans="1:18" ht="15" customHeight="1" x14ac:dyDescent="0.25">
      <c r="A1589" s="1">
        <v>47213</v>
      </c>
      <c r="L1589" s="3">
        <f t="shared" si="75"/>
        <v>0</v>
      </c>
      <c r="M1589" s="3"/>
      <c r="N1589" s="3">
        <f t="shared" si="74"/>
        <v>0</v>
      </c>
      <c r="R1589" s="23" t="str">
        <f t="shared" si="76"/>
        <v>Yes</v>
      </c>
    </row>
    <row r="1590" spans="1:18" ht="15" customHeight="1" x14ac:dyDescent="0.25">
      <c r="A1590" s="1">
        <v>47214</v>
      </c>
      <c r="L1590" s="3">
        <f t="shared" si="75"/>
        <v>0</v>
      </c>
      <c r="M1590" s="3"/>
      <c r="N1590" s="3">
        <f t="shared" si="74"/>
        <v>0</v>
      </c>
      <c r="R1590" s="23" t="str">
        <f t="shared" si="76"/>
        <v>Yes</v>
      </c>
    </row>
    <row r="1591" spans="1:18" ht="15" customHeight="1" x14ac:dyDescent="0.25">
      <c r="A1591" s="1">
        <v>47215</v>
      </c>
      <c r="L1591" s="3">
        <f t="shared" si="75"/>
        <v>0</v>
      </c>
      <c r="M1591" s="3"/>
      <c r="N1591" s="3">
        <f t="shared" si="74"/>
        <v>0</v>
      </c>
      <c r="R1591" s="23" t="str">
        <f t="shared" si="76"/>
        <v>Yes</v>
      </c>
    </row>
    <row r="1592" spans="1:18" ht="15" customHeight="1" x14ac:dyDescent="0.25">
      <c r="A1592" s="1">
        <v>47216</v>
      </c>
      <c r="L1592" s="3">
        <f t="shared" si="75"/>
        <v>0</v>
      </c>
      <c r="M1592" s="3"/>
      <c r="N1592" s="3">
        <f t="shared" si="74"/>
        <v>0</v>
      </c>
      <c r="R1592" s="23" t="str">
        <f t="shared" si="76"/>
        <v>Yes</v>
      </c>
    </row>
    <row r="1593" spans="1:18" ht="15" customHeight="1" x14ac:dyDescent="0.25">
      <c r="A1593" s="1">
        <v>47217</v>
      </c>
      <c r="L1593" s="3">
        <f t="shared" si="75"/>
        <v>0</v>
      </c>
      <c r="M1593" s="3"/>
      <c r="N1593" s="3">
        <f t="shared" si="74"/>
        <v>0</v>
      </c>
      <c r="R1593" s="23" t="str">
        <f t="shared" si="76"/>
        <v>Yes</v>
      </c>
    </row>
    <row r="1594" spans="1:18" ht="15" customHeight="1" x14ac:dyDescent="0.25">
      <c r="A1594" s="1">
        <v>47218</v>
      </c>
      <c r="L1594" s="3">
        <f t="shared" si="75"/>
        <v>0</v>
      </c>
      <c r="M1594" s="3"/>
      <c r="N1594" s="3">
        <f t="shared" si="74"/>
        <v>0</v>
      </c>
      <c r="R1594" s="23" t="str">
        <f t="shared" si="76"/>
        <v>Yes</v>
      </c>
    </row>
    <row r="1595" spans="1:18" ht="15" customHeight="1" x14ac:dyDescent="0.25">
      <c r="A1595" s="1">
        <v>47219</v>
      </c>
      <c r="L1595" s="3">
        <f t="shared" si="75"/>
        <v>0</v>
      </c>
      <c r="M1595" s="3"/>
      <c r="N1595" s="3">
        <f t="shared" si="74"/>
        <v>0</v>
      </c>
      <c r="R1595" s="23" t="str">
        <f t="shared" si="76"/>
        <v>Yes</v>
      </c>
    </row>
    <row r="1596" spans="1:18" ht="15" customHeight="1" x14ac:dyDescent="0.25">
      <c r="A1596" s="1">
        <v>47220</v>
      </c>
      <c r="L1596" s="3">
        <f t="shared" si="75"/>
        <v>0</v>
      </c>
      <c r="M1596" s="3"/>
      <c r="N1596" s="3">
        <f t="shared" si="74"/>
        <v>0</v>
      </c>
      <c r="R1596" s="23" t="str">
        <f t="shared" si="76"/>
        <v>Yes</v>
      </c>
    </row>
    <row r="1597" spans="1:18" ht="15" customHeight="1" x14ac:dyDescent="0.25">
      <c r="A1597" s="1">
        <v>47221</v>
      </c>
      <c r="L1597" s="3">
        <f t="shared" si="75"/>
        <v>0</v>
      </c>
      <c r="M1597" s="3"/>
      <c r="N1597" s="3">
        <f t="shared" si="74"/>
        <v>0</v>
      </c>
      <c r="R1597" s="23" t="str">
        <f t="shared" si="76"/>
        <v>Yes</v>
      </c>
    </row>
    <row r="1598" spans="1:18" ht="15" customHeight="1" x14ac:dyDescent="0.25">
      <c r="A1598" s="1">
        <v>47222</v>
      </c>
      <c r="L1598" s="3">
        <f t="shared" si="75"/>
        <v>0</v>
      </c>
      <c r="M1598" s="3"/>
      <c r="N1598" s="3">
        <f t="shared" si="74"/>
        <v>0</v>
      </c>
      <c r="R1598" s="23" t="str">
        <f t="shared" si="76"/>
        <v>Yes</v>
      </c>
    </row>
    <row r="1599" spans="1:18" ht="15" customHeight="1" x14ac:dyDescent="0.25">
      <c r="A1599" s="1">
        <v>47223</v>
      </c>
      <c r="L1599" s="3">
        <f t="shared" si="75"/>
        <v>0</v>
      </c>
      <c r="M1599" s="3"/>
      <c r="N1599" s="3">
        <f t="shared" si="74"/>
        <v>0</v>
      </c>
      <c r="R1599" s="23" t="str">
        <f t="shared" si="76"/>
        <v>Yes</v>
      </c>
    </row>
    <row r="1600" spans="1:18" ht="15" customHeight="1" x14ac:dyDescent="0.25">
      <c r="A1600" s="1">
        <v>47224</v>
      </c>
      <c r="L1600" s="3">
        <f t="shared" si="75"/>
        <v>0</v>
      </c>
      <c r="M1600" s="3"/>
      <c r="N1600" s="3">
        <f t="shared" si="74"/>
        <v>0</v>
      </c>
      <c r="R1600" s="23" t="str">
        <f t="shared" si="76"/>
        <v>Yes</v>
      </c>
    </row>
    <row r="1601" spans="1:18" ht="15" customHeight="1" x14ac:dyDescent="0.25">
      <c r="A1601" s="1">
        <v>47225</v>
      </c>
      <c r="L1601" s="3">
        <f t="shared" si="75"/>
        <v>0</v>
      </c>
      <c r="M1601" s="3"/>
      <c r="N1601" s="3">
        <f t="shared" si="74"/>
        <v>0</v>
      </c>
      <c r="R1601" s="23" t="str">
        <f t="shared" si="76"/>
        <v>Yes</v>
      </c>
    </row>
    <row r="1602" spans="1:18" ht="15" customHeight="1" x14ac:dyDescent="0.25">
      <c r="A1602" s="1">
        <v>47226</v>
      </c>
      <c r="L1602" s="3">
        <f t="shared" si="75"/>
        <v>0</v>
      </c>
      <c r="M1602" s="3"/>
      <c r="N1602" s="3">
        <f t="shared" si="74"/>
        <v>0</v>
      </c>
      <c r="R1602" s="23" t="str">
        <f t="shared" si="76"/>
        <v>Yes</v>
      </c>
    </row>
    <row r="1603" spans="1:18" ht="15" customHeight="1" x14ac:dyDescent="0.25">
      <c r="A1603" s="1">
        <v>47227</v>
      </c>
      <c r="L1603" s="3">
        <f t="shared" si="75"/>
        <v>0</v>
      </c>
      <c r="M1603" s="3"/>
      <c r="N1603" s="3">
        <f t="shared" ref="N1603:N1654" si="77">IF(OR(O1603&lt;24300,P1603&lt;25700),MAX(L1603,M1603),L1603)</f>
        <v>0</v>
      </c>
      <c r="R1603" s="23" t="str">
        <f t="shared" si="76"/>
        <v>Yes</v>
      </c>
    </row>
    <row r="1604" spans="1:18" ht="15" customHeight="1" x14ac:dyDescent="0.25">
      <c r="A1604" s="1">
        <v>47228</v>
      </c>
      <c r="L1604" s="3">
        <f t="shared" ref="L1604:L1654" si="78">SUM(B1604:K1604)</f>
        <v>0</v>
      </c>
      <c r="M1604" s="3"/>
      <c r="N1604" s="3">
        <f t="shared" si="77"/>
        <v>0</v>
      </c>
      <c r="R1604" s="23" t="str">
        <f t="shared" si="76"/>
        <v>Yes</v>
      </c>
    </row>
    <row r="1605" spans="1:18" ht="15" customHeight="1" x14ac:dyDescent="0.25">
      <c r="A1605" s="1">
        <v>47229</v>
      </c>
      <c r="L1605" s="3">
        <f t="shared" si="78"/>
        <v>0</v>
      </c>
      <c r="M1605" s="3"/>
      <c r="N1605" s="3">
        <f t="shared" si="77"/>
        <v>0</v>
      </c>
      <c r="R1605" s="23" t="str">
        <f t="shared" si="76"/>
        <v>Yes</v>
      </c>
    </row>
    <row r="1606" spans="1:18" ht="15" customHeight="1" x14ac:dyDescent="0.25">
      <c r="A1606" s="1">
        <v>47230</v>
      </c>
      <c r="L1606" s="3">
        <f t="shared" si="78"/>
        <v>0</v>
      </c>
      <c r="M1606" s="3"/>
      <c r="N1606" s="3">
        <f t="shared" si="77"/>
        <v>0</v>
      </c>
      <c r="R1606" s="23" t="str">
        <f t="shared" si="76"/>
        <v>Yes</v>
      </c>
    </row>
    <row r="1607" spans="1:18" ht="15" customHeight="1" x14ac:dyDescent="0.25">
      <c r="A1607" s="1">
        <v>47231</v>
      </c>
      <c r="L1607" s="3">
        <f t="shared" si="78"/>
        <v>0</v>
      </c>
      <c r="M1607" s="3"/>
      <c r="N1607" s="3">
        <f t="shared" si="77"/>
        <v>0</v>
      </c>
      <c r="R1607" s="23" t="str">
        <f t="shared" si="76"/>
        <v>Yes</v>
      </c>
    </row>
    <row r="1608" spans="1:18" ht="15" customHeight="1" x14ac:dyDescent="0.25">
      <c r="A1608" s="1">
        <v>47232</v>
      </c>
      <c r="L1608" s="3">
        <f t="shared" si="78"/>
        <v>0</v>
      </c>
      <c r="M1608" s="3"/>
      <c r="N1608" s="3">
        <f t="shared" si="77"/>
        <v>0</v>
      </c>
      <c r="R1608" s="23" t="str">
        <f t="shared" si="76"/>
        <v>Yes</v>
      </c>
    </row>
    <row r="1609" spans="1:18" ht="15" customHeight="1" x14ac:dyDescent="0.25">
      <c r="A1609" s="1">
        <v>47233</v>
      </c>
      <c r="L1609" s="3">
        <f t="shared" si="78"/>
        <v>0</v>
      </c>
      <c r="M1609" s="3"/>
      <c r="N1609" s="3">
        <f t="shared" si="77"/>
        <v>0</v>
      </c>
      <c r="R1609" s="23" t="str">
        <f t="shared" si="76"/>
        <v>Yes</v>
      </c>
    </row>
    <row r="1610" spans="1:18" ht="15" customHeight="1" x14ac:dyDescent="0.25">
      <c r="A1610" s="1">
        <v>47234</v>
      </c>
      <c r="L1610" s="3">
        <f t="shared" si="78"/>
        <v>0</v>
      </c>
      <c r="M1610" s="3"/>
      <c r="N1610" s="3">
        <f t="shared" si="77"/>
        <v>0</v>
      </c>
      <c r="R1610" s="23" t="str">
        <f t="shared" si="76"/>
        <v>Yes</v>
      </c>
    </row>
    <row r="1611" spans="1:18" ht="15" customHeight="1" x14ac:dyDescent="0.25">
      <c r="A1611" s="1">
        <v>47235</v>
      </c>
      <c r="L1611" s="3">
        <f t="shared" si="78"/>
        <v>0</v>
      </c>
      <c r="M1611" s="3"/>
      <c r="N1611" s="3">
        <f t="shared" si="77"/>
        <v>0</v>
      </c>
      <c r="R1611" s="23" t="str">
        <f t="shared" si="76"/>
        <v>Yes</v>
      </c>
    </row>
    <row r="1612" spans="1:18" ht="15" customHeight="1" x14ac:dyDescent="0.25">
      <c r="A1612" s="1">
        <v>47236</v>
      </c>
      <c r="L1612" s="3">
        <f t="shared" si="78"/>
        <v>0</v>
      </c>
      <c r="M1612" s="3"/>
      <c r="N1612" s="3">
        <f t="shared" si="77"/>
        <v>0</v>
      </c>
      <c r="R1612" s="23" t="str">
        <f t="shared" si="76"/>
        <v>Yes</v>
      </c>
    </row>
    <row r="1613" spans="1:18" ht="15" customHeight="1" x14ac:dyDescent="0.25">
      <c r="A1613" s="1">
        <v>47237</v>
      </c>
      <c r="L1613" s="3">
        <f t="shared" si="78"/>
        <v>0</v>
      </c>
      <c r="M1613" s="3"/>
      <c r="N1613" s="3">
        <f t="shared" si="77"/>
        <v>0</v>
      </c>
      <c r="R1613" s="23" t="str">
        <f t="shared" si="76"/>
        <v>Yes</v>
      </c>
    </row>
    <row r="1614" spans="1:18" ht="15" customHeight="1" x14ac:dyDescent="0.25">
      <c r="A1614" s="1">
        <v>47238</v>
      </c>
      <c r="L1614" s="3">
        <f t="shared" si="78"/>
        <v>0</v>
      </c>
      <c r="M1614" s="3"/>
      <c r="N1614" s="3">
        <f t="shared" si="77"/>
        <v>0</v>
      </c>
      <c r="R1614" s="23" t="str">
        <f t="shared" si="76"/>
        <v>Yes</v>
      </c>
    </row>
    <row r="1615" spans="1:18" ht="15" customHeight="1" x14ac:dyDescent="0.25">
      <c r="A1615" s="1">
        <v>47239</v>
      </c>
      <c r="L1615" s="3">
        <f t="shared" si="78"/>
        <v>0</v>
      </c>
      <c r="M1615" s="3"/>
      <c r="N1615" s="3">
        <f t="shared" si="77"/>
        <v>0</v>
      </c>
      <c r="R1615" s="23" t="str">
        <f t="shared" si="76"/>
        <v>Yes</v>
      </c>
    </row>
    <row r="1616" spans="1:18" ht="15" customHeight="1" x14ac:dyDescent="0.25">
      <c r="A1616" s="1">
        <v>47240</v>
      </c>
      <c r="L1616" s="3">
        <f t="shared" si="78"/>
        <v>0</v>
      </c>
      <c r="M1616" s="3"/>
      <c r="N1616" s="3">
        <f t="shared" si="77"/>
        <v>0</v>
      </c>
      <c r="R1616" s="23" t="str">
        <f t="shared" si="76"/>
        <v>Yes</v>
      </c>
    </row>
    <row r="1617" spans="1:18" ht="15" customHeight="1" x14ac:dyDescent="0.25">
      <c r="A1617" s="1">
        <v>47241</v>
      </c>
      <c r="L1617" s="3">
        <f t="shared" si="78"/>
        <v>0</v>
      </c>
      <c r="M1617" s="3"/>
      <c r="N1617" s="3">
        <f t="shared" si="77"/>
        <v>0</v>
      </c>
      <c r="R1617" s="23" t="str">
        <f t="shared" si="76"/>
        <v>Yes</v>
      </c>
    </row>
    <row r="1618" spans="1:18" ht="15" customHeight="1" x14ac:dyDescent="0.25">
      <c r="A1618" s="1">
        <v>47242</v>
      </c>
      <c r="L1618" s="3">
        <f t="shared" si="78"/>
        <v>0</v>
      </c>
      <c r="M1618" s="3"/>
      <c r="N1618" s="3">
        <f t="shared" si="77"/>
        <v>0</v>
      </c>
      <c r="R1618" s="23" t="str">
        <f t="shared" si="76"/>
        <v>Yes</v>
      </c>
    </row>
    <row r="1619" spans="1:18" ht="15" customHeight="1" x14ac:dyDescent="0.25">
      <c r="A1619" s="1">
        <v>47243</v>
      </c>
      <c r="L1619" s="3">
        <f t="shared" si="78"/>
        <v>0</v>
      </c>
      <c r="M1619" s="3"/>
      <c r="N1619" s="3">
        <f t="shared" si="77"/>
        <v>0</v>
      </c>
      <c r="R1619" s="23" t="str">
        <f t="shared" si="76"/>
        <v>Yes</v>
      </c>
    </row>
    <row r="1620" spans="1:18" ht="15" customHeight="1" x14ac:dyDescent="0.25">
      <c r="A1620" s="1">
        <v>47244</v>
      </c>
      <c r="L1620" s="3">
        <f t="shared" si="78"/>
        <v>0</v>
      </c>
      <c r="M1620" s="3"/>
      <c r="N1620" s="3">
        <f t="shared" si="77"/>
        <v>0</v>
      </c>
      <c r="R1620" s="23" t="str">
        <f t="shared" si="76"/>
        <v>Yes</v>
      </c>
    </row>
    <row r="1621" spans="1:18" ht="15" customHeight="1" x14ac:dyDescent="0.25">
      <c r="A1621" s="1">
        <v>47245</v>
      </c>
      <c r="L1621" s="3">
        <f t="shared" si="78"/>
        <v>0</v>
      </c>
      <c r="M1621" s="3"/>
      <c r="N1621" s="3">
        <f t="shared" si="77"/>
        <v>0</v>
      </c>
      <c r="R1621" s="23" t="str">
        <f t="shared" si="76"/>
        <v>Yes</v>
      </c>
    </row>
    <row r="1622" spans="1:18" ht="15" customHeight="1" x14ac:dyDescent="0.25">
      <c r="A1622" s="1">
        <v>47246</v>
      </c>
      <c r="L1622" s="3">
        <f t="shared" si="78"/>
        <v>0</v>
      </c>
      <c r="M1622" s="3"/>
      <c r="N1622" s="3">
        <f t="shared" si="77"/>
        <v>0</v>
      </c>
      <c r="R1622" s="23" t="str">
        <f t="shared" si="76"/>
        <v>Yes</v>
      </c>
    </row>
    <row r="1623" spans="1:18" ht="15" customHeight="1" x14ac:dyDescent="0.25">
      <c r="A1623" s="1">
        <v>47247</v>
      </c>
      <c r="L1623" s="3">
        <f t="shared" si="78"/>
        <v>0</v>
      </c>
      <c r="M1623" s="3"/>
      <c r="N1623" s="3">
        <f t="shared" si="77"/>
        <v>0</v>
      </c>
      <c r="R1623" s="23" t="str">
        <f t="shared" si="76"/>
        <v>Yes</v>
      </c>
    </row>
    <row r="1624" spans="1:18" ht="15" customHeight="1" x14ac:dyDescent="0.25">
      <c r="A1624" s="1">
        <v>47248</v>
      </c>
      <c r="L1624" s="3">
        <f t="shared" si="78"/>
        <v>0</v>
      </c>
      <c r="M1624" s="3"/>
      <c r="N1624" s="3">
        <f t="shared" si="77"/>
        <v>0</v>
      </c>
      <c r="R1624" s="23" t="str">
        <f t="shared" si="76"/>
        <v>Yes</v>
      </c>
    </row>
    <row r="1625" spans="1:18" ht="15" customHeight="1" x14ac:dyDescent="0.25">
      <c r="A1625" s="1">
        <v>47249</v>
      </c>
      <c r="L1625" s="3">
        <f t="shared" si="78"/>
        <v>0</v>
      </c>
      <c r="M1625" s="3"/>
      <c r="N1625" s="3">
        <f t="shared" si="77"/>
        <v>0</v>
      </c>
      <c r="R1625" s="23" t="str">
        <f t="shared" si="76"/>
        <v>Yes</v>
      </c>
    </row>
    <row r="1626" spans="1:18" ht="15" customHeight="1" x14ac:dyDescent="0.25">
      <c r="A1626" s="1">
        <v>47250</v>
      </c>
      <c r="L1626" s="3">
        <f t="shared" si="78"/>
        <v>0</v>
      </c>
      <c r="M1626" s="3"/>
      <c r="N1626" s="3">
        <f t="shared" si="77"/>
        <v>0</v>
      </c>
      <c r="R1626" s="23" t="str">
        <f t="shared" si="76"/>
        <v>Yes</v>
      </c>
    </row>
    <row r="1627" spans="1:18" ht="15" customHeight="1" x14ac:dyDescent="0.25">
      <c r="A1627" s="1">
        <v>47251</v>
      </c>
      <c r="L1627" s="3">
        <f t="shared" si="78"/>
        <v>0</v>
      </c>
      <c r="M1627" s="3"/>
      <c r="N1627" s="3">
        <f t="shared" si="77"/>
        <v>0</v>
      </c>
      <c r="R1627" s="23" t="str">
        <f t="shared" si="76"/>
        <v>Yes</v>
      </c>
    </row>
    <row r="1628" spans="1:18" ht="15" customHeight="1" x14ac:dyDescent="0.25">
      <c r="A1628" s="1">
        <v>47252</v>
      </c>
      <c r="L1628" s="3">
        <f t="shared" si="78"/>
        <v>0</v>
      </c>
      <c r="M1628" s="3"/>
      <c r="N1628" s="3">
        <f t="shared" si="77"/>
        <v>0</v>
      </c>
      <c r="R1628" s="23" t="str">
        <f t="shared" si="76"/>
        <v>Yes</v>
      </c>
    </row>
    <row r="1629" spans="1:18" ht="15" customHeight="1" x14ac:dyDescent="0.25">
      <c r="A1629" s="1">
        <v>47253</v>
      </c>
      <c r="L1629" s="3">
        <f t="shared" si="78"/>
        <v>0</v>
      </c>
      <c r="M1629" s="3"/>
      <c r="N1629" s="3">
        <f t="shared" si="77"/>
        <v>0</v>
      </c>
      <c r="R1629" s="23" t="str">
        <f t="shared" si="76"/>
        <v>Yes</v>
      </c>
    </row>
    <row r="1630" spans="1:18" ht="15" customHeight="1" x14ac:dyDescent="0.25">
      <c r="A1630" s="1">
        <v>47254</v>
      </c>
      <c r="L1630" s="3">
        <f t="shared" si="78"/>
        <v>0</v>
      </c>
      <c r="M1630" s="3"/>
      <c r="N1630" s="3">
        <f t="shared" si="77"/>
        <v>0</v>
      </c>
      <c r="R1630" s="23" t="str">
        <f t="shared" si="76"/>
        <v>Yes</v>
      </c>
    </row>
    <row r="1631" spans="1:18" ht="15" customHeight="1" x14ac:dyDescent="0.25">
      <c r="A1631" s="1">
        <v>47255</v>
      </c>
      <c r="L1631" s="3">
        <f t="shared" si="78"/>
        <v>0</v>
      </c>
      <c r="M1631" s="3"/>
      <c r="N1631" s="3">
        <f t="shared" si="77"/>
        <v>0</v>
      </c>
      <c r="R1631" s="23" t="str">
        <f t="shared" si="76"/>
        <v>Yes</v>
      </c>
    </row>
    <row r="1632" spans="1:18" ht="15" customHeight="1" x14ac:dyDescent="0.25">
      <c r="A1632" s="1">
        <v>47256</v>
      </c>
      <c r="L1632" s="3">
        <f t="shared" si="78"/>
        <v>0</v>
      </c>
      <c r="M1632" s="3"/>
      <c r="N1632" s="3">
        <f t="shared" si="77"/>
        <v>0</v>
      </c>
      <c r="R1632" s="23" t="str">
        <f t="shared" si="76"/>
        <v>Yes</v>
      </c>
    </row>
    <row r="1633" spans="1:18" ht="15" customHeight="1" x14ac:dyDescent="0.25">
      <c r="A1633" s="1">
        <v>47257</v>
      </c>
      <c r="L1633" s="3">
        <f t="shared" si="78"/>
        <v>0</v>
      </c>
      <c r="M1633" s="3"/>
      <c r="N1633" s="3">
        <f t="shared" si="77"/>
        <v>0</v>
      </c>
      <c r="R1633" s="23" t="str">
        <f t="shared" si="76"/>
        <v>Yes</v>
      </c>
    </row>
    <row r="1634" spans="1:18" ht="15" customHeight="1" x14ac:dyDescent="0.25">
      <c r="A1634" s="1">
        <v>47258</v>
      </c>
      <c r="L1634" s="3">
        <f t="shared" si="78"/>
        <v>0</v>
      </c>
      <c r="M1634" s="3"/>
      <c r="N1634" s="3">
        <f t="shared" si="77"/>
        <v>0</v>
      </c>
      <c r="R1634" s="23" t="str">
        <f t="shared" si="76"/>
        <v>Yes</v>
      </c>
    </row>
    <row r="1635" spans="1:18" ht="15" customHeight="1" x14ac:dyDescent="0.25">
      <c r="A1635" s="1">
        <v>47259</v>
      </c>
      <c r="L1635" s="3">
        <f t="shared" si="78"/>
        <v>0</v>
      </c>
      <c r="M1635" s="3"/>
      <c r="N1635" s="3">
        <f t="shared" si="77"/>
        <v>0</v>
      </c>
      <c r="R1635" s="23" t="str">
        <f t="shared" si="76"/>
        <v>Yes</v>
      </c>
    </row>
    <row r="1636" spans="1:18" ht="15" customHeight="1" x14ac:dyDescent="0.25">
      <c r="A1636" s="1">
        <v>47260</v>
      </c>
      <c r="L1636" s="3">
        <f t="shared" si="78"/>
        <v>0</v>
      </c>
      <c r="M1636" s="3"/>
      <c r="N1636" s="3">
        <f t="shared" si="77"/>
        <v>0</v>
      </c>
      <c r="R1636" s="23" t="str">
        <f t="shared" si="76"/>
        <v>Yes</v>
      </c>
    </row>
    <row r="1637" spans="1:18" ht="15" customHeight="1" x14ac:dyDescent="0.25">
      <c r="A1637" s="1">
        <v>47261</v>
      </c>
      <c r="L1637" s="3">
        <f t="shared" si="78"/>
        <v>0</v>
      </c>
      <c r="M1637" s="3"/>
      <c r="N1637" s="3">
        <f t="shared" si="77"/>
        <v>0</v>
      </c>
      <c r="R1637" s="23" t="str">
        <f t="shared" si="76"/>
        <v>Yes</v>
      </c>
    </row>
    <row r="1638" spans="1:18" ht="15" customHeight="1" x14ac:dyDescent="0.25">
      <c r="A1638" s="1">
        <v>47262</v>
      </c>
      <c r="L1638" s="3">
        <f t="shared" si="78"/>
        <v>0</v>
      </c>
      <c r="M1638" s="3"/>
      <c r="N1638" s="3">
        <f t="shared" si="77"/>
        <v>0</v>
      </c>
      <c r="R1638" s="23" t="str">
        <f t="shared" si="76"/>
        <v>Yes</v>
      </c>
    </row>
    <row r="1639" spans="1:18" ht="15" customHeight="1" x14ac:dyDescent="0.25">
      <c r="A1639" s="1">
        <v>47263</v>
      </c>
      <c r="L1639" s="3">
        <f t="shared" si="78"/>
        <v>0</v>
      </c>
      <c r="M1639" s="3"/>
      <c r="N1639" s="3">
        <f t="shared" si="77"/>
        <v>0</v>
      </c>
      <c r="R1639" s="23" t="str">
        <f t="shared" si="76"/>
        <v>Yes</v>
      </c>
    </row>
    <row r="1640" spans="1:18" ht="15" customHeight="1" x14ac:dyDescent="0.25">
      <c r="A1640" s="1">
        <v>47264</v>
      </c>
      <c r="L1640" s="3">
        <f t="shared" si="78"/>
        <v>0</v>
      </c>
      <c r="M1640" s="3"/>
      <c r="N1640" s="3">
        <f t="shared" si="77"/>
        <v>0</v>
      </c>
      <c r="R1640" s="23" t="str">
        <f t="shared" si="76"/>
        <v>Yes</v>
      </c>
    </row>
    <row r="1641" spans="1:18" ht="15" customHeight="1" x14ac:dyDescent="0.25">
      <c r="A1641" s="1">
        <v>47265</v>
      </c>
      <c r="L1641" s="3">
        <f t="shared" si="78"/>
        <v>0</v>
      </c>
      <c r="M1641" s="3"/>
      <c r="N1641" s="3">
        <f t="shared" si="77"/>
        <v>0</v>
      </c>
      <c r="R1641" s="23" t="str">
        <f t="shared" si="76"/>
        <v>Yes</v>
      </c>
    </row>
    <row r="1642" spans="1:18" ht="15" customHeight="1" x14ac:dyDescent="0.25">
      <c r="A1642" s="1">
        <v>47266</v>
      </c>
      <c r="L1642" s="3">
        <f t="shared" si="78"/>
        <v>0</v>
      </c>
      <c r="M1642" s="3"/>
      <c r="N1642" s="3">
        <f t="shared" si="77"/>
        <v>0</v>
      </c>
      <c r="R1642" s="23" t="str">
        <f t="shared" si="76"/>
        <v>Yes</v>
      </c>
    </row>
    <row r="1643" spans="1:18" ht="15" customHeight="1" x14ac:dyDescent="0.25">
      <c r="A1643" s="1">
        <v>47267</v>
      </c>
      <c r="L1643" s="3">
        <f t="shared" si="78"/>
        <v>0</v>
      </c>
      <c r="M1643" s="3"/>
      <c r="N1643" s="3">
        <f t="shared" si="77"/>
        <v>0</v>
      </c>
      <c r="R1643" s="23" t="str">
        <f t="shared" si="76"/>
        <v>Yes</v>
      </c>
    </row>
    <row r="1644" spans="1:18" ht="15" customHeight="1" x14ac:dyDescent="0.25">
      <c r="A1644" s="1">
        <v>47268</v>
      </c>
      <c r="L1644" s="3">
        <f t="shared" si="78"/>
        <v>0</v>
      </c>
      <c r="M1644" s="3"/>
      <c r="N1644" s="3">
        <f t="shared" si="77"/>
        <v>0</v>
      </c>
      <c r="R1644" s="23" t="str">
        <f t="shared" si="76"/>
        <v>Yes</v>
      </c>
    </row>
    <row r="1645" spans="1:18" ht="15" customHeight="1" x14ac:dyDescent="0.25">
      <c r="A1645" s="1">
        <v>47269</v>
      </c>
      <c r="L1645" s="3">
        <f t="shared" si="78"/>
        <v>0</v>
      </c>
      <c r="M1645" s="3"/>
      <c r="N1645" s="3">
        <f t="shared" si="77"/>
        <v>0</v>
      </c>
      <c r="R1645" s="23" t="str">
        <f t="shared" ref="R1645:R1654" si="79">IF(Q1645&gt;0,"Yes",IF(OR((O1645+P1645&lt;50000),O1645&lt;24000,P1645&lt;26000),"Yes","No"))</f>
        <v>Yes</v>
      </c>
    </row>
    <row r="1646" spans="1:18" ht="15" customHeight="1" x14ac:dyDescent="0.25">
      <c r="A1646" s="1">
        <v>47270</v>
      </c>
      <c r="L1646" s="3">
        <f t="shared" si="78"/>
        <v>0</v>
      </c>
      <c r="M1646" s="3"/>
      <c r="N1646" s="3">
        <f t="shared" si="77"/>
        <v>0</v>
      </c>
      <c r="R1646" s="23" t="str">
        <f t="shared" si="79"/>
        <v>Yes</v>
      </c>
    </row>
    <row r="1647" spans="1:18" ht="15" customHeight="1" x14ac:dyDescent="0.25">
      <c r="A1647" s="1">
        <v>47271</v>
      </c>
      <c r="L1647" s="3">
        <f t="shared" si="78"/>
        <v>0</v>
      </c>
      <c r="M1647" s="3"/>
      <c r="N1647" s="3">
        <f t="shared" si="77"/>
        <v>0</v>
      </c>
      <c r="R1647" s="23" t="str">
        <f t="shared" si="79"/>
        <v>Yes</v>
      </c>
    </row>
    <row r="1648" spans="1:18" ht="15" customHeight="1" x14ac:dyDescent="0.25">
      <c r="A1648" s="1">
        <v>47272</v>
      </c>
      <c r="L1648" s="3">
        <f t="shared" si="78"/>
        <v>0</v>
      </c>
      <c r="M1648" s="3"/>
      <c r="N1648" s="3">
        <f t="shared" si="77"/>
        <v>0</v>
      </c>
      <c r="R1648" s="23" t="str">
        <f t="shared" si="79"/>
        <v>Yes</v>
      </c>
    </row>
    <row r="1649" spans="1:18" ht="15" customHeight="1" x14ac:dyDescent="0.25">
      <c r="A1649" s="1">
        <v>47273</v>
      </c>
      <c r="L1649" s="3">
        <f t="shared" si="78"/>
        <v>0</v>
      </c>
      <c r="M1649" s="3"/>
      <c r="N1649" s="3">
        <f t="shared" si="77"/>
        <v>0</v>
      </c>
      <c r="R1649" s="23" t="str">
        <f t="shared" si="79"/>
        <v>Yes</v>
      </c>
    </row>
    <row r="1650" spans="1:18" ht="15" customHeight="1" x14ac:dyDescent="0.25">
      <c r="A1650" s="1">
        <v>47274</v>
      </c>
      <c r="L1650" s="3">
        <f t="shared" si="78"/>
        <v>0</v>
      </c>
      <c r="M1650" s="3"/>
      <c r="N1650" s="3">
        <f t="shared" si="77"/>
        <v>0</v>
      </c>
      <c r="R1650" s="23" t="str">
        <f t="shared" si="79"/>
        <v>Yes</v>
      </c>
    </row>
    <row r="1651" spans="1:18" ht="15" customHeight="1" x14ac:dyDescent="0.25">
      <c r="A1651" s="1">
        <v>47275</v>
      </c>
      <c r="L1651" s="3">
        <f t="shared" si="78"/>
        <v>0</v>
      </c>
      <c r="M1651" s="3"/>
      <c r="N1651" s="3">
        <f t="shared" si="77"/>
        <v>0</v>
      </c>
      <c r="R1651" s="23" t="str">
        <f t="shared" si="79"/>
        <v>Yes</v>
      </c>
    </row>
    <row r="1652" spans="1:18" ht="15" customHeight="1" x14ac:dyDescent="0.25">
      <c r="A1652" s="1">
        <v>47276</v>
      </c>
      <c r="L1652" s="3">
        <f t="shared" si="78"/>
        <v>0</v>
      </c>
      <c r="M1652" s="3"/>
      <c r="N1652" s="3">
        <f t="shared" si="77"/>
        <v>0</v>
      </c>
      <c r="R1652" s="23" t="str">
        <f t="shared" si="79"/>
        <v>Yes</v>
      </c>
    </row>
    <row r="1653" spans="1:18" ht="15" customHeight="1" x14ac:dyDescent="0.25">
      <c r="A1653" s="1">
        <v>47277</v>
      </c>
      <c r="L1653" s="3">
        <f t="shared" si="78"/>
        <v>0</v>
      </c>
      <c r="M1653" s="3"/>
      <c r="N1653" s="3">
        <f t="shared" si="77"/>
        <v>0</v>
      </c>
      <c r="R1653" s="23" t="str">
        <f t="shared" si="79"/>
        <v>Yes</v>
      </c>
    </row>
    <row r="1654" spans="1:18" ht="15" customHeight="1" x14ac:dyDescent="0.25">
      <c r="A1654" s="1">
        <v>47278</v>
      </c>
      <c r="L1654" s="3">
        <f t="shared" si="78"/>
        <v>0</v>
      </c>
      <c r="M1654" s="3"/>
      <c r="N1654" s="3">
        <f t="shared" si="77"/>
        <v>0</v>
      </c>
      <c r="R1654" s="23" t="str">
        <f t="shared" si="79"/>
        <v>Yes</v>
      </c>
    </row>
  </sheetData>
  <autoFilter ref="A2:P1654" xr:uid="{BFFD060E-333C-4D6C-A519-BB635400CF62}">
    <filterColumn colId="0">
      <filters>
        <dateGroupItem year="2026" month="4" dateTimeGrouping="month"/>
        <dateGroupItem year="2025" dateTimeGrouping="year"/>
        <dateGroupItem year="2024" dateTimeGrouping="year"/>
      </filters>
    </filterColumn>
  </autoFilter>
  <mergeCells count="2">
    <mergeCell ref="B1:L1"/>
    <mergeCell ref="O1:P1"/>
  </mergeCells>
  <phoneticPr fontId="3" type="noConversion"/>
  <conditionalFormatting sqref="B102:K498">
    <cfRule type="colorScale" priority="58">
      <colorScale>
        <cfvo type="min"/>
        <cfvo type="percentile" val="50"/>
        <cfvo type="max"/>
        <color rgb="FFF8696B"/>
        <color rgb="FFFFEB84"/>
        <color rgb="FF63BE7B"/>
      </colorScale>
    </cfRule>
  </conditionalFormatting>
  <conditionalFormatting sqref="B743:K756">
    <cfRule type="colorScale" priority="47">
      <colorScale>
        <cfvo type="min"/>
        <cfvo type="percentile" val="50"/>
        <cfvo type="max"/>
        <color rgb="FFF8696B"/>
        <color rgb="FFFFEB84"/>
        <color rgb="FF63BE7B"/>
      </colorScale>
    </cfRule>
  </conditionalFormatting>
  <conditionalFormatting sqref="B1141:K1147">
    <cfRule type="colorScale" priority="40">
      <colorScale>
        <cfvo type="min"/>
        <cfvo type="percentile" val="50"/>
        <cfvo type="max"/>
        <color rgb="FFF8696B"/>
        <color rgb="FFFFEB84"/>
        <color rgb="FF63BE7B"/>
      </colorScale>
    </cfRule>
    <cfRule type="colorScale" priority="41">
      <colorScale>
        <cfvo type="min"/>
        <cfvo type="percentile" val="50"/>
        <cfvo type="max"/>
        <color rgb="FFF8696B"/>
        <color rgb="FFFFEB84"/>
        <color rgb="FF63BE7B"/>
      </colorScale>
    </cfRule>
  </conditionalFormatting>
  <conditionalFormatting sqref="B3:K4 B5 D5:K5 B6:K32">
    <cfRule type="colorScale" priority="64">
      <colorScale>
        <cfvo type="min"/>
        <cfvo type="percentile" val="50"/>
        <cfvo type="max"/>
        <color rgb="FFF8696B"/>
        <color rgb="FFFFEB84"/>
        <color rgb="FF63BE7B"/>
      </colorScale>
    </cfRule>
  </conditionalFormatting>
  <conditionalFormatting sqref="M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conditionalFormatting sqref="N3:N1654">
    <cfRule type="colorScale" priority="241">
      <colorScale>
        <cfvo type="min"/>
        <cfvo type="percentile" val="50"/>
        <cfvo type="max"/>
        <color rgb="FFF8696B"/>
        <color rgb="FFFFEB84"/>
        <color rgb="FF63BE7B"/>
      </colorScale>
    </cfRule>
  </conditionalFormatting>
  <conditionalFormatting sqref="N3:N1654">
    <cfRule type="colorScale" priority="242">
      <colorScale>
        <cfvo type="min"/>
        <cfvo type="percentile" val="50"/>
        <cfvo type="max"/>
        <color rgb="FFF8696B"/>
        <color rgb="FFFFEB84"/>
        <color rgb="FF63BE7B"/>
      </colorScale>
    </cfRule>
    <cfRule type="colorScale" priority="243">
      <colorScale>
        <cfvo type="min"/>
        <cfvo type="percentile" val="50"/>
        <cfvo type="max"/>
        <color rgb="FFF8696B"/>
        <color rgb="FFFFEB84"/>
        <color rgb="FF63BE7B"/>
      </colorScale>
    </cfRule>
  </conditionalFormatting>
  <conditionalFormatting sqref="L3:M1654">
    <cfRule type="colorScale" priority="296">
      <colorScale>
        <cfvo type="min"/>
        <cfvo type="percentile" val="50"/>
        <cfvo type="max"/>
        <color rgb="FFF8696B"/>
        <color rgb="FFFFEB84"/>
        <color rgb="FF63BE7B"/>
      </colorScale>
    </cfRule>
    <cfRule type="colorScale" priority="297">
      <colorScale>
        <cfvo type="min"/>
        <cfvo type="percentile" val="50"/>
        <cfvo type="max"/>
        <color rgb="FFF8696B"/>
        <color rgb="FFFFEB84"/>
        <color rgb="FF63BE7B"/>
      </colorScale>
    </cfRule>
    <cfRule type="colorScale" priority="298">
      <colorScale>
        <cfvo type="min"/>
        <cfvo type="percentile" val="50"/>
        <cfvo type="max"/>
        <color rgb="FFF8696B"/>
        <color rgb="FFFFEB84"/>
        <color rgb="FF63BE7B"/>
      </colorScale>
    </cfRule>
  </conditionalFormatting>
  <conditionalFormatting sqref="B499:K742 B757:K862 B871:K1140 B1655:N1048576 B3:K4 B5 D5:K5 B1148:K1654 B6:K101">
    <cfRule type="colorScale" priority="299">
      <colorScale>
        <cfvo type="min"/>
        <cfvo type="percentile" val="50"/>
        <cfvo type="max"/>
        <color rgb="FFF8696B"/>
        <color rgb="FFFFEB84"/>
        <color rgb="FF63BE7B"/>
      </colorScale>
    </cfRule>
  </conditionalFormatting>
  <conditionalFormatting sqref="B1655:N1048576 B3:K4 B5 D5:K5 B1148:K1654 B6:K1140">
    <cfRule type="colorScale" priority="308">
      <colorScale>
        <cfvo type="min"/>
        <cfvo type="percentile" val="50"/>
        <cfvo type="max"/>
        <color rgb="FFF8696B"/>
        <color rgb="FFFFEB84"/>
        <color rgb="FF63BE7B"/>
      </colorScale>
    </cfRule>
  </conditionalFormatting>
  <conditionalFormatting sqref="B2:L2 N2">
    <cfRule type="colorScale" priority="314">
      <colorScale>
        <cfvo type="min"/>
        <cfvo type="percentile" val="50"/>
        <cfvo type="max"/>
        <color rgb="FFF8696B"/>
        <color rgb="FFFFEB84"/>
        <color rgb="FF63BE7B"/>
      </colorScale>
    </cfRule>
    <cfRule type="colorScale" priority="315">
      <colorScale>
        <cfvo type="min"/>
        <cfvo type="percentile" val="50"/>
        <cfvo type="max"/>
        <color rgb="FFF8696B"/>
        <color rgb="FFFFEB84"/>
        <color rgb="FF63BE7B"/>
      </colorScale>
    </cfRule>
  </conditionalFormatting>
  <pageMargins left="0.7" right="0.7" top="0.75" bottom="0.75" header="0.3" footer="0.3"/>
  <pageSetup paperSize="9" orientation="portrait" r:id="rId1"/>
  <ignoredErrors>
    <ignoredError sqref="L3:L1654" formulaRange="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9D344-7BC7-4BA8-880B-18D6E09096C5}">
  <dimension ref="A1:BC32"/>
  <sheetViews>
    <sheetView workbookViewId="0">
      <selection activeCell="H12" sqref="H12"/>
    </sheetView>
  </sheetViews>
  <sheetFormatPr defaultRowHeight="15" x14ac:dyDescent="0.25"/>
  <cols>
    <col min="1" max="1" width="10.42578125" customWidth="1"/>
    <col min="2" max="2" width="14.42578125" customWidth="1"/>
    <col min="6" max="6" width="12.42578125" customWidth="1"/>
    <col min="12" max="12" width="28.5703125" customWidth="1"/>
    <col min="13" max="13" width="18" customWidth="1"/>
    <col min="14" max="14" width="22.5703125" customWidth="1"/>
    <col min="15" max="15" width="18.28515625" customWidth="1"/>
    <col min="16" max="16" width="32.7109375" customWidth="1"/>
    <col min="27" max="27" width="26.140625" customWidth="1"/>
    <col min="28" max="28" width="30.28515625" customWidth="1"/>
    <col min="29" max="29" width="22.28515625" customWidth="1"/>
    <col min="40" max="40" width="23.42578125" customWidth="1"/>
    <col min="41" max="41" width="18.85546875" customWidth="1"/>
    <col min="47" max="47" width="13.42578125" customWidth="1"/>
    <col min="48" max="48" width="27.28515625" customWidth="1"/>
    <col min="49" max="49" width="18.5703125" customWidth="1"/>
    <col min="50" max="50" width="22.28515625" customWidth="1"/>
    <col min="51" max="51" width="18.85546875" customWidth="1"/>
    <col min="52" max="52" width="12.7109375" customWidth="1"/>
    <col min="53" max="53" width="18.42578125" customWidth="1"/>
    <col min="54" max="54" width="19.42578125" customWidth="1"/>
    <col min="55" max="55" width="57.7109375" customWidth="1"/>
  </cols>
  <sheetData>
    <row r="1" spans="1:55" x14ac:dyDescent="0.25">
      <c r="A1" t="s">
        <v>14</v>
      </c>
      <c r="B1" t="s">
        <v>18</v>
      </c>
      <c r="C1" t="s">
        <v>19</v>
      </c>
      <c r="D1" t="s">
        <v>20</v>
      </c>
      <c r="E1" t="s">
        <v>21</v>
      </c>
      <c r="F1" t="s">
        <v>22</v>
      </c>
      <c r="G1" t="s">
        <v>23</v>
      </c>
      <c r="H1" t="s">
        <v>24</v>
      </c>
      <c r="I1" t="s">
        <v>25</v>
      </c>
      <c r="J1" t="s">
        <v>26</v>
      </c>
      <c r="K1" t="s">
        <v>27</v>
      </c>
      <c r="L1" t="s">
        <v>28</v>
      </c>
      <c r="M1" t="s">
        <v>29</v>
      </c>
      <c r="N1" t="s">
        <v>30</v>
      </c>
      <c r="O1" t="s">
        <v>175</v>
      </c>
      <c r="P1" t="s">
        <v>31</v>
      </c>
      <c r="Q1" t="s">
        <v>32</v>
      </c>
      <c r="R1" t="s">
        <v>33</v>
      </c>
      <c r="S1" t="s">
        <v>34</v>
      </c>
      <c r="T1" t="s">
        <v>35</v>
      </c>
      <c r="U1" t="s">
        <v>36</v>
      </c>
      <c r="V1" t="s">
        <v>37</v>
      </c>
      <c r="W1" t="s">
        <v>38</v>
      </c>
      <c r="X1" t="s">
        <v>39</v>
      </c>
      <c r="Y1" t="s">
        <v>40</v>
      </c>
      <c r="Z1" t="s">
        <v>41</v>
      </c>
      <c r="AA1" t="s">
        <v>42</v>
      </c>
      <c r="AB1" t="s">
        <v>43</v>
      </c>
      <c r="AC1" t="s">
        <v>88</v>
      </c>
      <c r="AD1" t="s">
        <v>44</v>
      </c>
      <c r="AE1" t="s">
        <v>45</v>
      </c>
      <c r="AF1" t="s">
        <v>46</v>
      </c>
      <c r="AG1" t="s">
        <v>47</v>
      </c>
      <c r="AH1" t="s">
        <v>48</v>
      </c>
      <c r="AI1" t="s">
        <v>49</v>
      </c>
      <c r="AJ1" t="s">
        <v>50</v>
      </c>
      <c r="AK1" t="s">
        <v>51</v>
      </c>
      <c r="AL1" t="s">
        <v>52</v>
      </c>
      <c r="AM1" t="s">
        <v>53</v>
      </c>
      <c r="AN1" t="s">
        <v>54</v>
      </c>
      <c r="AO1" t="s">
        <v>55</v>
      </c>
      <c r="AP1" t="s">
        <v>56</v>
      </c>
      <c r="AQ1" t="s">
        <v>57</v>
      </c>
      <c r="AR1" t="s">
        <v>58</v>
      </c>
      <c r="AS1" t="s">
        <v>59</v>
      </c>
      <c r="AT1" t="s">
        <v>60</v>
      </c>
      <c r="AU1" t="s">
        <v>61</v>
      </c>
      <c r="AV1" t="s">
        <v>62</v>
      </c>
      <c r="AW1" t="s">
        <v>63</v>
      </c>
      <c r="AX1" t="s">
        <v>64</v>
      </c>
      <c r="AY1" t="s">
        <v>65</v>
      </c>
      <c r="AZ1" t="s">
        <v>66</v>
      </c>
      <c r="BA1" t="s">
        <v>91</v>
      </c>
      <c r="BB1" t="s">
        <v>92</v>
      </c>
      <c r="BC1" t="s">
        <v>67</v>
      </c>
    </row>
    <row r="2" spans="1:55" ht="45" x14ac:dyDescent="0.25">
      <c r="A2" s="37">
        <v>45688</v>
      </c>
      <c r="B2">
        <v>244325.41132716986</v>
      </c>
      <c r="C2">
        <v>4.2064516129032263</v>
      </c>
      <c r="D2">
        <v>3.4480283870967745</v>
      </c>
      <c r="E2">
        <v>0.81969999999999998</v>
      </c>
      <c r="F2">
        <v>0.99</v>
      </c>
      <c r="G2">
        <v>56274.5</v>
      </c>
      <c r="H2">
        <v>0</v>
      </c>
      <c r="I2">
        <v>25059.37</v>
      </c>
      <c r="J2">
        <v>38917.74</v>
      </c>
      <c r="K2">
        <v>44454</v>
      </c>
      <c r="L2">
        <v>164705.60999999999</v>
      </c>
      <c r="M2">
        <v>212112.5</v>
      </c>
      <c r="N2">
        <v>47406.890000000014</v>
      </c>
      <c r="O2">
        <v>212112.5</v>
      </c>
      <c r="P2">
        <v>212112.5</v>
      </c>
      <c r="Q2">
        <v>18110</v>
      </c>
      <c r="R2">
        <v>18400</v>
      </c>
      <c r="S2">
        <v>3850</v>
      </c>
      <c r="T2">
        <v>3970</v>
      </c>
      <c r="U2">
        <v>3990</v>
      </c>
      <c r="V2">
        <v>19760</v>
      </c>
      <c r="W2">
        <v>16790</v>
      </c>
      <c r="X2">
        <v>16820</v>
      </c>
      <c r="Y2">
        <v>9750</v>
      </c>
      <c r="Z2">
        <v>17250</v>
      </c>
      <c r="AA2">
        <v>128690</v>
      </c>
      <c r="AB2">
        <v>176096.89</v>
      </c>
      <c r="AC2">
        <v>1380.38</v>
      </c>
      <c r="AD2">
        <v>0.84909999999999997</v>
      </c>
      <c r="AE2">
        <v>0.86240000000000006</v>
      </c>
      <c r="AF2">
        <v>0.20180000000000001</v>
      </c>
      <c r="AG2">
        <v>0.16400000000000001</v>
      </c>
      <c r="AH2">
        <v>0.16839999999999999</v>
      </c>
      <c r="AI2">
        <v>0.76280000000000003</v>
      </c>
      <c r="AJ2">
        <v>0.78500000000000003</v>
      </c>
      <c r="AK2">
        <v>0.749</v>
      </c>
      <c r="AL2">
        <v>0.78400000000000003</v>
      </c>
      <c r="AM2">
        <v>0.77470000000000006</v>
      </c>
      <c r="AN2">
        <v>0.78133343484778695</v>
      </c>
      <c r="AO2">
        <v>3.1391519905283412</v>
      </c>
      <c r="AP2">
        <v>3.15</v>
      </c>
      <c r="AQ2">
        <v>3.11</v>
      </c>
      <c r="AR2">
        <v>3.24</v>
      </c>
      <c r="AS2">
        <v>3.18</v>
      </c>
      <c r="AT2">
        <v>3.16</v>
      </c>
      <c r="AU2">
        <v>3.1680000000000001</v>
      </c>
      <c r="AV2">
        <v>0.61009999999999998</v>
      </c>
      <c r="AW2">
        <v>0.99089393640414802</v>
      </c>
      <c r="AX2">
        <v>0.998</v>
      </c>
      <c r="AY2">
        <v>67570</v>
      </c>
      <c r="AZ2">
        <v>53692</v>
      </c>
      <c r="BA2">
        <v>11900</v>
      </c>
      <c r="BB2">
        <v>26730</v>
      </c>
      <c r="BC2" s="9" t="s">
        <v>109</v>
      </c>
    </row>
    <row r="3" spans="1:55" ht="60" x14ac:dyDescent="0.25">
      <c r="A3" s="37">
        <v>45687</v>
      </c>
      <c r="B3">
        <v>244325.41132716986</v>
      </c>
      <c r="C3">
        <v>4.2064516129032263</v>
      </c>
      <c r="D3">
        <v>3.4480283870967745</v>
      </c>
      <c r="E3">
        <v>0.81969999999999998</v>
      </c>
      <c r="F3">
        <v>0.99</v>
      </c>
      <c r="G3">
        <v>47274</v>
      </c>
      <c r="H3">
        <v>0</v>
      </c>
      <c r="I3">
        <v>39988.370000000003</v>
      </c>
      <c r="J3">
        <v>14003.26</v>
      </c>
      <c r="K3">
        <v>43371</v>
      </c>
      <c r="L3">
        <v>144636.63</v>
      </c>
      <c r="M3">
        <v>173235.33</v>
      </c>
      <c r="N3">
        <v>28598.699999999983</v>
      </c>
      <c r="O3">
        <v>173235.33</v>
      </c>
      <c r="P3">
        <v>173235.33</v>
      </c>
      <c r="Q3">
        <v>19520</v>
      </c>
      <c r="R3">
        <v>19480</v>
      </c>
      <c r="S3">
        <v>4010</v>
      </c>
      <c r="T3">
        <v>4130</v>
      </c>
      <c r="U3">
        <v>4140</v>
      </c>
      <c r="V3">
        <v>24280</v>
      </c>
      <c r="W3">
        <v>20810</v>
      </c>
      <c r="X3">
        <v>20570</v>
      </c>
      <c r="Y3">
        <v>11860</v>
      </c>
      <c r="Z3">
        <v>21450</v>
      </c>
      <c r="AA3">
        <v>150250</v>
      </c>
      <c r="AB3">
        <v>178848.69999999998</v>
      </c>
      <c r="AC3">
        <v>1328.37</v>
      </c>
      <c r="AD3">
        <v>0.86850000000000005</v>
      </c>
      <c r="AE3">
        <v>0.86680000000000001</v>
      </c>
      <c r="AF3">
        <v>0.20319999999999999</v>
      </c>
      <c r="AG3">
        <v>0.1646</v>
      </c>
      <c r="AH3">
        <v>0.1661</v>
      </c>
      <c r="AI3">
        <v>0.92879999999999996</v>
      </c>
      <c r="AJ3">
        <v>0.93969999999999998</v>
      </c>
      <c r="AK3">
        <v>0.90759999999999996</v>
      </c>
      <c r="AL3">
        <v>0.92110000000000003</v>
      </c>
      <c r="AM3">
        <v>0.93069999999999997</v>
      </c>
      <c r="AN3">
        <v>1.038810154799652</v>
      </c>
      <c r="AO3">
        <v>2.5637905875388483</v>
      </c>
      <c r="AP3">
        <v>3.26</v>
      </c>
      <c r="AQ3">
        <v>3.27</v>
      </c>
      <c r="AR3">
        <v>3.27</v>
      </c>
      <c r="AS3">
        <v>3.29</v>
      </c>
      <c r="AT3">
        <v>3.33</v>
      </c>
      <c r="AU3">
        <v>3.2840000000000003</v>
      </c>
      <c r="AV3">
        <v>0.68969999999999998</v>
      </c>
      <c r="AW3">
        <v>0.78069140911657975</v>
      </c>
      <c r="AX3">
        <v>0.998</v>
      </c>
      <c r="AY3">
        <v>67570</v>
      </c>
      <c r="AZ3">
        <v>53692</v>
      </c>
      <c r="BA3">
        <v>11900</v>
      </c>
      <c r="BB3">
        <v>11900</v>
      </c>
      <c r="BC3" s="9" t="s">
        <v>108</v>
      </c>
    </row>
    <row r="4" spans="1:55" x14ac:dyDescent="0.25">
      <c r="A4" s="37">
        <v>45686</v>
      </c>
      <c r="B4">
        <v>244325.41132716986</v>
      </c>
      <c r="C4">
        <v>4.2064516129032263</v>
      </c>
      <c r="D4">
        <v>3.4480283870967745</v>
      </c>
      <c r="E4">
        <v>0.81969999999999998</v>
      </c>
      <c r="F4">
        <v>0.99</v>
      </c>
      <c r="G4">
        <v>36207.5</v>
      </c>
      <c r="H4">
        <v>0</v>
      </c>
      <c r="I4">
        <v>13821.254999999999</v>
      </c>
      <c r="J4">
        <v>30329.119999999999</v>
      </c>
      <c r="K4">
        <v>22996</v>
      </c>
      <c r="L4">
        <v>103353.875</v>
      </c>
      <c r="M4">
        <v>101943.5</v>
      </c>
      <c r="N4">
        <v>0</v>
      </c>
      <c r="O4">
        <v>103353.875</v>
      </c>
      <c r="P4">
        <v>103353.875</v>
      </c>
      <c r="Q4">
        <v>12510</v>
      </c>
      <c r="R4">
        <v>12470</v>
      </c>
      <c r="S4">
        <v>4290</v>
      </c>
      <c r="T4">
        <v>4370</v>
      </c>
      <c r="U4">
        <v>4370</v>
      </c>
      <c r="V4">
        <v>15510</v>
      </c>
      <c r="W4">
        <v>13170</v>
      </c>
      <c r="X4">
        <v>13060</v>
      </c>
      <c r="Y4">
        <v>7450</v>
      </c>
      <c r="Z4">
        <v>13590</v>
      </c>
      <c r="AA4">
        <v>100790</v>
      </c>
      <c r="AB4">
        <v>100790</v>
      </c>
      <c r="AC4">
        <v>1438.9</v>
      </c>
      <c r="AD4">
        <v>0.91710000000000003</v>
      </c>
      <c r="AE4">
        <v>0.91459999999999997</v>
      </c>
      <c r="AF4">
        <v>0.35899999999999999</v>
      </c>
      <c r="AG4">
        <v>0.28799999999999998</v>
      </c>
      <c r="AH4">
        <v>0.2898</v>
      </c>
      <c r="AI4">
        <v>0.9798</v>
      </c>
      <c r="AJ4">
        <v>0.98919999999999997</v>
      </c>
      <c r="AK4">
        <v>0.95189999999999997</v>
      </c>
      <c r="AL4">
        <v>0.96199999999999997</v>
      </c>
      <c r="AM4">
        <v>0.98070000000000002</v>
      </c>
      <c r="AN4">
        <v>0.97519323779587364</v>
      </c>
      <c r="AO4">
        <v>1.5295822850377387</v>
      </c>
      <c r="AP4">
        <v>1.96</v>
      </c>
      <c r="AQ4">
        <v>1.98</v>
      </c>
      <c r="AR4">
        <v>1.98</v>
      </c>
      <c r="AS4">
        <v>1.99</v>
      </c>
      <c r="AT4">
        <v>2.02</v>
      </c>
      <c r="AU4">
        <v>1.986</v>
      </c>
      <c r="AV4">
        <v>0.76319999999999999</v>
      </c>
      <c r="AW4">
        <v>0.77018241945505472</v>
      </c>
      <c r="AX4">
        <v>0.998</v>
      </c>
      <c r="AY4">
        <v>67570</v>
      </c>
      <c r="AZ4">
        <v>53692</v>
      </c>
      <c r="BA4">
        <v>11900</v>
      </c>
      <c r="BB4">
        <v>25411</v>
      </c>
      <c r="BC4" t="s">
        <v>106</v>
      </c>
    </row>
    <row r="5" spans="1:55" ht="60" x14ac:dyDescent="0.25">
      <c r="A5" s="37">
        <v>45685</v>
      </c>
      <c r="B5">
        <v>244325.41132716986</v>
      </c>
      <c r="C5">
        <v>4.2064516129032263</v>
      </c>
      <c r="D5">
        <v>3.4480283870967745</v>
      </c>
      <c r="E5">
        <v>0.81969999999999998</v>
      </c>
      <c r="F5">
        <v>0.99</v>
      </c>
      <c r="G5">
        <v>32969.5</v>
      </c>
      <c r="H5">
        <v>0</v>
      </c>
      <c r="I5">
        <v>24176.875</v>
      </c>
      <c r="J5">
        <v>34210.25</v>
      </c>
      <c r="K5">
        <v>27011</v>
      </c>
      <c r="L5">
        <v>118367.625</v>
      </c>
      <c r="M5">
        <v>143367.17000000001</v>
      </c>
      <c r="N5">
        <v>24999.545000000013</v>
      </c>
      <c r="O5">
        <v>143367.17000000001</v>
      </c>
      <c r="P5">
        <v>143367.17000000001</v>
      </c>
      <c r="Q5">
        <v>13140</v>
      </c>
      <c r="R5">
        <v>13000</v>
      </c>
      <c r="S5">
        <v>3100</v>
      </c>
      <c r="T5">
        <v>3180</v>
      </c>
      <c r="U5">
        <v>3190</v>
      </c>
      <c r="V5">
        <v>21180</v>
      </c>
      <c r="W5">
        <v>18200</v>
      </c>
      <c r="X5">
        <v>17910</v>
      </c>
      <c r="Y5">
        <v>10370</v>
      </c>
      <c r="Z5">
        <v>18710</v>
      </c>
      <c r="AA5">
        <v>121980</v>
      </c>
      <c r="AB5">
        <v>146979.54500000001</v>
      </c>
      <c r="AC5">
        <v>1314.88</v>
      </c>
      <c r="AD5">
        <v>0.67800000000000005</v>
      </c>
      <c r="AE5">
        <v>0.67110000000000003</v>
      </c>
      <c r="AF5">
        <v>0.17929999999999999</v>
      </c>
      <c r="AG5">
        <v>0.14499999999999999</v>
      </c>
      <c r="AH5">
        <v>0.14799999999999999</v>
      </c>
      <c r="AI5">
        <v>0.92610000000000003</v>
      </c>
      <c r="AJ5">
        <v>0.93020000000000003</v>
      </c>
      <c r="AK5">
        <v>0.90359999999999996</v>
      </c>
      <c r="AL5">
        <v>0.91180000000000005</v>
      </c>
      <c r="AM5">
        <v>0.91900000000000004</v>
      </c>
      <c r="AN5">
        <v>1.0305182688256185</v>
      </c>
      <c r="AO5">
        <v>2.1217577327216222</v>
      </c>
      <c r="AP5">
        <v>2.88</v>
      </c>
      <c r="AQ5">
        <v>2.83</v>
      </c>
      <c r="AR5">
        <v>2.86</v>
      </c>
      <c r="AS5">
        <v>2.88</v>
      </c>
      <c r="AT5">
        <v>2.87</v>
      </c>
      <c r="AU5">
        <v>2.8639999999999999</v>
      </c>
      <c r="AV5">
        <v>0.64119999999999999</v>
      </c>
      <c r="AW5">
        <v>0.74083719717933738</v>
      </c>
      <c r="AX5">
        <v>0.998</v>
      </c>
      <c r="AY5">
        <v>67570</v>
      </c>
      <c r="AZ5">
        <v>53692</v>
      </c>
      <c r="BA5">
        <v>11900</v>
      </c>
      <c r="BB5">
        <v>26730</v>
      </c>
      <c r="BC5" s="9" t="s">
        <v>107</v>
      </c>
    </row>
    <row r="6" spans="1:55" x14ac:dyDescent="0.25">
      <c r="A6" s="37">
        <v>45684</v>
      </c>
      <c r="B6">
        <v>244325.41132716986</v>
      </c>
      <c r="C6">
        <v>4.2064516129032263</v>
      </c>
      <c r="D6">
        <v>3.4480283870967745</v>
      </c>
      <c r="E6">
        <v>0.81969999999999998</v>
      </c>
      <c r="F6">
        <v>0.99</v>
      </c>
      <c r="G6">
        <v>60896.5</v>
      </c>
      <c r="H6">
        <v>0</v>
      </c>
      <c r="I6">
        <v>40090.5</v>
      </c>
      <c r="J6">
        <v>52330</v>
      </c>
      <c r="K6">
        <v>39809</v>
      </c>
      <c r="L6">
        <v>193126</v>
      </c>
      <c r="M6">
        <v>273904.5</v>
      </c>
      <c r="N6">
        <v>80778.5</v>
      </c>
      <c r="O6">
        <v>273904.5</v>
      </c>
      <c r="P6">
        <v>273904.5</v>
      </c>
      <c r="Q6">
        <v>28300</v>
      </c>
      <c r="R6">
        <v>28330</v>
      </c>
      <c r="S6">
        <v>4300</v>
      </c>
      <c r="T6">
        <v>4400</v>
      </c>
      <c r="U6">
        <v>4410</v>
      </c>
      <c r="V6">
        <v>35730</v>
      </c>
      <c r="W6">
        <v>30590</v>
      </c>
      <c r="X6">
        <v>30560</v>
      </c>
      <c r="Y6">
        <v>17800</v>
      </c>
      <c r="Z6">
        <v>31790</v>
      </c>
      <c r="AA6">
        <v>216210</v>
      </c>
      <c r="AB6">
        <v>296988.5</v>
      </c>
      <c r="AC6">
        <v>1471.89</v>
      </c>
      <c r="AD6">
        <v>0.77649999999999997</v>
      </c>
      <c r="AE6">
        <v>0.7772</v>
      </c>
      <c r="AF6">
        <v>0.1338</v>
      </c>
      <c r="AG6">
        <v>0.1076</v>
      </c>
      <c r="AH6">
        <v>0.1106</v>
      </c>
      <c r="AI6">
        <v>0.83530000000000004</v>
      </c>
      <c r="AJ6">
        <v>0.83240000000000003</v>
      </c>
      <c r="AK6">
        <v>0.82420000000000004</v>
      </c>
      <c r="AL6">
        <v>0.83299999999999996</v>
      </c>
      <c r="AM6">
        <v>0.83140000000000003</v>
      </c>
      <c r="AN6">
        <v>1.1195281836728352</v>
      </c>
      <c r="AO6">
        <v>4.0536406689359179</v>
      </c>
      <c r="AP6">
        <v>5.41</v>
      </c>
      <c r="AQ6">
        <v>5.23</v>
      </c>
      <c r="AR6">
        <v>5.35</v>
      </c>
      <c r="AS6">
        <v>5.36</v>
      </c>
      <c r="AT6">
        <v>5.4</v>
      </c>
      <c r="AU6">
        <v>5.35</v>
      </c>
      <c r="AV6">
        <v>0.60619999999999996</v>
      </c>
      <c r="AW6">
        <v>0.75768984466091926</v>
      </c>
      <c r="AX6">
        <v>0.998</v>
      </c>
      <c r="AY6">
        <v>67570</v>
      </c>
      <c r="AZ6">
        <v>53692</v>
      </c>
      <c r="BA6">
        <v>9256</v>
      </c>
      <c r="BB6">
        <v>26730</v>
      </c>
    </row>
    <row r="7" spans="1:55" x14ac:dyDescent="0.25">
      <c r="A7" s="37">
        <v>45683</v>
      </c>
      <c r="B7">
        <v>244325.41132716986</v>
      </c>
      <c r="C7">
        <v>4.2064516129032263</v>
      </c>
      <c r="D7">
        <v>3.4480283870967745</v>
      </c>
      <c r="E7">
        <v>0.81969999999999998</v>
      </c>
      <c r="F7">
        <v>0.99</v>
      </c>
      <c r="G7">
        <v>43619</v>
      </c>
      <c r="H7">
        <v>0</v>
      </c>
      <c r="I7">
        <v>25189.14</v>
      </c>
      <c r="J7">
        <v>36227.120000000003</v>
      </c>
      <c r="K7">
        <v>26549</v>
      </c>
      <c r="L7">
        <v>131584.26</v>
      </c>
      <c r="M7">
        <v>140620</v>
      </c>
      <c r="N7">
        <v>9035.7399999999907</v>
      </c>
      <c r="O7">
        <v>140620</v>
      </c>
      <c r="P7">
        <v>140620</v>
      </c>
      <c r="Q7">
        <v>10290</v>
      </c>
      <c r="R7">
        <v>10300</v>
      </c>
      <c r="S7">
        <v>3430</v>
      </c>
      <c r="T7">
        <v>3690</v>
      </c>
      <c r="U7">
        <v>3720</v>
      </c>
      <c r="V7">
        <v>12890</v>
      </c>
      <c r="W7">
        <v>11080</v>
      </c>
      <c r="X7">
        <v>10890</v>
      </c>
      <c r="Y7">
        <v>6150</v>
      </c>
      <c r="Z7">
        <v>11400</v>
      </c>
      <c r="AA7">
        <v>83840</v>
      </c>
      <c r="AB7">
        <v>92875.739999999991</v>
      </c>
      <c r="AC7">
        <v>1486.47</v>
      </c>
      <c r="AD7">
        <v>0.86619999999999997</v>
      </c>
      <c r="AE7">
        <v>0.86719999999999997</v>
      </c>
      <c r="AF7">
        <v>0.32819999999999999</v>
      </c>
      <c r="AG7">
        <v>0.27839999999999998</v>
      </c>
      <c r="AH7">
        <v>0.28560000000000002</v>
      </c>
      <c r="AI7">
        <v>0.93159999999999998</v>
      </c>
      <c r="AJ7">
        <v>0.94840000000000002</v>
      </c>
      <c r="AK7">
        <v>0.90859999999999996</v>
      </c>
      <c r="AL7">
        <v>0.90490000000000004</v>
      </c>
      <c r="AM7">
        <v>0.93769999999999998</v>
      </c>
      <c r="AN7">
        <v>0.63715827409752501</v>
      </c>
      <c r="AO7">
        <v>2.081101080361107</v>
      </c>
      <c r="AP7">
        <v>1.72</v>
      </c>
      <c r="AQ7">
        <v>1.71</v>
      </c>
      <c r="AR7">
        <v>1.73</v>
      </c>
      <c r="AS7">
        <v>1.74</v>
      </c>
      <c r="AT7">
        <v>1.76</v>
      </c>
      <c r="AU7">
        <v>1.732</v>
      </c>
      <c r="AV7">
        <v>0.72570000000000001</v>
      </c>
      <c r="AW7">
        <v>1.2015595152200387</v>
      </c>
      <c r="AX7">
        <v>0.998</v>
      </c>
      <c r="AY7">
        <v>67570</v>
      </c>
      <c r="AZ7">
        <v>53692</v>
      </c>
      <c r="BA7">
        <v>11900</v>
      </c>
      <c r="BB7">
        <v>26730</v>
      </c>
    </row>
    <row r="8" spans="1:55" x14ac:dyDescent="0.25">
      <c r="A8" s="37">
        <v>45682</v>
      </c>
      <c r="B8">
        <v>244325.41132716986</v>
      </c>
      <c r="C8">
        <v>4.2064516129032263</v>
      </c>
      <c r="D8">
        <v>3.4480283870967745</v>
      </c>
      <c r="E8">
        <v>0.81969999999999998</v>
      </c>
      <c r="F8">
        <v>0.99</v>
      </c>
      <c r="G8">
        <v>39828</v>
      </c>
      <c r="H8">
        <v>0</v>
      </c>
      <c r="I8">
        <v>24534.98</v>
      </c>
      <c r="J8">
        <v>35750.5</v>
      </c>
      <c r="K8">
        <v>27042</v>
      </c>
      <c r="L8">
        <v>127155.48</v>
      </c>
      <c r="M8">
        <v>145504.32999999999</v>
      </c>
      <c r="N8">
        <v>18348.849999999991</v>
      </c>
      <c r="O8">
        <v>145504.32999999999</v>
      </c>
      <c r="P8">
        <v>145504.32999999999</v>
      </c>
      <c r="Q8">
        <v>20880</v>
      </c>
      <c r="R8">
        <v>20530</v>
      </c>
      <c r="S8">
        <v>4200</v>
      </c>
      <c r="T8">
        <v>4310</v>
      </c>
      <c r="U8">
        <v>4320</v>
      </c>
      <c r="V8">
        <v>26770</v>
      </c>
      <c r="W8">
        <v>23530</v>
      </c>
      <c r="X8">
        <v>24480</v>
      </c>
      <c r="Y8">
        <v>16340</v>
      </c>
      <c r="Z8">
        <v>25440</v>
      </c>
      <c r="AA8">
        <v>170800</v>
      </c>
      <c r="AB8">
        <v>189148.84999999998</v>
      </c>
      <c r="AC8">
        <v>1397.39</v>
      </c>
      <c r="AD8">
        <v>0.80149999999999999</v>
      </c>
      <c r="AE8">
        <v>0.78800000000000003</v>
      </c>
      <c r="AF8">
        <v>0.185</v>
      </c>
      <c r="AG8">
        <v>0.14960000000000001</v>
      </c>
      <c r="AH8">
        <v>0.1414</v>
      </c>
      <c r="AI8">
        <v>0.85629999999999995</v>
      </c>
      <c r="AJ8">
        <v>0.78900000000000003</v>
      </c>
      <c r="AK8">
        <v>0.90329999999999999</v>
      </c>
      <c r="AL8">
        <v>0.94240000000000002</v>
      </c>
      <c r="AM8">
        <v>0.82</v>
      </c>
      <c r="AN8">
        <v>1.3432374286975284</v>
      </c>
      <c r="AO8">
        <v>2.1533865620837647</v>
      </c>
      <c r="AP8">
        <v>4.3899999999999997</v>
      </c>
      <c r="AQ8">
        <v>4.01</v>
      </c>
      <c r="AR8">
        <v>3.91</v>
      </c>
      <c r="AS8">
        <v>3.78</v>
      </c>
      <c r="AT8">
        <v>3.86</v>
      </c>
      <c r="AU8">
        <v>3.9899999999999998</v>
      </c>
      <c r="AV8">
        <v>0.63759999999999994</v>
      </c>
      <c r="AW8">
        <v>0.53969588022149495</v>
      </c>
      <c r="AX8">
        <v>1</v>
      </c>
      <c r="AY8">
        <v>67570</v>
      </c>
      <c r="AZ8">
        <v>53692</v>
      </c>
      <c r="BA8">
        <v>11900</v>
      </c>
      <c r="BB8">
        <v>26730</v>
      </c>
    </row>
    <row r="9" spans="1:55" x14ac:dyDescent="0.25">
      <c r="A9" s="37">
        <v>45681</v>
      </c>
      <c r="B9">
        <v>244325.41132716986</v>
      </c>
      <c r="C9">
        <v>4.2064516129032263</v>
      </c>
      <c r="D9">
        <v>3.4480283870967745</v>
      </c>
      <c r="E9">
        <v>0.81969999999999998</v>
      </c>
      <c r="F9">
        <v>0.99</v>
      </c>
      <c r="G9">
        <v>54392.25</v>
      </c>
      <c r="H9">
        <v>0</v>
      </c>
      <c r="I9">
        <v>33104.879999999997</v>
      </c>
      <c r="J9">
        <v>44453.254999999997</v>
      </c>
      <c r="K9">
        <v>34955</v>
      </c>
      <c r="L9">
        <v>166905.38500000001</v>
      </c>
      <c r="M9">
        <v>199635.83</v>
      </c>
      <c r="N9">
        <v>32730.444999999978</v>
      </c>
      <c r="O9">
        <v>199635.83</v>
      </c>
      <c r="P9">
        <v>199635.83</v>
      </c>
      <c r="Q9">
        <v>17260</v>
      </c>
      <c r="R9">
        <v>18120</v>
      </c>
      <c r="S9">
        <v>4220</v>
      </c>
      <c r="T9">
        <v>4310</v>
      </c>
      <c r="U9">
        <v>4310</v>
      </c>
      <c r="V9">
        <v>21520</v>
      </c>
      <c r="W9">
        <v>17840</v>
      </c>
      <c r="X9">
        <v>18190</v>
      </c>
      <c r="Y9">
        <v>10650</v>
      </c>
      <c r="Z9">
        <v>19530</v>
      </c>
      <c r="AA9">
        <v>135950</v>
      </c>
      <c r="AB9">
        <v>168680.44499999998</v>
      </c>
      <c r="AC9">
        <v>1477.13</v>
      </c>
      <c r="AD9">
        <v>0.88160000000000005</v>
      </c>
      <c r="AE9">
        <v>0.92559999999999998</v>
      </c>
      <c r="AF9">
        <v>0.24079999999999999</v>
      </c>
      <c r="AG9">
        <v>0.19350000000000001</v>
      </c>
      <c r="AH9">
        <v>0.1963</v>
      </c>
      <c r="AI9">
        <v>0.94099999999999995</v>
      </c>
      <c r="AJ9">
        <v>0.89329999999999998</v>
      </c>
      <c r="AK9">
        <v>0.91790000000000005</v>
      </c>
      <c r="AL9">
        <v>0.91700000000000004</v>
      </c>
      <c r="AM9">
        <v>0.93979999999999997</v>
      </c>
      <c r="AN9">
        <v>0.81453333575786058</v>
      </c>
      <c r="AO9">
        <v>2.9545039218588127</v>
      </c>
      <c r="AP9">
        <v>2.94</v>
      </c>
      <c r="AQ9">
        <v>2.88</v>
      </c>
      <c r="AR9">
        <v>2.86</v>
      </c>
      <c r="AS9">
        <v>2.92</v>
      </c>
      <c r="AT9">
        <v>2.9</v>
      </c>
      <c r="AU9">
        <v>2.9</v>
      </c>
      <c r="AV9">
        <v>0.70469999999999999</v>
      </c>
      <c r="AW9">
        <v>1.0187944558133837</v>
      </c>
      <c r="AX9">
        <v>0.99450000000000005</v>
      </c>
      <c r="AY9">
        <v>67570</v>
      </c>
      <c r="AZ9">
        <v>53692</v>
      </c>
      <c r="BA9">
        <v>11900</v>
      </c>
      <c r="BB9">
        <v>26730</v>
      </c>
    </row>
    <row r="10" spans="1:55" x14ac:dyDescent="0.25">
      <c r="A10" s="37">
        <v>45680</v>
      </c>
      <c r="B10">
        <v>244325.41132716986</v>
      </c>
      <c r="C10">
        <v>4.2064516129032263</v>
      </c>
      <c r="D10">
        <v>3.4480283870967745</v>
      </c>
      <c r="E10">
        <v>0.81969999999999998</v>
      </c>
      <c r="F10">
        <v>0.99</v>
      </c>
      <c r="G10">
        <v>43282</v>
      </c>
      <c r="H10">
        <v>17580.5</v>
      </c>
      <c r="I10">
        <v>46450.87</v>
      </c>
      <c r="J10">
        <v>36073.375</v>
      </c>
      <c r="K10">
        <v>28918</v>
      </c>
      <c r="L10">
        <v>172304.745</v>
      </c>
      <c r="M10">
        <v>218528.5</v>
      </c>
      <c r="N10">
        <v>46223.755000000005</v>
      </c>
      <c r="O10">
        <v>218528.5</v>
      </c>
      <c r="P10">
        <v>218528.5</v>
      </c>
      <c r="Q10">
        <v>18010</v>
      </c>
      <c r="R10">
        <v>18400</v>
      </c>
      <c r="S10">
        <v>12010</v>
      </c>
      <c r="T10">
        <v>14870</v>
      </c>
      <c r="U10">
        <v>15250</v>
      </c>
      <c r="V10">
        <v>28340</v>
      </c>
      <c r="W10">
        <v>23090</v>
      </c>
      <c r="X10">
        <v>23040</v>
      </c>
      <c r="Y10">
        <v>14360</v>
      </c>
      <c r="Z10">
        <v>25220</v>
      </c>
      <c r="AA10">
        <v>192590</v>
      </c>
      <c r="AB10">
        <v>238813.755</v>
      </c>
      <c r="AC10">
        <v>1440.19</v>
      </c>
      <c r="AD10">
        <v>0.68869999999999998</v>
      </c>
      <c r="AE10">
        <v>0.68320000000000003</v>
      </c>
      <c r="AF10">
        <v>0.48470000000000002</v>
      </c>
      <c r="AG10">
        <v>0.47249999999999998</v>
      </c>
      <c r="AH10">
        <v>0.4834</v>
      </c>
      <c r="AI10">
        <v>0.85209999999999997</v>
      </c>
      <c r="AJ10">
        <v>0.79800000000000004</v>
      </c>
      <c r="AK10">
        <v>0.79920000000000002</v>
      </c>
      <c r="AL10">
        <v>0.85360000000000003</v>
      </c>
      <c r="AM10">
        <v>0.83760000000000001</v>
      </c>
      <c r="AN10">
        <v>1.1177289400822943</v>
      </c>
      <c r="AO10">
        <v>3.2341053722066007</v>
      </c>
      <c r="AP10">
        <v>4.26</v>
      </c>
      <c r="AQ10">
        <v>4.1399999999999997</v>
      </c>
      <c r="AR10">
        <v>4.16</v>
      </c>
      <c r="AS10">
        <v>4.13</v>
      </c>
      <c r="AT10">
        <v>3.99</v>
      </c>
      <c r="AU10">
        <v>4.1360000000000001</v>
      </c>
      <c r="AV10">
        <v>0.69330000000000003</v>
      </c>
      <c r="AW10">
        <v>0.78194037045614129</v>
      </c>
      <c r="AX10">
        <v>0.99199999999999999</v>
      </c>
      <c r="AY10">
        <v>67570</v>
      </c>
      <c r="AZ10">
        <v>53692</v>
      </c>
      <c r="BA10">
        <v>11900</v>
      </c>
      <c r="BB10">
        <v>26730</v>
      </c>
      <c r="BC10" t="s">
        <v>106</v>
      </c>
    </row>
    <row r="11" spans="1:55" x14ac:dyDescent="0.25">
      <c r="A11" s="37">
        <v>45679</v>
      </c>
      <c r="B11">
        <v>244325.41132716986</v>
      </c>
      <c r="C11">
        <v>4.2064516129032263</v>
      </c>
      <c r="D11">
        <v>3.4480283870967745</v>
      </c>
      <c r="E11">
        <v>0.81969999999999998</v>
      </c>
      <c r="F11">
        <v>0.99</v>
      </c>
      <c r="G11">
        <v>48647</v>
      </c>
      <c r="H11">
        <v>58537.75</v>
      </c>
      <c r="I11">
        <v>36494.129999999997</v>
      </c>
      <c r="J11">
        <v>46577.75</v>
      </c>
      <c r="K11">
        <v>37535</v>
      </c>
      <c r="L11">
        <v>227791.63</v>
      </c>
      <c r="M11">
        <v>221339.33</v>
      </c>
      <c r="N11">
        <v>0</v>
      </c>
      <c r="O11">
        <v>227791.63</v>
      </c>
      <c r="P11">
        <v>227791.63</v>
      </c>
      <c r="Q11">
        <v>22960</v>
      </c>
      <c r="R11">
        <v>23670</v>
      </c>
      <c r="S11">
        <v>19940</v>
      </c>
      <c r="T11">
        <v>24900</v>
      </c>
      <c r="U11">
        <v>25900</v>
      </c>
      <c r="V11">
        <v>29380</v>
      </c>
      <c r="W11">
        <v>23570</v>
      </c>
      <c r="X11">
        <v>23550</v>
      </c>
      <c r="Y11">
        <v>14910</v>
      </c>
      <c r="Z11">
        <v>25850</v>
      </c>
      <c r="AA11">
        <v>234630</v>
      </c>
      <c r="AB11">
        <v>234630</v>
      </c>
      <c r="AC11">
        <v>1455.91</v>
      </c>
      <c r="AD11">
        <v>0.8236</v>
      </c>
      <c r="AE11">
        <v>0.84889999999999999</v>
      </c>
      <c r="AF11">
        <v>0.80469999999999997</v>
      </c>
      <c r="AG11">
        <v>0.79120000000000001</v>
      </c>
      <c r="AH11">
        <v>0.80359999999999998</v>
      </c>
      <c r="AI11">
        <v>0.88119999999999998</v>
      </c>
      <c r="AJ11">
        <v>0.81659999999999999</v>
      </c>
      <c r="AK11">
        <v>0.81499999999999995</v>
      </c>
      <c r="AL11">
        <v>0.88859999999999995</v>
      </c>
      <c r="AM11">
        <v>0.86050000000000004</v>
      </c>
      <c r="AN11">
        <v>1.0300202865223802</v>
      </c>
      <c r="AO11">
        <v>3.3711947609886046</v>
      </c>
      <c r="AP11">
        <v>4.25</v>
      </c>
      <c r="AQ11">
        <v>4.2300000000000004</v>
      </c>
      <c r="AR11">
        <v>4.17</v>
      </c>
      <c r="AS11">
        <v>4.13</v>
      </c>
      <c r="AT11">
        <v>4.13</v>
      </c>
      <c r="AU11">
        <v>4.1820000000000004</v>
      </c>
      <c r="AV11">
        <v>0.83340000000000003</v>
      </c>
      <c r="AW11">
        <v>0.80612022022683028</v>
      </c>
      <c r="AX11">
        <v>0.98799999999999999</v>
      </c>
      <c r="AY11">
        <v>67570</v>
      </c>
      <c r="AZ11">
        <v>53692</v>
      </c>
      <c r="BA11">
        <v>16292</v>
      </c>
      <c r="BB11">
        <v>25370</v>
      </c>
    </row>
    <row r="12" spans="1:55" x14ac:dyDescent="0.25">
      <c r="A12" s="37">
        <v>45678</v>
      </c>
      <c r="B12">
        <v>244325.41132716986</v>
      </c>
      <c r="C12">
        <v>4.2064516129032263</v>
      </c>
      <c r="D12">
        <v>3.4480283870967745</v>
      </c>
      <c r="E12">
        <v>0.81969999999999998</v>
      </c>
      <c r="F12">
        <v>0.99</v>
      </c>
      <c r="G12">
        <v>76013</v>
      </c>
      <c r="H12">
        <v>66073</v>
      </c>
      <c r="I12">
        <v>41690.375</v>
      </c>
      <c r="J12">
        <v>50675.5</v>
      </c>
      <c r="K12">
        <v>42144</v>
      </c>
      <c r="L12">
        <v>276595.875</v>
      </c>
      <c r="M12">
        <v>271738.83</v>
      </c>
      <c r="N12">
        <v>0</v>
      </c>
      <c r="O12">
        <v>276595.875</v>
      </c>
      <c r="P12">
        <v>276595.875</v>
      </c>
      <c r="Q12">
        <v>28020</v>
      </c>
      <c r="R12">
        <v>28800</v>
      </c>
      <c r="S12">
        <v>24460</v>
      </c>
      <c r="T12">
        <v>30620</v>
      </c>
      <c r="U12">
        <v>31410</v>
      </c>
      <c r="V12">
        <v>34660</v>
      </c>
      <c r="W12">
        <v>27790</v>
      </c>
      <c r="X12">
        <v>27680</v>
      </c>
      <c r="Y12">
        <v>17430</v>
      </c>
      <c r="Z12">
        <v>30500</v>
      </c>
      <c r="AA12">
        <v>281370</v>
      </c>
      <c r="AB12">
        <v>281370</v>
      </c>
      <c r="AC12">
        <v>1450.61</v>
      </c>
      <c r="AD12">
        <v>0.78920000000000001</v>
      </c>
      <c r="AE12">
        <v>0.81120000000000003</v>
      </c>
      <c r="AF12">
        <v>0.77059999999999995</v>
      </c>
      <c r="AG12">
        <v>0.75970000000000004</v>
      </c>
      <c r="AH12">
        <v>0.80989999999999995</v>
      </c>
      <c r="AI12">
        <v>0.84009999999999996</v>
      </c>
      <c r="AJ12">
        <v>0.79300000000000004</v>
      </c>
      <c r="AK12">
        <v>0.77410000000000001</v>
      </c>
      <c r="AL12">
        <v>0.85550000000000004</v>
      </c>
      <c r="AM12">
        <v>0.83630000000000004</v>
      </c>
      <c r="AN12">
        <v>1.017260289944671</v>
      </c>
      <c r="AO12">
        <v>4.0934715850229395</v>
      </c>
      <c r="AP12">
        <v>5.16</v>
      </c>
      <c r="AQ12">
        <v>5.09</v>
      </c>
      <c r="AR12">
        <v>5.16</v>
      </c>
      <c r="AS12">
        <v>5.29</v>
      </c>
      <c r="AT12">
        <v>5.26</v>
      </c>
      <c r="AU12">
        <v>5.1920000000000002</v>
      </c>
      <c r="AV12">
        <v>0.80400000000000005</v>
      </c>
      <c r="AW12">
        <v>0.78841902639116701</v>
      </c>
      <c r="AX12">
        <v>0.98799999999999999</v>
      </c>
      <c r="AY12">
        <v>67570</v>
      </c>
      <c r="AZ12">
        <v>53692</v>
      </c>
      <c r="BA12">
        <v>23987</v>
      </c>
      <c r="BB12">
        <v>26730</v>
      </c>
    </row>
    <row r="13" spans="1:55" x14ac:dyDescent="0.25">
      <c r="A13" s="37">
        <v>45677</v>
      </c>
      <c r="B13">
        <v>244325.41132716986</v>
      </c>
      <c r="C13">
        <v>4.2064516129032263</v>
      </c>
      <c r="D13">
        <v>3.4480283870967745</v>
      </c>
      <c r="E13">
        <v>0.81969999999999998</v>
      </c>
      <c r="F13">
        <v>0.99</v>
      </c>
      <c r="G13">
        <v>82187</v>
      </c>
      <c r="H13">
        <v>82084</v>
      </c>
      <c r="I13">
        <v>56291.995000000003</v>
      </c>
      <c r="J13">
        <v>63762.5</v>
      </c>
      <c r="K13">
        <v>52354</v>
      </c>
      <c r="L13">
        <v>336679.495</v>
      </c>
      <c r="M13">
        <v>350846.67</v>
      </c>
      <c r="N13">
        <v>14167.174999999988</v>
      </c>
      <c r="O13">
        <v>350846.67</v>
      </c>
      <c r="P13">
        <v>350846.67</v>
      </c>
      <c r="Q13">
        <v>31960</v>
      </c>
      <c r="R13">
        <v>33860</v>
      </c>
      <c r="S13">
        <v>28050</v>
      </c>
      <c r="T13">
        <v>34920</v>
      </c>
      <c r="U13">
        <v>35100</v>
      </c>
      <c r="V13">
        <v>42500</v>
      </c>
      <c r="W13">
        <v>33120</v>
      </c>
      <c r="X13">
        <v>35280</v>
      </c>
      <c r="Y13">
        <v>19760</v>
      </c>
      <c r="Z13">
        <v>36450</v>
      </c>
      <c r="AA13">
        <v>331000</v>
      </c>
      <c r="AB13">
        <v>345167.17499999999</v>
      </c>
      <c r="AC13">
        <v>1442.62</v>
      </c>
      <c r="AD13">
        <v>0.748</v>
      </c>
      <c r="AE13">
        <v>0.79239999999999999</v>
      </c>
      <c r="AF13">
        <v>0.72370000000000001</v>
      </c>
      <c r="AG13">
        <v>0.70930000000000004</v>
      </c>
      <c r="AH13">
        <v>0.75519999999999998</v>
      </c>
      <c r="AI13">
        <v>0.80300000000000005</v>
      </c>
      <c r="AJ13">
        <v>0.78659999999999997</v>
      </c>
      <c r="AK13">
        <v>0.76910000000000001</v>
      </c>
      <c r="AL13">
        <v>0.80710000000000004</v>
      </c>
      <c r="AM13">
        <v>0.83189999999999997</v>
      </c>
      <c r="AN13">
        <v>0.98313085565249525</v>
      </c>
      <c r="AO13">
        <v>5.1923437916235011</v>
      </c>
      <c r="AP13">
        <v>6.2</v>
      </c>
      <c r="AQ13">
        <v>6.1</v>
      </c>
      <c r="AR13">
        <v>6.62</v>
      </c>
      <c r="AS13">
        <v>6.46</v>
      </c>
      <c r="AT13">
        <v>6.33</v>
      </c>
      <c r="AU13">
        <v>6.3420000000000005</v>
      </c>
      <c r="AV13">
        <v>0.77259999999999995</v>
      </c>
      <c r="AW13">
        <v>0.81872339823770113</v>
      </c>
      <c r="AX13">
        <v>0.98850000000000005</v>
      </c>
      <c r="AY13">
        <v>67570</v>
      </c>
      <c r="AZ13">
        <v>53692</v>
      </c>
      <c r="BA13">
        <v>23987</v>
      </c>
      <c r="BB13">
        <v>26730</v>
      </c>
    </row>
    <row r="14" spans="1:55" x14ac:dyDescent="0.25">
      <c r="A14" s="37">
        <v>45676</v>
      </c>
      <c r="B14">
        <v>244325.41132716986</v>
      </c>
      <c r="C14">
        <v>4.2064516129032263</v>
      </c>
      <c r="D14">
        <v>3.4480283870967745</v>
      </c>
      <c r="E14">
        <v>0.81969999999999998</v>
      </c>
      <c r="F14">
        <v>0.99</v>
      </c>
      <c r="G14">
        <v>55538.25</v>
      </c>
      <c r="H14">
        <v>55516.5</v>
      </c>
      <c r="I14">
        <v>35234.379999999997</v>
      </c>
      <c r="J14">
        <v>42798</v>
      </c>
      <c r="K14">
        <v>33901</v>
      </c>
      <c r="L14">
        <v>222988.13</v>
      </c>
      <c r="M14">
        <v>207592.33</v>
      </c>
      <c r="N14">
        <v>0</v>
      </c>
      <c r="O14">
        <v>222988.13</v>
      </c>
      <c r="P14">
        <v>222988.13</v>
      </c>
      <c r="Q14">
        <v>20320</v>
      </c>
      <c r="R14">
        <v>20860</v>
      </c>
      <c r="S14">
        <v>18790</v>
      </c>
      <c r="T14">
        <v>22800</v>
      </c>
      <c r="U14">
        <v>24450</v>
      </c>
      <c r="V14">
        <v>25360</v>
      </c>
      <c r="W14">
        <v>20330</v>
      </c>
      <c r="X14">
        <v>21890</v>
      </c>
      <c r="Y14">
        <v>13130</v>
      </c>
      <c r="Z14">
        <v>22670</v>
      </c>
      <c r="AA14">
        <v>210600</v>
      </c>
      <c r="AB14">
        <v>210600</v>
      </c>
      <c r="AC14">
        <v>1439.1</v>
      </c>
      <c r="AD14">
        <v>0.82689999999999997</v>
      </c>
      <c r="AE14">
        <v>0.84899999999999998</v>
      </c>
      <c r="AF14">
        <v>0.86040000000000005</v>
      </c>
      <c r="AG14">
        <v>0.82220000000000004</v>
      </c>
      <c r="AH14">
        <v>0.88390000000000002</v>
      </c>
      <c r="AI14">
        <v>0.86650000000000005</v>
      </c>
      <c r="AJ14">
        <v>0.81340000000000001</v>
      </c>
      <c r="AK14">
        <v>0.86309999999999998</v>
      </c>
      <c r="AL14">
        <v>0.90339999999999998</v>
      </c>
      <c r="AM14">
        <v>0.87150000000000005</v>
      </c>
      <c r="AN14">
        <v>0.94444489040739521</v>
      </c>
      <c r="AO14">
        <v>3.300105520201273</v>
      </c>
      <c r="AP14">
        <v>3.68</v>
      </c>
      <c r="AQ14">
        <v>3.63</v>
      </c>
      <c r="AR14">
        <v>3.66</v>
      </c>
      <c r="AS14">
        <v>3.64</v>
      </c>
      <c r="AT14">
        <v>3.64</v>
      </c>
      <c r="AU14">
        <v>3.65</v>
      </c>
      <c r="AV14">
        <v>0.85599999999999998</v>
      </c>
      <c r="AW14">
        <v>0.90413849868528029</v>
      </c>
      <c r="AX14">
        <v>0.99099999999999999</v>
      </c>
      <c r="AY14">
        <v>67570</v>
      </c>
      <c r="AZ14">
        <v>53692</v>
      </c>
      <c r="BA14">
        <v>23987</v>
      </c>
      <c r="BB14">
        <v>26730</v>
      </c>
    </row>
    <row r="15" spans="1:55" x14ac:dyDescent="0.25">
      <c r="A15" s="37">
        <v>45675</v>
      </c>
      <c r="B15">
        <v>244325.41132716986</v>
      </c>
      <c r="C15">
        <v>4.2064516129032263</v>
      </c>
      <c r="D15">
        <v>3.4480283870967745</v>
      </c>
      <c r="E15">
        <v>0.81969999999999998</v>
      </c>
      <c r="F15">
        <v>0.99</v>
      </c>
      <c r="G15">
        <v>74860.25</v>
      </c>
      <c r="H15">
        <v>74669</v>
      </c>
      <c r="I15">
        <v>51197.440000000002</v>
      </c>
      <c r="J15">
        <v>57654.13</v>
      </c>
      <c r="K15">
        <v>45765</v>
      </c>
      <c r="L15">
        <v>304145.82</v>
      </c>
      <c r="M15">
        <v>316712.33</v>
      </c>
      <c r="N15">
        <v>12566.510000000009</v>
      </c>
      <c r="O15">
        <v>316712.33</v>
      </c>
      <c r="P15">
        <v>316712.33</v>
      </c>
      <c r="Q15">
        <v>31800</v>
      </c>
      <c r="R15">
        <v>32980</v>
      </c>
      <c r="S15">
        <v>27990</v>
      </c>
      <c r="T15">
        <v>32590</v>
      </c>
      <c r="U15">
        <v>34190</v>
      </c>
      <c r="V15">
        <v>40080</v>
      </c>
      <c r="W15">
        <v>32000</v>
      </c>
      <c r="X15">
        <v>34190</v>
      </c>
      <c r="Y15">
        <v>20130</v>
      </c>
      <c r="Z15">
        <v>35150</v>
      </c>
      <c r="AA15">
        <v>321100</v>
      </c>
      <c r="AB15">
        <v>333666.51</v>
      </c>
      <c r="AC15">
        <v>1331.8</v>
      </c>
      <c r="AD15">
        <v>0.74660000000000004</v>
      </c>
      <c r="AE15">
        <v>0.77429999999999999</v>
      </c>
      <c r="AF15">
        <v>0.75</v>
      </c>
      <c r="AG15">
        <v>0.68759999999999999</v>
      </c>
      <c r="AH15">
        <v>0.73080000000000001</v>
      </c>
      <c r="AI15">
        <v>0.83409999999999995</v>
      </c>
      <c r="AJ15">
        <v>0.77490000000000003</v>
      </c>
      <c r="AK15">
        <v>0.82089999999999996</v>
      </c>
      <c r="AL15">
        <v>0.83840000000000003</v>
      </c>
      <c r="AM15">
        <v>0.81789999999999996</v>
      </c>
      <c r="AN15">
        <v>1.0557435903607026</v>
      </c>
      <c r="AO15">
        <v>4.6871737457451532</v>
      </c>
      <c r="AP15">
        <v>6.08</v>
      </c>
      <c r="AQ15">
        <v>6.14</v>
      </c>
      <c r="AR15">
        <v>6.01</v>
      </c>
      <c r="AS15">
        <v>6.22</v>
      </c>
      <c r="AT15">
        <v>6.31</v>
      </c>
      <c r="AU15">
        <v>6.1519999999999992</v>
      </c>
      <c r="AV15">
        <v>0.77759999999999996</v>
      </c>
      <c r="AW15">
        <v>0.76189430197417973</v>
      </c>
      <c r="AX15">
        <v>0.98950000000000005</v>
      </c>
      <c r="AY15">
        <v>67570</v>
      </c>
      <c r="AZ15">
        <v>53692</v>
      </c>
      <c r="BA15">
        <v>23987</v>
      </c>
      <c r="BB15">
        <v>26730</v>
      </c>
    </row>
    <row r="16" spans="1:55" x14ac:dyDescent="0.25">
      <c r="A16" s="37">
        <v>45674</v>
      </c>
      <c r="B16">
        <v>244325.41132716986</v>
      </c>
      <c r="C16">
        <v>4.2064516129032263</v>
      </c>
      <c r="D16">
        <v>3.4480283870967745</v>
      </c>
      <c r="E16">
        <v>0.81969999999999998</v>
      </c>
      <c r="F16">
        <v>0.99</v>
      </c>
      <c r="G16">
        <v>67558.5</v>
      </c>
      <c r="H16">
        <v>67613.5</v>
      </c>
      <c r="I16">
        <v>44414.81</v>
      </c>
      <c r="J16">
        <v>51667.5</v>
      </c>
      <c r="K16">
        <v>41462</v>
      </c>
      <c r="L16">
        <v>272716.31</v>
      </c>
      <c r="M16">
        <v>287770.33</v>
      </c>
      <c r="N16">
        <v>15054.020000000019</v>
      </c>
      <c r="O16">
        <v>287770.33</v>
      </c>
      <c r="P16">
        <v>287770.33</v>
      </c>
      <c r="Q16">
        <v>26870</v>
      </c>
      <c r="R16">
        <v>27260</v>
      </c>
      <c r="S16">
        <v>23300</v>
      </c>
      <c r="T16">
        <v>27450</v>
      </c>
      <c r="U16">
        <v>29570</v>
      </c>
      <c r="V16">
        <v>31120</v>
      </c>
      <c r="W16">
        <v>26970</v>
      </c>
      <c r="X16">
        <v>28780</v>
      </c>
      <c r="Y16">
        <v>17030</v>
      </c>
      <c r="Z16">
        <v>28070</v>
      </c>
      <c r="AA16">
        <v>266420</v>
      </c>
      <c r="AB16">
        <v>281474.02</v>
      </c>
      <c r="AC16">
        <v>1453.91</v>
      </c>
      <c r="AD16">
        <v>0.78049999999999997</v>
      </c>
      <c r="AE16">
        <v>0.79190000000000005</v>
      </c>
      <c r="AF16">
        <v>0.77200000000000002</v>
      </c>
      <c r="AG16">
        <v>0.71619999999999995</v>
      </c>
      <c r="AH16">
        <v>0.76690000000000003</v>
      </c>
      <c r="AI16">
        <v>0.79110000000000003</v>
      </c>
      <c r="AJ16">
        <v>0.78169999999999995</v>
      </c>
      <c r="AK16">
        <v>0.84409999999999996</v>
      </c>
      <c r="AL16">
        <v>0.84889999999999999</v>
      </c>
      <c r="AM16">
        <v>0.78180000000000005</v>
      </c>
      <c r="AN16">
        <v>0.97691260196355689</v>
      </c>
      <c r="AO16">
        <v>4.2588475654876428</v>
      </c>
      <c r="AP16">
        <v>5.08</v>
      </c>
      <c r="AQ16">
        <v>5.0599999999999996</v>
      </c>
      <c r="AR16">
        <v>4.92</v>
      </c>
      <c r="AS16">
        <v>5.03</v>
      </c>
      <c r="AT16">
        <v>5.0999999999999996</v>
      </c>
      <c r="AU16">
        <v>5.0379999999999994</v>
      </c>
      <c r="AV16">
        <v>0.78749999999999998</v>
      </c>
      <c r="AW16">
        <v>0.84534489191894469</v>
      </c>
      <c r="AX16">
        <v>0.98899999999999999</v>
      </c>
      <c r="AY16">
        <v>67570</v>
      </c>
      <c r="AZ16">
        <v>53692</v>
      </c>
      <c r="BA16">
        <v>23987</v>
      </c>
      <c r="BB16">
        <v>26730</v>
      </c>
    </row>
    <row r="17" spans="1:55" x14ac:dyDescent="0.25">
      <c r="A17" s="37">
        <v>45673</v>
      </c>
      <c r="B17">
        <v>244325.41132716986</v>
      </c>
      <c r="C17">
        <v>4.2064516129032263</v>
      </c>
      <c r="D17">
        <v>3.4480283870967745</v>
      </c>
      <c r="E17">
        <v>0.81969999999999998</v>
      </c>
      <c r="F17">
        <v>0.99</v>
      </c>
      <c r="G17">
        <v>77247.25</v>
      </c>
      <c r="H17">
        <v>77162.75</v>
      </c>
      <c r="I17">
        <v>52098.875</v>
      </c>
      <c r="J17">
        <v>58477.06</v>
      </c>
      <c r="K17">
        <v>40600</v>
      </c>
      <c r="L17">
        <v>305585.935</v>
      </c>
      <c r="M17">
        <v>337694.67</v>
      </c>
      <c r="N17">
        <v>32108.734999999986</v>
      </c>
      <c r="O17">
        <v>337694.67</v>
      </c>
      <c r="P17">
        <v>337694.67</v>
      </c>
      <c r="Q17">
        <v>32650</v>
      </c>
      <c r="R17">
        <v>34130</v>
      </c>
      <c r="S17">
        <v>28940</v>
      </c>
      <c r="T17">
        <v>34910</v>
      </c>
      <c r="U17">
        <v>35570</v>
      </c>
      <c r="V17">
        <v>37830</v>
      </c>
      <c r="W17">
        <v>34600</v>
      </c>
      <c r="X17">
        <v>35540</v>
      </c>
      <c r="Y17">
        <v>20940</v>
      </c>
      <c r="Z17">
        <v>33150</v>
      </c>
      <c r="AA17">
        <v>328260</v>
      </c>
      <c r="AB17">
        <v>360368.73499999999</v>
      </c>
      <c r="AC17">
        <v>1355.55</v>
      </c>
      <c r="AD17">
        <v>0.75229999999999997</v>
      </c>
      <c r="AE17">
        <v>0.78639999999999999</v>
      </c>
      <c r="AF17">
        <v>0.74429999999999996</v>
      </c>
      <c r="AG17">
        <v>0.70699999999999996</v>
      </c>
      <c r="AH17">
        <v>0.73050000000000004</v>
      </c>
      <c r="AI17">
        <v>0.72970000000000002</v>
      </c>
      <c r="AJ17">
        <v>0.79749999999999999</v>
      </c>
      <c r="AK17">
        <v>0.80769999999999997</v>
      </c>
      <c r="AL17">
        <v>0.8296</v>
      </c>
      <c r="AM17">
        <v>0.74860000000000004</v>
      </c>
      <c r="AN17">
        <v>1.0741986538091159</v>
      </c>
      <c r="AO17">
        <v>4.9977011987568449</v>
      </c>
      <c r="AP17">
        <v>6.39</v>
      </c>
      <c r="AQ17">
        <v>6.39</v>
      </c>
      <c r="AR17">
        <v>6.48</v>
      </c>
      <c r="AS17">
        <v>6.48</v>
      </c>
      <c r="AT17">
        <v>6.43</v>
      </c>
      <c r="AU17">
        <v>6.4340000000000002</v>
      </c>
      <c r="AV17">
        <v>0.76339999999999997</v>
      </c>
      <c r="AW17">
        <v>0.77676425221586021</v>
      </c>
      <c r="AX17">
        <v>0.99350000000000005</v>
      </c>
      <c r="AY17">
        <v>67570</v>
      </c>
      <c r="AZ17">
        <v>53692</v>
      </c>
      <c r="BA17">
        <v>23987</v>
      </c>
      <c r="BB17">
        <v>26730</v>
      </c>
    </row>
    <row r="18" spans="1:55" x14ac:dyDescent="0.25">
      <c r="A18" s="37">
        <v>45672</v>
      </c>
      <c r="B18">
        <v>244325.41132716986</v>
      </c>
      <c r="C18">
        <v>4.2064516129032263</v>
      </c>
      <c r="D18">
        <v>3.4480283870967745</v>
      </c>
      <c r="E18">
        <v>0.81969999999999998</v>
      </c>
      <c r="F18">
        <v>0.99</v>
      </c>
      <c r="G18">
        <v>65022.25</v>
      </c>
      <c r="H18">
        <v>64974</v>
      </c>
      <c r="I18">
        <v>43548.995000000003</v>
      </c>
      <c r="J18">
        <v>52643.123</v>
      </c>
      <c r="K18">
        <v>34973</v>
      </c>
      <c r="L18">
        <v>261161.36799999999</v>
      </c>
      <c r="M18">
        <v>236442.67</v>
      </c>
      <c r="N18">
        <v>0</v>
      </c>
      <c r="O18">
        <v>261161.36799999999</v>
      </c>
      <c r="P18">
        <v>261161.36799999999</v>
      </c>
      <c r="Q18">
        <v>20770</v>
      </c>
      <c r="R18">
        <v>21500</v>
      </c>
      <c r="S18">
        <v>19400</v>
      </c>
      <c r="T18">
        <v>23830</v>
      </c>
      <c r="U18">
        <v>24850</v>
      </c>
      <c r="V18">
        <v>25680</v>
      </c>
      <c r="W18">
        <v>22360</v>
      </c>
      <c r="X18">
        <v>22370</v>
      </c>
      <c r="Y18">
        <v>13100</v>
      </c>
      <c r="Z18">
        <v>23010</v>
      </c>
      <c r="AA18">
        <v>216870</v>
      </c>
      <c r="AB18">
        <v>216870</v>
      </c>
      <c r="AC18">
        <v>1392.3</v>
      </c>
      <c r="AD18">
        <v>0.85470000000000002</v>
      </c>
      <c r="AE18">
        <v>0.88480000000000003</v>
      </c>
      <c r="AF18">
        <v>0.89810000000000001</v>
      </c>
      <c r="AG18">
        <v>0.86870000000000003</v>
      </c>
      <c r="AH18">
        <v>0.90339999999999998</v>
      </c>
      <c r="AI18">
        <v>0.88919999999999999</v>
      </c>
      <c r="AJ18">
        <v>0.89729999999999999</v>
      </c>
      <c r="AK18">
        <v>0.91259999999999997</v>
      </c>
      <c r="AL18">
        <v>0.90369999999999995</v>
      </c>
      <c r="AM18">
        <v>0.90469999999999995</v>
      </c>
      <c r="AN18">
        <v>0.83040612652940315</v>
      </c>
      <c r="AO18">
        <v>3.8650491046322331</v>
      </c>
      <c r="AP18">
        <v>3.67</v>
      </c>
      <c r="AR18">
        <v>3.61</v>
      </c>
      <c r="AS18">
        <v>3.6</v>
      </c>
      <c r="AT18">
        <v>3.6</v>
      </c>
      <c r="AU18">
        <v>3.6199999999999997</v>
      </c>
      <c r="AV18">
        <v>0.89170000000000005</v>
      </c>
      <c r="AW18">
        <v>1.0676931228265838</v>
      </c>
      <c r="AX18">
        <v>1</v>
      </c>
      <c r="AY18">
        <v>67570</v>
      </c>
      <c r="AZ18">
        <v>53692</v>
      </c>
      <c r="BA18">
        <v>24386</v>
      </c>
      <c r="BB18">
        <v>25305</v>
      </c>
    </row>
    <row r="19" spans="1:55" x14ac:dyDescent="0.25">
      <c r="A19" s="37">
        <v>45671</v>
      </c>
      <c r="B19">
        <v>244325.41132716986</v>
      </c>
      <c r="C19">
        <v>4.2064516129032263</v>
      </c>
      <c r="D19">
        <v>3.4480283870967745</v>
      </c>
      <c r="E19">
        <v>0.81969999999999998</v>
      </c>
      <c r="F19">
        <v>0.99</v>
      </c>
      <c r="G19">
        <v>33498.5</v>
      </c>
      <c r="H19">
        <v>33584.75</v>
      </c>
      <c r="I19">
        <v>27204.442999999999</v>
      </c>
      <c r="J19">
        <v>34408.686999999998</v>
      </c>
      <c r="K19">
        <v>26008</v>
      </c>
      <c r="L19">
        <v>154704.38</v>
      </c>
      <c r="M19">
        <v>196920</v>
      </c>
      <c r="N19">
        <v>42215.619999999995</v>
      </c>
      <c r="O19">
        <v>154704.38</v>
      </c>
      <c r="P19">
        <v>196920</v>
      </c>
      <c r="Q19">
        <v>15130</v>
      </c>
      <c r="R19">
        <v>15360</v>
      </c>
      <c r="S19">
        <v>14220</v>
      </c>
      <c r="T19">
        <v>16740</v>
      </c>
      <c r="U19">
        <v>18500</v>
      </c>
      <c r="V19">
        <v>26120</v>
      </c>
      <c r="W19">
        <v>22190</v>
      </c>
      <c r="X19">
        <v>22380</v>
      </c>
      <c r="Y19">
        <v>13630</v>
      </c>
      <c r="Z19">
        <v>23030</v>
      </c>
      <c r="AA19">
        <v>187300</v>
      </c>
      <c r="AB19">
        <v>229515.62</v>
      </c>
      <c r="AC19">
        <v>1357.87</v>
      </c>
      <c r="AD19">
        <v>0.57920000000000005</v>
      </c>
      <c r="AE19">
        <v>0.58799999999999997</v>
      </c>
      <c r="AF19">
        <v>0.60460000000000003</v>
      </c>
      <c r="AG19">
        <v>0.56040000000000001</v>
      </c>
      <c r="AH19">
        <v>0.61929999999999996</v>
      </c>
      <c r="AI19">
        <v>0.83289999999999997</v>
      </c>
      <c r="AJ19">
        <v>0.81289999999999996</v>
      </c>
      <c r="AK19">
        <v>0.84079999999999999</v>
      </c>
      <c r="AL19">
        <v>0.85840000000000005</v>
      </c>
      <c r="AM19">
        <v>0.82669999999999999</v>
      </c>
      <c r="AN19">
        <v>1.2106961677490966</v>
      </c>
      <c r="AO19">
        <v>2.2895424004735832</v>
      </c>
      <c r="AP19">
        <v>4.0199999999999996</v>
      </c>
      <c r="AR19">
        <v>3.92</v>
      </c>
      <c r="AS19">
        <v>3.92</v>
      </c>
      <c r="AT19">
        <v>3.87</v>
      </c>
      <c r="AU19">
        <v>3.9325000000000001</v>
      </c>
      <c r="AV19">
        <v>0.71230000000000004</v>
      </c>
      <c r="AW19">
        <v>0.58221040062901031</v>
      </c>
      <c r="AX19">
        <v>0.99750000000000005</v>
      </c>
      <c r="AY19">
        <v>67570</v>
      </c>
      <c r="AZ19">
        <v>53692</v>
      </c>
      <c r="BA19">
        <v>24796</v>
      </c>
      <c r="BB19">
        <v>26730</v>
      </c>
      <c r="BC19" t="s">
        <v>105</v>
      </c>
    </row>
    <row r="20" spans="1:55" x14ac:dyDescent="0.25">
      <c r="A20" s="37">
        <v>45670</v>
      </c>
      <c r="B20">
        <v>244325.41132716986</v>
      </c>
      <c r="C20">
        <v>4.2064516129032263</v>
      </c>
      <c r="D20">
        <v>3.4480283870967745</v>
      </c>
      <c r="E20">
        <v>0.81969999999999998</v>
      </c>
      <c r="F20">
        <v>0.99</v>
      </c>
      <c r="G20">
        <v>44699.25</v>
      </c>
      <c r="H20">
        <v>44668.5</v>
      </c>
      <c r="I20">
        <v>36095.5</v>
      </c>
      <c r="J20">
        <v>30675.312999999998</v>
      </c>
      <c r="K20">
        <v>35339</v>
      </c>
      <c r="L20">
        <v>191477.56299999999</v>
      </c>
      <c r="M20">
        <v>151981.17000000001</v>
      </c>
      <c r="N20">
        <v>0</v>
      </c>
      <c r="O20">
        <v>191477.56299999999</v>
      </c>
      <c r="P20">
        <v>191477.56299999999</v>
      </c>
      <c r="Q20">
        <v>14060</v>
      </c>
      <c r="R20">
        <v>14720</v>
      </c>
      <c r="S20">
        <v>12850</v>
      </c>
      <c r="T20">
        <v>16150</v>
      </c>
      <c r="U20">
        <v>16520</v>
      </c>
      <c r="V20">
        <v>16840</v>
      </c>
      <c r="W20">
        <v>14030</v>
      </c>
      <c r="X20">
        <v>14700</v>
      </c>
      <c r="Y20">
        <v>8060</v>
      </c>
      <c r="Z20">
        <v>14460</v>
      </c>
      <c r="AA20">
        <v>142390</v>
      </c>
      <c r="AB20">
        <v>142390</v>
      </c>
      <c r="AC20">
        <v>1490.11</v>
      </c>
      <c r="AD20">
        <v>0.87519999999999998</v>
      </c>
      <c r="AE20">
        <v>0.9163</v>
      </c>
      <c r="AF20">
        <v>0.89990000000000003</v>
      </c>
      <c r="AG20">
        <v>0.89049999999999996</v>
      </c>
      <c r="AH20">
        <v>0.91090000000000004</v>
      </c>
      <c r="AI20">
        <v>0.88449999999999995</v>
      </c>
      <c r="AJ20">
        <v>0.86819999999999997</v>
      </c>
      <c r="AK20">
        <v>0.90959999999999996</v>
      </c>
      <c r="AL20">
        <v>0.85740000000000005</v>
      </c>
      <c r="AM20">
        <v>0.87670000000000003</v>
      </c>
      <c r="AN20">
        <v>0.74363804181067417</v>
      </c>
      <c r="AO20">
        <v>2.833765916826994</v>
      </c>
      <c r="AP20">
        <v>2.38</v>
      </c>
      <c r="AR20">
        <v>2.38</v>
      </c>
      <c r="AT20">
        <v>2.38</v>
      </c>
      <c r="AU20">
        <v>2.38</v>
      </c>
      <c r="AV20">
        <v>0.88890000000000002</v>
      </c>
      <c r="AW20">
        <v>1.1906579482466362</v>
      </c>
      <c r="AX20">
        <v>1</v>
      </c>
      <c r="AY20">
        <v>67570</v>
      </c>
      <c r="AZ20">
        <v>53692</v>
      </c>
      <c r="BA20">
        <v>22248</v>
      </c>
      <c r="BB20">
        <v>26730</v>
      </c>
    </row>
    <row r="21" spans="1:55" x14ac:dyDescent="0.25">
      <c r="A21" s="37">
        <v>45669</v>
      </c>
      <c r="B21">
        <v>244325.41132716986</v>
      </c>
      <c r="C21">
        <v>4.2064516129032263</v>
      </c>
      <c r="D21">
        <v>3.4480283870967745</v>
      </c>
      <c r="E21">
        <v>0.81969999999999998</v>
      </c>
      <c r="F21">
        <v>0.99</v>
      </c>
      <c r="G21">
        <v>63291.5</v>
      </c>
      <c r="H21">
        <v>63164.25</v>
      </c>
      <c r="I21">
        <v>42758.061999999998</v>
      </c>
      <c r="J21">
        <v>49866.936999999998</v>
      </c>
      <c r="K21">
        <v>39215</v>
      </c>
      <c r="L21">
        <v>258295.74900000001</v>
      </c>
      <c r="M21">
        <v>252307.17</v>
      </c>
      <c r="N21">
        <v>0</v>
      </c>
      <c r="O21">
        <v>258295.74900000001</v>
      </c>
      <c r="P21">
        <v>258295.74900000001</v>
      </c>
      <c r="Q21">
        <v>27250</v>
      </c>
      <c r="R21">
        <v>29350</v>
      </c>
      <c r="S21">
        <v>25670</v>
      </c>
      <c r="T21">
        <v>31790</v>
      </c>
      <c r="U21">
        <v>33600</v>
      </c>
      <c r="V21">
        <v>36100</v>
      </c>
      <c r="W21">
        <v>30430</v>
      </c>
      <c r="X21">
        <v>30710</v>
      </c>
      <c r="Y21">
        <v>18140</v>
      </c>
      <c r="Z21">
        <v>28010</v>
      </c>
      <c r="AA21">
        <v>291050</v>
      </c>
      <c r="AB21">
        <v>291050</v>
      </c>
      <c r="AC21">
        <v>1498.49</v>
      </c>
      <c r="AD21">
        <v>0.75319999999999998</v>
      </c>
      <c r="AE21">
        <v>0.81120000000000003</v>
      </c>
      <c r="AF21">
        <v>0.79820000000000002</v>
      </c>
      <c r="AG21">
        <v>0.77829999999999999</v>
      </c>
      <c r="AH21">
        <v>0.82269999999999999</v>
      </c>
      <c r="AI21">
        <v>0.84189999999999998</v>
      </c>
      <c r="AJ21">
        <v>0.83609999999999995</v>
      </c>
      <c r="AK21">
        <v>0.84379999999999999</v>
      </c>
      <c r="AL21">
        <v>0.83050000000000002</v>
      </c>
      <c r="AM21">
        <v>0.75409999999999999</v>
      </c>
      <c r="AN21">
        <v>1.1268090982016123</v>
      </c>
      <c r="AO21">
        <v>3.8226394701790736</v>
      </c>
      <c r="AP21">
        <v>5.36</v>
      </c>
      <c r="AR21">
        <v>5.36</v>
      </c>
      <c r="AT21">
        <v>5.36</v>
      </c>
      <c r="AU21">
        <v>5.36</v>
      </c>
      <c r="AV21">
        <v>0.80700000000000005</v>
      </c>
      <c r="AW21">
        <v>0.71317900563042413</v>
      </c>
      <c r="AX21">
        <v>0.99350000000000005</v>
      </c>
      <c r="AY21">
        <v>67570</v>
      </c>
      <c r="AZ21">
        <v>53692</v>
      </c>
      <c r="BA21">
        <v>24796</v>
      </c>
      <c r="BB21">
        <v>26730</v>
      </c>
    </row>
    <row r="22" spans="1:55" x14ac:dyDescent="0.25">
      <c r="A22" s="37">
        <v>45668</v>
      </c>
      <c r="B22">
        <v>244325.41132716986</v>
      </c>
      <c r="C22">
        <v>4.2064516129032263</v>
      </c>
      <c r="D22">
        <v>3.4480283870967745</v>
      </c>
      <c r="E22">
        <v>0.81969999999999998</v>
      </c>
      <c r="F22">
        <v>0.99</v>
      </c>
      <c r="G22">
        <v>64870.75</v>
      </c>
      <c r="H22">
        <v>64834.375</v>
      </c>
      <c r="I22">
        <v>39387.718999999997</v>
      </c>
      <c r="J22">
        <v>45621.813000000002</v>
      </c>
      <c r="K22">
        <v>37394</v>
      </c>
      <c r="L22">
        <v>252108.65699999998</v>
      </c>
      <c r="M22">
        <v>250746.5</v>
      </c>
      <c r="N22">
        <v>0</v>
      </c>
      <c r="O22">
        <v>252108.65699999998</v>
      </c>
      <c r="P22">
        <v>252108.65699999998</v>
      </c>
      <c r="Q22">
        <v>23570</v>
      </c>
      <c r="R22">
        <v>25220</v>
      </c>
      <c r="S22">
        <v>22360</v>
      </c>
      <c r="T22">
        <v>27820</v>
      </c>
      <c r="U22">
        <v>29140</v>
      </c>
      <c r="V22">
        <v>31100</v>
      </c>
      <c r="W22">
        <v>26310</v>
      </c>
      <c r="X22">
        <v>26680</v>
      </c>
      <c r="Y22">
        <v>16040</v>
      </c>
      <c r="Z22">
        <v>20420</v>
      </c>
      <c r="AA22">
        <v>248660</v>
      </c>
      <c r="AB22">
        <v>248660</v>
      </c>
      <c r="AC22">
        <v>1435.27</v>
      </c>
      <c r="AD22">
        <v>0.7641</v>
      </c>
      <c r="AE22">
        <v>0.81759999999999999</v>
      </c>
      <c r="AF22">
        <v>0.82809999999999995</v>
      </c>
      <c r="AG22">
        <v>0.81130000000000002</v>
      </c>
      <c r="AH22">
        <v>0.8498</v>
      </c>
      <c r="AI22">
        <v>0.8639</v>
      </c>
      <c r="AJ22">
        <v>0.85160000000000002</v>
      </c>
      <c r="AK22">
        <v>0.86360000000000003</v>
      </c>
      <c r="AL22">
        <v>0.86509999999999998</v>
      </c>
      <c r="AM22">
        <v>0.64759999999999995</v>
      </c>
      <c r="AN22">
        <v>0.98632075137348429</v>
      </c>
      <c r="AO22">
        <v>3.7310738049430219</v>
      </c>
      <c r="AP22">
        <v>4.55</v>
      </c>
      <c r="AR22">
        <v>4.5</v>
      </c>
      <c r="AT22">
        <v>4.57</v>
      </c>
      <c r="AU22">
        <v>4.54</v>
      </c>
      <c r="AV22">
        <v>0.81630000000000003</v>
      </c>
      <c r="AW22">
        <v>0.82182242399626027</v>
      </c>
      <c r="AX22">
        <v>0.99250000000000005</v>
      </c>
      <c r="AY22">
        <v>67570</v>
      </c>
      <c r="AZ22">
        <v>53692</v>
      </c>
      <c r="BA22">
        <v>24786</v>
      </c>
      <c r="BB22">
        <v>26730</v>
      </c>
    </row>
    <row r="23" spans="1:55" x14ac:dyDescent="0.25">
      <c r="A23" s="37">
        <v>45667</v>
      </c>
      <c r="B23">
        <v>244325.41132716986</v>
      </c>
      <c r="C23">
        <v>4.2064516129032263</v>
      </c>
      <c r="D23">
        <v>3.4480283870967745</v>
      </c>
      <c r="E23">
        <v>0.81969999999999998</v>
      </c>
      <c r="F23">
        <v>0.99</v>
      </c>
      <c r="G23">
        <v>64155.25</v>
      </c>
      <c r="H23">
        <v>64107.745000000003</v>
      </c>
      <c r="I23">
        <v>40552.593999999997</v>
      </c>
      <c r="J23">
        <v>45762.686999999998</v>
      </c>
      <c r="K23">
        <v>37648</v>
      </c>
      <c r="L23">
        <v>252226.27599999998</v>
      </c>
      <c r="M23">
        <v>274399.33</v>
      </c>
      <c r="N23">
        <v>22173.054000000033</v>
      </c>
      <c r="O23">
        <v>252226.27599999998</v>
      </c>
      <c r="P23">
        <v>274399.33</v>
      </c>
      <c r="Q23">
        <v>25510</v>
      </c>
      <c r="R23">
        <v>26790</v>
      </c>
      <c r="S23">
        <v>23630</v>
      </c>
      <c r="T23">
        <v>28860</v>
      </c>
      <c r="U23">
        <v>30260</v>
      </c>
      <c r="V23">
        <v>33090</v>
      </c>
      <c r="W23">
        <v>27300</v>
      </c>
      <c r="X23">
        <v>28090</v>
      </c>
      <c r="Y23">
        <v>16500</v>
      </c>
      <c r="Z23">
        <v>28630</v>
      </c>
      <c r="AA23">
        <v>268660</v>
      </c>
      <c r="AB23">
        <v>290833.054</v>
      </c>
      <c r="AC23">
        <v>1360.42</v>
      </c>
      <c r="AD23">
        <v>0.72540000000000004</v>
      </c>
      <c r="AE23">
        <v>0.76180000000000003</v>
      </c>
      <c r="AF23">
        <v>0.75590000000000002</v>
      </c>
      <c r="AG23">
        <v>0.72689999999999999</v>
      </c>
      <c r="AH23">
        <v>0.76219999999999999</v>
      </c>
      <c r="AI23">
        <v>0.79390000000000005</v>
      </c>
      <c r="AJ23">
        <v>0.77170000000000005</v>
      </c>
      <c r="AK23">
        <v>0.79400000000000004</v>
      </c>
      <c r="AL23">
        <v>0.7772</v>
      </c>
      <c r="AM23">
        <v>0.79300000000000004</v>
      </c>
      <c r="AN23">
        <v>1.0651546867385062</v>
      </c>
      <c r="AO23">
        <v>3.7328145034778744</v>
      </c>
      <c r="AP23">
        <v>5.21</v>
      </c>
      <c r="AR23">
        <v>5.21</v>
      </c>
      <c r="AT23">
        <v>5.21</v>
      </c>
      <c r="AU23">
        <v>5.21</v>
      </c>
      <c r="AV23">
        <v>0.76619999999999999</v>
      </c>
      <c r="AW23">
        <v>0.71647111391130025</v>
      </c>
      <c r="AX23">
        <v>1</v>
      </c>
      <c r="AY23">
        <v>67570</v>
      </c>
      <c r="AZ23">
        <v>53692</v>
      </c>
      <c r="BA23">
        <v>24786</v>
      </c>
      <c r="BB23">
        <v>26730</v>
      </c>
    </row>
    <row r="24" spans="1:55" x14ac:dyDescent="0.25">
      <c r="A24" s="37">
        <v>45666</v>
      </c>
      <c r="B24">
        <v>244325.41132716986</v>
      </c>
      <c r="C24">
        <v>4.2064516129032263</v>
      </c>
      <c r="D24">
        <v>3.4480283870967745</v>
      </c>
      <c r="E24">
        <v>0.81969999999999998</v>
      </c>
      <c r="F24">
        <v>0.99</v>
      </c>
      <c r="G24">
        <v>45448</v>
      </c>
      <c r="H24">
        <v>45443.13</v>
      </c>
      <c r="I24">
        <v>28511.875</v>
      </c>
      <c r="J24">
        <v>35869.5</v>
      </c>
      <c r="K24">
        <v>28914</v>
      </c>
      <c r="L24">
        <v>184186.505</v>
      </c>
      <c r="M24">
        <v>143451.67000000001</v>
      </c>
      <c r="N24">
        <v>0</v>
      </c>
      <c r="O24">
        <v>184186.505</v>
      </c>
      <c r="P24">
        <v>184186.505</v>
      </c>
      <c r="Q24">
        <v>13110</v>
      </c>
      <c r="R24">
        <v>13750</v>
      </c>
      <c r="S24">
        <v>12440</v>
      </c>
      <c r="T24">
        <v>15670</v>
      </c>
      <c r="U24">
        <v>16460</v>
      </c>
      <c r="V24">
        <v>16770</v>
      </c>
      <c r="W24">
        <v>14380</v>
      </c>
      <c r="X24">
        <v>14240</v>
      </c>
      <c r="Y24">
        <v>8200</v>
      </c>
      <c r="Z24">
        <v>14900</v>
      </c>
      <c r="AA24">
        <v>139920</v>
      </c>
      <c r="AB24">
        <v>139920</v>
      </c>
      <c r="AC24">
        <v>1439.62</v>
      </c>
      <c r="AD24">
        <v>0.90339999999999998</v>
      </c>
      <c r="AE24">
        <v>0.94750000000000001</v>
      </c>
      <c r="AF24">
        <v>0.93820000000000003</v>
      </c>
      <c r="AG24">
        <v>0.93049999999999999</v>
      </c>
      <c r="AH24">
        <v>0.97740000000000005</v>
      </c>
      <c r="AI24">
        <v>0.94850000000000001</v>
      </c>
      <c r="AJ24">
        <v>0.97150000000000003</v>
      </c>
      <c r="AK24">
        <v>0.96199999999999997</v>
      </c>
      <c r="AL24">
        <v>0.92310000000000003</v>
      </c>
      <c r="AM24">
        <v>0.98629999999999995</v>
      </c>
      <c r="AN24">
        <v>0.75966477565769541</v>
      </c>
      <c r="AO24">
        <v>2.7258621429628533</v>
      </c>
      <c r="AP24">
        <v>2.1800000000000002</v>
      </c>
      <c r="AR24">
        <v>2.21</v>
      </c>
      <c r="AT24">
        <v>2.15</v>
      </c>
      <c r="AU24">
        <v>2.1800000000000002</v>
      </c>
      <c r="AV24">
        <v>0.94879999999999998</v>
      </c>
      <c r="AW24">
        <v>1.2503954784233271</v>
      </c>
      <c r="AX24">
        <v>1</v>
      </c>
      <c r="AY24">
        <v>67570</v>
      </c>
      <c r="AZ24">
        <v>53692</v>
      </c>
      <c r="BA24">
        <v>24786</v>
      </c>
      <c r="BB24">
        <v>26730</v>
      </c>
    </row>
    <row r="25" spans="1:55" x14ac:dyDescent="0.25">
      <c r="A25" s="37">
        <v>45665</v>
      </c>
      <c r="B25">
        <v>244325.41132716986</v>
      </c>
      <c r="C25">
        <v>4.2064516129032263</v>
      </c>
      <c r="D25">
        <v>3.4480283870967745</v>
      </c>
      <c r="E25">
        <v>0.81969999999999998</v>
      </c>
      <c r="F25">
        <v>0.99</v>
      </c>
      <c r="G25">
        <v>36892.25</v>
      </c>
      <c r="H25">
        <v>36913</v>
      </c>
      <c r="I25">
        <v>21324.347000000002</v>
      </c>
      <c r="J25">
        <v>28728.62</v>
      </c>
      <c r="K25">
        <v>23294</v>
      </c>
      <c r="L25">
        <v>147152.217</v>
      </c>
      <c r="M25">
        <v>115517.5</v>
      </c>
      <c r="N25">
        <v>0</v>
      </c>
      <c r="O25">
        <v>147152.217</v>
      </c>
      <c r="P25">
        <v>147152.217</v>
      </c>
      <c r="Q25">
        <v>13370</v>
      </c>
      <c r="R25">
        <v>13970</v>
      </c>
      <c r="S25">
        <v>12630</v>
      </c>
      <c r="T25">
        <v>15820</v>
      </c>
      <c r="U25">
        <v>16500</v>
      </c>
      <c r="V25">
        <v>16740</v>
      </c>
      <c r="W25">
        <v>14160</v>
      </c>
      <c r="X25">
        <v>14020</v>
      </c>
      <c r="Y25">
        <v>8040</v>
      </c>
      <c r="Z25">
        <v>14060</v>
      </c>
      <c r="AA25">
        <v>139310</v>
      </c>
      <c r="AB25">
        <v>139310</v>
      </c>
      <c r="AC25">
        <v>1455.51</v>
      </c>
      <c r="AD25">
        <v>0.91700000000000004</v>
      </c>
      <c r="AE25">
        <v>0.95820000000000005</v>
      </c>
      <c r="AF25">
        <v>0.96560000000000001</v>
      </c>
      <c r="AG25">
        <v>0.95230000000000004</v>
      </c>
      <c r="AH25">
        <v>0.99329999999999996</v>
      </c>
      <c r="AI25">
        <v>0.95989999999999998</v>
      </c>
      <c r="AJ25">
        <v>0.96099999999999997</v>
      </c>
      <c r="AK25">
        <v>0.95150000000000001</v>
      </c>
      <c r="AL25">
        <v>0.90920000000000001</v>
      </c>
      <c r="AM25">
        <v>0.91639999999999999</v>
      </c>
      <c r="AN25">
        <v>0.94670676963025302</v>
      </c>
      <c r="AO25">
        <v>2.1777744117211779</v>
      </c>
      <c r="AP25">
        <v>2.17</v>
      </c>
      <c r="AR25">
        <v>2.1800000000000002</v>
      </c>
      <c r="AT25">
        <v>2.16</v>
      </c>
      <c r="AU25">
        <v>2.17</v>
      </c>
      <c r="AV25">
        <v>0.94840000000000002</v>
      </c>
      <c r="AW25">
        <v>1.0035826782125243</v>
      </c>
      <c r="AX25">
        <v>1</v>
      </c>
      <c r="AY25">
        <v>67570</v>
      </c>
      <c r="AZ25">
        <v>53692</v>
      </c>
      <c r="BA25">
        <v>24786</v>
      </c>
      <c r="BB25">
        <v>26730</v>
      </c>
    </row>
    <row r="26" spans="1:55" x14ac:dyDescent="0.25">
      <c r="A26" s="37">
        <v>45664</v>
      </c>
      <c r="B26">
        <v>244325.41132716986</v>
      </c>
      <c r="C26">
        <v>4.2064516129032263</v>
      </c>
      <c r="D26">
        <v>3.4480283870967745</v>
      </c>
      <c r="E26">
        <v>0.81969999999999998</v>
      </c>
      <c r="F26">
        <v>0.99</v>
      </c>
      <c r="G26">
        <v>42648.5</v>
      </c>
      <c r="H26">
        <v>42640.875</v>
      </c>
      <c r="I26">
        <v>25717.152999999998</v>
      </c>
      <c r="J26">
        <v>31546.880000000001</v>
      </c>
      <c r="K26">
        <v>25027</v>
      </c>
      <c r="L26">
        <v>167580.408</v>
      </c>
      <c r="M26">
        <v>147900.5</v>
      </c>
      <c r="N26">
        <v>0</v>
      </c>
      <c r="O26">
        <v>167580.408</v>
      </c>
      <c r="P26">
        <v>167580.408</v>
      </c>
      <c r="Q26">
        <v>18210</v>
      </c>
      <c r="R26">
        <v>19070</v>
      </c>
      <c r="S26">
        <v>16890</v>
      </c>
      <c r="T26">
        <v>21300</v>
      </c>
      <c r="U26">
        <v>21990</v>
      </c>
      <c r="V26">
        <v>22160</v>
      </c>
      <c r="W26">
        <v>18510</v>
      </c>
      <c r="X26">
        <v>18620</v>
      </c>
      <c r="Y26">
        <v>11040</v>
      </c>
      <c r="Z26">
        <v>19350</v>
      </c>
      <c r="AA26">
        <v>187140</v>
      </c>
      <c r="AB26">
        <v>187140</v>
      </c>
      <c r="AC26">
        <v>1372.94</v>
      </c>
      <c r="AD26">
        <v>0.85370000000000001</v>
      </c>
      <c r="AE26">
        <v>0.89400000000000002</v>
      </c>
      <c r="AF26">
        <v>0.88239999999999996</v>
      </c>
      <c r="AG26">
        <v>0.87629999999999997</v>
      </c>
      <c r="AH26">
        <v>0.90459999999999996</v>
      </c>
      <c r="AI26">
        <v>0.86829999999999996</v>
      </c>
      <c r="AJ26">
        <v>0.87370000000000003</v>
      </c>
      <c r="AK26">
        <v>0.87890000000000001</v>
      </c>
      <c r="AL26">
        <v>0.9073</v>
      </c>
      <c r="AM26">
        <v>0.87719999999999998</v>
      </c>
      <c r="AN26">
        <v>1.1167176535338188</v>
      </c>
      <c r="AO26">
        <v>2.480100754772828</v>
      </c>
      <c r="AP26">
        <v>3.12</v>
      </c>
      <c r="AR26">
        <v>3.19</v>
      </c>
      <c r="AT26">
        <v>3.16</v>
      </c>
      <c r="AU26">
        <v>3.1566666666666667</v>
      </c>
      <c r="AV26">
        <v>0.88170000000000004</v>
      </c>
      <c r="AW26">
        <v>0.78567077764714721</v>
      </c>
      <c r="AX26">
        <v>0.99170000000000003</v>
      </c>
      <c r="AY26">
        <v>67570</v>
      </c>
      <c r="AZ26">
        <v>53692</v>
      </c>
      <c r="BA26">
        <v>24786</v>
      </c>
      <c r="BB26">
        <v>26730</v>
      </c>
      <c r="BC26" t="s">
        <v>104</v>
      </c>
    </row>
    <row r="27" spans="1:55" x14ac:dyDescent="0.25">
      <c r="A27" s="37">
        <v>45663</v>
      </c>
      <c r="B27">
        <v>244325.41132716986</v>
      </c>
      <c r="C27">
        <v>4.2064516129032263</v>
      </c>
      <c r="D27">
        <v>3.4480283870967745</v>
      </c>
      <c r="E27">
        <v>0.81969999999999998</v>
      </c>
      <c r="F27">
        <v>0.99</v>
      </c>
      <c r="G27">
        <v>65372.5</v>
      </c>
      <c r="H27">
        <v>65280.375</v>
      </c>
      <c r="I27">
        <v>41548.125</v>
      </c>
      <c r="J27">
        <v>48472.813000000002</v>
      </c>
      <c r="K27">
        <v>39838</v>
      </c>
      <c r="L27">
        <v>260511.81299999999</v>
      </c>
      <c r="M27">
        <v>255595.17</v>
      </c>
      <c r="N27">
        <v>0</v>
      </c>
      <c r="O27">
        <v>260511.81299999999</v>
      </c>
      <c r="P27">
        <v>260511.81299999999</v>
      </c>
      <c r="Q27">
        <v>24820</v>
      </c>
      <c r="R27">
        <v>26340</v>
      </c>
      <c r="S27">
        <v>23580</v>
      </c>
      <c r="T27">
        <v>29960</v>
      </c>
      <c r="U27">
        <v>30760</v>
      </c>
      <c r="V27">
        <v>32830</v>
      </c>
      <c r="W27">
        <v>27920</v>
      </c>
      <c r="X27">
        <v>27020</v>
      </c>
      <c r="Y27">
        <v>15420</v>
      </c>
      <c r="Z27">
        <v>27100</v>
      </c>
      <c r="AA27">
        <v>265750</v>
      </c>
      <c r="AB27">
        <v>265750</v>
      </c>
      <c r="AC27">
        <v>1309.47</v>
      </c>
      <c r="AD27">
        <v>0.76449999999999996</v>
      </c>
      <c r="AE27">
        <v>0.81130000000000002</v>
      </c>
      <c r="AF27">
        <v>0.81030000000000002</v>
      </c>
      <c r="AG27">
        <v>0.81069999999999998</v>
      </c>
      <c r="AH27">
        <v>0.83230000000000004</v>
      </c>
      <c r="AI27">
        <v>0.84609999999999996</v>
      </c>
      <c r="AJ27">
        <v>0.85129999999999995</v>
      </c>
      <c r="AK27">
        <v>0.82389999999999997</v>
      </c>
      <c r="AL27">
        <v>0.81859999999999999</v>
      </c>
      <c r="AM27">
        <v>0.79359999999999997</v>
      </c>
      <c r="AN27">
        <v>1.0201072916413199</v>
      </c>
      <c r="AO27">
        <v>3.8554360367026788</v>
      </c>
      <c r="AP27">
        <v>4.83</v>
      </c>
      <c r="AR27">
        <v>4.8499999999999996</v>
      </c>
      <c r="AT27">
        <v>4.8099999999999996</v>
      </c>
      <c r="AU27">
        <v>4.8299999999999992</v>
      </c>
      <c r="AV27">
        <v>0.81630000000000003</v>
      </c>
      <c r="AW27">
        <v>0.79822692271277007</v>
      </c>
      <c r="AX27">
        <v>1</v>
      </c>
      <c r="AY27">
        <v>67570</v>
      </c>
      <c r="AZ27">
        <v>53692</v>
      </c>
      <c r="BA27">
        <v>23987</v>
      </c>
      <c r="BB27">
        <v>26730</v>
      </c>
    </row>
    <row r="28" spans="1:55" x14ac:dyDescent="0.25">
      <c r="A28" s="37">
        <v>45662</v>
      </c>
      <c r="B28">
        <v>244325.41132716986</v>
      </c>
      <c r="C28">
        <v>4.2064516129032263</v>
      </c>
      <c r="D28">
        <v>3.4480283870967745</v>
      </c>
      <c r="E28">
        <v>0.81969999999999998</v>
      </c>
      <c r="F28">
        <v>0.99</v>
      </c>
      <c r="G28">
        <v>57444.25</v>
      </c>
      <c r="H28">
        <v>57350.125</v>
      </c>
      <c r="I28">
        <v>36391.122000000003</v>
      </c>
      <c r="J28">
        <v>43396.497000000003</v>
      </c>
      <c r="K28">
        <v>34258</v>
      </c>
      <c r="L28">
        <v>228839.99400000001</v>
      </c>
      <c r="M28">
        <v>217355.17</v>
      </c>
      <c r="N28">
        <v>0</v>
      </c>
      <c r="O28">
        <v>228839.99400000001</v>
      </c>
      <c r="P28">
        <v>228839.99400000001</v>
      </c>
      <c r="Q28">
        <v>20000</v>
      </c>
      <c r="R28">
        <v>23080</v>
      </c>
      <c r="S28">
        <v>21080</v>
      </c>
      <c r="T28">
        <v>26210</v>
      </c>
      <c r="U28">
        <v>28100</v>
      </c>
      <c r="V28">
        <v>28760</v>
      </c>
      <c r="W28">
        <v>24750</v>
      </c>
      <c r="X28">
        <v>25210</v>
      </c>
      <c r="Y28">
        <v>15790</v>
      </c>
      <c r="Z28">
        <v>26830</v>
      </c>
      <c r="AA28">
        <v>239810</v>
      </c>
      <c r="AB28">
        <v>239810</v>
      </c>
      <c r="AC28">
        <v>1457.63</v>
      </c>
      <c r="AD28">
        <v>0.68910000000000005</v>
      </c>
      <c r="AE28">
        <v>0.79520000000000002</v>
      </c>
      <c r="AF28">
        <v>0.78069999999999995</v>
      </c>
      <c r="AG28">
        <v>0.76439999999999997</v>
      </c>
      <c r="AH28">
        <v>0.81950000000000001</v>
      </c>
      <c r="AI28">
        <v>0.79890000000000005</v>
      </c>
      <c r="AJ28">
        <v>0.87619999999999998</v>
      </c>
      <c r="AK28">
        <v>0.89249999999999996</v>
      </c>
      <c r="AL28">
        <v>0.97319999999999995</v>
      </c>
      <c r="AM28">
        <v>0.91220000000000001</v>
      </c>
      <c r="AN28">
        <v>1.0479374510034289</v>
      </c>
      <c r="AO28">
        <v>3.386709989640373</v>
      </c>
      <c r="AP28">
        <v>4.16</v>
      </c>
      <c r="AR28">
        <v>4.5</v>
      </c>
      <c r="AT28">
        <v>4.3</v>
      </c>
      <c r="AU28">
        <v>4.32</v>
      </c>
      <c r="AV28">
        <v>0.83020000000000005</v>
      </c>
      <c r="AW28">
        <v>0.78396064575008628</v>
      </c>
      <c r="AX28">
        <v>1</v>
      </c>
      <c r="AY28">
        <v>67570</v>
      </c>
      <c r="AZ28">
        <v>53692</v>
      </c>
      <c r="BA28">
        <v>24786</v>
      </c>
      <c r="BB28">
        <v>26730</v>
      </c>
    </row>
    <row r="29" spans="1:55" x14ac:dyDescent="0.25">
      <c r="A29" s="37">
        <v>45661</v>
      </c>
      <c r="B29">
        <v>244325.41132716986</v>
      </c>
      <c r="C29">
        <v>4.2064516129032263</v>
      </c>
      <c r="D29">
        <v>3.4480283870967745</v>
      </c>
      <c r="E29">
        <v>0.81969999999999998</v>
      </c>
      <c r="F29">
        <v>0.99</v>
      </c>
      <c r="G29">
        <v>53580.625</v>
      </c>
      <c r="H29">
        <v>54039.754999999997</v>
      </c>
      <c r="I29">
        <v>35352.379999999997</v>
      </c>
      <c r="J29">
        <v>41586.69</v>
      </c>
      <c r="K29">
        <v>34027</v>
      </c>
      <c r="L29">
        <v>218586.45</v>
      </c>
      <c r="M29">
        <v>191621</v>
      </c>
      <c r="N29">
        <v>0</v>
      </c>
      <c r="O29">
        <v>218586.45</v>
      </c>
      <c r="P29">
        <v>218586.45</v>
      </c>
      <c r="Q29">
        <v>16810</v>
      </c>
      <c r="R29">
        <v>17690</v>
      </c>
      <c r="S29">
        <v>15850</v>
      </c>
      <c r="T29">
        <v>19950</v>
      </c>
      <c r="U29">
        <v>20720</v>
      </c>
      <c r="V29">
        <v>21130</v>
      </c>
      <c r="W29">
        <v>18110</v>
      </c>
      <c r="X29">
        <v>17770</v>
      </c>
      <c r="Y29">
        <v>10140</v>
      </c>
      <c r="Z29">
        <v>18550</v>
      </c>
      <c r="AA29">
        <v>176720</v>
      </c>
      <c r="AB29">
        <v>176720</v>
      </c>
      <c r="AC29">
        <v>1300.33</v>
      </c>
      <c r="AD29">
        <v>0.88</v>
      </c>
      <c r="AE29">
        <v>0.92610000000000003</v>
      </c>
      <c r="AF29">
        <v>0.96060000000000001</v>
      </c>
      <c r="AG29">
        <v>0.95199999999999996</v>
      </c>
      <c r="AH29">
        <v>0.98880000000000001</v>
      </c>
      <c r="AI29">
        <v>0.96050000000000002</v>
      </c>
      <c r="AJ29">
        <v>0.90720000000000001</v>
      </c>
      <c r="AK29">
        <v>0.89019999999999999</v>
      </c>
      <c r="AL29">
        <v>0.88439999999999996</v>
      </c>
      <c r="AM29">
        <v>0.89239999999999997</v>
      </c>
      <c r="AN29">
        <v>0.80846731350456535</v>
      </c>
      <c r="AO29">
        <v>3.2349630013319524</v>
      </c>
      <c r="AP29">
        <v>2.94</v>
      </c>
      <c r="AR29">
        <v>2.75</v>
      </c>
      <c r="AT29">
        <v>2.83</v>
      </c>
      <c r="AU29">
        <v>2.84</v>
      </c>
      <c r="AV29">
        <v>0.92420000000000002</v>
      </c>
      <c r="AW29">
        <v>1.1390714793422367</v>
      </c>
      <c r="AX29">
        <v>1</v>
      </c>
      <c r="AY29">
        <v>67570</v>
      </c>
      <c r="AZ29">
        <v>53692</v>
      </c>
      <c r="BA29">
        <v>23987</v>
      </c>
      <c r="BB29">
        <v>26730</v>
      </c>
    </row>
    <row r="30" spans="1:55" x14ac:dyDescent="0.25">
      <c r="A30" s="37">
        <v>45660</v>
      </c>
      <c r="B30">
        <v>244325.41132716986</v>
      </c>
      <c r="C30">
        <v>4.2064516129032263</v>
      </c>
      <c r="D30">
        <v>3.4480283870967745</v>
      </c>
      <c r="E30">
        <v>0.81969999999999998</v>
      </c>
      <c r="F30">
        <v>0.99</v>
      </c>
      <c r="G30">
        <v>51458.375</v>
      </c>
      <c r="H30">
        <v>51387.62</v>
      </c>
      <c r="I30">
        <v>30371.4</v>
      </c>
      <c r="J30">
        <v>45836.1</v>
      </c>
      <c r="K30">
        <v>37679</v>
      </c>
      <c r="L30">
        <v>216732.495</v>
      </c>
      <c r="M30">
        <v>221662</v>
      </c>
      <c r="N30">
        <v>4929.5050000000047</v>
      </c>
      <c r="O30">
        <v>221662</v>
      </c>
      <c r="P30">
        <v>221662</v>
      </c>
      <c r="Q30">
        <v>22450</v>
      </c>
      <c r="R30">
        <v>23350</v>
      </c>
      <c r="S30">
        <v>21290</v>
      </c>
      <c r="T30">
        <v>26210</v>
      </c>
      <c r="U30">
        <v>27410</v>
      </c>
      <c r="V30">
        <v>31720</v>
      </c>
      <c r="W30">
        <v>26720</v>
      </c>
      <c r="X30">
        <v>26420</v>
      </c>
      <c r="Y30">
        <v>15080</v>
      </c>
      <c r="Z30">
        <v>27070</v>
      </c>
      <c r="AA30">
        <v>247720</v>
      </c>
      <c r="AB30">
        <v>252649.505</v>
      </c>
      <c r="AC30">
        <v>1495.81</v>
      </c>
      <c r="AD30">
        <v>0.71989999999999998</v>
      </c>
      <c r="AE30">
        <v>0.74880000000000002</v>
      </c>
      <c r="AF30">
        <v>0.77990000000000004</v>
      </c>
      <c r="AG30">
        <v>0.75600000000000001</v>
      </c>
      <c r="AH30">
        <v>0.79059999999999997</v>
      </c>
      <c r="AI30">
        <v>0.87139999999999995</v>
      </c>
      <c r="AJ30">
        <v>0.89839999999999998</v>
      </c>
      <c r="AK30">
        <v>0.88839999999999997</v>
      </c>
      <c r="AL30">
        <v>0.88280000000000003</v>
      </c>
      <c r="AM30">
        <v>0.87419999999999998</v>
      </c>
      <c r="AN30">
        <v>1.1429758144942685</v>
      </c>
      <c r="AO30">
        <v>3.2804795027379012</v>
      </c>
      <c r="AP30">
        <v>4.38</v>
      </c>
      <c r="AR30">
        <v>4.55</v>
      </c>
      <c r="AT30">
        <v>4.62</v>
      </c>
      <c r="AU30">
        <v>4.5166666666666666</v>
      </c>
      <c r="AV30">
        <v>0.82099999999999995</v>
      </c>
      <c r="AW30">
        <v>0.72630542496042094</v>
      </c>
      <c r="AX30">
        <v>0.98570000000000002</v>
      </c>
      <c r="AY30">
        <v>67570</v>
      </c>
      <c r="AZ30">
        <v>53692</v>
      </c>
      <c r="BA30">
        <v>23987</v>
      </c>
      <c r="BB30">
        <v>26730</v>
      </c>
      <c r="BC30" t="s">
        <v>103</v>
      </c>
    </row>
    <row r="31" spans="1:55" ht="75" x14ac:dyDescent="0.25">
      <c r="A31" s="37">
        <v>45659</v>
      </c>
      <c r="B31">
        <v>244325.41132716986</v>
      </c>
      <c r="C31">
        <v>4.2064516129032263</v>
      </c>
      <c r="D31">
        <v>3.4480283870967745</v>
      </c>
      <c r="E31">
        <v>0.81969999999999998</v>
      </c>
      <c r="F31">
        <v>0.99</v>
      </c>
      <c r="G31">
        <v>16561.150000000001</v>
      </c>
      <c r="H31">
        <v>16559.375</v>
      </c>
      <c r="I31">
        <v>13015.254000000001</v>
      </c>
      <c r="J31">
        <v>26938.525000000001</v>
      </c>
      <c r="K31">
        <v>22459.5</v>
      </c>
      <c r="L31">
        <v>95533.804000000004</v>
      </c>
      <c r="M31">
        <v>99361</v>
      </c>
      <c r="N31">
        <v>3827.1959999999963</v>
      </c>
      <c r="O31">
        <v>99361</v>
      </c>
      <c r="P31">
        <v>99361</v>
      </c>
      <c r="Q31">
        <v>2080</v>
      </c>
      <c r="R31">
        <v>2180</v>
      </c>
      <c r="S31">
        <v>1970</v>
      </c>
      <c r="T31">
        <v>2470</v>
      </c>
      <c r="U31">
        <v>2580</v>
      </c>
      <c r="V31">
        <v>8580</v>
      </c>
      <c r="W31">
        <v>8240</v>
      </c>
      <c r="X31">
        <v>8170</v>
      </c>
      <c r="Y31">
        <v>4780</v>
      </c>
      <c r="Z31">
        <v>8330</v>
      </c>
      <c r="AA31">
        <v>49380</v>
      </c>
      <c r="AB31">
        <v>53207.195999999996</v>
      </c>
      <c r="AC31">
        <v>1416.98</v>
      </c>
      <c r="AD31">
        <v>0.25679999999999997</v>
      </c>
      <c r="AE31">
        <v>0.26910000000000001</v>
      </c>
      <c r="AF31">
        <v>0.22040000000000001</v>
      </c>
      <c r="AG31">
        <v>0.2175</v>
      </c>
      <c r="AH31">
        <v>0.22720000000000001</v>
      </c>
      <c r="AI31">
        <v>0.7198</v>
      </c>
      <c r="AJ31">
        <v>0.89890000000000003</v>
      </c>
      <c r="AK31">
        <v>0.89129999999999998</v>
      </c>
      <c r="AL31">
        <v>0.90790000000000004</v>
      </c>
      <c r="AM31">
        <v>0.87280000000000002</v>
      </c>
      <c r="AN31">
        <v>0.51688510173843805</v>
      </c>
      <c r="AO31">
        <v>1.4704898623649549</v>
      </c>
      <c r="AP31">
        <v>1.35</v>
      </c>
      <c r="AR31">
        <v>1.49</v>
      </c>
      <c r="AT31">
        <v>1.2</v>
      </c>
      <c r="AU31">
        <v>1.3466666666666667</v>
      </c>
      <c r="AV31">
        <v>0.54820000000000002</v>
      </c>
      <c r="AW31">
        <v>1.0919479175977389</v>
      </c>
      <c r="AX31">
        <v>1</v>
      </c>
      <c r="AY31">
        <v>67570</v>
      </c>
      <c r="AZ31">
        <v>53692</v>
      </c>
      <c r="BA31">
        <v>24020</v>
      </c>
      <c r="BB31">
        <v>26730</v>
      </c>
      <c r="BC31" s="9" t="s">
        <v>102</v>
      </c>
    </row>
    <row r="32" spans="1:55" x14ac:dyDescent="0.25">
      <c r="A32" s="37">
        <v>45658</v>
      </c>
      <c r="B32">
        <v>244325.41132716986</v>
      </c>
      <c r="C32">
        <v>4.2064516129032263</v>
      </c>
      <c r="D32">
        <v>3.4480283870967745</v>
      </c>
      <c r="E32">
        <v>0.81969999999999998</v>
      </c>
      <c r="F32">
        <v>0.99</v>
      </c>
      <c r="G32">
        <v>43637.85</v>
      </c>
      <c r="H32">
        <v>43687.125</v>
      </c>
      <c r="I32">
        <v>20979.045999999998</v>
      </c>
      <c r="J32">
        <v>35653.184999999998</v>
      </c>
      <c r="K32">
        <v>28459.5</v>
      </c>
      <c r="L32">
        <v>172416.70600000001</v>
      </c>
      <c r="M32">
        <v>118826.5</v>
      </c>
      <c r="N32">
        <v>0</v>
      </c>
      <c r="O32">
        <v>172416.70600000001</v>
      </c>
      <c r="P32">
        <v>172416.70600000001</v>
      </c>
      <c r="Q32">
        <v>15560</v>
      </c>
      <c r="R32">
        <v>16150</v>
      </c>
      <c r="S32">
        <v>14460</v>
      </c>
      <c r="T32">
        <v>18130</v>
      </c>
      <c r="U32">
        <v>19240</v>
      </c>
      <c r="V32">
        <v>19610</v>
      </c>
      <c r="W32">
        <v>16680</v>
      </c>
      <c r="X32">
        <v>16770</v>
      </c>
      <c r="Y32">
        <v>9660</v>
      </c>
      <c r="Z32">
        <v>16970</v>
      </c>
      <c r="AA32">
        <v>163230</v>
      </c>
      <c r="AB32">
        <v>163230</v>
      </c>
      <c r="AC32">
        <v>1375.15</v>
      </c>
      <c r="AD32">
        <v>0.90759999999999996</v>
      </c>
      <c r="AE32">
        <v>0.94199999999999995</v>
      </c>
      <c r="AF32">
        <v>0.94879999999999998</v>
      </c>
      <c r="AG32">
        <v>0.93669999999999998</v>
      </c>
      <c r="AH32">
        <v>0.99409999999999998</v>
      </c>
      <c r="AI32">
        <v>0.96889999999999998</v>
      </c>
      <c r="AJ32">
        <v>0.97099999999999997</v>
      </c>
      <c r="AK32">
        <v>0.97619999999999996</v>
      </c>
      <c r="AL32">
        <v>0.97899999999999998</v>
      </c>
      <c r="AM32">
        <v>0.94869999999999999</v>
      </c>
      <c r="AN32">
        <v>0.94671800538864248</v>
      </c>
      <c r="AO32">
        <v>2.5516753884860144</v>
      </c>
      <c r="AP32">
        <v>2.54</v>
      </c>
      <c r="AR32">
        <v>2.5299999999999998</v>
      </c>
      <c r="AT32">
        <v>2.54</v>
      </c>
      <c r="AU32">
        <v>2.5366666666666666</v>
      </c>
      <c r="AV32">
        <v>0.95730000000000004</v>
      </c>
      <c r="AW32">
        <v>1.0059167103098612</v>
      </c>
      <c r="AX32">
        <v>1</v>
      </c>
      <c r="AY32">
        <v>67570</v>
      </c>
      <c r="AZ32">
        <v>53692</v>
      </c>
      <c r="BA32">
        <v>10284</v>
      </c>
      <c r="BB32">
        <v>23852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424C-E6A6-49AD-A50B-8BE566028DD7}">
  <dimension ref="B2:BG1658"/>
  <sheetViews>
    <sheetView workbookViewId="0"/>
  </sheetViews>
  <sheetFormatPr defaultRowHeight="15" x14ac:dyDescent="0.25"/>
  <cols>
    <col min="3" max="3" width="10.5703125" bestFit="1" customWidth="1"/>
    <col min="4" max="4" width="10.42578125" bestFit="1" customWidth="1"/>
  </cols>
  <sheetData>
    <row r="2" spans="2:59" x14ac:dyDescent="0.25">
      <c r="B2" s="41" t="s">
        <v>176</v>
      </c>
    </row>
    <row r="3" spans="2:59" x14ac:dyDescent="0.25">
      <c r="B3" s="42" t="s">
        <v>177</v>
      </c>
    </row>
    <row r="4" spans="2:59" x14ac:dyDescent="0.25">
      <c r="B4" s="42"/>
    </row>
    <row r="6" spans="2:59" x14ac:dyDescent="0.25">
      <c r="C6" t="s">
        <v>14</v>
      </c>
      <c r="D6" t="s">
        <v>18</v>
      </c>
      <c r="E6" t="s">
        <v>19</v>
      </c>
      <c r="F6" t="s">
        <v>20</v>
      </c>
      <c r="G6" t="s">
        <v>21</v>
      </c>
      <c r="H6" t="s">
        <v>22</v>
      </c>
      <c r="I6" t="s">
        <v>23</v>
      </c>
      <c r="J6" t="s">
        <v>24</v>
      </c>
      <c r="K6" t="s">
        <v>25</v>
      </c>
      <c r="L6" t="s">
        <v>26</v>
      </c>
      <c r="M6" t="s">
        <v>27</v>
      </c>
      <c r="N6" t="s">
        <v>28</v>
      </c>
      <c r="O6" t="s">
        <v>29</v>
      </c>
      <c r="P6" t="s">
        <v>83</v>
      </c>
      <c r="Q6" t="s">
        <v>30</v>
      </c>
      <c r="R6" t="s">
        <v>175</v>
      </c>
      <c r="S6" t="s">
        <v>31</v>
      </c>
      <c r="T6" t="s">
        <v>85</v>
      </c>
      <c r="U6" t="s">
        <v>32</v>
      </c>
      <c r="V6" t="s">
        <v>33</v>
      </c>
      <c r="W6" t="s">
        <v>34</v>
      </c>
      <c r="X6" t="s">
        <v>35</v>
      </c>
      <c r="Y6" t="s">
        <v>36</v>
      </c>
      <c r="Z6" t="s">
        <v>37</v>
      </c>
      <c r="AA6" t="s">
        <v>38</v>
      </c>
      <c r="AB6" t="s">
        <v>39</v>
      </c>
      <c r="AC6" t="s">
        <v>40</v>
      </c>
      <c r="AD6" t="s">
        <v>41</v>
      </c>
      <c r="AE6" t="s">
        <v>42</v>
      </c>
      <c r="AF6" t="s">
        <v>43</v>
      </c>
      <c r="AG6" t="s">
        <v>88</v>
      </c>
      <c r="AH6" t="s">
        <v>44</v>
      </c>
      <c r="AI6" t="s">
        <v>45</v>
      </c>
      <c r="AJ6" t="s">
        <v>46</v>
      </c>
      <c r="AK6" t="s">
        <v>47</v>
      </c>
      <c r="AL6" t="s">
        <v>48</v>
      </c>
      <c r="AM6" t="s">
        <v>49</v>
      </c>
      <c r="AN6" t="s">
        <v>50</v>
      </c>
      <c r="AO6" t="s">
        <v>51</v>
      </c>
      <c r="AP6" t="s">
        <v>52</v>
      </c>
      <c r="AQ6" t="s">
        <v>53</v>
      </c>
      <c r="AR6" t="s">
        <v>54</v>
      </c>
      <c r="AS6" t="s">
        <v>55</v>
      </c>
      <c r="AT6" t="s">
        <v>56</v>
      </c>
      <c r="AU6" t="s">
        <v>57</v>
      </c>
      <c r="AV6" t="s">
        <v>58</v>
      </c>
      <c r="AW6" t="s">
        <v>59</v>
      </c>
      <c r="AX6" t="s">
        <v>60</v>
      </c>
      <c r="AY6" t="s">
        <v>61</v>
      </c>
      <c r="AZ6" t="s">
        <v>62</v>
      </c>
      <c r="BA6" t="s">
        <v>63</v>
      </c>
      <c r="BB6" t="s">
        <v>64</v>
      </c>
      <c r="BC6" t="s">
        <v>65</v>
      </c>
      <c r="BD6" t="s">
        <v>66</v>
      </c>
      <c r="BE6" t="s">
        <v>91</v>
      </c>
      <c r="BF6" t="s">
        <v>92</v>
      </c>
      <c r="BG6" t="s">
        <v>67</v>
      </c>
    </row>
    <row r="7" spans="2:59" x14ac:dyDescent="0.25">
      <c r="C7" s="1">
        <v>45627</v>
      </c>
      <c r="D7" s="35"/>
      <c r="E7" s="33">
        <v>4.1709677419354803</v>
      </c>
      <c r="F7" s="33">
        <v>3.4189422580645199</v>
      </c>
      <c r="G7" s="2">
        <v>0.81969999999999998</v>
      </c>
      <c r="H7" s="2">
        <v>0.99</v>
      </c>
      <c r="I7" s="3">
        <v>8513.1299999999992</v>
      </c>
      <c r="J7" s="3"/>
      <c r="K7" s="3"/>
      <c r="L7" s="3"/>
      <c r="M7" s="3">
        <v>0</v>
      </c>
      <c r="N7" s="3">
        <v>8513.1299999999992</v>
      </c>
      <c r="O7" s="3"/>
      <c r="P7" s="3">
        <v>-8513.1299999999992</v>
      </c>
      <c r="Q7" s="3"/>
      <c r="R7" s="3"/>
      <c r="S7" s="3"/>
      <c r="T7" s="3">
        <v>0</v>
      </c>
      <c r="U7" s="3">
        <v>8930</v>
      </c>
      <c r="V7" s="3">
        <v>8830</v>
      </c>
      <c r="W7" s="3"/>
      <c r="X7" s="3"/>
      <c r="Y7" s="3"/>
      <c r="Z7" s="3"/>
      <c r="AA7" s="3"/>
      <c r="AB7" s="3"/>
      <c r="AC7" s="3"/>
      <c r="AD7" s="3"/>
      <c r="AE7" s="3">
        <v>17760</v>
      </c>
      <c r="AF7" s="3">
        <v>17760</v>
      </c>
      <c r="AG7" s="3"/>
      <c r="AH7" s="40">
        <v>0.9345</v>
      </c>
      <c r="AI7" s="40">
        <v>0.95540000000000003</v>
      </c>
      <c r="AJ7" s="40"/>
      <c r="AK7" s="40"/>
      <c r="AL7" s="40"/>
      <c r="AM7" s="40"/>
      <c r="AN7" s="40"/>
      <c r="AO7" s="40"/>
      <c r="AP7" s="40"/>
      <c r="AQ7" s="40"/>
      <c r="AR7" s="31">
        <v>2.0861892159523001</v>
      </c>
      <c r="AS7" s="36">
        <v>0</v>
      </c>
      <c r="AT7" s="6"/>
      <c r="AU7" s="6"/>
      <c r="AV7" s="6"/>
      <c r="AW7" s="6"/>
      <c r="AX7" s="6">
        <v>1.18</v>
      </c>
      <c r="AY7" s="6">
        <v>1.18</v>
      </c>
      <c r="AZ7" s="2">
        <v>0.94789999999999996</v>
      </c>
      <c r="BA7" s="2"/>
      <c r="BB7" s="2">
        <v>1</v>
      </c>
      <c r="BC7">
        <v>13500</v>
      </c>
    </row>
    <row r="8" spans="2:59" x14ac:dyDescent="0.25">
      <c r="C8" s="1">
        <v>45628</v>
      </c>
      <c r="D8" s="35"/>
      <c r="E8" s="33">
        <v>4.1709677419354803</v>
      </c>
      <c r="F8" s="33">
        <v>3.4189422580645199</v>
      </c>
      <c r="G8" s="2">
        <v>0.81969999999999998</v>
      </c>
      <c r="H8" s="2">
        <v>0.99</v>
      </c>
      <c r="I8" s="3">
        <v>0</v>
      </c>
      <c r="J8" s="3"/>
      <c r="K8" s="3"/>
      <c r="L8" s="3"/>
      <c r="M8" s="3">
        <v>0</v>
      </c>
      <c r="N8" s="3">
        <v>0</v>
      </c>
      <c r="O8" s="3"/>
      <c r="P8" s="3">
        <v>0</v>
      </c>
      <c r="Q8" s="3"/>
      <c r="R8" s="3"/>
      <c r="S8" s="3"/>
      <c r="T8" s="3">
        <v>0</v>
      </c>
      <c r="U8" s="3">
        <v>15880</v>
      </c>
      <c r="V8" s="3">
        <v>13060</v>
      </c>
      <c r="W8" s="3">
        <v>20130</v>
      </c>
      <c r="X8" s="3"/>
      <c r="Y8" s="3"/>
      <c r="Z8" s="3"/>
      <c r="AA8" s="3"/>
      <c r="AB8" s="3"/>
      <c r="AC8" s="3"/>
      <c r="AD8" s="3"/>
      <c r="AE8" s="3">
        <v>49070</v>
      </c>
      <c r="AF8" s="3">
        <v>49070</v>
      </c>
      <c r="AG8" s="3"/>
      <c r="AH8" s="40">
        <v>0.6925</v>
      </c>
      <c r="AI8" s="40">
        <v>0.62629999999999997</v>
      </c>
      <c r="AJ8" s="40">
        <v>0.68049999999999999</v>
      </c>
      <c r="AK8" s="40"/>
      <c r="AL8" s="40"/>
      <c r="AM8" s="40"/>
      <c r="AN8" s="40"/>
      <c r="AO8" s="40"/>
      <c r="AP8" s="40"/>
      <c r="AQ8" s="40"/>
      <c r="AR8" s="31"/>
      <c r="AS8" s="36">
        <v>0</v>
      </c>
      <c r="AT8" s="6"/>
      <c r="AU8" s="6"/>
      <c r="AV8" s="6"/>
      <c r="AW8" s="6"/>
      <c r="AX8" s="6">
        <v>4.93</v>
      </c>
      <c r="AY8" s="6">
        <v>4.93</v>
      </c>
      <c r="AZ8" s="2">
        <v>0.64070000000000005</v>
      </c>
      <c r="BA8" s="2"/>
      <c r="BB8" s="2">
        <v>1</v>
      </c>
      <c r="BC8">
        <v>13500</v>
      </c>
    </row>
    <row r="9" spans="2:59" x14ac:dyDescent="0.25">
      <c r="C9" s="1">
        <v>45629</v>
      </c>
      <c r="D9" s="35"/>
      <c r="E9" s="33">
        <v>4.1709677419354803</v>
      </c>
      <c r="F9" s="33">
        <v>3.4189422580645199</v>
      </c>
      <c r="G9" s="2">
        <v>0.81969999999999998</v>
      </c>
      <c r="H9" s="2">
        <v>0.99</v>
      </c>
      <c r="I9" s="3">
        <v>0</v>
      </c>
      <c r="J9" s="3">
        <v>25455.85</v>
      </c>
      <c r="K9" s="3"/>
      <c r="L9" s="3"/>
      <c r="M9" s="3">
        <v>0</v>
      </c>
      <c r="N9" s="3">
        <v>25455.85</v>
      </c>
      <c r="O9" s="3"/>
      <c r="P9" s="3">
        <v>-25455.85</v>
      </c>
      <c r="Q9" s="3"/>
      <c r="R9" s="3"/>
      <c r="S9" s="3"/>
      <c r="T9" s="3">
        <v>0</v>
      </c>
      <c r="U9" s="3">
        <v>5100</v>
      </c>
      <c r="V9" s="3">
        <v>4020</v>
      </c>
      <c r="W9" s="3">
        <v>0</v>
      </c>
      <c r="X9" s="3">
        <v>13370</v>
      </c>
      <c r="Y9" s="3"/>
      <c r="Z9" s="3"/>
      <c r="AA9" s="3"/>
      <c r="AB9" s="3"/>
      <c r="AC9" s="3"/>
      <c r="AD9" s="3"/>
      <c r="AE9" s="3">
        <v>22490</v>
      </c>
      <c r="AF9" s="3">
        <v>22490</v>
      </c>
      <c r="AG9" s="3"/>
      <c r="AH9" s="40">
        <v>0.55920000000000003</v>
      </c>
      <c r="AI9" s="40">
        <v>0.63649999999999995</v>
      </c>
      <c r="AJ9" s="40">
        <v>0</v>
      </c>
      <c r="AK9" s="40">
        <v>0.99690000000000001</v>
      </c>
      <c r="AL9" s="40"/>
      <c r="AM9" s="40"/>
      <c r="AN9" s="40"/>
      <c r="AO9" s="40"/>
      <c r="AP9" s="40"/>
      <c r="AQ9" s="40"/>
      <c r="AR9" s="31">
        <v>0.8834904354009</v>
      </c>
      <c r="AS9" s="36">
        <v>0</v>
      </c>
      <c r="AT9" s="6"/>
      <c r="AU9" s="6"/>
      <c r="AV9" s="6"/>
      <c r="AW9" s="6"/>
      <c r="AX9" s="6">
        <v>1.76</v>
      </c>
      <c r="AY9" s="6">
        <v>1.76</v>
      </c>
      <c r="AZ9" s="2">
        <v>0.76449999999999996</v>
      </c>
      <c r="BA9" s="2"/>
      <c r="BB9" s="2">
        <v>1</v>
      </c>
      <c r="BC9">
        <v>13500</v>
      </c>
    </row>
    <row r="10" spans="2:59" x14ac:dyDescent="0.25">
      <c r="C10" s="1">
        <v>45630</v>
      </c>
      <c r="D10" s="35"/>
      <c r="E10" s="33">
        <v>4.1709677419354803</v>
      </c>
      <c r="F10" s="33">
        <v>3.4189422580645199</v>
      </c>
      <c r="G10" s="2">
        <v>0.81969999999999998</v>
      </c>
      <c r="H10" s="2">
        <v>0.99</v>
      </c>
      <c r="I10" s="3">
        <v>0</v>
      </c>
      <c r="J10" s="3">
        <v>34299.980000000003</v>
      </c>
      <c r="K10" s="3"/>
      <c r="L10" s="3"/>
      <c r="M10" s="3">
        <v>0</v>
      </c>
      <c r="N10" s="3">
        <v>34299.980000000003</v>
      </c>
      <c r="O10" s="3"/>
      <c r="P10" s="3">
        <v>-34299.980000000003</v>
      </c>
      <c r="Q10" s="3"/>
      <c r="R10" s="3"/>
      <c r="S10" s="3"/>
      <c r="T10" s="3">
        <v>0</v>
      </c>
      <c r="U10" s="3">
        <v>5460</v>
      </c>
      <c r="V10" s="3">
        <v>5410</v>
      </c>
      <c r="W10" s="3">
        <v>0</v>
      </c>
      <c r="X10" s="3">
        <v>9140</v>
      </c>
      <c r="Y10" s="3"/>
      <c r="Z10" s="3"/>
      <c r="AA10" s="3"/>
      <c r="AB10" s="3"/>
      <c r="AC10" s="3"/>
      <c r="AD10" s="3"/>
      <c r="AE10" s="3">
        <v>20010</v>
      </c>
      <c r="AF10" s="3">
        <v>20010</v>
      </c>
      <c r="AG10" s="3"/>
      <c r="AH10" s="40">
        <v>0.59419999999999995</v>
      </c>
      <c r="AI10" s="40">
        <v>0.62409999999999999</v>
      </c>
      <c r="AJ10" s="40">
        <v>0</v>
      </c>
      <c r="AK10" s="40">
        <v>0.58879999999999999</v>
      </c>
      <c r="AL10" s="40"/>
      <c r="AM10" s="40"/>
      <c r="AN10" s="40"/>
      <c r="AO10" s="40"/>
      <c r="AP10" s="40"/>
      <c r="AQ10" s="40"/>
      <c r="AR10" s="31">
        <v>0.58338226436283602</v>
      </c>
      <c r="AS10" s="36">
        <v>0</v>
      </c>
      <c r="AT10" s="6"/>
      <c r="AU10" s="6"/>
      <c r="AV10" s="6"/>
      <c r="AW10" s="6"/>
      <c r="AX10" s="6">
        <v>4.07</v>
      </c>
      <c r="AY10" s="6">
        <v>4.07</v>
      </c>
      <c r="AZ10" s="2">
        <v>0.60589999999999999</v>
      </c>
      <c r="BA10" s="2"/>
      <c r="BB10" s="2">
        <v>1</v>
      </c>
      <c r="BC10">
        <v>13500</v>
      </c>
    </row>
    <row r="11" spans="2:59" x14ac:dyDescent="0.25">
      <c r="C11" s="1">
        <v>45631</v>
      </c>
      <c r="D11" s="35"/>
      <c r="E11" s="33">
        <v>4.1709677419354803</v>
      </c>
      <c r="F11" s="33">
        <v>3.4189422580645199</v>
      </c>
      <c r="G11" s="2">
        <v>0.81969999999999998</v>
      </c>
      <c r="H11" s="2">
        <v>0.99</v>
      </c>
      <c r="I11" s="3">
        <v>0</v>
      </c>
      <c r="J11" s="3">
        <v>39134.800000000003</v>
      </c>
      <c r="K11" s="3"/>
      <c r="L11" s="3"/>
      <c r="M11" s="3">
        <v>0</v>
      </c>
      <c r="N11" s="3">
        <v>39134.800000000003</v>
      </c>
      <c r="O11" s="3"/>
      <c r="P11" s="3">
        <v>-39134.800000000003</v>
      </c>
      <c r="Q11" s="3"/>
      <c r="R11" s="3"/>
      <c r="S11" s="3"/>
      <c r="T11" s="3">
        <v>0</v>
      </c>
      <c r="U11" s="3">
        <v>0</v>
      </c>
      <c r="V11" s="3">
        <v>0</v>
      </c>
      <c r="W11" s="3">
        <v>0</v>
      </c>
      <c r="X11" s="3">
        <v>23100</v>
      </c>
      <c r="Y11" s="3"/>
      <c r="Z11" s="3"/>
      <c r="AA11" s="3"/>
      <c r="AB11" s="3"/>
      <c r="AC11" s="3"/>
      <c r="AD11" s="3"/>
      <c r="AE11" s="3">
        <v>23100</v>
      </c>
      <c r="AF11" s="3">
        <v>23100</v>
      </c>
      <c r="AG11" s="3"/>
      <c r="AH11" s="40">
        <v>0</v>
      </c>
      <c r="AI11" s="40">
        <v>0</v>
      </c>
      <c r="AJ11" s="40">
        <v>0</v>
      </c>
      <c r="AK11" s="40">
        <v>0.70920000000000005</v>
      </c>
      <c r="AL11" s="40"/>
      <c r="AM11" s="40"/>
      <c r="AN11" s="40"/>
      <c r="AO11" s="40"/>
      <c r="AP11" s="40"/>
      <c r="AQ11" s="40"/>
      <c r="AR11" s="31">
        <v>0.59026748571603804</v>
      </c>
      <c r="AS11" s="36">
        <v>0</v>
      </c>
      <c r="AT11" s="6"/>
      <c r="AU11" s="6"/>
      <c r="AV11" s="6"/>
      <c r="AW11" s="6"/>
      <c r="AX11" s="6">
        <v>2.0299999999999998</v>
      </c>
      <c r="AY11" s="6">
        <v>2.0299999999999998</v>
      </c>
      <c r="AZ11" s="2">
        <v>0.70920000000000005</v>
      </c>
      <c r="BA11" s="2"/>
      <c r="BB11" s="2">
        <v>1</v>
      </c>
      <c r="BC11">
        <v>13500</v>
      </c>
    </row>
    <row r="12" spans="2:59" x14ac:dyDescent="0.25">
      <c r="C12" s="1">
        <v>45632</v>
      </c>
      <c r="D12" s="35"/>
      <c r="E12" s="33">
        <v>4.1709677419354803</v>
      </c>
      <c r="F12" s="33">
        <v>3.4189422580645199</v>
      </c>
      <c r="G12" s="2">
        <v>0.81969999999999998</v>
      </c>
      <c r="H12" s="2">
        <v>0.99</v>
      </c>
      <c r="I12" s="3">
        <v>0</v>
      </c>
      <c r="J12" s="3">
        <v>47023.19</v>
      </c>
      <c r="K12" s="3"/>
      <c r="L12" s="3"/>
      <c r="M12" s="3">
        <v>0</v>
      </c>
      <c r="N12" s="3">
        <v>47023.19</v>
      </c>
      <c r="O12" s="3"/>
      <c r="P12" s="3">
        <v>-47023.19</v>
      </c>
      <c r="Q12" s="3"/>
      <c r="R12" s="3"/>
      <c r="S12" s="3"/>
      <c r="T12" s="3">
        <v>0</v>
      </c>
      <c r="U12" s="3">
        <v>0</v>
      </c>
      <c r="V12" s="3">
        <v>0</v>
      </c>
      <c r="W12" s="3">
        <v>0</v>
      </c>
      <c r="X12" s="3">
        <v>23100</v>
      </c>
      <c r="Y12" s="3"/>
      <c r="Z12" s="3"/>
      <c r="AA12" s="3"/>
      <c r="AB12" s="3"/>
      <c r="AC12" s="3"/>
      <c r="AD12" s="3"/>
      <c r="AE12" s="3">
        <v>23100</v>
      </c>
      <c r="AF12" s="3">
        <v>23100</v>
      </c>
      <c r="AG12" s="3"/>
      <c r="AH12" s="40">
        <v>0</v>
      </c>
      <c r="AI12" s="40">
        <v>0</v>
      </c>
      <c r="AJ12" s="40">
        <v>0</v>
      </c>
      <c r="AK12" s="40">
        <v>0.91349999999999998</v>
      </c>
      <c r="AL12" s="40"/>
      <c r="AM12" s="40"/>
      <c r="AN12" s="40"/>
      <c r="AO12" s="40"/>
      <c r="AP12" s="40"/>
      <c r="AQ12" s="40"/>
      <c r="AR12" s="31">
        <v>0.49124697835259601</v>
      </c>
      <c r="AS12" s="36">
        <v>0</v>
      </c>
      <c r="AT12" s="6"/>
      <c r="AU12" s="6"/>
      <c r="AV12" s="6"/>
      <c r="AW12" s="6"/>
      <c r="AX12" s="6">
        <v>2.78</v>
      </c>
      <c r="AY12" s="6">
        <v>2.78</v>
      </c>
      <c r="AZ12" s="2">
        <v>0.91349999999999998</v>
      </c>
      <c r="BA12" s="2"/>
      <c r="BB12" s="2">
        <v>1</v>
      </c>
      <c r="BC12">
        <v>13500</v>
      </c>
    </row>
    <row r="13" spans="2:59" x14ac:dyDescent="0.25">
      <c r="C13" s="1">
        <v>45633</v>
      </c>
      <c r="D13" s="35"/>
      <c r="E13" s="33">
        <v>4.1709677419354803</v>
      </c>
      <c r="F13" s="33">
        <v>3.4189422580645199</v>
      </c>
      <c r="G13" s="2">
        <v>0.81969999999999998</v>
      </c>
      <c r="H13" s="2">
        <v>0.99</v>
      </c>
      <c r="I13" s="3">
        <v>0</v>
      </c>
      <c r="J13" s="3">
        <v>46854.559999999998</v>
      </c>
      <c r="K13" s="3"/>
      <c r="L13" s="3"/>
      <c r="M13" s="3">
        <v>0</v>
      </c>
      <c r="N13" s="3">
        <v>46854.559999999998</v>
      </c>
      <c r="O13" s="3"/>
      <c r="P13" s="3">
        <v>-46854.559999999998</v>
      </c>
      <c r="Q13" s="3"/>
      <c r="R13" s="3"/>
      <c r="S13" s="3"/>
      <c r="T13" s="3">
        <v>0</v>
      </c>
      <c r="U13" s="3">
        <v>0</v>
      </c>
      <c r="V13" s="3">
        <v>0</v>
      </c>
      <c r="W13" s="3">
        <v>14260</v>
      </c>
      <c r="X13" s="3">
        <v>21000</v>
      </c>
      <c r="Y13" s="3">
        <v>14880</v>
      </c>
      <c r="Z13" s="3"/>
      <c r="AA13" s="3"/>
      <c r="AB13" s="3"/>
      <c r="AC13" s="3"/>
      <c r="AD13" s="3"/>
      <c r="AE13" s="3">
        <v>50140</v>
      </c>
      <c r="AF13" s="3">
        <v>50140</v>
      </c>
      <c r="AG13" s="3"/>
      <c r="AH13" s="40">
        <v>0</v>
      </c>
      <c r="AI13" s="40">
        <v>0</v>
      </c>
      <c r="AJ13" s="40">
        <v>0.85419999999999996</v>
      </c>
      <c r="AK13" s="40">
        <v>0.82120000000000004</v>
      </c>
      <c r="AL13" s="40">
        <v>0.78420000000000001</v>
      </c>
      <c r="AM13" s="40"/>
      <c r="AN13" s="40"/>
      <c r="AO13" s="40"/>
      <c r="AP13" s="40"/>
      <c r="AQ13" s="40"/>
      <c r="AR13" s="31">
        <v>1.0701199627101401</v>
      </c>
      <c r="AS13" s="36">
        <v>0</v>
      </c>
      <c r="AT13" s="6"/>
      <c r="AU13" s="6"/>
      <c r="AV13" s="6"/>
      <c r="AW13" s="6"/>
      <c r="AX13" s="6">
        <v>4.2699999999999996</v>
      </c>
      <c r="AY13" s="6">
        <v>4.2699999999999996</v>
      </c>
      <c r="AZ13" s="2">
        <v>0.87619999999999998</v>
      </c>
      <c r="BA13" s="2"/>
      <c r="BB13" s="2">
        <v>1</v>
      </c>
      <c r="BC13">
        <v>13500</v>
      </c>
    </row>
    <row r="14" spans="2:59" x14ac:dyDescent="0.25">
      <c r="C14" s="1">
        <v>45634</v>
      </c>
      <c r="D14" s="35"/>
      <c r="E14" s="33">
        <v>4.1709677419354803</v>
      </c>
      <c r="F14" s="33">
        <v>3.4189422580645199</v>
      </c>
      <c r="G14" s="2">
        <v>0.81969999999999998</v>
      </c>
      <c r="H14" s="2">
        <v>0.99</v>
      </c>
      <c r="I14" s="3">
        <v>0</v>
      </c>
      <c r="J14" s="3">
        <v>48296.03</v>
      </c>
      <c r="K14" s="3"/>
      <c r="L14" s="3"/>
      <c r="M14" s="3">
        <v>0</v>
      </c>
      <c r="N14" s="3">
        <v>48296.03</v>
      </c>
      <c r="O14" s="3"/>
      <c r="P14" s="3">
        <v>-48296.03</v>
      </c>
      <c r="Q14" s="3"/>
      <c r="R14" s="3"/>
      <c r="S14" s="3"/>
      <c r="T14" s="3">
        <v>0</v>
      </c>
      <c r="U14" s="3">
        <v>0</v>
      </c>
      <c r="V14" s="3">
        <v>0</v>
      </c>
      <c r="W14" s="3">
        <v>6460</v>
      </c>
      <c r="X14" s="3">
        <v>7910</v>
      </c>
      <c r="Y14" s="3">
        <v>33250</v>
      </c>
      <c r="Z14" s="3"/>
      <c r="AA14" s="3"/>
      <c r="AB14" s="3"/>
      <c r="AC14" s="3"/>
      <c r="AD14" s="3"/>
      <c r="AE14" s="3">
        <v>47620</v>
      </c>
      <c r="AF14" s="3">
        <v>47620</v>
      </c>
      <c r="AG14" s="3"/>
      <c r="AH14" s="40">
        <v>0</v>
      </c>
      <c r="AI14" s="40">
        <v>0</v>
      </c>
      <c r="AJ14" s="40">
        <v>0.63549999999999995</v>
      </c>
      <c r="AK14" s="40">
        <v>0.62709999999999999</v>
      </c>
      <c r="AL14" s="40">
        <v>0.95479999999999998</v>
      </c>
      <c r="AM14" s="40"/>
      <c r="AN14" s="40"/>
      <c r="AO14" s="40"/>
      <c r="AP14" s="40"/>
      <c r="AQ14" s="40"/>
      <c r="AR14" s="31">
        <v>0.98600236913882999</v>
      </c>
      <c r="AS14" s="36">
        <v>0</v>
      </c>
      <c r="AT14" s="6"/>
      <c r="AU14" s="6"/>
      <c r="AV14" s="6"/>
      <c r="AW14" s="6"/>
      <c r="AX14" s="6">
        <v>4.57</v>
      </c>
      <c r="AY14" s="6">
        <v>4.57</v>
      </c>
      <c r="AZ14" s="2">
        <v>0.66169999999999995</v>
      </c>
      <c r="BA14" s="2"/>
      <c r="BB14" s="2">
        <v>1</v>
      </c>
      <c r="BC14">
        <v>13500</v>
      </c>
    </row>
    <row r="15" spans="2:59" x14ac:dyDescent="0.25">
      <c r="C15" s="1">
        <v>45635</v>
      </c>
      <c r="D15" s="35"/>
      <c r="E15" s="33">
        <v>4.1709677419354803</v>
      </c>
      <c r="F15" s="33">
        <v>3.4189422580645199</v>
      </c>
      <c r="G15" s="2">
        <v>0.81969999999999998</v>
      </c>
      <c r="H15" s="2">
        <v>0.99</v>
      </c>
      <c r="I15" s="3">
        <v>0</v>
      </c>
      <c r="J15" s="3">
        <v>43688.69</v>
      </c>
      <c r="K15" s="3"/>
      <c r="L15" s="3"/>
      <c r="M15" s="3">
        <v>0</v>
      </c>
      <c r="N15" s="3">
        <v>43688.69</v>
      </c>
      <c r="O15" s="3"/>
      <c r="P15" s="3">
        <v>-43688.69</v>
      </c>
      <c r="Q15" s="3"/>
      <c r="R15" s="3"/>
      <c r="S15" s="3"/>
      <c r="T15" s="3">
        <v>0</v>
      </c>
      <c r="U15" s="3">
        <v>0</v>
      </c>
      <c r="V15" s="3">
        <v>0</v>
      </c>
      <c r="W15" s="3">
        <v>25710</v>
      </c>
      <c r="X15" s="3">
        <v>11120</v>
      </c>
      <c r="Y15" s="3">
        <v>11480</v>
      </c>
      <c r="Z15" s="3"/>
      <c r="AA15" s="3"/>
      <c r="AB15" s="3"/>
      <c r="AC15" s="3"/>
      <c r="AD15" s="3"/>
      <c r="AE15" s="3">
        <v>48310</v>
      </c>
      <c r="AF15" s="3">
        <v>48310</v>
      </c>
      <c r="AG15" s="3"/>
      <c r="AH15" s="40">
        <v>0</v>
      </c>
      <c r="AI15" s="40">
        <v>0</v>
      </c>
      <c r="AJ15" s="40">
        <v>0.91</v>
      </c>
      <c r="AK15" s="40">
        <v>0.66</v>
      </c>
      <c r="AL15" s="40">
        <v>0.75</v>
      </c>
      <c r="AM15" s="40"/>
      <c r="AN15" s="40"/>
      <c r="AO15" s="40"/>
      <c r="AP15" s="40"/>
      <c r="AQ15" s="40"/>
      <c r="AR15" s="31">
        <v>1.10577817737268</v>
      </c>
      <c r="AS15" s="36">
        <v>0</v>
      </c>
      <c r="AT15" s="6"/>
      <c r="AU15" s="6"/>
      <c r="AV15" s="6"/>
      <c r="AW15" s="6"/>
      <c r="AX15" s="6">
        <v>3.83</v>
      </c>
      <c r="AY15" s="6">
        <v>3.83</v>
      </c>
      <c r="AZ15" s="2">
        <v>0.74319999999999997</v>
      </c>
      <c r="BA15" s="2"/>
      <c r="BB15" s="2">
        <v>1</v>
      </c>
      <c r="BC15">
        <v>13500</v>
      </c>
    </row>
    <row r="16" spans="2:59" x14ac:dyDescent="0.25">
      <c r="C16" s="1">
        <v>45636</v>
      </c>
      <c r="D16" s="35"/>
      <c r="E16" s="33">
        <v>4.1709677419354803</v>
      </c>
      <c r="F16" s="33">
        <v>3.4189422580645199</v>
      </c>
      <c r="G16" s="2">
        <v>0.81969999999999998</v>
      </c>
      <c r="H16" s="2">
        <v>0.99</v>
      </c>
      <c r="I16" s="3">
        <v>0</v>
      </c>
      <c r="J16" s="3">
        <v>40985.370000000003</v>
      </c>
      <c r="K16" s="3"/>
      <c r="L16" s="3"/>
      <c r="M16" s="3">
        <v>0</v>
      </c>
      <c r="N16" s="3">
        <v>40985.370000000003</v>
      </c>
      <c r="O16" s="3"/>
      <c r="P16" s="3">
        <v>-40985.370000000003</v>
      </c>
      <c r="Q16" s="3"/>
      <c r="R16" s="3"/>
      <c r="S16" s="3"/>
      <c r="T16" s="3">
        <v>0</v>
      </c>
      <c r="U16" s="3">
        <v>0</v>
      </c>
      <c r="V16" s="3">
        <v>0</v>
      </c>
      <c r="W16" s="3">
        <v>25710</v>
      </c>
      <c r="X16" s="3">
        <v>11120</v>
      </c>
      <c r="Y16" s="3">
        <v>11480</v>
      </c>
      <c r="Z16" s="3"/>
      <c r="AA16" s="3"/>
      <c r="AB16" s="3"/>
      <c r="AC16" s="3"/>
      <c r="AD16" s="3"/>
      <c r="AE16" s="3">
        <v>48310</v>
      </c>
      <c r="AF16" s="3">
        <v>48310</v>
      </c>
      <c r="AG16" s="3"/>
      <c r="AH16" s="40">
        <v>0</v>
      </c>
      <c r="AI16" s="40">
        <v>0</v>
      </c>
      <c r="AJ16" s="40">
        <v>0.94</v>
      </c>
      <c r="AK16" s="40">
        <v>0.7</v>
      </c>
      <c r="AL16" s="40">
        <v>0.73</v>
      </c>
      <c r="AM16" s="40"/>
      <c r="AN16" s="40"/>
      <c r="AO16" s="40"/>
      <c r="AP16" s="40"/>
      <c r="AQ16" s="40"/>
      <c r="AR16" s="31">
        <v>1.17871328232489</v>
      </c>
      <c r="AS16" s="36">
        <v>0</v>
      </c>
      <c r="AT16" s="6"/>
      <c r="AU16" s="6"/>
      <c r="AV16" s="6"/>
      <c r="AW16" s="6"/>
      <c r="AX16" s="6">
        <v>2.86</v>
      </c>
      <c r="AY16" s="6">
        <v>2.86</v>
      </c>
      <c r="AZ16" s="2">
        <v>0.78720000000000001</v>
      </c>
      <c r="BA16" s="2"/>
      <c r="BB16" s="2">
        <v>1</v>
      </c>
      <c r="BC16">
        <v>13500</v>
      </c>
    </row>
    <row r="17" spans="3:59" x14ac:dyDescent="0.25">
      <c r="C17" s="1">
        <v>45637</v>
      </c>
      <c r="D17" s="35"/>
      <c r="E17" s="33">
        <v>4.1709677419354803</v>
      </c>
      <c r="F17" s="33">
        <v>3.4189422580645199</v>
      </c>
      <c r="G17" s="2">
        <v>0.81969999999999998</v>
      </c>
      <c r="H17" s="2">
        <v>0.99</v>
      </c>
      <c r="I17" s="3">
        <v>0</v>
      </c>
      <c r="J17" s="3">
        <v>40795.25</v>
      </c>
      <c r="K17" s="3"/>
      <c r="L17" s="3"/>
      <c r="M17" s="3">
        <v>0</v>
      </c>
      <c r="N17" s="3">
        <v>40795.25</v>
      </c>
      <c r="O17" s="3"/>
      <c r="P17" s="3">
        <v>-40795.25</v>
      </c>
      <c r="Q17" s="3"/>
      <c r="R17" s="3"/>
      <c r="S17" s="3"/>
      <c r="T17" s="3">
        <v>0</v>
      </c>
      <c r="U17" s="3">
        <v>0</v>
      </c>
      <c r="V17" s="3">
        <v>0</v>
      </c>
      <c r="W17" s="3">
        <v>21420</v>
      </c>
      <c r="X17" s="3">
        <v>10410</v>
      </c>
      <c r="Y17" s="3">
        <v>11140</v>
      </c>
      <c r="Z17" s="3"/>
      <c r="AA17" s="3"/>
      <c r="AB17" s="3"/>
      <c r="AC17" s="3"/>
      <c r="AD17" s="3"/>
      <c r="AE17" s="3">
        <v>42970</v>
      </c>
      <c r="AF17" s="3">
        <v>42970</v>
      </c>
      <c r="AG17" s="3"/>
      <c r="AH17" s="40">
        <v>0</v>
      </c>
      <c r="AI17" s="40">
        <v>0</v>
      </c>
      <c r="AJ17" s="40">
        <v>0.84</v>
      </c>
      <c r="AK17" s="40">
        <v>0.89419999999999999</v>
      </c>
      <c r="AL17" s="40">
        <v>0.88319999999999999</v>
      </c>
      <c r="AM17" s="40"/>
      <c r="AN17" s="40"/>
      <c r="AO17" s="40"/>
      <c r="AP17" s="40"/>
      <c r="AQ17" s="40"/>
      <c r="AR17" s="31">
        <v>1.0533089023844699</v>
      </c>
      <c r="AS17" s="36">
        <v>0</v>
      </c>
      <c r="AT17" s="6"/>
      <c r="AU17" s="6"/>
      <c r="AV17" s="6"/>
      <c r="AW17" s="6"/>
      <c r="AX17" s="6">
        <v>4.21</v>
      </c>
      <c r="AY17" s="6">
        <v>4.21</v>
      </c>
      <c r="AZ17" s="2">
        <v>0.87039999999999995</v>
      </c>
      <c r="BA17" s="2"/>
      <c r="BB17" s="2">
        <v>1</v>
      </c>
      <c r="BC17">
        <v>13500</v>
      </c>
    </row>
    <row r="18" spans="3:59" x14ac:dyDescent="0.25">
      <c r="C18" s="1">
        <v>45638</v>
      </c>
      <c r="D18" s="35"/>
      <c r="E18" s="33">
        <v>4.1709677419354803</v>
      </c>
      <c r="F18" s="33">
        <v>3.4189422580645199</v>
      </c>
      <c r="G18" s="2">
        <v>0.81969999999999998</v>
      </c>
      <c r="H18" s="2">
        <v>0.99</v>
      </c>
      <c r="I18" s="3">
        <v>0</v>
      </c>
      <c r="J18" s="3">
        <v>50061.25</v>
      </c>
      <c r="K18" s="3"/>
      <c r="L18" s="3"/>
      <c r="M18" s="3">
        <v>0</v>
      </c>
      <c r="N18" s="3">
        <v>50061.25</v>
      </c>
      <c r="O18" s="3"/>
      <c r="P18" s="3">
        <v>-50061.25</v>
      </c>
      <c r="Q18" s="3"/>
      <c r="R18" s="3"/>
      <c r="S18" s="3"/>
      <c r="T18" s="3">
        <v>0</v>
      </c>
      <c r="U18" s="3">
        <v>10800</v>
      </c>
      <c r="V18" s="3">
        <v>10930</v>
      </c>
      <c r="W18" s="3">
        <v>15220</v>
      </c>
      <c r="X18" s="3">
        <v>7400</v>
      </c>
      <c r="Y18" s="3">
        <v>7430</v>
      </c>
      <c r="Z18" s="3"/>
      <c r="AA18" s="3"/>
      <c r="AB18" s="3"/>
      <c r="AC18" s="3"/>
      <c r="AD18" s="3"/>
      <c r="AE18" s="3">
        <v>51780</v>
      </c>
      <c r="AF18" s="3">
        <v>51780</v>
      </c>
      <c r="AG18" s="3"/>
      <c r="AH18" s="40">
        <v>0.88</v>
      </c>
      <c r="AI18" s="40">
        <v>0.83209999999999995</v>
      </c>
      <c r="AJ18" s="40">
        <v>0.80410000000000004</v>
      </c>
      <c r="AK18" s="40">
        <v>0.87119999999999997</v>
      </c>
      <c r="AL18" s="40">
        <v>0.81120000000000003</v>
      </c>
      <c r="AM18" s="40"/>
      <c r="AN18" s="40"/>
      <c r="AO18" s="40"/>
      <c r="AP18" s="40"/>
      <c r="AQ18" s="40"/>
      <c r="AR18" s="31">
        <v>1.03433294214587</v>
      </c>
      <c r="AS18" s="36">
        <v>0</v>
      </c>
      <c r="AT18" s="6"/>
      <c r="AU18" s="6"/>
      <c r="AV18" s="6"/>
      <c r="AW18" s="6"/>
      <c r="AX18" s="6">
        <v>4.21</v>
      </c>
      <c r="AY18" s="6">
        <v>4.21</v>
      </c>
      <c r="AZ18" s="2">
        <v>0.86419999999999997</v>
      </c>
      <c r="BA18" s="2"/>
      <c r="BB18" s="2">
        <v>1</v>
      </c>
      <c r="BC18">
        <v>13500</v>
      </c>
    </row>
    <row r="19" spans="3:59" x14ac:dyDescent="0.25">
      <c r="C19" s="1">
        <v>45639</v>
      </c>
      <c r="D19" s="35"/>
      <c r="E19" s="33">
        <v>4.1709677419354803</v>
      </c>
      <c r="F19" s="33">
        <v>3.4189422580645199</v>
      </c>
      <c r="G19" s="2">
        <v>0.81969999999999998</v>
      </c>
      <c r="H19" s="2">
        <v>0.99</v>
      </c>
      <c r="I19" s="3">
        <v>2698.25</v>
      </c>
      <c r="J19" s="3">
        <v>33553.25</v>
      </c>
      <c r="K19" s="3"/>
      <c r="L19" s="3"/>
      <c r="M19" s="3">
        <v>0</v>
      </c>
      <c r="N19" s="3">
        <v>36251.5</v>
      </c>
      <c r="O19" s="3"/>
      <c r="P19" s="3">
        <v>-36251.5</v>
      </c>
      <c r="Q19" s="3"/>
      <c r="R19" s="3"/>
      <c r="S19" s="3"/>
      <c r="T19" s="3">
        <v>0</v>
      </c>
      <c r="U19" s="3">
        <v>10870</v>
      </c>
      <c r="V19" s="3">
        <v>10990</v>
      </c>
      <c r="W19" s="3">
        <v>3410</v>
      </c>
      <c r="X19" s="3">
        <v>3440</v>
      </c>
      <c r="Y19" s="3">
        <v>3450</v>
      </c>
      <c r="Z19" s="3"/>
      <c r="AA19" s="3"/>
      <c r="AB19" s="3"/>
      <c r="AC19" s="3"/>
      <c r="AD19" s="3"/>
      <c r="AE19" s="3">
        <v>32160</v>
      </c>
      <c r="AF19" s="3">
        <v>32160</v>
      </c>
      <c r="AG19" s="3"/>
      <c r="AH19" s="40">
        <v>0.88460000000000005</v>
      </c>
      <c r="AI19" s="40">
        <v>0.85119999999999996</v>
      </c>
      <c r="AJ19" s="40">
        <v>0.80310000000000004</v>
      </c>
      <c r="AK19" s="40">
        <v>0.82120000000000004</v>
      </c>
      <c r="AL19" s="40">
        <v>0.83409999999999995</v>
      </c>
      <c r="AM19" s="40"/>
      <c r="AN19" s="40"/>
      <c r="AO19" s="40"/>
      <c r="AP19" s="40"/>
      <c r="AQ19" s="40"/>
      <c r="AR19" s="31">
        <v>0.88713570472945902</v>
      </c>
      <c r="AS19" s="36">
        <v>0</v>
      </c>
      <c r="AT19" s="6"/>
      <c r="AV19" s="6"/>
      <c r="AW19" s="6"/>
      <c r="AX19" s="6">
        <v>1.42</v>
      </c>
      <c r="AY19" s="6">
        <v>1.42</v>
      </c>
      <c r="AZ19" s="2">
        <v>0.871</v>
      </c>
      <c r="BA19" s="2"/>
      <c r="BB19" s="2">
        <v>1</v>
      </c>
      <c r="BC19">
        <v>13500</v>
      </c>
    </row>
    <row r="20" spans="3:59" x14ac:dyDescent="0.25">
      <c r="C20" s="1">
        <v>45640</v>
      </c>
      <c r="D20" s="35"/>
      <c r="E20" s="33">
        <v>4.1709677419354803</v>
      </c>
      <c r="F20" s="33">
        <v>3.4189422580645199</v>
      </c>
      <c r="G20" s="2">
        <v>0.81969999999999998</v>
      </c>
      <c r="H20" s="2">
        <v>0.99</v>
      </c>
      <c r="I20" s="3">
        <v>52748.87</v>
      </c>
      <c r="J20" s="3">
        <v>52613.25</v>
      </c>
      <c r="K20" s="3"/>
      <c r="L20" s="3"/>
      <c r="M20" s="3">
        <v>0</v>
      </c>
      <c r="N20" s="3">
        <v>105362.12</v>
      </c>
      <c r="O20" s="3"/>
      <c r="P20" s="3">
        <v>-105362.12</v>
      </c>
      <c r="Q20" s="3"/>
      <c r="R20" s="3"/>
      <c r="S20" s="3"/>
      <c r="T20" s="3">
        <v>0</v>
      </c>
      <c r="U20" s="3">
        <v>26020</v>
      </c>
      <c r="V20" s="3">
        <v>26360</v>
      </c>
      <c r="W20" s="3">
        <v>16600</v>
      </c>
      <c r="X20" s="3">
        <v>17560</v>
      </c>
      <c r="Y20" s="3">
        <v>17560</v>
      </c>
      <c r="Z20" s="3"/>
      <c r="AA20" s="3"/>
      <c r="AB20" s="3"/>
      <c r="AC20" s="3"/>
      <c r="AD20" s="3"/>
      <c r="AE20" s="3">
        <v>104100</v>
      </c>
      <c r="AF20" s="3">
        <v>104100</v>
      </c>
      <c r="AG20" s="3"/>
      <c r="AH20" s="40">
        <v>0.90720000000000001</v>
      </c>
      <c r="AI20" s="40">
        <v>0.91900000000000004</v>
      </c>
      <c r="AJ20" s="40">
        <v>0.65110000000000001</v>
      </c>
      <c r="AK20" s="40">
        <v>0.64229999999999998</v>
      </c>
      <c r="AL20" s="40">
        <v>0.58230000000000004</v>
      </c>
      <c r="AM20" s="40"/>
      <c r="AN20" s="40"/>
      <c r="AO20" s="40"/>
      <c r="AP20" s="40"/>
      <c r="AQ20" s="40"/>
      <c r="AR20" s="31">
        <v>0.98802112182252999</v>
      </c>
      <c r="AS20" s="36">
        <v>0</v>
      </c>
      <c r="AT20" s="6"/>
      <c r="AU20" s="6"/>
      <c r="AV20" s="6"/>
      <c r="AW20" s="6"/>
      <c r="AX20" s="6">
        <v>5.0999999999999996</v>
      </c>
      <c r="AY20" s="6">
        <v>5.0999999999999996</v>
      </c>
      <c r="AZ20" s="2">
        <v>0.66969999999999996</v>
      </c>
      <c r="BA20" s="2"/>
      <c r="BB20" s="2">
        <v>1</v>
      </c>
      <c r="BC20">
        <v>13500</v>
      </c>
    </row>
    <row r="21" spans="3:59" x14ac:dyDescent="0.25">
      <c r="C21" s="1">
        <v>45641</v>
      </c>
      <c r="D21" s="35"/>
      <c r="E21" s="33">
        <v>4.1709677419354803</v>
      </c>
      <c r="F21" s="33">
        <v>3.4189422580645199</v>
      </c>
      <c r="G21" s="2">
        <v>0.81969999999999998</v>
      </c>
      <c r="H21" s="2">
        <v>0.99</v>
      </c>
      <c r="I21" s="3">
        <v>40173.879999999997</v>
      </c>
      <c r="J21" s="3">
        <v>40401.69</v>
      </c>
      <c r="K21" s="3"/>
      <c r="L21" s="3"/>
      <c r="M21" s="3">
        <v>0.1</v>
      </c>
      <c r="N21" s="3">
        <v>80575.67</v>
      </c>
      <c r="O21" s="3"/>
      <c r="P21" s="3">
        <v>-80575.67</v>
      </c>
      <c r="Q21" s="3"/>
      <c r="R21" s="3"/>
      <c r="S21" s="3"/>
      <c r="T21" s="3">
        <v>0</v>
      </c>
      <c r="U21" s="3">
        <v>19230</v>
      </c>
      <c r="V21" s="3">
        <v>19460</v>
      </c>
      <c r="W21" s="3">
        <v>15430</v>
      </c>
      <c r="X21" s="3">
        <v>17140</v>
      </c>
      <c r="Y21" s="3">
        <v>17420</v>
      </c>
      <c r="Z21" s="3"/>
      <c r="AA21" s="3"/>
      <c r="AB21" s="3"/>
      <c r="AC21" s="3"/>
      <c r="AD21" s="3"/>
      <c r="AE21" s="3">
        <v>88680</v>
      </c>
      <c r="AF21" s="3">
        <v>88680</v>
      </c>
      <c r="AG21" s="3"/>
      <c r="AH21" s="40">
        <v>0.93100000000000005</v>
      </c>
      <c r="AI21" s="40">
        <v>0.94210000000000005</v>
      </c>
      <c r="AJ21" s="40">
        <v>0.84040000000000004</v>
      </c>
      <c r="AK21" s="40">
        <v>0.78500000000000003</v>
      </c>
      <c r="AL21" s="40">
        <v>0.747</v>
      </c>
      <c r="AM21" s="40"/>
      <c r="AN21" s="40"/>
      <c r="AO21" s="40"/>
      <c r="AP21" s="40"/>
      <c r="AQ21" s="40"/>
      <c r="AR21" s="31">
        <v>1.1005803612926801</v>
      </c>
      <c r="AS21" s="36">
        <v>0</v>
      </c>
      <c r="AT21" s="6"/>
      <c r="AU21" s="6"/>
      <c r="AV21" s="6"/>
      <c r="AW21" s="6"/>
      <c r="AX21" s="6">
        <v>3.06</v>
      </c>
      <c r="AY21" s="6">
        <v>3.06</v>
      </c>
      <c r="AZ21" s="2">
        <v>0.87119999999999997</v>
      </c>
      <c r="BA21" s="2"/>
      <c r="BB21" s="2">
        <v>1</v>
      </c>
      <c r="BC21">
        <v>13500</v>
      </c>
    </row>
    <row r="22" spans="3:59" x14ac:dyDescent="0.25">
      <c r="C22" s="1">
        <v>45642</v>
      </c>
      <c r="D22" s="35"/>
      <c r="E22" s="33">
        <v>4.1709677419354803</v>
      </c>
      <c r="F22" s="33">
        <v>3.4189422580645199</v>
      </c>
      <c r="G22" s="2">
        <v>0.81969999999999998</v>
      </c>
      <c r="H22" s="2">
        <v>0.99</v>
      </c>
      <c r="I22" s="3">
        <v>16489.87</v>
      </c>
      <c r="J22" s="3">
        <v>27772.880000000001</v>
      </c>
      <c r="K22" s="3"/>
      <c r="L22" s="3"/>
      <c r="M22" s="3">
        <v>0</v>
      </c>
      <c r="N22" s="3">
        <v>44262.75</v>
      </c>
      <c r="O22" s="3"/>
      <c r="P22" s="3">
        <v>-44262.75</v>
      </c>
      <c r="Q22" s="3"/>
      <c r="R22" s="3"/>
      <c r="S22" s="3"/>
      <c r="T22" s="3">
        <v>0</v>
      </c>
      <c r="U22" s="3">
        <v>9650</v>
      </c>
      <c r="V22" s="3">
        <v>9840</v>
      </c>
      <c r="W22" s="3">
        <v>8720</v>
      </c>
      <c r="X22" s="3">
        <v>11040</v>
      </c>
      <c r="Y22" s="3">
        <v>11350</v>
      </c>
      <c r="Z22" s="3"/>
      <c r="AA22" s="3"/>
      <c r="AB22" s="3"/>
      <c r="AC22" s="3"/>
      <c r="AD22" s="3"/>
      <c r="AE22" s="3">
        <v>50600</v>
      </c>
      <c r="AF22" s="3">
        <v>50600</v>
      </c>
      <c r="AG22" s="3"/>
      <c r="AH22" s="40">
        <v>0.95299999999999996</v>
      </c>
      <c r="AI22" s="40">
        <v>0.97199999999999998</v>
      </c>
      <c r="AJ22" s="40">
        <v>0.96879999999999999</v>
      </c>
      <c r="AK22" s="40">
        <v>0.96579999999999999</v>
      </c>
      <c r="AL22" s="40">
        <v>0.99299999999999999</v>
      </c>
      <c r="AM22" s="40"/>
      <c r="AN22" s="40"/>
      <c r="AO22" s="40"/>
      <c r="AP22" s="40"/>
      <c r="AQ22" s="40"/>
      <c r="AR22" s="31">
        <v>1.14317343590265</v>
      </c>
      <c r="AS22" s="36">
        <v>0</v>
      </c>
      <c r="AT22" s="6"/>
      <c r="AU22" s="6"/>
      <c r="AV22" s="6"/>
      <c r="AW22" s="6"/>
      <c r="AX22" s="6">
        <v>1.5</v>
      </c>
      <c r="AY22" s="6">
        <v>1.5</v>
      </c>
      <c r="AZ22" s="2">
        <v>0.96189999999999998</v>
      </c>
      <c r="BA22" s="2"/>
      <c r="BB22" s="2">
        <v>1</v>
      </c>
      <c r="BC22">
        <v>13500</v>
      </c>
    </row>
    <row r="23" spans="3:59" x14ac:dyDescent="0.25">
      <c r="C23" s="1">
        <v>45643</v>
      </c>
      <c r="D23" s="35"/>
      <c r="E23" s="33">
        <v>4.1709677419354803</v>
      </c>
      <c r="F23" s="33">
        <v>3.4189422580645199</v>
      </c>
      <c r="G23" s="2">
        <v>0.81969999999999998</v>
      </c>
      <c r="H23" s="2">
        <v>0.99</v>
      </c>
      <c r="I23" s="3">
        <v>0</v>
      </c>
      <c r="J23" s="3">
        <v>50729.31</v>
      </c>
      <c r="K23" s="3"/>
      <c r="L23" s="3"/>
      <c r="M23" s="3">
        <v>12.4</v>
      </c>
      <c r="N23" s="3">
        <v>50741.71</v>
      </c>
      <c r="O23" s="3"/>
      <c r="P23" s="3">
        <v>-50741.71</v>
      </c>
      <c r="Q23" s="3"/>
      <c r="R23" s="3"/>
      <c r="S23" s="3"/>
      <c r="T23" s="3">
        <v>0</v>
      </c>
      <c r="U23" s="3">
        <v>19800</v>
      </c>
      <c r="V23" s="3">
        <v>19990</v>
      </c>
      <c r="W23" s="3">
        <v>13340</v>
      </c>
      <c r="X23" s="3">
        <v>17270</v>
      </c>
      <c r="Y23" s="3">
        <v>17600</v>
      </c>
      <c r="Z23" s="3"/>
      <c r="AA23" s="3"/>
      <c r="AB23" s="3"/>
      <c r="AC23" s="3"/>
      <c r="AD23" s="3"/>
      <c r="AE23" s="3">
        <v>88000</v>
      </c>
      <c r="AF23" s="3">
        <v>88000</v>
      </c>
      <c r="AG23" s="3"/>
      <c r="AH23" s="40">
        <v>0.89980000000000004</v>
      </c>
      <c r="AI23" s="40">
        <v>0.90839999999999999</v>
      </c>
      <c r="AJ23" s="40">
        <v>0.67579999999999996</v>
      </c>
      <c r="AK23" s="40">
        <v>0.69889999999999997</v>
      </c>
      <c r="AL23" s="40">
        <v>0.70199999999999996</v>
      </c>
      <c r="AM23" s="40"/>
      <c r="AN23" s="40"/>
      <c r="AO23" s="40"/>
      <c r="AP23" s="40"/>
      <c r="AQ23" s="40"/>
      <c r="AR23" s="31">
        <v>1.7342734409226599</v>
      </c>
      <c r="AS23" s="36">
        <v>0</v>
      </c>
      <c r="AT23" s="6"/>
      <c r="AU23" s="6"/>
      <c r="AV23" s="6">
        <v>3.29</v>
      </c>
      <c r="AW23" s="6"/>
      <c r="AX23" s="6">
        <v>3.26</v>
      </c>
      <c r="AY23" s="6">
        <v>3.2749999999999999</v>
      </c>
      <c r="AZ23" s="2">
        <v>0.77500000000000002</v>
      </c>
      <c r="BA23" s="2"/>
      <c r="BB23" s="2">
        <v>1</v>
      </c>
      <c r="BC23">
        <v>13500</v>
      </c>
      <c r="BG23" t="s">
        <v>93</v>
      </c>
    </row>
    <row r="24" spans="3:59" ht="270" x14ac:dyDescent="0.25">
      <c r="C24" s="1">
        <v>45644</v>
      </c>
      <c r="D24" s="35"/>
      <c r="E24" s="33">
        <v>4.1709677419354803</v>
      </c>
      <c r="F24" s="33">
        <v>3.4189422580645199</v>
      </c>
      <c r="G24" s="2">
        <v>0.81969999999999998</v>
      </c>
      <c r="H24" s="2">
        <v>0.99</v>
      </c>
      <c r="I24" s="3">
        <v>0</v>
      </c>
      <c r="J24" s="3">
        <v>54707.81</v>
      </c>
      <c r="K24" s="3"/>
      <c r="L24" s="3"/>
      <c r="M24" s="3">
        <v>0</v>
      </c>
      <c r="N24" s="3">
        <v>54707.81</v>
      </c>
      <c r="O24" s="3"/>
      <c r="P24" s="3">
        <v>-54707.81</v>
      </c>
      <c r="Q24" s="3"/>
      <c r="R24" s="3"/>
      <c r="S24" s="3"/>
      <c r="T24" s="3">
        <v>0</v>
      </c>
      <c r="U24" s="3">
        <v>33730</v>
      </c>
      <c r="V24" s="3">
        <v>33990</v>
      </c>
      <c r="W24" s="3">
        <v>17410</v>
      </c>
      <c r="X24" s="3">
        <v>23730</v>
      </c>
      <c r="Y24" s="3">
        <v>23930</v>
      </c>
      <c r="Z24" s="3"/>
      <c r="AA24" s="3"/>
      <c r="AB24" s="3"/>
      <c r="AC24" s="3"/>
      <c r="AD24" s="3"/>
      <c r="AE24" s="3">
        <v>132790</v>
      </c>
      <c r="AF24" s="3">
        <v>132790</v>
      </c>
      <c r="AG24" s="3"/>
      <c r="AH24" s="40">
        <v>0.76880000000000004</v>
      </c>
      <c r="AI24" s="40">
        <v>0.77470000000000006</v>
      </c>
      <c r="AJ24" s="40">
        <v>0.42799999999999999</v>
      </c>
      <c r="AK24" s="40">
        <v>0.45929999999999999</v>
      </c>
      <c r="AL24" s="40">
        <v>0.4632</v>
      </c>
      <c r="AM24" s="40"/>
      <c r="AN24" s="40"/>
      <c r="AO24" s="40"/>
      <c r="AP24" s="40"/>
      <c r="AQ24" s="40"/>
      <c r="AR24" s="31">
        <v>2.4272585577817898</v>
      </c>
      <c r="AS24" s="36">
        <v>0</v>
      </c>
      <c r="AT24" s="6"/>
      <c r="AU24" s="6"/>
      <c r="AV24" s="6">
        <v>6.78</v>
      </c>
      <c r="AW24" s="6"/>
      <c r="AX24" s="6">
        <v>6.5</v>
      </c>
      <c r="AY24" s="6">
        <v>6.64</v>
      </c>
      <c r="AZ24" s="2">
        <v>0.57879999999999998</v>
      </c>
      <c r="BA24" s="2"/>
      <c r="BB24" s="2">
        <v>1</v>
      </c>
      <c r="BC24">
        <v>13500</v>
      </c>
      <c r="BG24" s="9" t="s">
        <v>94</v>
      </c>
    </row>
    <row r="25" spans="3:59" x14ac:dyDescent="0.25">
      <c r="C25" s="1">
        <v>45645</v>
      </c>
      <c r="D25" s="35"/>
      <c r="E25" s="33">
        <v>4.1709677419354803</v>
      </c>
      <c r="F25" s="33">
        <v>3.4189422580645199</v>
      </c>
      <c r="G25" s="2">
        <v>0.81969999999999998</v>
      </c>
      <c r="H25" s="2">
        <v>0.99</v>
      </c>
      <c r="I25" s="3">
        <v>0</v>
      </c>
      <c r="J25" s="3">
        <v>34195</v>
      </c>
      <c r="K25" s="3"/>
      <c r="L25" s="3"/>
      <c r="M25" s="3">
        <v>0</v>
      </c>
      <c r="N25" s="3">
        <v>34195</v>
      </c>
      <c r="O25" s="3"/>
      <c r="P25" s="3">
        <v>-34195</v>
      </c>
      <c r="Q25" s="3"/>
      <c r="R25" s="3"/>
      <c r="S25" s="3"/>
      <c r="T25" s="3">
        <v>0</v>
      </c>
      <c r="U25" s="3">
        <v>18580</v>
      </c>
      <c r="V25" s="3">
        <v>18800</v>
      </c>
      <c r="W25" s="3">
        <v>0</v>
      </c>
      <c r="X25" s="3">
        <v>21270</v>
      </c>
      <c r="Y25" s="3">
        <v>0</v>
      </c>
      <c r="Z25" s="3"/>
      <c r="AA25" s="3"/>
      <c r="AB25" s="3"/>
      <c r="AC25" s="3"/>
      <c r="AD25" s="3"/>
      <c r="AE25" s="3">
        <v>58650</v>
      </c>
      <c r="AF25" s="3">
        <v>58650</v>
      </c>
      <c r="AG25" s="3"/>
      <c r="AH25" s="40">
        <v>0.88790000000000002</v>
      </c>
      <c r="AI25" s="40">
        <v>0.89839999999999998</v>
      </c>
      <c r="AJ25" s="40">
        <v>0</v>
      </c>
      <c r="AK25" s="40">
        <v>0.91820000000000002</v>
      </c>
      <c r="AL25" s="40">
        <v>0</v>
      </c>
      <c r="AM25" s="40"/>
      <c r="AN25" s="40"/>
      <c r="AO25" s="40"/>
      <c r="AP25" s="40"/>
      <c r="AQ25" s="40"/>
      <c r="AR25" s="31">
        <v>1.7151630355315099</v>
      </c>
      <c r="AS25" s="36">
        <v>0</v>
      </c>
      <c r="AT25" s="6"/>
      <c r="AU25" s="6"/>
      <c r="AV25" s="6">
        <v>3.04</v>
      </c>
      <c r="AW25" s="6"/>
      <c r="AX25" s="6">
        <v>3.1</v>
      </c>
      <c r="AY25" s="6">
        <v>3.07</v>
      </c>
      <c r="AZ25" s="2">
        <v>0.54090000000000005</v>
      </c>
      <c r="BA25" s="2"/>
      <c r="BB25" s="2">
        <v>1</v>
      </c>
      <c r="BC25">
        <v>13500</v>
      </c>
    </row>
    <row r="26" spans="3:59" x14ac:dyDescent="0.25">
      <c r="C26" s="1">
        <v>45646</v>
      </c>
      <c r="D26" s="35"/>
      <c r="E26" s="33">
        <v>4.1709677419354803</v>
      </c>
      <c r="F26" s="33">
        <v>3.4189422580645199</v>
      </c>
      <c r="G26" s="2">
        <v>0.81969999999999998</v>
      </c>
      <c r="H26" s="2">
        <v>0.99</v>
      </c>
      <c r="I26" s="3">
        <v>0</v>
      </c>
      <c r="J26" s="3">
        <v>39976.75</v>
      </c>
      <c r="K26" s="3"/>
      <c r="L26" s="3"/>
      <c r="M26" s="3">
        <v>0</v>
      </c>
      <c r="N26" s="3">
        <v>39976.75</v>
      </c>
      <c r="O26" s="3"/>
      <c r="P26" s="3">
        <v>-39976.75</v>
      </c>
      <c r="Q26" s="3"/>
      <c r="R26" s="3"/>
      <c r="S26" s="3"/>
      <c r="T26" s="3">
        <v>0</v>
      </c>
      <c r="U26" s="3">
        <v>25570</v>
      </c>
      <c r="V26" s="3">
        <v>26040</v>
      </c>
      <c r="W26" s="3">
        <v>0</v>
      </c>
      <c r="X26" s="3">
        <v>30260</v>
      </c>
      <c r="Y26" s="3">
        <v>0</v>
      </c>
      <c r="Z26" s="3"/>
      <c r="AA26" s="3"/>
      <c r="AB26" s="3"/>
      <c r="AC26" s="3"/>
      <c r="AD26" s="3"/>
      <c r="AE26" s="3">
        <v>81870</v>
      </c>
      <c r="AF26" s="3">
        <v>81870</v>
      </c>
      <c r="AG26" s="3"/>
      <c r="AH26" s="40">
        <v>0.80500000000000005</v>
      </c>
      <c r="AI26" s="40">
        <v>0.81979999999999997</v>
      </c>
      <c r="AJ26" s="40">
        <v>0</v>
      </c>
      <c r="AK26" s="40">
        <v>0.8256</v>
      </c>
      <c r="AL26" s="40">
        <v>0</v>
      </c>
      <c r="AM26" s="40"/>
      <c r="AN26" s="40"/>
      <c r="AO26" s="40"/>
      <c r="AP26" s="40"/>
      <c r="AQ26" s="40"/>
      <c r="AR26" s="31">
        <v>2.0479403653373498</v>
      </c>
      <c r="AS26" s="36">
        <v>0</v>
      </c>
      <c r="AT26" s="6"/>
      <c r="AU26" s="6"/>
      <c r="AV26" s="6">
        <v>4.8099999999999996</v>
      </c>
      <c r="AW26" s="6"/>
      <c r="AX26" s="6">
        <v>4.7060000000000004</v>
      </c>
      <c r="AY26" s="6">
        <v>4.758</v>
      </c>
      <c r="AZ26" s="2">
        <v>0.49009999999999998</v>
      </c>
      <c r="BA26" s="2"/>
      <c r="BB26" s="2">
        <v>1</v>
      </c>
      <c r="BC26">
        <v>13500</v>
      </c>
    </row>
    <row r="27" spans="3:59" x14ac:dyDescent="0.25">
      <c r="C27" s="1">
        <v>45647</v>
      </c>
      <c r="D27" s="35"/>
      <c r="E27" s="33">
        <v>4.1709677419354803</v>
      </c>
      <c r="F27" s="33">
        <v>3.4189422580645199</v>
      </c>
      <c r="G27" s="2">
        <v>0.81969999999999998</v>
      </c>
      <c r="H27" s="2">
        <v>0.99</v>
      </c>
      <c r="I27" s="3">
        <v>0</v>
      </c>
      <c r="J27" s="3">
        <v>34052.75</v>
      </c>
      <c r="K27" s="3"/>
      <c r="L27" s="3"/>
      <c r="M27" s="3">
        <v>0</v>
      </c>
      <c r="N27" s="3">
        <v>34052.75</v>
      </c>
      <c r="O27" s="3"/>
      <c r="P27" s="3">
        <v>-34052.75</v>
      </c>
      <c r="Q27" s="3"/>
      <c r="R27" s="3"/>
      <c r="S27" s="3"/>
      <c r="T27" s="3">
        <v>0</v>
      </c>
      <c r="U27" s="3">
        <v>24870</v>
      </c>
      <c r="V27" s="3">
        <v>25130</v>
      </c>
      <c r="W27" s="3">
        <v>0</v>
      </c>
      <c r="X27" s="3">
        <v>28240</v>
      </c>
      <c r="Y27" s="3">
        <v>0</v>
      </c>
      <c r="Z27" s="3"/>
      <c r="AA27" s="3"/>
      <c r="AB27" s="3"/>
      <c r="AC27" s="3"/>
      <c r="AD27" s="3"/>
      <c r="AE27" s="3">
        <v>78240</v>
      </c>
      <c r="AF27" s="3">
        <v>78240</v>
      </c>
      <c r="AG27" s="3"/>
      <c r="AH27" s="40">
        <v>0.81330000000000002</v>
      </c>
      <c r="AI27" s="40">
        <v>0.82179999999999997</v>
      </c>
      <c r="AJ27" s="40">
        <v>0</v>
      </c>
      <c r="AK27" s="40">
        <v>0.81989999999999996</v>
      </c>
      <c r="AL27" s="40">
        <v>0</v>
      </c>
      <c r="AM27" s="40"/>
      <c r="AN27" s="40"/>
      <c r="AO27" s="40"/>
      <c r="AP27" s="40"/>
      <c r="AQ27" s="40"/>
      <c r="AR27" s="31">
        <v>2.2976117934674898</v>
      </c>
      <c r="AS27" s="36">
        <v>0</v>
      </c>
      <c r="AT27" s="6"/>
      <c r="AU27" s="6"/>
      <c r="AV27" s="6">
        <v>4.5199999999999996</v>
      </c>
      <c r="AW27" s="6"/>
      <c r="AX27" s="6">
        <v>4.53</v>
      </c>
      <c r="AY27" s="6">
        <v>4.5250000000000004</v>
      </c>
      <c r="AZ27" s="2">
        <v>0.49099999999999999</v>
      </c>
      <c r="BA27" s="2"/>
      <c r="BB27" s="2">
        <v>1</v>
      </c>
      <c r="BC27">
        <v>13500</v>
      </c>
    </row>
    <row r="28" spans="3:59" ht="409.5" x14ac:dyDescent="0.25">
      <c r="C28" s="1">
        <v>45648</v>
      </c>
      <c r="D28" s="35"/>
      <c r="E28" s="33">
        <v>4.1709677419354803</v>
      </c>
      <c r="F28" s="33">
        <v>3.4189422580645199</v>
      </c>
      <c r="G28" s="2">
        <v>0.81969999999999998</v>
      </c>
      <c r="H28" s="2">
        <v>0.99</v>
      </c>
      <c r="I28" s="3">
        <v>5.0000000000000001E-3</v>
      </c>
      <c r="J28" s="3">
        <v>33375.379999999997</v>
      </c>
      <c r="K28" s="3"/>
      <c r="L28" s="3"/>
      <c r="M28" s="3">
        <v>0</v>
      </c>
      <c r="N28" s="3">
        <v>33375.385000000002</v>
      </c>
      <c r="O28" s="3"/>
      <c r="P28" s="3">
        <v>-33375.385000000002</v>
      </c>
      <c r="Q28" s="3"/>
      <c r="R28" s="3"/>
      <c r="S28" s="3"/>
      <c r="T28" s="3">
        <v>0</v>
      </c>
      <c r="U28" s="3">
        <v>20880</v>
      </c>
      <c r="V28" s="3">
        <v>21110</v>
      </c>
      <c r="W28" s="3">
        <v>0</v>
      </c>
      <c r="X28" s="3">
        <v>23900</v>
      </c>
      <c r="Y28" s="3">
        <v>0</v>
      </c>
      <c r="Z28" s="3">
        <v>3620</v>
      </c>
      <c r="AA28" s="3">
        <v>10060</v>
      </c>
      <c r="AB28" s="3">
        <v>73400</v>
      </c>
      <c r="AC28" s="3">
        <v>0.31</v>
      </c>
      <c r="AD28" s="3">
        <v>73380</v>
      </c>
      <c r="AE28" s="3">
        <v>226350.31</v>
      </c>
      <c r="AF28" s="3">
        <v>226350.31</v>
      </c>
      <c r="AG28" s="3"/>
      <c r="AH28" s="40">
        <v>0.72770000000000001</v>
      </c>
      <c r="AI28" s="40">
        <v>0.73570000000000002</v>
      </c>
      <c r="AJ28" s="40">
        <v>0</v>
      </c>
      <c r="AK28" s="40">
        <v>0.73799999999999999</v>
      </c>
      <c r="AL28" s="40">
        <v>0</v>
      </c>
      <c r="AM28" s="40">
        <v>3.6200000000000003E-2</v>
      </c>
      <c r="AN28" s="40">
        <v>0.10059999999999999</v>
      </c>
      <c r="AO28" s="40">
        <v>0.73399999999999999</v>
      </c>
      <c r="AP28" s="40">
        <v>3.0999999999999999E-3</v>
      </c>
      <c r="AQ28" s="40">
        <v>0.73380000000000001</v>
      </c>
      <c r="AR28" s="31">
        <v>6.7819535265286097</v>
      </c>
      <c r="AS28" s="36">
        <v>0</v>
      </c>
      <c r="AT28" s="6"/>
      <c r="AU28" s="6"/>
      <c r="AV28" s="6">
        <v>4.25</v>
      </c>
      <c r="AW28" s="6"/>
      <c r="AX28" s="6">
        <v>4.25</v>
      </c>
      <c r="AY28" s="6">
        <v>4.25</v>
      </c>
      <c r="AZ28" s="2">
        <v>0.44030000000000002</v>
      </c>
      <c r="BA28" s="2"/>
      <c r="BB28" s="2">
        <v>1</v>
      </c>
      <c r="BC28">
        <v>13500</v>
      </c>
      <c r="BG28" s="9" t="s">
        <v>95</v>
      </c>
    </row>
    <row r="29" spans="3:59" ht="409.5" x14ac:dyDescent="0.25">
      <c r="C29" s="1">
        <v>45649</v>
      </c>
      <c r="D29" s="35"/>
      <c r="E29" s="33">
        <v>4.1709677419354803</v>
      </c>
      <c r="F29" s="33">
        <v>3.4189422580645199</v>
      </c>
      <c r="G29" s="2">
        <v>0.81969999999999998</v>
      </c>
      <c r="H29" s="2">
        <v>0.99</v>
      </c>
      <c r="I29" s="3">
        <v>0</v>
      </c>
      <c r="J29" s="3">
        <v>38605.875</v>
      </c>
      <c r="K29" s="3"/>
      <c r="L29" s="3"/>
      <c r="M29" s="3">
        <v>0</v>
      </c>
      <c r="N29" s="3">
        <v>38605.875</v>
      </c>
      <c r="O29" s="3"/>
      <c r="P29" s="3">
        <v>-38605.875</v>
      </c>
      <c r="Q29" s="3"/>
      <c r="R29" s="3"/>
      <c r="S29" s="3"/>
      <c r="T29" s="3">
        <v>0</v>
      </c>
      <c r="U29" s="3">
        <v>24210</v>
      </c>
      <c r="V29" s="3">
        <v>24470</v>
      </c>
      <c r="W29" s="3">
        <v>0</v>
      </c>
      <c r="X29" s="3">
        <v>27770</v>
      </c>
      <c r="Y29" s="3">
        <v>0</v>
      </c>
      <c r="Z29" s="3">
        <v>4270</v>
      </c>
      <c r="AA29" s="3">
        <v>25090</v>
      </c>
      <c r="AB29" s="3">
        <v>9440</v>
      </c>
      <c r="AC29" s="3">
        <v>12690</v>
      </c>
      <c r="AD29" s="3">
        <v>25970</v>
      </c>
      <c r="AE29" s="3">
        <v>153910</v>
      </c>
      <c r="AF29" s="3">
        <v>153910</v>
      </c>
      <c r="AG29" s="3"/>
      <c r="AH29" s="40">
        <v>0.87339999999999995</v>
      </c>
      <c r="AI29" s="40">
        <v>0.88300000000000001</v>
      </c>
      <c r="AJ29" s="40">
        <v>0</v>
      </c>
      <c r="AK29" s="40">
        <v>0.88749999999999996</v>
      </c>
      <c r="AL29" s="40">
        <v>0</v>
      </c>
      <c r="AM29" s="40">
        <v>0.13020000000000001</v>
      </c>
      <c r="AN29" s="40">
        <v>0.90180000000000005</v>
      </c>
      <c r="AO29" s="40">
        <v>0.33929999999999999</v>
      </c>
      <c r="AP29" s="40">
        <v>0.3931</v>
      </c>
      <c r="AQ29" s="40">
        <v>0.89659999999999995</v>
      </c>
      <c r="AR29" s="31">
        <v>3.98669891564432</v>
      </c>
      <c r="AS29" s="36">
        <v>0</v>
      </c>
      <c r="AT29" s="6"/>
      <c r="AU29" s="6"/>
      <c r="AV29" s="6">
        <v>4.0999999999999996</v>
      </c>
      <c r="AW29" s="6"/>
      <c r="AX29" s="6">
        <v>4.1100000000000003</v>
      </c>
      <c r="AY29" s="6">
        <v>4.1050000000000004</v>
      </c>
      <c r="AZ29" s="2">
        <v>0.52880000000000005</v>
      </c>
      <c r="BA29" s="2"/>
      <c r="BB29" s="2">
        <v>1</v>
      </c>
      <c r="BC29">
        <v>13500</v>
      </c>
      <c r="BG29" s="9" t="s">
        <v>96</v>
      </c>
    </row>
    <row r="30" spans="3:59" ht="409.5" x14ac:dyDescent="0.25">
      <c r="C30" s="1">
        <v>45650</v>
      </c>
      <c r="D30" s="35"/>
      <c r="E30" s="33">
        <v>4.1709677419354803</v>
      </c>
      <c r="F30" s="33">
        <v>3.4189422580645199</v>
      </c>
      <c r="G30" s="2">
        <v>0.81969999999999998</v>
      </c>
      <c r="H30" s="2">
        <v>0.99</v>
      </c>
      <c r="I30" s="3">
        <v>5.0000000000000001E-3</v>
      </c>
      <c r="J30" s="3">
        <v>43761.125</v>
      </c>
      <c r="K30" s="3"/>
      <c r="L30" s="3"/>
      <c r="M30" s="3">
        <v>0</v>
      </c>
      <c r="N30" s="3">
        <v>43761.13</v>
      </c>
      <c r="O30" s="3"/>
      <c r="P30" s="3">
        <v>-43761.13</v>
      </c>
      <c r="Q30" s="3"/>
      <c r="R30" s="3"/>
      <c r="S30" s="3"/>
      <c r="T30" s="3">
        <v>0</v>
      </c>
      <c r="U30" s="3">
        <v>19820</v>
      </c>
      <c r="V30" s="3">
        <v>11440</v>
      </c>
      <c r="W30" s="3">
        <v>16980</v>
      </c>
      <c r="X30" s="3">
        <v>30740</v>
      </c>
      <c r="Y30" s="3">
        <v>22070</v>
      </c>
      <c r="Z30" s="3">
        <v>4920</v>
      </c>
      <c r="AA30" s="3">
        <v>27360</v>
      </c>
      <c r="AB30" s="3">
        <v>0.53</v>
      </c>
      <c r="AC30" s="3">
        <v>14020</v>
      </c>
      <c r="AD30" s="3">
        <v>22470</v>
      </c>
      <c r="AE30" s="3">
        <v>169820.53</v>
      </c>
      <c r="AF30" s="3">
        <v>169820.53</v>
      </c>
      <c r="AG30" s="3"/>
      <c r="AH30" s="40">
        <v>0.623</v>
      </c>
      <c r="AI30" s="40">
        <v>0.35949999999999999</v>
      </c>
      <c r="AJ30" s="40">
        <v>0.60040000000000004</v>
      </c>
      <c r="AK30" s="40">
        <v>0.85589999999999999</v>
      </c>
      <c r="AL30" s="40">
        <v>0.61450000000000005</v>
      </c>
      <c r="AM30" s="40">
        <v>0.13039999999999999</v>
      </c>
      <c r="AN30" s="40">
        <v>0.88700000000000001</v>
      </c>
      <c r="AO30" s="40">
        <v>1.6799999999999999E-2</v>
      </c>
      <c r="AP30" s="40">
        <v>0.77359999999999995</v>
      </c>
      <c r="AQ30" s="40">
        <v>0.68400000000000005</v>
      </c>
      <c r="AR30" s="31">
        <v>3.8806248833154</v>
      </c>
      <c r="AS30" s="36">
        <v>0</v>
      </c>
      <c r="AT30" s="6">
        <v>4.72</v>
      </c>
      <c r="AU30" s="6"/>
      <c r="AV30" s="6">
        <v>4.6500000000000004</v>
      </c>
      <c r="AW30" s="6"/>
      <c r="AX30" s="6">
        <v>4.71</v>
      </c>
      <c r="AY30" s="6">
        <v>4.6933333333333298</v>
      </c>
      <c r="AZ30" s="2">
        <v>0.61070000000000002</v>
      </c>
      <c r="BA30" s="2"/>
      <c r="BB30" s="2">
        <v>1</v>
      </c>
      <c r="BC30">
        <v>13500</v>
      </c>
      <c r="BG30" s="9" t="s">
        <v>97</v>
      </c>
    </row>
    <row r="31" spans="3:59" x14ac:dyDescent="0.25">
      <c r="C31" s="1">
        <v>45651</v>
      </c>
      <c r="D31" s="35"/>
      <c r="E31" s="33">
        <v>4.1709677419354803</v>
      </c>
      <c r="F31" s="33">
        <v>3.4189422580645199</v>
      </c>
      <c r="G31" s="2">
        <v>0.81969999999999998</v>
      </c>
      <c r="H31" s="2">
        <v>0.99</v>
      </c>
      <c r="I31" s="3">
        <v>0</v>
      </c>
      <c r="J31" s="3">
        <v>39268.870000000003</v>
      </c>
      <c r="K31" s="3">
        <v>14890.05</v>
      </c>
      <c r="L31" s="3">
        <v>27091.5</v>
      </c>
      <c r="M31" s="3">
        <v>0</v>
      </c>
      <c r="N31" s="3">
        <v>81250.42</v>
      </c>
      <c r="O31" s="3"/>
      <c r="P31" s="3">
        <v>-81250.42</v>
      </c>
      <c r="Q31" s="3"/>
      <c r="R31" s="3"/>
      <c r="S31" s="3"/>
      <c r="T31" s="3">
        <v>0</v>
      </c>
      <c r="U31" s="3">
        <v>15250</v>
      </c>
      <c r="V31" s="3">
        <v>1200</v>
      </c>
      <c r="W31" s="3">
        <v>13830</v>
      </c>
      <c r="X31" s="3">
        <v>17390</v>
      </c>
      <c r="Y31" s="3">
        <v>18120</v>
      </c>
      <c r="Z31" s="3">
        <v>4050</v>
      </c>
      <c r="AA31" s="3">
        <v>15800</v>
      </c>
      <c r="AB31" s="3">
        <v>9970</v>
      </c>
      <c r="AC31" s="3">
        <v>8890</v>
      </c>
      <c r="AD31" s="3">
        <v>16270</v>
      </c>
      <c r="AE31" s="3">
        <v>120770</v>
      </c>
      <c r="AF31" s="3">
        <v>120770</v>
      </c>
      <c r="AG31" s="3"/>
      <c r="AH31" s="40">
        <v>0.92569999999999997</v>
      </c>
      <c r="AI31" s="40">
        <v>7.3200000000000001E-2</v>
      </c>
      <c r="AJ31" s="40">
        <v>0.94489999999999996</v>
      </c>
      <c r="AK31" s="40">
        <v>0.9355</v>
      </c>
      <c r="AL31" s="40">
        <v>0.9748</v>
      </c>
      <c r="AM31" s="40">
        <v>0.21079999999999999</v>
      </c>
      <c r="AN31" s="40">
        <v>0.9698</v>
      </c>
      <c r="AO31" s="40">
        <v>0.61150000000000004</v>
      </c>
      <c r="AP31" s="40">
        <v>0.47</v>
      </c>
      <c r="AQ31" s="40">
        <v>0.95860000000000001</v>
      </c>
      <c r="AR31" s="31">
        <v>1.4863923164951001</v>
      </c>
      <c r="AS31" s="36">
        <v>0</v>
      </c>
      <c r="AT31" s="6">
        <v>2.39</v>
      </c>
      <c r="AU31" s="6"/>
      <c r="AV31" s="6">
        <v>2.4</v>
      </c>
      <c r="AW31" s="6"/>
      <c r="AX31" s="6">
        <v>2.44</v>
      </c>
      <c r="AY31" s="6">
        <v>2.41</v>
      </c>
      <c r="AZ31" s="2">
        <v>0.77080000000000004</v>
      </c>
      <c r="BA31" s="2"/>
      <c r="BB31" s="2">
        <v>1</v>
      </c>
      <c r="BC31">
        <v>13500</v>
      </c>
      <c r="BG31" t="s">
        <v>98</v>
      </c>
    </row>
    <row r="32" spans="3:59" x14ac:dyDescent="0.25">
      <c r="C32" s="1">
        <v>45652</v>
      </c>
      <c r="D32" s="35"/>
      <c r="E32" s="33">
        <v>4.1709677419354803</v>
      </c>
      <c r="F32" s="33">
        <v>3.4189422580645199</v>
      </c>
      <c r="G32" s="2">
        <v>0.81969999999999998</v>
      </c>
      <c r="H32" s="2">
        <v>0.99</v>
      </c>
      <c r="I32" s="3">
        <v>0</v>
      </c>
      <c r="J32" s="3">
        <v>51779.51</v>
      </c>
      <c r="K32" s="3">
        <v>21791.59</v>
      </c>
      <c r="L32" s="3">
        <v>37114.32</v>
      </c>
      <c r="M32" s="3">
        <v>0</v>
      </c>
      <c r="N32" s="3">
        <v>110685.42</v>
      </c>
      <c r="O32" s="3"/>
      <c r="P32" s="3">
        <v>-110685.42</v>
      </c>
      <c r="Q32" s="3"/>
      <c r="R32" s="3"/>
      <c r="S32" s="3"/>
      <c r="T32" s="3">
        <v>0</v>
      </c>
      <c r="U32" s="3">
        <v>20450</v>
      </c>
      <c r="V32" s="3">
        <v>18450</v>
      </c>
      <c r="W32" s="3">
        <v>18860</v>
      </c>
      <c r="X32" s="3">
        <v>21670</v>
      </c>
      <c r="Y32" s="3">
        <v>24950</v>
      </c>
      <c r="Z32" s="3">
        <v>2150</v>
      </c>
      <c r="AA32" s="3">
        <v>21910</v>
      </c>
      <c r="AB32" s="3">
        <v>18700</v>
      </c>
      <c r="AC32" s="3">
        <v>12810</v>
      </c>
      <c r="AD32" s="3">
        <v>22980</v>
      </c>
      <c r="AE32" s="3">
        <v>182930</v>
      </c>
      <c r="AF32" s="3">
        <v>182930</v>
      </c>
      <c r="AG32" s="3"/>
      <c r="AH32" s="40">
        <v>0.8831</v>
      </c>
      <c r="AI32" s="40">
        <v>0.79700000000000004</v>
      </c>
      <c r="AJ32" s="40">
        <v>0.91620000000000001</v>
      </c>
      <c r="AK32" s="40">
        <v>0.82899999999999996</v>
      </c>
      <c r="AL32" s="40">
        <v>0.9546</v>
      </c>
      <c r="AM32" s="40">
        <v>7.8399999999999997E-2</v>
      </c>
      <c r="AN32" s="40">
        <v>0.94340000000000002</v>
      </c>
      <c r="AO32" s="40">
        <v>0.80530000000000002</v>
      </c>
      <c r="AP32" s="40">
        <v>0.4753</v>
      </c>
      <c r="AQ32" s="40">
        <v>0.95020000000000004</v>
      </c>
      <c r="AR32" s="31">
        <v>1.6527018644370699</v>
      </c>
      <c r="AS32" s="36">
        <v>0</v>
      </c>
      <c r="AT32" s="6">
        <v>3.5</v>
      </c>
      <c r="AU32" s="6"/>
      <c r="AV32" s="6">
        <v>3.42</v>
      </c>
      <c r="AW32" s="6"/>
      <c r="AX32" s="6">
        <v>3.43</v>
      </c>
      <c r="AY32" s="6">
        <v>3.45</v>
      </c>
      <c r="AZ32" s="2">
        <v>0.876</v>
      </c>
      <c r="BA32" s="2"/>
      <c r="BB32" s="2">
        <v>1</v>
      </c>
      <c r="BC32">
        <v>13500</v>
      </c>
      <c r="BG32" t="s">
        <v>99</v>
      </c>
    </row>
    <row r="33" spans="3:59" x14ac:dyDescent="0.25">
      <c r="C33" s="1">
        <v>45653</v>
      </c>
      <c r="D33" s="35"/>
      <c r="E33" s="33">
        <v>4.1709677419354803</v>
      </c>
      <c r="F33" s="33">
        <v>3.4189422580645199</v>
      </c>
      <c r="G33" s="2">
        <v>0.81969999999999998</v>
      </c>
      <c r="H33" s="2">
        <v>0.99</v>
      </c>
      <c r="I33" s="3">
        <v>-3</v>
      </c>
      <c r="J33" s="3">
        <v>63511.37</v>
      </c>
      <c r="K33" s="3">
        <v>31275.79</v>
      </c>
      <c r="L33" s="3">
        <v>48559.360000000001</v>
      </c>
      <c r="M33" s="3">
        <v>0</v>
      </c>
      <c r="N33" s="3">
        <v>143343.51999999999</v>
      </c>
      <c r="O33" s="3"/>
      <c r="P33" s="3">
        <v>-143343.51999999999</v>
      </c>
      <c r="Q33" s="3"/>
      <c r="R33" s="3"/>
      <c r="S33" s="3"/>
      <c r="T33" s="3">
        <v>0</v>
      </c>
      <c r="U33" s="3">
        <v>22970</v>
      </c>
      <c r="V33" s="3">
        <v>19990</v>
      </c>
      <c r="W33" s="3">
        <v>21520</v>
      </c>
      <c r="X33" s="3">
        <v>22380</v>
      </c>
      <c r="Y33" s="3">
        <v>28250</v>
      </c>
      <c r="Z33" s="3">
        <v>9830</v>
      </c>
      <c r="AA33" s="3">
        <v>24540</v>
      </c>
      <c r="AB33" s="3">
        <v>24310</v>
      </c>
      <c r="AC33" s="3">
        <v>14210</v>
      </c>
      <c r="AD33" s="3">
        <v>25440</v>
      </c>
      <c r="AE33" s="3">
        <v>213440</v>
      </c>
      <c r="AF33" s="3">
        <v>213440</v>
      </c>
      <c r="AG33" s="3"/>
      <c r="AH33" s="40">
        <v>0.84250000000000003</v>
      </c>
      <c r="AI33" s="40">
        <v>0.73309999999999997</v>
      </c>
      <c r="AJ33" s="40">
        <v>0.88790000000000002</v>
      </c>
      <c r="AK33" s="40">
        <v>0.72699999999999998</v>
      </c>
      <c r="AL33" s="40">
        <v>0.91779999999999995</v>
      </c>
      <c r="AM33" s="40">
        <v>0.31109999999999999</v>
      </c>
      <c r="AN33" s="40">
        <v>0.91500000000000004</v>
      </c>
      <c r="AO33" s="40">
        <v>0.90649999999999997</v>
      </c>
      <c r="AP33" s="40">
        <v>0.92210000000000003</v>
      </c>
      <c r="AQ33" s="40">
        <v>0.91090000000000004</v>
      </c>
      <c r="AR33" s="31">
        <v>1.4890104554429799</v>
      </c>
      <c r="AS33" s="36">
        <v>0</v>
      </c>
      <c r="AT33" s="6">
        <v>4.05</v>
      </c>
      <c r="AU33" s="6"/>
      <c r="AV33" s="6">
        <v>3.95</v>
      </c>
      <c r="AW33" s="6"/>
      <c r="AX33" s="6">
        <v>4.04</v>
      </c>
      <c r="AY33" s="6">
        <v>4.0133333333333301</v>
      </c>
      <c r="AZ33" s="2">
        <v>0.82169999999999999</v>
      </c>
      <c r="BA33" s="2"/>
      <c r="BB33" s="2">
        <v>1</v>
      </c>
      <c r="BC33">
        <v>13500</v>
      </c>
      <c r="BG33" t="s">
        <v>98</v>
      </c>
    </row>
    <row r="34" spans="3:59" x14ac:dyDescent="0.25">
      <c r="C34" s="1">
        <v>45654</v>
      </c>
      <c r="D34" s="35"/>
      <c r="E34" s="33">
        <v>4.1709677419354803</v>
      </c>
      <c r="F34" s="33">
        <v>3.4189422580645199</v>
      </c>
      <c r="G34" s="2">
        <v>0.81969999999999998</v>
      </c>
      <c r="H34" s="2">
        <v>0.99</v>
      </c>
      <c r="I34" s="3">
        <v>3</v>
      </c>
      <c r="J34" s="3">
        <v>60475.88</v>
      </c>
      <c r="K34" s="3">
        <v>24431.96</v>
      </c>
      <c r="L34" s="3">
        <v>41573.32</v>
      </c>
      <c r="M34" s="3">
        <v>0</v>
      </c>
      <c r="N34" s="3">
        <v>126484.16</v>
      </c>
      <c r="O34" s="3">
        <v>259164.5</v>
      </c>
      <c r="P34" s="3">
        <v>132680.34</v>
      </c>
      <c r="Q34" s="3">
        <v>132680.34</v>
      </c>
      <c r="R34" s="3">
        <v>259164.5</v>
      </c>
      <c r="S34" s="3">
        <v>259164.5</v>
      </c>
      <c r="T34" s="3">
        <v>259164.5</v>
      </c>
      <c r="U34" s="3">
        <v>25840</v>
      </c>
      <c r="V34" s="3">
        <v>20490</v>
      </c>
      <c r="W34" s="3">
        <v>25890</v>
      </c>
      <c r="X34" s="3">
        <v>23040</v>
      </c>
      <c r="Y34" s="3">
        <v>33810</v>
      </c>
      <c r="Z34" s="3">
        <v>9720</v>
      </c>
      <c r="AA34" s="3">
        <v>28890</v>
      </c>
      <c r="AB34" s="3">
        <v>28170</v>
      </c>
      <c r="AC34" s="3">
        <v>17300</v>
      </c>
      <c r="AD34" s="3">
        <v>28540</v>
      </c>
      <c r="AE34" s="3">
        <v>241690</v>
      </c>
      <c r="AF34" s="3">
        <v>374370.34</v>
      </c>
      <c r="AG34" s="3"/>
      <c r="AH34" s="40">
        <v>0.74470000000000003</v>
      </c>
      <c r="AI34" s="40">
        <v>0.59060000000000001</v>
      </c>
      <c r="AJ34" s="40">
        <v>0.83950000000000002</v>
      </c>
      <c r="AK34" s="40">
        <v>0.58819999999999995</v>
      </c>
      <c r="AL34" s="40">
        <v>0.86319999999999997</v>
      </c>
      <c r="AM34" s="40">
        <v>0.23699999999999999</v>
      </c>
      <c r="AN34" s="40">
        <v>0.82950000000000002</v>
      </c>
      <c r="AO34" s="40">
        <v>0.80859999999999999</v>
      </c>
      <c r="AP34" s="40">
        <v>0.86470000000000002</v>
      </c>
      <c r="AQ34" s="40">
        <v>0.78690000000000004</v>
      </c>
      <c r="AR34" s="31">
        <v>1.9108321547931399</v>
      </c>
      <c r="AS34" s="36">
        <v>3.8354965221252</v>
      </c>
      <c r="AT34" s="6">
        <v>5</v>
      </c>
      <c r="AU34" s="6"/>
      <c r="AV34" s="6">
        <v>5.13</v>
      </c>
      <c r="AW34" s="6"/>
      <c r="AX34" s="6">
        <v>5.14</v>
      </c>
      <c r="AY34" s="6">
        <v>5.09</v>
      </c>
      <c r="AZ34" s="2">
        <v>0.72529999999999994</v>
      </c>
      <c r="BA34" s="2"/>
      <c r="BB34" s="2">
        <v>1</v>
      </c>
      <c r="BC34">
        <v>67570</v>
      </c>
      <c r="BD34">
        <v>53692</v>
      </c>
      <c r="BE34">
        <v>21155</v>
      </c>
      <c r="BF34">
        <v>21130</v>
      </c>
    </row>
    <row r="35" spans="3:59" x14ac:dyDescent="0.25">
      <c r="C35" s="1">
        <v>45655</v>
      </c>
      <c r="D35" s="35"/>
      <c r="E35" s="33">
        <v>4.1709677419354803</v>
      </c>
      <c r="F35" s="33">
        <v>3.4189422580645199</v>
      </c>
      <c r="G35" s="2">
        <v>0.81969999999999998</v>
      </c>
      <c r="H35" s="2">
        <v>0.99</v>
      </c>
      <c r="I35" s="3">
        <v>0</v>
      </c>
      <c r="J35" s="3">
        <v>62331.12</v>
      </c>
      <c r="K35" s="3">
        <v>25940.29</v>
      </c>
      <c r="L35" s="3">
        <v>49807.5</v>
      </c>
      <c r="M35" s="3">
        <v>0</v>
      </c>
      <c r="N35" s="3">
        <v>138078.91</v>
      </c>
      <c r="O35" s="3">
        <v>234621.83</v>
      </c>
      <c r="P35" s="3">
        <v>96542.92</v>
      </c>
      <c r="Q35" s="3">
        <v>96542.92</v>
      </c>
      <c r="R35" s="3">
        <v>234621.83</v>
      </c>
      <c r="S35" s="3">
        <v>234621.83</v>
      </c>
      <c r="T35" s="3">
        <v>234621.83</v>
      </c>
      <c r="U35" s="3">
        <v>24700</v>
      </c>
      <c r="V35" s="3">
        <v>22690</v>
      </c>
      <c r="W35" s="3">
        <v>23330</v>
      </c>
      <c r="X35" s="3">
        <v>25830</v>
      </c>
      <c r="Y35" s="3">
        <v>30880</v>
      </c>
      <c r="Z35" s="3">
        <v>10430</v>
      </c>
      <c r="AA35" s="3">
        <v>26890</v>
      </c>
      <c r="AB35" s="3">
        <v>28170</v>
      </c>
      <c r="AC35" s="3">
        <v>15410</v>
      </c>
      <c r="AD35" s="3">
        <v>28540</v>
      </c>
      <c r="AE35" s="3">
        <v>236870</v>
      </c>
      <c r="AF35" s="3">
        <v>333412.92</v>
      </c>
      <c r="AG35" s="3"/>
      <c r="AH35" s="40">
        <v>0.85109999999999997</v>
      </c>
      <c r="AI35" s="40">
        <v>0.78169999999999995</v>
      </c>
      <c r="AJ35" s="40">
        <v>0.90429999999999999</v>
      </c>
      <c r="AK35" s="40">
        <v>0.7883</v>
      </c>
      <c r="AL35" s="40">
        <v>0.9425</v>
      </c>
      <c r="AM35" s="40">
        <v>0.30309999999999998</v>
      </c>
      <c r="AN35" s="40">
        <v>0.92100000000000004</v>
      </c>
      <c r="AO35" s="40">
        <v>0.9647</v>
      </c>
      <c r="AP35" s="40">
        <v>0.91910000000000003</v>
      </c>
      <c r="AQ35" s="40">
        <v>0.93879999999999997</v>
      </c>
      <c r="AR35" s="31">
        <v>1.71546835066992</v>
      </c>
      <c r="AS35" s="36">
        <v>3.47227808198905</v>
      </c>
      <c r="AT35" s="6">
        <v>4.5</v>
      </c>
      <c r="AU35" s="6"/>
      <c r="AV35" s="6">
        <v>4.3</v>
      </c>
      <c r="AW35" s="6"/>
      <c r="AX35" s="6">
        <v>4.3</v>
      </c>
      <c r="AY35" s="6">
        <v>4.3666666666666698</v>
      </c>
      <c r="AZ35" s="2">
        <v>0.85360000000000003</v>
      </c>
      <c r="BA35" s="2"/>
      <c r="BB35" s="2">
        <v>1</v>
      </c>
      <c r="BC35">
        <v>67570</v>
      </c>
      <c r="BD35">
        <v>53692</v>
      </c>
      <c r="BE35">
        <v>21155</v>
      </c>
      <c r="BF35">
        <v>21130</v>
      </c>
      <c r="BG35" t="s">
        <v>100</v>
      </c>
    </row>
    <row r="36" spans="3:59" x14ac:dyDescent="0.25">
      <c r="C36" s="1">
        <v>45656</v>
      </c>
      <c r="D36" s="35"/>
      <c r="E36" s="33">
        <v>4.1709677419354803</v>
      </c>
      <c r="F36" s="33">
        <v>3.4189422580645199</v>
      </c>
      <c r="G36" s="2">
        <v>0.81969999999999998</v>
      </c>
      <c r="H36" s="2">
        <v>0.99</v>
      </c>
      <c r="I36" s="3">
        <v>15340.37</v>
      </c>
      <c r="J36" s="3">
        <v>51952.12</v>
      </c>
      <c r="K36" s="3">
        <v>22038.94</v>
      </c>
      <c r="L36" s="3">
        <v>41999.28</v>
      </c>
      <c r="M36" s="3">
        <v>7836</v>
      </c>
      <c r="N36" s="3">
        <v>139166.71</v>
      </c>
      <c r="O36" s="3">
        <v>199990</v>
      </c>
      <c r="P36" s="3">
        <v>60823.29</v>
      </c>
      <c r="Q36" s="3">
        <v>60823.29</v>
      </c>
      <c r="R36" s="3">
        <v>199990</v>
      </c>
      <c r="S36" s="3">
        <v>199990</v>
      </c>
      <c r="T36" s="3">
        <v>199990</v>
      </c>
      <c r="U36" s="3">
        <v>23130</v>
      </c>
      <c r="V36" s="3">
        <v>21350</v>
      </c>
      <c r="W36" s="3">
        <v>22620</v>
      </c>
      <c r="X36" s="3">
        <v>24240</v>
      </c>
      <c r="Y36" s="3">
        <v>29580</v>
      </c>
      <c r="Z36" s="3">
        <v>9970</v>
      </c>
      <c r="AA36" s="3">
        <v>25480</v>
      </c>
      <c r="AB36" s="3">
        <v>28170</v>
      </c>
      <c r="AC36" s="3">
        <v>14590</v>
      </c>
      <c r="AD36" s="3">
        <v>28540</v>
      </c>
      <c r="AE36" s="3">
        <v>227670</v>
      </c>
      <c r="AF36" s="3">
        <v>288493.28999999998</v>
      </c>
      <c r="AG36" s="3"/>
      <c r="AH36" s="40">
        <v>0.81589999999999996</v>
      </c>
      <c r="AI36" s="40">
        <v>0.75309999999999999</v>
      </c>
      <c r="AJ36" s="40">
        <v>0.89759999999999995</v>
      </c>
      <c r="AK36" s="40">
        <v>0.75739999999999996</v>
      </c>
      <c r="AL36" s="40">
        <v>0.92430000000000001</v>
      </c>
      <c r="AM36" s="40">
        <v>0.29670000000000002</v>
      </c>
      <c r="AN36" s="40">
        <v>0.89349999999999996</v>
      </c>
      <c r="AO36" s="40">
        <v>0.98780000000000001</v>
      </c>
      <c r="AP36" s="40">
        <v>0.89070000000000005</v>
      </c>
      <c r="AQ36" s="40">
        <v>0.96109999999999995</v>
      </c>
      <c r="AR36" s="31">
        <v>1.63595158641028</v>
      </c>
      <c r="AS36" s="36">
        <v>2.95974544916383</v>
      </c>
      <c r="AT36" s="6">
        <v>4.2</v>
      </c>
      <c r="AU36" s="6"/>
      <c r="AV36" s="6">
        <v>4.2</v>
      </c>
      <c r="AW36" s="6"/>
      <c r="AX36" s="6">
        <v>4.2</v>
      </c>
      <c r="AY36" s="6">
        <v>4.2</v>
      </c>
      <c r="AZ36" s="2">
        <v>0.81779999999999997</v>
      </c>
      <c r="BA36" s="2"/>
      <c r="BB36" s="2">
        <v>1</v>
      </c>
      <c r="BC36">
        <v>67570</v>
      </c>
      <c r="BD36">
        <v>53692</v>
      </c>
      <c r="BE36">
        <v>21155</v>
      </c>
      <c r="BF36">
        <v>26730</v>
      </c>
      <c r="BG36" t="s">
        <v>98</v>
      </c>
    </row>
    <row r="37" spans="3:59" x14ac:dyDescent="0.25">
      <c r="C37" s="1">
        <v>45657</v>
      </c>
      <c r="D37" s="36">
        <v>242264.38408437901</v>
      </c>
      <c r="E37" s="33">
        <v>4.1709677419354803</v>
      </c>
      <c r="F37" s="33">
        <v>3.4189422580645199</v>
      </c>
      <c r="G37" s="2">
        <v>0.81969999999999998</v>
      </c>
      <c r="H37" s="2">
        <v>0.99</v>
      </c>
      <c r="I37" s="3">
        <v>42266.25</v>
      </c>
      <c r="J37" s="3">
        <v>42229.63</v>
      </c>
      <c r="K37" s="3">
        <v>21624.81</v>
      </c>
      <c r="L37" s="3">
        <v>35800.75</v>
      </c>
      <c r="M37" s="3">
        <v>27891</v>
      </c>
      <c r="N37" s="3">
        <v>169812.44</v>
      </c>
      <c r="O37" s="3">
        <v>186391.67</v>
      </c>
      <c r="P37" s="3">
        <v>16579.23</v>
      </c>
      <c r="Q37" s="3">
        <v>16579.23</v>
      </c>
      <c r="R37" s="3">
        <v>186391.67</v>
      </c>
      <c r="S37" s="3">
        <v>186391.67</v>
      </c>
      <c r="T37" s="3">
        <v>186391.67</v>
      </c>
      <c r="U37" s="3">
        <v>18550</v>
      </c>
      <c r="V37" s="3">
        <v>17680</v>
      </c>
      <c r="W37" s="3">
        <v>17640</v>
      </c>
      <c r="X37" s="3">
        <v>19940</v>
      </c>
      <c r="Y37" s="3">
        <v>22910</v>
      </c>
      <c r="Z37" s="3">
        <v>23600</v>
      </c>
      <c r="AA37" s="3">
        <v>20390</v>
      </c>
      <c r="AB37" s="3">
        <v>28170</v>
      </c>
      <c r="AC37" s="3">
        <v>10960</v>
      </c>
      <c r="AD37" s="3">
        <v>28540</v>
      </c>
      <c r="AE37" s="3">
        <v>208380</v>
      </c>
      <c r="AF37" s="3">
        <v>224959.23</v>
      </c>
      <c r="AG37" s="3"/>
      <c r="AH37" s="40">
        <v>0.81069999999999998</v>
      </c>
      <c r="AI37" s="40">
        <v>0.77259999999999995</v>
      </c>
      <c r="AJ37" s="40">
        <v>0.86729999999999996</v>
      </c>
      <c r="AK37" s="40">
        <v>0.77190000000000003</v>
      </c>
      <c r="AL37" s="40">
        <v>0.88690000000000002</v>
      </c>
      <c r="AM37" s="40">
        <v>0.70240000000000002</v>
      </c>
      <c r="AN37" s="40">
        <v>0.71499999999999997</v>
      </c>
      <c r="AO37" s="40">
        <v>0.98780000000000001</v>
      </c>
      <c r="AP37" s="40">
        <v>0.66910000000000003</v>
      </c>
      <c r="AQ37" s="40">
        <v>0.96109999999999995</v>
      </c>
      <c r="AR37" s="31">
        <v>1.22711857859177</v>
      </c>
      <c r="AS37" s="36">
        <v>2.75849741009324</v>
      </c>
      <c r="AT37" s="6">
        <v>4.18</v>
      </c>
      <c r="AU37" s="6"/>
      <c r="AV37" s="6">
        <v>4.2</v>
      </c>
      <c r="AW37" s="6"/>
      <c r="AX37" s="6">
        <v>3.39</v>
      </c>
      <c r="AY37" s="6">
        <v>3.9233333333333298</v>
      </c>
      <c r="AZ37" s="2">
        <v>0.95730000000000004</v>
      </c>
      <c r="BA37" s="2"/>
      <c r="BB37" s="2">
        <v>1</v>
      </c>
      <c r="BC37">
        <v>67570</v>
      </c>
      <c r="BD37">
        <v>53692</v>
      </c>
      <c r="BE37">
        <v>21155</v>
      </c>
      <c r="BF37">
        <v>26730</v>
      </c>
      <c r="BG37" t="s">
        <v>101</v>
      </c>
    </row>
    <row r="38" spans="3:59" x14ac:dyDescent="0.25">
      <c r="C38" s="1">
        <v>45658</v>
      </c>
      <c r="D38" s="36">
        <v>244325.41132717</v>
      </c>
      <c r="E38" s="33">
        <v>4.2064516129032299</v>
      </c>
      <c r="F38" s="33">
        <v>3.4480283870967701</v>
      </c>
      <c r="G38" s="2">
        <v>0.81969999999999998</v>
      </c>
      <c r="H38" s="2">
        <v>0.99</v>
      </c>
      <c r="I38" s="3">
        <v>43637.85</v>
      </c>
      <c r="J38" s="3">
        <v>43687.125</v>
      </c>
      <c r="K38" s="3">
        <v>20979.045999999998</v>
      </c>
      <c r="L38" s="3">
        <v>35653.184999999998</v>
      </c>
      <c r="M38" s="3">
        <v>28459.5</v>
      </c>
      <c r="N38" s="3">
        <v>172416.70600000001</v>
      </c>
      <c r="O38" s="3">
        <v>118826.5</v>
      </c>
      <c r="P38" s="3">
        <v>-53590.205999999998</v>
      </c>
      <c r="Q38" s="3">
        <v>0</v>
      </c>
      <c r="R38" s="3">
        <v>172416.70600000001</v>
      </c>
      <c r="S38" s="3">
        <v>172416.70600000001</v>
      </c>
      <c r="T38" s="3">
        <v>118826.5</v>
      </c>
      <c r="U38" s="3">
        <v>15560</v>
      </c>
      <c r="V38" s="3">
        <v>16150</v>
      </c>
      <c r="W38" s="3">
        <v>14460</v>
      </c>
      <c r="X38" s="3">
        <v>18130</v>
      </c>
      <c r="Y38" s="3">
        <v>19240</v>
      </c>
      <c r="Z38" s="3">
        <v>19610</v>
      </c>
      <c r="AA38" s="3">
        <v>16680</v>
      </c>
      <c r="AB38" s="3">
        <v>16770</v>
      </c>
      <c r="AC38" s="3">
        <v>9660</v>
      </c>
      <c r="AD38" s="3">
        <v>16970</v>
      </c>
      <c r="AE38" s="3">
        <v>163230</v>
      </c>
      <c r="AF38" s="3">
        <v>163230</v>
      </c>
      <c r="AG38" s="3">
        <v>1375.15</v>
      </c>
      <c r="AH38" s="40">
        <v>0.90759999999999996</v>
      </c>
      <c r="AI38" s="40">
        <v>0.94199999999999995</v>
      </c>
      <c r="AJ38" s="40">
        <v>0.94879999999999998</v>
      </c>
      <c r="AK38" s="40">
        <v>0.93669999999999998</v>
      </c>
      <c r="AL38" s="40">
        <v>0.99409999999999998</v>
      </c>
      <c r="AM38" s="40">
        <v>0.96889999999999998</v>
      </c>
      <c r="AN38" s="40">
        <v>0.97099999999999997</v>
      </c>
      <c r="AO38" s="40">
        <v>0.97619999999999996</v>
      </c>
      <c r="AP38" s="40">
        <v>0.97899999999999998</v>
      </c>
      <c r="AQ38" s="40">
        <v>0.94869999999999999</v>
      </c>
      <c r="AR38" s="31">
        <v>0.94671800538864204</v>
      </c>
      <c r="AS38" s="36">
        <v>2.5516753884860099</v>
      </c>
      <c r="AT38" s="6">
        <v>2.54</v>
      </c>
      <c r="AU38" s="6"/>
      <c r="AV38" s="6">
        <v>2.5299999999999998</v>
      </c>
      <c r="AW38" s="6"/>
      <c r="AX38" s="6">
        <v>2.54</v>
      </c>
      <c r="AY38" s="6">
        <v>2.5366666666666702</v>
      </c>
      <c r="AZ38" s="2">
        <v>0.95730000000000004</v>
      </c>
      <c r="BA38" s="2">
        <v>1.0059167103098601</v>
      </c>
      <c r="BB38" s="2">
        <v>1</v>
      </c>
      <c r="BC38">
        <v>67570</v>
      </c>
      <c r="BD38">
        <v>53692</v>
      </c>
      <c r="BE38">
        <v>10284</v>
      </c>
      <c r="BF38">
        <v>23852</v>
      </c>
    </row>
    <row r="39" spans="3:59" ht="409.5" x14ac:dyDescent="0.25">
      <c r="C39" s="1">
        <v>45659</v>
      </c>
      <c r="D39" s="36">
        <v>244325.41132717</v>
      </c>
      <c r="E39" s="33">
        <v>4.2064516129032299</v>
      </c>
      <c r="F39" s="33">
        <v>3.4480283870967701</v>
      </c>
      <c r="G39" s="2">
        <v>0.81969999999999998</v>
      </c>
      <c r="H39" s="2">
        <v>0.99</v>
      </c>
      <c r="I39" s="3">
        <v>16561.150000000001</v>
      </c>
      <c r="J39" s="3">
        <v>16559.375</v>
      </c>
      <c r="K39" s="3">
        <v>13015.254000000001</v>
      </c>
      <c r="L39" s="3">
        <v>26938.525000000001</v>
      </c>
      <c r="M39" s="3">
        <v>22459.5</v>
      </c>
      <c r="N39" s="3">
        <v>95533.804000000004</v>
      </c>
      <c r="O39" s="3">
        <v>99361</v>
      </c>
      <c r="P39" s="3">
        <v>3827.1959999999999</v>
      </c>
      <c r="Q39" s="3">
        <v>3827.1959999999999</v>
      </c>
      <c r="R39" s="3">
        <v>99361</v>
      </c>
      <c r="S39" s="3">
        <v>99361</v>
      </c>
      <c r="T39" s="3">
        <v>99361</v>
      </c>
      <c r="U39" s="3">
        <v>2080</v>
      </c>
      <c r="V39" s="3">
        <v>2180</v>
      </c>
      <c r="W39" s="3">
        <v>1970</v>
      </c>
      <c r="X39" s="3">
        <v>2470</v>
      </c>
      <c r="Y39" s="3">
        <v>2580</v>
      </c>
      <c r="Z39" s="3">
        <v>8580</v>
      </c>
      <c r="AA39" s="3">
        <v>8240</v>
      </c>
      <c r="AB39" s="3">
        <v>8170</v>
      </c>
      <c r="AC39" s="3">
        <v>4780</v>
      </c>
      <c r="AD39" s="3">
        <v>8330</v>
      </c>
      <c r="AE39" s="3">
        <v>49380</v>
      </c>
      <c r="AF39" s="3">
        <v>53207.196000000004</v>
      </c>
      <c r="AG39" s="3">
        <v>1416.98</v>
      </c>
      <c r="AH39" s="40">
        <v>0.25679999999999997</v>
      </c>
      <c r="AI39" s="40">
        <v>0.26910000000000001</v>
      </c>
      <c r="AJ39" s="40">
        <v>0.22040000000000001</v>
      </c>
      <c r="AK39" s="40">
        <v>0.2175</v>
      </c>
      <c r="AL39" s="40">
        <v>0.22720000000000001</v>
      </c>
      <c r="AM39" s="40">
        <v>0.7198</v>
      </c>
      <c r="AN39" s="40">
        <v>0.89890000000000003</v>
      </c>
      <c r="AO39" s="40">
        <v>0.89129999999999998</v>
      </c>
      <c r="AP39" s="40">
        <v>0.90790000000000004</v>
      </c>
      <c r="AQ39" s="40">
        <v>0.87280000000000002</v>
      </c>
      <c r="AR39" s="31">
        <v>0.51688510173843805</v>
      </c>
      <c r="AS39" s="36">
        <v>1.4704898623649501</v>
      </c>
      <c r="AT39" s="6">
        <v>1.35</v>
      </c>
      <c r="AU39" s="6"/>
      <c r="AV39" s="6">
        <v>1.49</v>
      </c>
      <c r="AW39" s="6"/>
      <c r="AX39" s="6">
        <v>1.2</v>
      </c>
      <c r="AY39" s="6">
        <v>1.34666666666667</v>
      </c>
      <c r="AZ39" s="2">
        <v>0.54820000000000002</v>
      </c>
      <c r="BA39" s="2">
        <v>1.09194791759774</v>
      </c>
      <c r="BB39" s="2">
        <v>1</v>
      </c>
      <c r="BC39">
        <v>67570</v>
      </c>
      <c r="BD39">
        <v>53692</v>
      </c>
      <c r="BE39">
        <v>24020</v>
      </c>
      <c r="BF39">
        <v>26730</v>
      </c>
      <c r="BG39" s="9" t="s">
        <v>102</v>
      </c>
    </row>
    <row r="40" spans="3:59" x14ac:dyDescent="0.25">
      <c r="C40" s="1">
        <v>45660</v>
      </c>
      <c r="D40" s="36">
        <v>244325.41132717</v>
      </c>
      <c r="E40" s="33">
        <v>4.2064516129032299</v>
      </c>
      <c r="F40" s="33">
        <v>3.4480283870967701</v>
      </c>
      <c r="G40" s="2">
        <v>0.81969999999999998</v>
      </c>
      <c r="H40" s="2">
        <v>0.99</v>
      </c>
      <c r="I40" s="3">
        <v>51458.375</v>
      </c>
      <c r="J40" s="3">
        <v>51387.62</v>
      </c>
      <c r="K40" s="3">
        <v>30371.4</v>
      </c>
      <c r="L40" s="3">
        <v>45836.1</v>
      </c>
      <c r="M40" s="3">
        <v>37679</v>
      </c>
      <c r="N40" s="3">
        <v>216732.495</v>
      </c>
      <c r="O40" s="3">
        <v>221662</v>
      </c>
      <c r="P40" s="3">
        <v>4929.5050000000001</v>
      </c>
      <c r="Q40" s="3">
        <v>4929.5050000000001</v>
      </c>
      <c r="R40" s="3">
        <v>221662</v>
      </c>
      <c r="S40" s="3">
        <v>221662</v>
      </c>
      <c r="T40" s="3">
        <v>218492.2334</v>
      </c>
      <c r="U40" s="3">
        <v>22450</v>
      </c>
      <c r="V40" s="3">
        <v>23350</v>
      </c>
      <c r="W40" s="3">
        <v>21290</v>
      </c>
      <c r="X40" s="3">
        <v>26210</v>
      </c>
      <c r="Y40" s="3">
        <v>27410</v>
      </c>
      <c r="Z40" s="3">
        <v>31720</v>
      </c>
      <c r="AA40" s="3">
        <v>26720</v>
      </c>
      <c r="AB40" s="3">
        <v>26420</v>
      </c>
      <c r="AC40" s="3">
        <v>15080</v>
      </c>
      <c r="AD40" s="3">
        <v>27070</v>
      </c>
      <c r="AE40" s="3">
        <v>247720</v>
      </c>
      <c r="AF40" s="3">
        <v>252649.505</v>
      </c>
      <c r="AG40" s="3">
        <v>1495.81</v>
      </c>
      <c r="AH40" s="40">
        <v>0.71989999999999998</v>
      </c>
      <c r="AI40" s="40">
        <v>0.74880000000000002</v>
      </c>
      <c r="AJ40" s="40">
        <v>0.77990000000000004</v>
      </c>
      <c r="AK40" s="40">
        <v>0.75600000000000001</v>
      </c>
      <c r="AL40" s="40">
        <v>0.79059999999999997</v>
      </c>
      <c r="AM40" s="40">
        <v>0.87139999999999995</v>
      </c>
      <c r="AN40" s="40">
        <v>0.89839999999999998</v>
      </c>
      <c r="AO40" s="40">
        <v>0.88839999999999997</v>
      </c>
      <c r="AP40" s="40">
        <v>0.88280000000000003</v>
      </c>
      <c r="AQ40" s="40">
        <v>0.87419999999999998</v>
      </c>
      <c r="AR40" s="31">
        <v>1.1429758144942701</v>
      </c>
      <c r="AS40" s="36">
        <v>3.2804795027378999</v>
      </c>
      <c r="AT40">
        <v>4.38</v>
      </c>
      <c r="AV40">
        <v>4.55</v>
      </c>
      <c r="AX40">
        <v>4.62</v>
      </c>
      <c r="AY40" s="6">
        <v>4.5166666666666702</v>
      </c>
      <c r="AZ40" s="2">
        <v>0.82099999999999995</v>
      </c>
      <c r="BA40" s="2">
        <v>0.72630542496042105</v>
      </c>
      <c r="BB40" s="2">
        <v>0.98570000000000002</v>
      </c>
      <c r="BC40">
        <v>67570</v>
      </c>
      <c r="BD40">
        <v>53692</v>
      </c>
      <c r="BE40">
        <v>23987</v>
      </c>
      <c r="BF40">
        <v>26730</v>
      </c>
      <c r="BG40" t="s">
        <v>103</v>
      </c>
    </row>
    <row r="41" spans="3:59" x14ac:dyDescent="0.25">
      <c r="C41" s="1">
        <v>45661</v>
      </c>
      <c r="D41" s="36">
        <v>244325.41132717</v>
      </c>
      <c r="E41" s="33">
        <v>4.2064516129032299</v>
      </c>
      <c r="F41" s="33">
        <v>3.4480283870967701</v>
      </c>
      <c r="G41" s="2">
        <v>0.81969999999999998</v>
      </c>
      <c r="H41" s="2">
        <v>0.99</v>
      </c>
      <c r="I41" s="3">
        <v>53580.625</v>
      </c>
      <c r="J41" s="3">
        <v>54039.754999999997</v>
      </c>
      <c r="K41" s="3">
        <v>35352.379999999997</v>
      </c>
      <c r="L41" s="3">
        <v>41586.69</v>
      </c>
      <c r="M41" s="3">
        <v>34027</v>
      </c>
      <c r="N41" s="3">
        <v>218586.45</v>
      </c>
      <c r="O41" s="3">
        <v>191621</v>
      </c>
      <c r="P41" s="3">
        <v>-26965.45</v>
      </c>
      <c r="Q41" s="3">
        <v>0</v>
      </c>
      <c r="R41" s="3">
        <v>218586.45</v>
      </c>
      <c r="S41" s="3">
        <v>218586.45</v>
      </c>
      <c r="T41" s="3">
        <v>191621</v>
      </c>
      <c r="U41" s="3">
        <v>16810</v>
      </c>
      <c r="V41" s="3">
        <v>17690</v>
      </c>
      <c r="W41" s="3">
        <v>15850</v>
      </c>
      <c r="X41" s="3">
        <v>19950</v>
      </c>
      <c r="Y41" s="3">
        <v>20720</v>
      </c>
      <c r="Z41" s="3">
        <v>21130</v>
      </c>
      <c r="AA41" s="3">
        <v>18110</v>
      </c>
      <c r="AB41" s="3">
        <v>17770</v>
      </c>
      <c r="AC41" s="3">
        <v>10140</v>
      </c>
      <c r="AD41" s="3">
        <v>18550</v>
      </c>
      <c r="AE41" s="3">
        <v>176720</v>
      </c>
      <c r="AF41" s="3">
        <v>176720</v>
      </c>
      <c r="AG41" s="3">
        <v>1300.33</v>
      </c>
      <c r="AH41" s="40">
        <v>0.88</v>
      </c>
      <c r="AI41" s="40">
        <v>0.92610000000000003</v>
      </c>
      <c r="AJ41" s="40">
        <v>0.96060000000000001</v>
      </c>
      <c r="AK41" s="40">
        <v>0.95199999999999996</v>
      </c>
      <c r="AL41" s="40">
        <v>0.98880000000000001</v>
      </c>
      <c r="AM41" s="40">
        <v>0.96050000000000002</v>
      </c>
      <c r="AN41" s="40">
        <v>0.90720000000000001</v>
      </c>
      <c r="AO41" s="40">
        <v>0.89019999999999999</v>
      </c>
      <c r="AP41" s="40">
        <v>0.88439999999999996</v>
      </c>
      <c r="AQ41" s="40">
        <v>0.89239999999999997</v>
      </c>
      <c r="AR41" s="31">
        <v>0.80846731350456502</v>
      </c>
      <c r="AS41" s="36">
        <v>3.2349630013319501</v>
      </c>
      <c r="AT41">
        <v>2.94</v>
      </c>
      <c r="AV41">
        <v>2.75</v>
      </c>
      <c r="AX41">
        <v>2.83</v>
      </c>
      <c r="AY41" s="6">
        <v>2.84</v>
      </c>
      <c r="AZ41" s="2">
        <v>0.92420000000000002</v>
      </c>
      <c r="BA41" s="2">
        <v>1.1390714793422401</v>
      </c>
      <c r="BB41" s="2">
        <v>1</v>
      </c>
      <c r="BC41">
        <v>67570</v>
      </c>
      <c r="BD41">
        <v>53692</v>
      </c>
      <c r="BE41">
        <v>23987</v>
      </c>
      <c r="BF41">
        <v>26730</v>
      </c>
    </row>
    <row r="42" spans="3:59" x14ac:dyDescent="0.25">
      <c r="C42" s="1">
        <v>45662</v>
      </c>
      <c r="D42" s="36">
        <v>244325.41132717</v>
      </c>
      <c r="E42" s="33">
        <v>4.2064516129032299</v>
      </c>
      <c r="F42" s="33">
        <v>3.4480283870967701</v>
      </c>
      <c r="G42" s="2">
        <v>0.81969999999999998</v>
      </c>
      <c r="H42" s="2">
        <v>0.99</v>
      </c>
      <c r="I42" s="3">
        <v>57444.25</v>
      </c>
      <c r="J42" s="3">
        <v>57350.125</v>
      </c>
      <c r="K42" s="3">
        <v>36391.122000000003</v>
      </c>
      <c r="L42" s="3">
        <v>43396.497000000003</v>
      </c>
      <c r="M42" s="3">
        <v>34258</v>
      </c>
      <c r="N42" s="3">
        <v>228839.99400000001</v>
      </c>
      <c r="O42" s="3">
        <v>217355.17</v>
      </c>
      <c r="P42" s="3">
        <v>-11484.824000000001</v>
      </c>
      <c r="Q42" s="3">
        <v>0</v>
      </c>
      <c r="R42" s="3">
        <v>228839.99400000001</v>
      </c>
      <c r="S42" s="3">
        <v>228839.99400000001</v>
      </c>
      <c r="T42" s="3">
        <v>217355.17</v>
      </c>
      <c r="U42" s="3">
        <v>20000</v>
      </c>
      <c r="V42" s="3">
        <v>23080</v>
      </c>
      <c r="W42" s="3">
        <v>21080</v>
      </c>
      <c r="X42" s="3">
        <v>26210</v>
      </c>
      <c r="Y42" s="3">
        <v>28100</v>
      </c>
      <c r="Z42" s="3">
        <v>28760</v>
      </c>
      <c r="AA42" s="3">
        <v>24750</v>
      </c>
      <c r="AB42" s="3">
        <v>25210</v>
      </c>
      <c r="AC42" s="3">
        <v>15790</v>
      </c>
      <c r="AD42" s="3">
        <v>26830</v>
      </c>
      <c r="AE42" s="3">
        <v>239810</v>
      </c>
      <c r="AF42" s="3">
        <v>239810</v>
      </c>
      <c r="AG42" s="3">
        <v>1457.63</v>
      </c>
      <c r="AH42" s="40">
        <v>0.68910000000000005</v>
      </c>
      <c r="AI42" s="40">
        <v>0.79520000000000002</v>
      </c>
      <c r="AJ42" s="40">
        <v>0.78069999999999995</v>
      </c>
      <c r="AK42" s="40">
        <v>0.76439999999999997</v>
      </c>
      <c r="AL42" s="40">
        <v>0.81950000000000001</v>
      </c>
      <c r="AM42" s="40">
        <v>0.79890000000000005</v>
      </c>
      <c r="AN42" s="40">
        <v>0.87619999999999998</v>
      </c>
      <c r="AO42" s="40">
        <v>0.89249999999999996</v>
      </c>
      <c r="AP42" s="40">
        <v>0.97319999999999995</v>
      </c>
      <c r="AQ42" s="40">
        <v>0.91220000000000001</v>
      </c>
      <c r="AR42" s="31">
        <v>1.0479374510034301</v>
      </c>
      <c r="AS42" s="36">
        <v>3.3867099896403698</v>
      </c>
      <c r="AT42">
        <v>4.16</v>
      </c>
      <c r="AV42">
        <v>4.5</v>
      </c>
      <c r="AX42">
        <v>4.3</v>
      </c>
      <c r="AY42" s="6">
        <v>4.32</v>
      </c>
      <c r="AZ42" s="2">
        <v>0.83020000000000005</v>
      </c>
      <c r="BA42" s="2">
        <v>0.78396064575008595</v>
      </c>
      <c r="BB42" s="2">
        <v>1</v>
      </c>
      <c r="BC42">
        <v>67570</v>
      </c>
      <c r="BD42">
        <v>53692</v>
      </c>
      <c r="BE42">
        <v>24786</v>
      </c>
      <c r="BF42">
        <v>26730</v>
      </c>
    </row>
    <row r="43" spans="3:59" x14ac:dyDescent="0.25">
      <c r="C43" s="1">
        <v>45663</v>
      </c>
      <c r="D43" s="36">
        <v>244325.41132717</v>
      </c>
      <c r="E43" s="33">
        <v>4.2064516129032299</v>
      </c>
      <c r="F43" s="33">
        <v>3.4480283870967701</v>
      </c>
      <c r="G43" s="2">
        <v>0.81969999999999998</v>
      </c>
      <c r="H43" s="2">
        <v>0.99</v>
      </c>
      <c r="I43" s="3">
        <v>65372.5</v>
      </c>
      <c r="J43" s="3">
        <v>65280.375</v>
      </c>
      <c r="K43" s="3">
        <v>41548.125</v>
      </c>
      <c r="L43" s="3">
        <v>48472.813000000002</v>
      </c>
      <c r="M43" s="3">
        <v>39838</v>
      </c>
      <c r="N43" s="3">
        <v>260511.81299999999</v>
      </c>
      <c r="O43" s="3">
        <v>255595.17</v>
      </c>
      <c r="P43" s="3">
        <v>-4916.64299999998</v>
      </c>
      <c r="Q43" s="3">
        <v>0</v>
      </c>
      <c r="R43" s="3">
        <v>260511.81299999999</v>
      </c>
      <c r="S43" s="3">
        <v>260511.81299999999</v>
      </c>
      <c r="T43" s="3">
        <v>255595.17</v>
      </c>
      <c r="U43" s="3">
        <v>24820</v>
      </c>
      <c r="V43" s="3">
        <v>26340</v>
      </c>
      <c r="W43" s="3">
        <v>23580</v>
      </c>
      <c r="X43" s="3">
        <v>29960</v>
      </c>
      <c r="Y43" s="3">
        <v>30760</v>
      </c>
      <c r="Z43" s="3">
        <v>32830</v>
      </c>
      <c r="AA43" s="3">
        <v>27920</v>
      </c>
      <c r="AB43" s="3">
        <v>27020</v>
      </c>
      <c r="AC43" s="3">
        <v>15420</v>
      </c>
      <c r="AD43" s="3">
        <v>27100</v>
      </c>
      <c r="AE43" s="3">
        <v>265750</v>
      </c>
      <c r="AF43" s="3">
        <v>265750</v>
      </c>
      <c r="AG43" s="3">
        <v>1309.47</v>
      </c>
      <c r="AH43" s="40">
        <v>0.76449999999999996</v>
      </c>
      <c r="AI43" s="40">
        <v>0.81130000000000002</v>
      </c>
      <c r="AJ43" s="40">
        <v>0.81030000000000002</v>
      </c>
      <c r="AK43" s="40">
        <v>0.81069999999999998</v>
      </c>
      <c r="AL43" s="40">
        <v>0.83230000000000004</v>
      </c>
      <c r="AM43" s="40">
        <v>0.84609999999999996</v>
      </c>
      <c r="AN43" s="40">
        <v>0.85129999999999995</v>
      </c>
      <c r="AO43" s="40">
        <v>0.82389999999999997</v>
      </c>
      <c r="AP43" s="40">
        <v>0.81859999999999999</v>
      </c>
      <c r="AQ43" s="40">
        <v>0.79359999999999997</v>
      </c>
      <c r="AR43" s="31">
        <v>1.0201072916413201</v>
      </c>
      <c r="AS43" s="36">
        <v>3.8554360367026801</v>
      </c>
      <c r="AT43">
        <v>4.83</v>
      </c>
      <c r="AV43">
        <v>4.8499999999999996</v>
      </c>
      <c r="AX43">
        <v>4.8099999999999996</v>
      </c>
      <c r="AY43" s="6">
        <v>4.83</v>
      </c>
      <c r="AZ43" s="2">
        <v>0.81630000000000003</v>
      </c>
      <c r="BA43" s="2">
        <v>0.79822692271276996</v>
      </c>
      <c r="BB43" s="2">
        <v>1</v>
      </c>
      <c r="BC43">
        <v>67570</v>
      </c>
      <c r="BD43">
        <v>53692</v>
      </c>
      <c r="BE43">
        <v>23987</v>
      </c>
      <c r="BF43">
        <v>26730</v>
      </c>
    </row>
    <row r="44" spans="3:59" x14ac:dyDescent="0.25">
      <c r="C44" s="1">
        <v>45664</v>
      </c>
      <c r="D44" s="36">
        <v>244325.41132717</v>
      </c>
      <c r="E44" s="33">
        <v>4.2064516129032299</v>
      </c>
      <c r="F44" s="33">
        <v>3.4480283870967701</v>
      </c>
      <c r="G44" s="2">
        <v>0.81969999999999998</v>
      </c>
      <c r="H44" s="2">
        <v>0.99</v>
      </c>
      <c r="I44" s="3">
        <v>42648.5</v>
      </c>
      <c r="J44" s="3">
        <v>42640.875</v>
      </c>
      <c r="K44" s="3">
        <v>25717.152999999998</v>
      </c>
      <c r="L44" s="3">
        <v>31546.880000000001</v>
      </c>
      <c r="M44" s="3">
        <v>25027</v>
      </c>
      <c r="N44" s="3">
        <v>167580.408</v>
      </c>
      <c r="O44" s="3">
        <v>147900.5</v>
      </c>
      <c r="P44" s="3">
        <v>-19679.907999999999</v>
      </c>
      <c r="Q44" s="3">
        <v>0</v>
      </c>
      <c r="R44" s="3">
        <v>167580.408</v>
      </c>
      <c r="S44" s="3">
        <v>167580.408</v>
      </c>
      <c r="T44" s="3">
        <v>146672.92585</v>
      </c>
      <c r="U44" s="3">
        <v>18210</v>
      </c>
      <c r="V44" s="3">
        <v>19070</v>
      </c>
      <c r="W44" s="3">
        <v>16890</v>
      </c>
      <c r="X44" s="3">
        <v>21300</v>
      </c>
      <c r="Y44" s="3">
        <v>21990</v>
      </c>
      <c r="Z44" s="3">
        <v>22160</v>
      </c>
      <c r="AA44" s="3">
        <v>18510</v>
      </c>
      <c r="AB44" s="3">
        <v>18620</v>
      </c>
      <c r="AC44" s="3">
        <v>11040</v>
      </c>
      <c r="AD44" s="3">
        <v>19350</v>
      </c>
      <c r="AE44" s="3">
        <v>187140</v>
      </c>
      <c r="AF44" s="3">
        <v>187140</v>
      </c>
      <c r="AG44" s="3">
        <v>1372.94</v>
      </c>
      <c r="AH44" s="40">
        <v>0.85370000000000001</v>
      </c>
      <c r="AI44" s="40">
        <v>0.89400000000000002</v>
      </c>
      <c r="AJ44" s="40">
        <v>0.88239999999999996</v>
      </c>
      <c r="AK44" s="40">
        <v>0.87629999999999997</v>
      </c>
      <c r="AL44" s="40">
        <v>0.90459999999999996</v>
      </c>
      <c r="AM44" s="40">
        <v>0.86829999999999996</v>
      </c>
      <c r="AN44" s="40">
        <v>0.87370000000000003</v>
      </c>
      <c r="AO44" s="40">
        <v>0.87890000000000001</v>
      </c>
      <c r="AP44" s="40">
        <v>0.9073</v>
      </c>
      <c r="AQ44" s="40">
        <v>0.87719999999999998</v>
      </c>
      <c r="AR44" s="31">
        <v>1.1167176535338199</v>
      </c>
      <c r="AS44" s="36">
        <v>2.4801007547728302</v>
      </c>
      <c r="AT44">
        <v>3.12</v>
      </c>
      <c r="AV44">
        <v>3.19</v>
      </c>
      <c r="AX44">
        <v>3.16</v>
      </c>
      <c r="AY44" s="6">
        <v>3.1566666666666698</v>
      </c>
      <c r="AZ44" s="2">
        <v>0.88170000000000004</v>
      </c>
      <c r="BA44" s="2">
        <v>0.78567077764714699</v>
      </c>
      <c r="BB44" s="2">
        <v>0.99170000000000003</v>
      </c>
      <c r="BC44">
        <v>67570</v>
      </c>
      <c r="BD44">
        <v>53692</v>
      </c>
      <c r="BE44">
        <v>24786</v>
      </c>
      <c r="BF44">
        <v>26730</v>
      </c>
      <c r="BG44" t="s">
        <v>104</v>
      </c>
    </row>
    <row r="45" spans="3:59" x14ac:dyDescent="0.25">
      <c r="C45" s="1">
        <v>45665</v>
      </c>
      <c r="D45" s="36">
        <v>244325.41132717</v>
      </c>
      <c r="E45" s="33">
        <v>4.2064516129032299</v>
      </c>
      <c r="F45" s="33">
        <v>3.4480283870967701</v>
      </c>
      <c r="G45" s="2">
        <v>0.81969999999999998</v>
      </c>
      <c r="H45" s="2">
        <v>0.99</v>
      </c>
      <c r="I45" s="3">
        <v>36892.25</v>
      </c>
      <c r="J45" s="3">
        <v>36913</v>
      </c>
      <c r="K45" s="3">
        <v>21324.347000000002</v>
      </c>
      <c r="L45" s="3">
        <v>28728.62</v>
      </c>
      <c r="M45" s="3">
        <v>23294</v>
      </c>
      <c r="N45" s="3">
        <v>147152.217</v>
      </c>
      <c r="O45" s="3">
        <v>115517.5</v>
      </c>
      <c r="P45" s="3">
        <v>-31634.717000000001</v>
      </c>
      <c r="Q45" s="3">
        <v>0</v>
      </c>
      <c r="R45" s="3">
        <v>147152.217</v>
      </c>
      <c r="S45" s="3">
        <v>147152.217</v>
      </c>
      <c r="T45" s="3">
        <v>115517.5</v>
      </c>
      <c r="U45" s="3">
        <v>13370</v>
      </c>
      <c r="V45" s="3">
        <v>13970</v>
      </c>
      <c r="W45" s="3">
        <v>12630</v>
      </c>
      <c r="X45" s="3">
        <v>15820</v>
      </c>
      <c r="Y45" s="3">
        <v>16500</v>
      </c>
      <c r="Z45" s="3">
        <v>16740</v>
      </c>
      <c r="AA45" s="3">
        <v>14160</v>
      </c>
      <c r="AB45" s="3">
        <v>14020</v>
      </c>
      <c r="AC45" s="3">
        <v>8040</v>
      </c>
      <c r="AD45" s="3">
        <v>14060</v>
      </c>
      <c r="AE45" s="3">
        <v>139310</v>
      </c>
      <c r="AF45" s="3">
        <v>139310</v>
      </c>
      <c r="AG45" s="3">
        <v>1455.51</v>
      </c>
      <c r="AH45" s="40">
        <v>0.91700000000000004</v>
      </c>
      <c r="AI45" s="40">
        <v>0.95820000000000005</v>
      </c>
      <c r="AJ45" s="40">
        <v>0.96560000000000001</v>
      </c>
      <c r="AK45" s="40">
        <v>0.95230000000000004</v>
      </c>
      <c r="AL45" s="40">
        <v>0.99329999999999996</v>
      </c>
      <c r="AM45" s="40">
        <v>0.95989999999999998</v>
      </c>
      <c r="AN45" s="40">
        <v>0.96099999999999997</v>
      </c>
      <c r="AO45" s="40">
        <v>0.95150000000000001</v>
      </c>
      <c r="AP45" s="40">
        <v>0.90920000000000001</v>
      </c>
      <c r="AQ45" s="40">
        <v>0.91639999999999999</v>
      </c>
      <c r="AR45" s="31">
        <v>0.94670676963025302</v>
      </c>
      <c r="AS45" s="36">
        <v>2.1777744117211801</v>
      </c>
      <c r="AT45">
        <v>2.17</v>
      </c>
      <c r="AV45">
        <v>2.1800000000000002</v>
      </c>
      <c r="AX45">
        <v>2.16</v>
      </c>
      <c r="AY45" s="6">
        <v>2.17</v>
      </c>
      <c r="AZ45" s="2">
        <v>0.94840000000000002</v>
      </c>
      <c r="BA45" s="2">
        <v>1.0035826782125199</v>
      </c>
      <c r="BB45" s="2">
        <v>1</v>
      </c>
      <c r="BC45">
        <v>67570</v>
      </c>
      <c r="BD45">
        <v>53692</v>
      </c>
      <c r="BE45">
        <v>24786</v>
      </c>
      <c r="BF45">
        <v>26730</v>
      </c>
    </row>
    <row r="46" spans="3:59" x14ac:dyDescent="0.25">
      <c r="C46" s="1">
        <v>45666</v>
      </c>
      <c r="D46" s="36">
        <v>244325.41132717</v>
      </c>
      <c r="E46" s="33">
        <v>4.2064516129032299</v>
      </c>
      <c r="F46" s="33">
        <v>3.4480283870967701</v>
      </c>
      <c r="G46" s="2">
        <v>0.81969999999999998</v>
      </c>
      <c r="H46" s="2">
        <v>0.99</v>
      </c>
      <c r="I46" s="3">
        <v>45448</v>
      </c>
      <c r="J46" s="3">
        <v>45443.13</v>
      </c>
      <c r="K46" s="3">
        <v>28511.875</v>
      </c>
      <c r="L46" s="3">
        <v>35869.5</v>
      </c>
      <c r="M46" s="3">
        <v>28914</v>
      </c>
      <c r="N46" s="3">
        <v>184186.505</v>
      </c>
      <c r="O46" s="3">
        <v>143451.67000000001</v>
      </c>
      <c r="P46" s="3">
        <v>-40734.834999999999</v>
      </c>
      <c r="Q46" s="3">
        <v>0</v>
      </c>
      <c r="R46" s="3">
        <v>184186.505</v>
      </c>
      <c r="S46" s="3">
        <v>184186.505</v>
      </c>
      <c r="T46" s="3">
        <v>143451.67000000001</v>
      </c>
      <c r="U46" s="3">
        <v>13110</v>
      </c>
      <c r="V46" s="3">
        <v>13750</v>
      </c>
      <c r="W46" s="3">
        <v>12440</v>
      </c>
      <c r="X46" s="3">
        <v>15670</v>
      </c>
      <c r="Y46" s="3">
        <v>16460</v>
      </c>
      <c r="Z46" s="3">
        <v>16770</v>
      </c>
      <c r="AA46" s="3">
        <v>14380</v>
      </c>
      <c r="AB46" s="3">
        <v>14240</v>
      </c>
      <c r="AC46" s="3">
        <v>8200</v>
      </c>
      <c r="AD46" s="3">
        <v>14900</v>
      </c>
      <c r="AE46" s="3">
        <v>139920</v>
      </c>
      <c r="AF46" s="3">
        <v>139920</v>
      </c>
      <c r="AG46" s="3">
        <v>1439.62</v>
      </c>
      <c r="AH46" s="40">
        <v>0.90339999999999998</v>
      </c>
      <c r="AI46" s="40">
        <v>0.94750000000000001</v>
      </c>
      <c r="AJ46" s="40">
        <v>0.93820000000000003</v>
      </c>
      <c r="AK46" s="40">
        <v>0.93049999999999999</v>
      </c>
      <c r="AL46" s="40">
        <v>0.97740000000000005</v>
      </c>
      <c r="AM46" s="40">
        <v>0.94850000000000001</v>
      </c>
      <c r="AN46" s="40">
        <v>0.97150000000000003</v>
      </c>
      <c r="AO46" s="40">
        <v>0.96199999999999997</v>
      </c>
      <c r="AP46" s="40">
        <v>0.92310000000000003</v>
      </c>
      <c r="AQ46" s="40">
        <v>0.98629999999999995</v>
      </c>
      <c r="AR46" s="31">
        <v>0.75966477565769497</v>
      </c>
      <c r="AS46" s="36">
        <v>2.7258621429628498</v>
      </c>
      <c r="AT46">
        <v>2.1800000000000002</v>
      </c>
      <c r="AV46">
        <v>2.21</v>
      </c>
      <c r="AX46">
        <v>2.15</v>
      </c>
      <c r="AY46" s="6">
        <v>2.1800000000000002</v>
      </c>
      <c r="AZ46" s="2">
        <v>0.94879999999999998</v>
      </c>
      <c r="BA46" s="2">
        <v>1.25039547842333</v>
      </c>
      <c r="BB46" s="2">
        <v>1</v>
      </c>
      <c r="BC46">
        <v>67570</v>
      </c>
      <c r="BD46">
        <v>53692</v>
      </c>
      <c r="BE46">
        <v>24786</v>
      </c>
      <c r="BF46">
        <v>26730</v>
      </c>
    </row>
    <row r="47" spans="3:59" x14ac:dyDescent="0.25">
      <c r="C47" s="1">
        <v>45667</v>
      </c>
      <c r="D47" s="36">
        <v>244325.41132717</v>
      </c>
      <c r="E47" s="33">
        <v>4.2064516129032299</v>
      </c>
      <c r="F47" s="33">
        <v>3.4480283870967701</v>
      </c>
      <c r="G47" s="2">
        <v>0.81969999999999998</v>
      </c>
      <c r="H47" s="2">
        <v>0.99</v>
      </c>
      <c r="I47" s="3">
        <v>64155.25</v>
      </c>
      <c r="J47" s="3">
        <v>64107.745000000003</v>
      </c>
      <c r="K47" s="3">
        <v>40552.593999999997</v>
      </c>
      <c r="L47" s="3">
        <v>45762.686999999998</v>
      </c>
      <c r="M47" s="3">
        <v>37648</v>
      </c>
      <c r="N47" s="3">
        <v>252226.27600000001</v>
      </c>
      <c r="O47" s="3">
        <v>274399.33</v>
      </c>
      <c r="P47" s="3">
        <v>22173.054</v>
      </c>
      <c r="Q47" s="3">
        <v>22173.054</v>
      </c>
      <c r="R47" s="3">
        <v>252226.27600000001</v>
      </c>
      <c r="S47" s="3">
        <v>274399.33</v>
      </c>
      <c r="T47" s="3">
        <v>274399.33</v>
      </c>
      <c r="U47" s="3">
        <v>25510</v>
      </c>
      <c r="V47" s="3">
        <v>26790</v>
      </c>
      <c r="W47" s="3">
        <v>23630</v>
      </c>
      <c r="X47" s="3">
        <v>28860</v>
      </c>
      <c r="Y47" s="3">
        <v>30260</v>
      </c>
      <c r="Z47" s="3">
        <v>33090</v>
      </c>
      <c r="AA47" s="3">
        <v>27300</v>
      </c>
      <c r="AB47" s="3">
        <v>28090</v>
      </c>
      <c r="AC47" s="3">
        <v>16500</v>
      </c>
      <c r="AD47" s="3">
        <v>28630</v>
      </c>
      <c r="AE47" s="3">
        <v>268660</v>
      </c>
      <c r="AF47" s="3">
        <v>290833.054</v>
      </c>
      <c r="AG47" s="3">
        <v>1360.42</v>
      </c>
      <c r="AH47" s="40">
        <v>0.72540000000000004</v>
      </c>
      <c r="AI47" s="40">
        <v>0.76180000000000003</v>
      </c>
      <c r="AJ47" s="40">
        <v>0.75590000000000002</v>
      </c>
      <c r="AK47" s="40">
        <v>0.72689999999999999</v>
      </c>
      <c r="AL47" s="40">
        <v>0.76219999999999999</v>
      </c>
      <c r="AM47" s="40">
        <v>0.79390000000000005</v>
      </c>
      <c r="AN47" s="40">
        <v>0.77170000000000005</v>
      </c>
      <c r="AO47" s="40">
        <v>0.79400000000000004</v>
      </c>
      <c r="AP47" s="40">
        <v>0.7772</v>
      </c>
      <c r="AQ47" s="40">
        <v>0.79300000000000004</v>
      </c>
      <c r="AR47" s="31">
        <v>1.06515468673851</v>
      </c>
      <c r="AS47" s="36">
        <v>3.7328145034778699</v>
      </c>
      <c r="AT47">
        <v>5.21</v>
      </c>
      <c r="AV47">
        <v>5.21</v>
      </c>
      <c r="AX47">
        <v>5.21</v>
      </c>
      <c r="AY47" s="6">
        <v>5.21</v>
      </c>
      <c r="AZ47" s="2">
        <v>0.76619999999999999</v>
      </c>
      <c r="BA47" s="2">
        <v>0.71647111391130003</v>
      </c>
      <c r="BB47" s="2">
        <v>1</v>
      </c>
      <c r="BC47">
        <v>67570</v>
      </c>
      <c r="BD47">
        <v>53692</v>
      </c>
      <c r="BE47">
        <v>24786</v>
      </c>
      <c r="BF47">
        <v>26730</v>
      </c>
    </row>
    <row r="48" spans="3:59" x14ac:dyDescent="0.25">
      <c r="C48" s="1">
        <v>45668</v>
      </c>
      <c r="D48" s="36">
        <v>244325.41132717</v>
      </c>
      <c r="E48" s="33">
        <v>4.2064516129032299</v>
      </c>
      <c r="F48" s="33">
        <v>3.4480283870967701</v>
      </c>
      <c r="G48" s="2">
        <v>0.81969999999999998</v>
      </c>
      <c r="H48" s="2">
        <v>0.99</v>
      </c>
      <c r="I48" s="3">
        <v>64870.75</v>
      </c>
      <c r="J48" s="3">
        <v>64834.375</v>
      </c>
      <c r="K48" s="3">
        <v>39387.718999999997</v>
      </c>
      <c r="L48" s="3">
        <v>45621.813000000002</v>
      </c>
      <c r="M48" s="3">
        <v>37394</v>
      </c>
      <c r="N48" s="3">
        <v>252108.65700000001</v>
      </c>
      <c r="O48" s="3">
        <v>250746.5</v>
      </c>
      <c r="P48" s="3">
        <v>-1362.1569999999799</v>
      </c>
      <c r="Q48" s="3">
        <v>0</v>
      </c>
      <c r="R48" s="3">
        <v>252108.65700000001</v>
      </c>
      <c r="S48" s="3">
        <v>252108.65700000001</v>
      </c>
      <c r="T48" s="3">
        <v>248865.90125</v>
      </c>
      <c r="U48" s="3">
        <v>23570</v>
      </c>
      <c r="V48" s="3">
        <v>25220</v>
      </c>
      <c r="W48" s="3">
        <v>22360</v>
      </c>
      <c r="X48" s="3">
        <v>27820</v>
      </c>
      <c r="Y48" s="3">
        <v>29140</v>
      </c>
      <c r="Z48" s="3">
        <v>31100</v>
      </c>
      <c r="AA48" s="3">
        <v>26310</v>
      </c>
      <c r="AB48" s="3">
        <v>26680</v>
      </c>
      <c r="AC48" s="3">
        <v>16040</v>
      </c>
      <c r="AD48" s="3">
        <v>20420</v>
      </c>
      <c r="AE48" s="3">
        <v>248660</v>
      </c>
      <c r="AF48" s="3">
        <v>248660</v>
      </c>
      <c r="AG48" s="3">
        <v>1435.27</v>
      </c>
      <c r="AH48" s="40">
        <v>0.7641</v>
      </c>
      <c r="AI48" s="40">
        <v>0.81759999999999999</v>
      </c>
      <c r="AJ48" s="40">
        <v>0.82809999999999995</v>
      </c>
      <c r="AK48" s="40">
        <v>0.81130000000000002</v>
      </c>
      <c r="AL48" s="40">
        <v>0.8498</v>
      </c>
      <c r="AM48" s="40">
        <v>0.8639</v>
      </c>
      <c r="AN48" s="40">
        <v>0.85160000000000002</v>
      </c>
      <c r="AO48" s="40">
        <v>0.86360000000000003</v>
      </c>
      <c r="AP48" s="40">
        <v>0.86509999999999998</v>
      </c>
      <c r="AQ48" s="40">
        <v>0.64759999999999995</v>
      </c>
      <c r="AR48" s="31">
        <v>0.98632075137348396</v>
      </c>
      <c r="AS48" s="36">
        <v>3.7310738049430201</v>
      </c>
      <c r="AT48">
        <v>4.55</v>
      </c>
      <c r="AV48">
        <v>4.5</v>
      </c>
      <c r="AX48">
        <v>4.57</v>
      </c>
      <c r="AY48" s="6">
        <v>4.54</v>
      </c>
      <c r="AZ48" s="2">
        <v>0.81630000000000003</v>
      </c>
      <c r="BA48" s="2">
        <v>0.82182242399626004</v>
      </c>
      <c r="BB48" s="2">
        <v>0.99250000000000005</v>
      </c>
      <c r="BC48">
        <v>67570</v>
      </c>
      <c r="BD48">
        <v>53692</v>
      </c>
      <c r="BE48">
        <v>24786</v>
      </c>
      <c r="BF48">
        <v>26730</v>
      </c>
    </row>
    <row r="49" spans="3:59" x14ac:dyDescent="0.25">
      <c r="C49" s="1">
        <v>45669</v>
      </c>
      <c r="D49" s="36">
        <v>244325.41132717</v>
      </c>
      <c r="E49" s="33">
        <v>4.2064516129032299</v>
      </c>
      <c r="F49" s="33">
        <v>3.4480283870967701</v>
      </c>
      <c r="G49" s="2">
        <v>0.81969999999999998</v>
      </c>
      <c r="H49" s="2">
        <v>0.99</v>
      </c>
      <c r="I49" s="3">
        <v>63291.5</v>
      </c>
      <c r="J49" s="3">
        <v>63164.25</v>
      </c>
      <c r="K49" s="3">
        <v>42758.061999999998</v>
      </c>
      <c r="L49" s="3">
        <v>49866.936999999998</v>
      </c>
      <c r="M49" s="3">
        <v>39215</v>
      </c>
      <c r="N49" s="3">
        <v>258295.74900000001</v>
      </c>
      <c r="O49" s="3">
        <v>252307.17</v>
      </c>
      <c r="P49" s="3">
        <v>-5988.5789999999997</v>
      </c>
      <c r="Q49" s="3">
        <v>0</v>
      </c>
      <c r="R49" s="3">
        <v>258295.74900000001</v>
      </c>
      <c r="S49" s="3">
        <v>258295.74900000001</v>
      </c>
      <c r="T49" s="3">
        <v>250667.17339499999</v>
      </c>
      <c r="U49" s="3">
        <v>27250</v>
      </c>
      <c r="V49" s="3">
        <v>29350</v>
      </c>
      <c r="W49" s="3">
        <v>25670</v>
      </c>
      <c r="X49" s="3">
        <v>31790</v>
      </c>
      <c r="Y49" s="3">
        <v>33600</v>
      </c>
      <c r="Z49" s="3">
        <v>36100</v>
      </c>
      <c r="AA49" s="3">
        <v>30430</v>
      </c>
      <c r="AB49" s="3">
        <v>30710</v>
      </c>
      <c r="AC49" s="3">
        <v>18140</v>
      </c>
      <c r="AD49" s="3">
        <v>28010</v>
      </c>
      <c r="AE49" s="3">
        <v>291050</v>
      </c>
      <c r="AF49" s="3">
        <v>291050</v>
      </c>
      <c r="AG49" s="3">
        <v>1498.49</v>
      </c>
      <c r="AH49" s="40">
        <v>0.75319999999999998</v>
      </c>
      <c r="AI49" s="40">
        <v>0.81120000000000003</v>
      </c>
      <c r="AJ49" s="40">
        <v>0.79820000000000002</v>
      </c>
      <c r="AK49" s="40">
        <v>0.77829999999999999</v>
      </c>
      <c r="AL49" s="40">
        <v>0.82269999999999999</v>
      </c>
      <c r="AM49" s="40">
        <v>0.84189999999999998</v>
      </c>
      <c r="AN49" s="40">
        <v>0.83609999999999995</v>
      </c>
      <c r="AO49" s="40">
        <v>0.84379999999999999</v>
      </c>
      <c r="AP49" s="40">
        <v>0.83050000000000002</v>
      </c>
      <c r="AQ49" s="40">
        <v>0.75409999999999999</v>
      </c>
      <c r="AR49" s="31">
        <v>1.1268090982016099</v>
      </c>
      <c r="AS49" s="36">
        <v>3.82263947017907</v>
      </c>
      <c r="AT49">
        <v>5.36</v>
      </c>
      <c r="AV49">
        <v>5.36</v>
      </c>
      <c r="AX49">
        <v>5.36</v>
      </c>
      <c r="AY49" s="6">
        <v>5.36</v>
      </c>
      <c r="AZ49" s="2">
        <v>0.80700000000000005</v>
      </c>
      <c r="BA49" s="2">
        <v>0.71317900563042402</v>
      </c>
      <c r="BB49" s="2">
        <v>0.99350000000000005</v>
      </c>
      <c r="BC49">
        <v>67570</v>
      </c>
      <c r="BD49">
        <v>53692</v>
      </c>
      <c r="BE49">
        <v>24796</v>
      </c>
      <c r="BF49">
        <v>26730</v>
      </c>
    </row>
    <row r="50" spans="3:59" x14ac:dyDescent="0.25">
      <c r="C50" s="1">
        <v>45670</v>
      </c>
      <c r="D50" s="36">
        <v>244325.41132717</v>
      </c>
      <c r="E50" s="33">
        <v>4.2064516129032299</v>
      </c>
      <c r="F50" s="33">
        <v>3.4480283870967701</v>
      </c>
      <c r="G50" s="2">
        <v>0.81969999999999998</v>
      </c>
      <c r="H50" s="2">
        <v>0.99</v>
      </c>
      <c r="I50" s="3">
        <v>44699.25</v>
      </c>
      <c r="J50" s="3">
        <v>44668.5</v>
      </c>
      <c r="K50" s="3">
        <v>36095.5</v>
      </c>
      <c r="L50" s="3">
        <v>30675.312999999998</v>
      </c>
      <c r="M50" s="3">
        <v>35339</v>
      </c>
      <c r="N50" s="3">
        <v>191477.56299999999</v>
      </c>
      <c r="O50" s="3">
        <v>151981.17000000001</v>
      </c>
      <c r="P50" s="3">
        <v>-39496.392999999996</v>
      </c>
      <c r="Q50" s="3">
        <v>0</v>
      </c>
      <c r="R50" s="3">
        <v>191477.56299999999</v>
      </c>
      <c r="S50" s="3">
        <v>191477.56299999999</v>
      </c>
      <c r="T50" s="3">
        <v>151981.17000000001</v>
      </c>
      <c r="U50" s="3">
        <v>14060</v>
      </c>
      <c r="V50" s="3">
        <v>14720</v>
      </c>
      <c r="W50" s="3">
        <v>12850</v>
      </c>
      <c r="X50" s="3">
        <v>16150</v>
      </c>
      <c r="Y50" s="3">
        <v>16520</v>
      </c>
      <c r="Z50" s="3">
        <v>16840</v>
      </c>
      <c r="AA50" s="3">
        <v>14030</v>
      </c>
      <c r="AB50" s="3">
        <v>14700</v>
      </c>
      <c r="AC50" s="3">
        <v>8060</v>
      </c>
      <c r="AD50" s="3">
        <v>14460</v>
      </c>
      <c r="AE50" s="3">
        <v>142390</v>
      </c>
      <c r="AF50" s="3">
        <v>142390</v>
      </c>
      <c r="AG50" s="3">
        <v>1490.11</v>
      </c>
      <c r="AH50" s="40">
        <v>0.87519999999999998</v>
      </c>
      <c r="AI50" s="40">
        <v>0.9163</v>
      </c>
      <c r="AJ50" s="40">
        <v>0.89990000000000003</v>
      </c>
      <c r="AK50" s="40">
        <v>0.89049999999999996</v>
      </c>
      <c r="AL50" s="40">
        <v>0.91090000000000004</v>
      </c>
      <c r="AM50" s="40">
        <v>0.88449999999999995</v>
      </c>
      <c r="AN50" s="40">
        <v>0.86819999999999997</v>
      </c>
      <c r="AO50" s="40">
        <v>0.90959999999999996</v>
      </c>
      <c r="AP50" s="40">
        <v>0.85740000000000005</v>
      </c>
      <c r="AQ50" s="40">
        <v>0.87670000000000003</v>
      </c>
      <c r="AR50" s="31">
        <v>0.74363804181067406</v>
      </c>
      <c r="AS50" s="36">
        <v>2.83376591682699</v>
      </c>
      <c r="AT50">
        <v>2.38</v>
      </c>
      <c r="AV50">
        <v>2.38</v>
      </c>
      <c r="AX50">
        <v>2.38</v>
      </c>
      <c r="AY50" s="6">
        <v>2.38</v>
      </c>
      <c r="AZ50" s="2">
        <v>0.88890000000000002</v>
      </c>
      <c r="BA50" s="2">
        <v>1.19065794824664</v>
      </c>
      <c r="BB50" s="2">
        <v>1</v>
      </c>
      <c r="BC50">
        <v>67570</v>
      </c>
      <c r="BD50">
        <v>53692</v>
      </c>
      <c r="BE50">
        <v>22248</v>
      </c>
      <c r="BF50">
        <v>26730</v>
      </c>
    </row>
    <row r="51" spans="3:59" x14ac:dyDescent="0.25">
      <c r="C51" s="1">
        <v>45671</v>
      </c>
      <c r="D51" s="36">
        <v>244325.41132717</v>
      </c>
      <c r="E51" s="33">
        <v>4.2064516129032299</v>
      </c>
      <c r="F51" s="33">
        <v>3.4480283870967701</v>
      </c>
      <c r="G51" s="2">
        <v>0.81969999999999998</v>
      </c>
      <c r="H51" s="2">
        <v>0.99</v>
      </c>
      <c r="I51" s="3">
        <v>33498.5</v>
      </c>
      <c r="J51" s="3">
        <v>33584.75</v>
      </c>
      <c r="K51" s="3">
        <v>27204.442999999999</v>
      </c>
      <c r="L51" s="3">
        <v>34408.686999999998</v>
      </c>
      <c r="M51" s="3">
        <v>26008</v>
      </c>
      <c r="N51" s="3">
        <v>154704.38</v>
      </c>
      <c r="O51" s="3">
        <v>196920</v>
      </c>
      <c r="P51" s="3">
        <v>42215.62</v>
      </c>
      <c r="Q51" s="3">
        <v>42215.62</v>
      </c>
      <c r="R51" s="3">
        <v>154704.38</v>
      </c>
      <c r="S51" s="3">
        <v>196920</v>
      </c>
      <c r="T51" s="3">
        <v>196427.7</v>
      </c>
      <c r="U51" s="3">
        <v>15130</v>
      </c>
      <c r="V51" s="3">
        <v>15360</v>
      </c>
      <c r="W51" s="3">
        <v>14220</v>
      </c>
      <c r="X51" s="3">
        <v>16740</v>
      </c>
      <c r="Y51" s="3">
        <v>18500</v>
      </c>
      <c r="Z51" s="3">
        <v>26120</v>
      </c>
      <c r="AA51" s="3">
        <v>22190</v>
      </c>
      <c r="AB51" s="3">
        <v>22380</v>
      </c>
      <c r="AC51" s="3">
        <v>13630</v>
      </c>
      <c r="AD51" s="3">
        <v>23030</v>
      </c>
      <c r="AE51" s="3">
        <v>187300</v>
      </c>
      <c r="AF51" s="3">
        <v>229515.62</v>
      </c>
      <c r="AG51" s="3">
        <v>1357.87</v>
      </c>
      <c r="AH51" s="40">
        <v>0.57920000000000005</v>
      </c>
      <c r="AI51" s="40">
        <v>0.58799999999999997</v>
      </c>
      <c r="AJ51" s="40">
        <v>0.60460000000000003</v>
      </c>
      <c r="AK51" s="40">
        <v>0.56040000000000001</v>
      </c>
      <c r="AL51" s="40">
        <v>0.61929999999999996</v>
      </c>
      <c r="AM51" s="40">
        <v>0.83289999999999997</v>
      </c>
      <c r="AN51" s="40">
        <v>0.81289999999999996</v>
      </c>
      <c r="AO51" s="40">
        <v>0.84079999999999999</v>
      </c>
      <c r="AP51" s="40">
        <v>0.85840000000000005</v>
      </c>
      <c r="AQ51" s="40">
        <v>0.82669999999999999</v>
      </c>
      <c r="AR51" s="31">
        <v>1.2106961677490999</v>
      </c>
      <c r="AS51" s="36">
        <v>2.28954240047358</v>
      </c>
      <c r="AT51">
        <v>4.0199999999999996</v>
      </c>
      <c r="AV51">
        <v>3.92</v>
      </c>
      <c r="AW51">
        <v>3.92</v>
      </c>
      <c r="AX51">
        <v>3.87</v>
      </c>
      <c r="AY51" s="6">
        <v>3.9325000000000001</v>
      </c>
      <c r="AZ51" s="2">
        <v>0.71230000000000004</v>
      </c>
      <c r="BA51" s="2">
        <v>0.58221040062900997</v>
      </c>
      <c r="BB51" s="2">
        <v>0.99750000000000005</v>
      </c>
      <c r="BC51">
        <v>67570</v>
      </c>
      <c r="BD51">
        <v>53692</v>
      </c>
      <c r="BE51">
        <v>24796</v>
      </c>
      <c r="BF51">
        <v>26730</v>
      </c>
      <c r="BG51" t="s">
        <v>105</v>
      </c>
    </row>
    <row r="52" spans="3:59" x14ac:dyDescent="0.25">
      <c r="C52" s="1">
        <v>45672</v>
      </c>
      <c r="D52" s="36">
        <v>244325.41132717</v>
      </c>
      <c r="E52" s="33">
        <v>4.2064516129032299</v>
      </c>
      <c r="F52" s="33">
        <v>3.4480283870967701</v>
      </c>
      <c r="G52" s="2">
        <v>0.81969999999999998</v>
      </c>
      <c r="H52" s="2">
        <v>0.99</v>
      </c>
      <c r="I52" s="3">
        <v>65022.25</v>
      </c>
      <c r="J52" s="3">
        <v>64974</v>
      </c>
      <c r="K52" s="3">
        <v>43548.995000000003</v>
      </c>
      <c r="L52" s="3">
        <v>52643.123</v>
      </c>
      <c r="M52" s="3">
        <v>34973</v>
      </c>
      <c r="N52" s="3">
        <v>261161.36799999999</v>
      </c>
      <c r="O52" s="3">
        <v>236442.67</v>
      </c>
      <c r="P52" s="3">
        <v>-24718.698</v>
      </c>
      <c r="Q52" s="3">
        <v>0</v>
      </c>
      <c r="R52" s="3">
        <v>261161.36799999999</v>
      </c>
      <c r="S52" s="3">
        <v>261161.36799999999</v>
      </c>
      <c r="T52" s="3">
        <v>236442.67</v>
      </c>
      <c r="U52" s="3">
        <v>20770</v>
      </c>
      <c r="V52" s="3">
        <v>21500</v>
      </c>
      <c r="W52" s="3">
        <v>19400</v>
      </c>
      <c r="X52" s="3">
        <v>23830</v>
      </c>
      <c r="Y52" s="3">
        <v>24850</v>
      </c>
      <c r="Z52" s="3">
        <v>25680</v>
      </c>
      <c r="AA52" s="3">
        <v>22360</v>
      </c>
      <c r="AB52" s="3">
        <v>22370</v>
      </c>
      <c r="AC52" s="3">
        <v>13100</v>
      </c>
      <c r="AD52" s="3">
        <v>23010</v>
      </c>
      <c r="AE52" s="3">
        <v>216870</v>
      </c>
      <c r="AF52" s="3">
        <v>216870</v>
      </c>
      <c r="AG52" s="3">
        <v>1392.3</v>
      </c>
      <c r="AH52" s="40">
        <v>0.85470000000000002</v>
      </c>
      <c r="AI52" s="40">
        <v>0.88480000000000003</v>
      </c>
      <c r="AJ52" s="40">
        <v>0.89810000000000001</v>
      </c>
      <c r="AK52" s="40">
        <v>0.86870000000000003</v>
      </c>
      <c r="AL52" s="40">
        <v>0.90339999999999998</v>
      </c>
      <c r="AM52" s="40">
        <v>0.88919999999999999</v>
      </c>
      <c r="AN52" s="40">
        <v>0.89729999999999999</v>
      </c>
      <c r="AO52" s="40">
        <v>0.91259999999999997</v>
      </c>
      <c r="AP52" s="40">
        <v>0.90369999999999995</v>
      </c>
      <c r="AQ52" s="40">
        <v>0.90469999999999995</v>
      </c>
      <c r="AR52" s="31">
        <v>0.83040612652940304</v>
      </c>
      <c r="AS52" s="36">
        <v>3.8650491046322299</v>
      </c>
      <c r="AT52">
        <v>3.67</v>
      </c>
      <c r="AV52">
        <v>3.61</v>
      </c>
      <c r="AW52">
        <v>3.6</v>
      </c>
      <c r="AX52">
        <v>3.6</v>
      </c>
      <c r="AY52" s="6">
        <v>3.62</v>
      </c>
      <c r="AZ52" s="2">
        <v>0.89170000000000005</v>
      </c>
      <c r="BA52" s="2">
        <v>1.06769312282658</v>
      </c>
      <c r="BB52" s="2">
        <v>1</v>
      </c>
      <c r="BC52">
        <v>67570</v>
      </c>
      <c r="BD52">
        <v>53692</v>
      </c>
      <c r="BE52">
        <v>24386</v>
      </c>
      <c r="BF52">
        <v>25305</v>
      </c>
    </row>
    <row r="53" spans="3:59" x14ac:dyDescent="0.25">
      <c r="C53" s="1">
        <v>45673</v>
      </c>
      <c r="D53" s="36">
        <v>244325.41132717</v>
      </c>
      <c r="E53" s="33">
        <v>4.2064516129032299</v>
      </c>
      <c r="F53" s="33">
        <v>3.4480283870967701</v>
      </c>
      <c r="G53" s="2">
        <v>0.81969999999999998</v>
      </c>
      <c r="H53" s="2">
        <v>0.99</v>
      </c>
      <c r="I53" s="3">
        <v>77247.25</v>
      </c>
      <c r="J53" s="3">
        <v>77162.75</v>
      </c>
      <c r="K53" s="3">
        <v>52098.875</v>
      </c>
      <c r="L53" s="3">
        <v>58477.06</v>
      </c>
      <c r="M53" s="3">
        <v>40600</v>
      </c>
      <c r="N53" s="3">
        <v>305585.935</v>
      </c>
      <c r="O53" s="3">
        <v>337694.67</v>
      </c>
      <c r="P53" s="3">
        <v>32108.735000000001</v>
      </c>
      <c r="Q53" s="3">
        <v>32108.735000000001</v>
      </c>
      <c r="R53" s="3">
        <v>337694.67</v>
      </c>
      <c r="S53" s="3">
        <v>337694.67</v>
      </c>
      <c r="T53" s="3">
        <v>335499.654645</v>
      </c>
      <c r="U53" s="3">
        <v>32650</v>
      </c>
      <c r="V53" s="3">
        <v>34130</v>
      </c>
      <c r="W53" s="3">
        <v>28940</v>
      </c>
      <c r="X53" s="3">
        <v>34910</v>
      </c>
      <c r="Y53" s="3">
        <v>35570</v>
      </c>
      <c r="Z53" s="3">
        <v>37830</v>
      </c>
      <c r="AA53" s="3">
        <v>34600</v>
      </c>
      <c r="AB53" s="3">
        <v>35540</v>
      </c>
      <c r="AC53" s="3">
        <v>20940</v>
      </c>
      <c r="AD53" s="3">
        <v>33150</v>
      </c>
      <c r="AE53" s="3">
        <v>328260</v>
      </c>
      <c r="AF53" s="3">
        <v>360368.73499999999</v>
      </c>
      <c r="AG53" s="3">
        <v>1355.55</v>
      </c>
      <c r="AH53" s="40">
        <v>0.75229999999999997</v>
      </c>
      <c r="AI53" s="40">
        <v>0.78639999999999999</v>
      </c>
      <c r="AJ53" s="40">
        <v>0.74429999999999996</v>
      </c>
      <c r="AK53" s="40">
        <v>0.70699999999999996</v>
      </c>
      <c r="AL53" s="40">
        <v>0.73050000000000004</v>
      </c>
      <c r="AM53" s="40">
        <v>0.72970000000000002</v>
      </c>
      <c r="AN53" s="40">
        <v>0.79749999999999999</v>
      </c>
      <c r="AO53" s="40">
        <v>0.80769999999999997</v>
      </c>
      <c r="AP53" s="40">
        <v>0.8296</v>
      </c>
      <c r="AQ53" s="40">
        <v>0.74860000000000004</v>
      </c>
      <c r="AR53" s="31">
        <v>1.0741986538091199</v>
      </c>
      <c r="AS53" s="36">
        <v>4.9977011987568396</v>
      </c>
      <c r="AT53">
        <v>6.39</v>
      </c>
      <c r="AU53">
        <v>6.39</v>
      </c>
      <c r="AV53">
        <v>6.48</v>
      </c>
      <c r="AW53">
        <v>6.48</v>
      </c>
      <c r="AX53">
        <v>6.43</v>
      </c>
      <c r="AY53" s="6">
        <v>6.4340000000000002</v>
      </c>
      <c r="AZ53" s="2">
        <v>0.76339999999999997</v>
      </c>
      <c r="BA53" s="2">
        <v>0.77676425221585998</v>
      </c>
      <c r="BB53" s="2">
        <v>0.99350000000000005</v>
      </c>
      <c r="BC53">
        <v>67570</v>
      </c>
      <c r="BD53">
        <v>53692</v>
      </c>
      <c r="BE53">
        <v>23987</v>
      </c>
      <c r="BF53">
        <v>26730</v>
      </c>
    </row>
    <row r="54" spans="3:59" x14ac:dyDescent="0.25">
      <c r="C54" s="1">
        <v>45674</v>
      </c>
      <c r="D54" s="36">
        <v>244325.41132717</v>
      </c>
      <c r="E54" s="33">
        <v>4.2064516129032299</v>
      </c>
      <c r="F54" s="33">
        <v>3.4480283870967701</v>
      </c>
      <c r="G54" s="2">
        <v>0.81969999999999998</v>
      </c>
      <c r="H54" s="2">
        <v>0.99</v>
      </c>
      <c r="I54" s="3">
        <v>67558.5</v>
      </c>
      <c r="J54" s="3">
        <v>67613.5</v>
      </c>
      <c r="K54" s="3">
        <v>44414.81</v>
      </c>
      <c r="L54" s="3">
        <v>51667.5</v>
      </c>
      <c r="M54" s="3">
        <v>41462</v>
      </c>
      <c r="N54" s="3">
        <v>272716.31</v>
      </c>
      <c r="O54" s="3">
        <v>287770.33</v>
      </c>
      <c r="P54" s="3">
        <v>15054.02</v>
      </c>
      <c r="Q54" s="3">
        <v>15054.02</v>
      </c>
      <c r="R54" s="3">
        <v>287770.33</v>
      </c>
      <c r="S54" s="3">
        <v>287770.33</v>
      </c>
      <c r="T54" s="3">
        <v>284604.85636999999</v>
      </c>
      <c r="U54" s="3">
        <v>26870</v>
      </c>
      <c r="V54" s="3">
        <v>27260</v>
      </c>
      <c r="W54" s="3">
        <v>23300</v>
      </c>
      <c r="X54" s="3">
        <v>27450</v>
      </c>
      <c r="Y54" s="3">
        <v>29570</v>
      </c>
      <c r="Z54" s="3">
        <v>31120</v>
      </c>
      <c r="AA54" s="3">
        <v>26970</v>
      </c>
      <c r="AB54" s="3">
        <v>28780</v>
      </c>
      <c r="AC54" s="3">
        <v>17030</v>
      </c>
      <c r="AD54" s="3">
        <v>28070</v>
      </c>
      <c r="AE54" s="3">
        <v>266420</v>
      </c>
      <c r="AF54" s="3">
        <v>281474.02</v>
      </c>
      <c r="AG54" s="3">
        <v>1453.91</v>
      </c>
      <c r="AH54" s="40">
        <v>0.78049999999999997</v>
      </c>
      <c r="AI54" s="40">
        <v>0.79190000000000005</v>
      </c>
      <c r="AJ54" s="40">
        <v>0.77200000000000002</v>
      </c>
      <c r="AK54" s="40">
        <v>0.71619999999999995</v>
      </c>
      <c r="AL54" s="40">
        <v>0.76690000000000003</v>
      </c>
      <c r="AM54" s="40">
        <v>0.79110000000000003</v>
      </c>
      <c r="AN54" s="40">
        <v>0.78169999999999995</v>
      </c>
      <c r="AO54" s="40">
        <v>0.84409999999999996</v>
      </c>
      <c r="AP54" s="40">
        <v>0.84889999999999999</v>
      </c>
      <c r="AQ54" s="40">
        <v>0.78180000000000005</v>
      </c>
      <c r="AR54" s="31">
        <v>0.976912601963557</v>
      </c>
      <c r="AS54" s="36">
        <v>4.2588475654876401</v>
      </c>
      <c r="AT54">
        <v>5.08</v>
      </c>
      <c r="AU54">
        <v>5.0599999999999996</v>
      </c>
      <c r="AV54">
        <v>4.92</v>
      </c>
      <c r="AW54">
        <v>5.03</v>
      </c>
      <c r="AX54">
        <v>5.0999999999999996</v>
      </c>
      <c r="AY54" s="6">
        <v>5.0380000000000003</v>
      </c>
      <c r="AZ54" s="2">
        <v>0.78749999999999998</v>
      </c>
      <c r="BA54" s="2">
        <v>0.84534489191894502</v>
      </c>
      <c r="BB54" s="2">
        <v>0.98899999999999999</v>
      </c>
      <c r="BC54">
        <v>67570</v>
      </c>
      <c r="BD54">
        <v>53692</v>
      </c>
      <c r="BE54">
        <v>23987</v>
      </c>
      <c r="BF54">
        <v>26730</v>
      </c>
    </row>
    <row r="55" spans="3:59" x14ac:dyDescent="0.25">
      <c r="C55" s="1">
        <v>45675</v>
      </c>
      <c r="D55" s="36">
        <v>244325.41132717</v>
      </c>
      <c r="E55" s="33">
        <v>4.2064516129032299</v>
      </c>
      <c r="F55" s="33">
        <v>3.4480283870967701</v>
      </c>
      <c r="G55" s="2">
        <v>0.81969999999999998</v>
      </c>
      <c r="H55" s="2">
        <v>0.99</v>
      </c>
      <c r="I55" s="3">
        <v>74860.25</v>
      </c>
      <c r="J55" s="3">
        <v>74669</v>
      </c>
      <c r="K55" s="3">
        <v>51197.440000000002</v>
      </c>
      <c r="L55" s="3">
        <v>57654.13</v>
      </c>
      <c r="M55" s="3">
        <v>45765</v>
      </c>
      <c r="N55" s="3">
        <v>304145.82</v>
      </c>
      <c r="O55" s="3">
        <v>316712.33</v>
      </c>
      <c r="P55" s="3">
        <v>12566.51</v>
      </c>
      <c r="Q55" s="3">
        <v>12566.51</v>
      </c>
      <c r="R55" s="3">
        <v>316712.33</v>
      </c>
      <c r="S55" s="3">
        <v>316712.33</v>
      </c>
      <c r="T55" s="3">
        <v>313386.85053499998</v>
      </c>
      <c r="U55" s="3">
        <v>31800</v>
      </c>
      <c r="V55" s="3">
        <v>32980</v>
      </c>
      <c r="W55" s="3">
        <v>27990</v>
      </c>
      <c r="X55" s="3">
        <v>32590</v>
      </c>
      <c r="Y55" s="3">
        <v>34190</v>
      </c>
      <c r="Z55" s="3">
        <v>40080</v>
      </c>
      <c r="AA55" s="3">
        <v>32000</v>
      </c>
      <c r="AB55" s="3">
        <v>34190</v>
      </c>
      <c r="AC55" s="3">
        <v>20130</v>
      </c>
      <c r="AD55" s="3">
        <v>35150</v>
      </c>
      <c r="AE55" s="3">
        <v>321100</v>
      </c>
      <c r="AF55" s="3">
        <v>333666.51</v>
      </c>
      <c r="AG55" s="3">
        <v>1331.8</v>
      </c>
      <c r="AH55" s="40">
        <v>0.74660000000000004</v>
      </c>
      <c r="AI55" s="40">
        <v>0.77429999999999999</v>
      </c>
      <c r="AJ55" s="40">
        <v>0.75</v>
      </c>
      <c r="AK55" s="40">
        <v>0.68759999999999999</v>
      </c>
      <c r="AL55" s="40">
        <v>0.73080000000000001</v>
      </c>
      <c r="AM55" s="40">
        <v>0.83409999999999995</v>
      </c>
      <c r="AN55" s="40">
        <v>0.77490000000000003</v>
      </c>
      <c r="AO55" s="40">
        <v>0.82089999999999996</v>
      </c>
      <c r="AP55" s="40">
        <v>0.83840000000000003</v>
      </c>
      <c r="AQ55" s="40">
        <v>0.81789999999999996</v>
      </c>
      <c r="AR55" s="31">
        <v>1.0557435903607</v>
      </c>
      <c r="AS55" s="36">
        <v>4.6871737457451497</v>
      </c>
      <c r="AT55">
        <v>6.08</v>
      </c>
      <c r="AU55">
        <v>6.14</v>
      </c>
      <c r="AV55">
        <v>6.01</v>
      </c>
      <c r="AW55">
        <v>6.22</v>
      </c>
      <c r="AX55">
        <v>6.31</v>
      </c>
      <c r="AY55" s="6">
        <v>6.1520000000000001</v>
      </c>
      <c r="AZ55" s="2">
        <v>0.77759999999999996</v>
      </c>
      <c r="BA55" s="2">
        <v>0.76189430197417995</v>
      </c>
      <c r="BB55" s="2">
        <v>0.98950000000000005</v>
      </c>
      <c r="BC55">
        <v>67570</v>
      </c>
      <c r="BD55">
        <v>53692</v>
      </c>
      <c r="BE55">
        <v>23987</v>
      </c>
      <c r="BF55">
        <v>26730</v>
      </c>
    </row>
    <row r="56" spans="3:59" x14ac:dyDescent="0.25">
      <c r="C56" s="1">
        <v>45676</v>
      </c>
      <c r="D56" s="36">
        <v>244325.41132717</v>
      </c>
      <c r="E56" s="33">
        <v>4.2064516129032299</v>
      </c>
      <c r="F56" s="33">
        <v>3.4480283870967701</v>
      </c>
      <c r="G56" s="2">
        <v>0.81969999999999998</v>
      </c>
      <c r="H56" s="2">
        <v>0.99</v>
      </c>
      <c r="I56" s="3">
        <v>55538.25</v>
      </c>
      <c r="J56" s="3">
        <v>55516.5</v>
      </c>
      <c r="K56" s="3">
        <v>35234.379999999997</v>
      </c>
      <c r="L56" s="3">
        <v>42798</v>
      </c>
      <c r="M56" s="3">
        <v>33901</v>
      </c>
      <c r="N56" s="3">
        <v>222988.13</v>
      </c>
      <c r="O56" s="3">
        <v>207592.33</v>
      </c>
      <c r="P56" s="3">
        <v>-15395.8</v>
      </c>
      <c r="Q56" s="3">
        <v>0</v>
      </c>
      <c r="R56" s="3">
        <v>222988.13</v>
      </c>
      <c r="S56" s="3">
        <v>222988.13</v>
      </c>
      <c r="T56" s="3">
        <v>205723.99903000001</v>
      </c>
      <c r="U56" s="3">
        <v>20320</v>
      </c>
      <c r="V56" s="3">
        <v>20860</v>
      </c>
      <c r="W56" s="3">
        <v>18790</v>
      </c>
      <c r="X56" s="3">
        <v>22800</v>
      </c>
      <c r="Y56" s="3">
        <v>24450</v>
      </c>
      <c r="Z56" s="3">
        <v>25360</v>
      </c>
      <c r="AA56" s="3">
        <v>20330</v>
      </c>
      <c r="AB56" s="3">
        <v>21890</v>
      </c>
      <c r="AC56" s="3">
        <v>13130</v>
      </c>
      <c r="AD56" s="3">
        <v>22670</v>
      </c>
      <c r="AE56" s="3">
        <v>210600</v>
      </c>
      <c r="AF56" s="3">
        <v>210600</v>
      </c>
      <c r="AG56" s="3">
        <v>1439.1</v>
      </c>
      <c r="AH56" s="40">
        <v>0.82689999999999997</v>
      </c>
      <c r="AI56" s="40">
        <v>0.84899999999999998</v>
      </c>
      <c r="AJ56" s="40">
        <v>0.86040000000000005</v>
      </c>
      <c r="AK56" s="40">
        <v>0.82220000000000004</v>
      </c>
      <c r="AL56" s="40">
        <v>0.88390000000000002</v>
      </c>
      <c r="AM56" s="40">
        <v>0.86650000000000005</v>
      </c>
      <c r="AN56" s="40">
        <v>0.81340000000000001</v>
      </c>
      <c r="AO56" s="40">
        <v>0.86309999999999998</v>
      </c>
      <c r="AP56" s="40">
        <v>0.90339999999999998</v>
      </c>
      <c r="AQ56" s="40">
        <v>0.87150000000000005</v>
      </c>
      <c r="AR56" s="31">
        <v>0.94444489040739499</v>
      </c>
      <c r="AS56" s="36">
        <v>3.3001055202012699</v>
      </c>
      <c r="AT56">
        <v>3.68</v>
      </c>
      <c r="AU56">
        <v>3.63</v>
      </c>
      <c r="AV56">
        <v>3.66</v>
      </c>
      <c r="AW56">
        <v>3.64</v>
      </c>
      <c r="AX56">
        <v>3.64</v>
      </c>
      <c r="AY56" s="6">
        <v>3.65</v>
      </c>
      <c r="AZ56" s="2">
        <v>0.85599999999999998</v>
      </c>
      <c r="BA56" s="2">
        <v>0.90413849868527996</v>
      </c>
      <c r="BB56" s="2">
        <v>0.99099999999999999</v>
      </c>
      <c r="BC56">
        <v>67570</v>
      </c>
      <c r="BD56">
        <v>53692</v>
      </c>
      <c r="BE56">
        <v>23987</v>
      </c>
      <c r="BF56">
        <v>26730</v>
      </c>
    </row>
    <row r="57" spans="3:59" x14ac:dyDescent="0.25">
      <c r="C57" s="1">
        <v>45677</v>
      </c>
      <c r="D57" s="36">
        <v>244325.41132717</v>
      </c>
      <c r="E57" s="33">
        <v>4.2064516129032299</v>
      </c>
      <c r="F57" s="33">
        <v>3.4480283870967701</v>
      </c>
      <c r="G57" s="2">
        <v>0.81969999999999998</v>
      </c>
      <c r="H57" s="2">
        <v>0.99</v>
      </c>
      <c r="I57" s="3">
        <v>82187</v>
      </c>
      <c r="J57" s="3">
        <v>82084</v>
      </c>
      <c r="K57" s="3">
        <v>56291.995000000003</v>
      </c>
      <c r="L57" s="3">
        <v>63762.5</v>
      </c>
      <c r="M57" s="3">
        <v>52354</v>
      </c>
      <c r="N57" s="3">
        <v>336679.495</v>
      </c>
      <c r="O57" s="3">
        <v>350846.67</v>
      </c>
      <c r="P57" s="3">
        <v>14167.174999999999</v>
      </c>
      <c r="Q57" s="3">
        <v>14167.174999999999</v>
      </c>
      <c r="R57" s="3">
        <v>350846.67</v>
      </c>
      <c r="S57" s="3">
        <v>350846.67</v>
      </c>
      <c r="T57" s="3">
        <v>346811.933295</v>
      </c>
      <c r="U57" s="3">
        <v>31960</v>
      </c>
      <c r="V57" s="3">
        <v>33860</v>
      </c>
      <c r="W57" s="3">
        <v>28050</v>
      </c>
      <c r="X57" s="3">
        <v>34920</v>
      </c>
      <c r="Y57" s="3">
        <v>35100</v>
      </c>
      <c r="Z57" s="3">
        <v>42500</v>
      </c>
      <c r="AA57" s="3">
        <v>33120</v>
      </c>
      <c r="AB57" s="3">
        <v>35280</v>
      </c>
      <c r="AC57" s="3">
        <v>19760</v>
      </c>
      <c r="AD57" s="3">
        <v>36450</v>
      </c>
      <c r="AE57" s="3">
        <v>331000</v>
      </c>
      <c r="AF57" s="3">
        <v>345167.17499999999</v>
      </c>
      <c r="AG57" s="3">
        <v>1442.62</v>
      </c>
      <c r="AH57" s="40">
        <v>0.748</v>
      </c>
      <c r="AI57" s="40">
        <v>0.79239999999999999</v>
      </c>
      <c r="AJ57" s="40">
        <v>0.72370000000000001</v>
      </c>
      <c r="AK57" s="40">
        <v>0.70930000000000004</v>
      </c>
      <c r="AL57" s="40">
        <v>0.75519999999999998</v>
      </c>
      <c r="AM57" s="40">
        <v>0.80300000000000005</v>
      </c>
      <c r="AN57" s="40">
        <v>0.78659999999999997</v>
      </c>
      <c r="AO57" s="40">
        <v>0.76910000000000001</v>
      </c>
      <c r="AP57" s="40">
        <v>0.80710000000000004</v>
      </c>
      <c r="AQ57" s="40">
        <v>0.83189999999999997</v>
      </c>
      <c r="AR57" s="31">
        <v>0.98313085565249503</v>
      </c>
      <c r="AS57" s="36">
        <v>5.1923437916235002</v>
      </c>
      <c r="AT57">
        <v>6.2</v>
      </c>
      <c r="AU57">
        <v>6.1</v>
      </c>
      <c r="AV57">
        <v>6.62</v>
      </c>
      <c r="AW57">
        <v>6.46</v>
      </c>
      <c r="AX57">
        <v>6.33</v>
      </c>
      <c r="AY57" s="6">
        <v>6.3419999999999996</v>
      </c>
      <c r="AZ57" s="2">
        <v>0.77259999999999995</v>
      </c>
      <c r="BA57" s="2">
        <v>0.81872339823770102</v>
      </c>
      <c r="BB57" s="2">
        <v>0.98850000000000005</v>
      </c>
      <c r="BC57">
        <v>67570</v>
      </c>
      <c r="BD57">
        <v>53692</v>
      </c>
      <c r="BE57">
        <v>23987</v>
      </c>
      <c r="BF57">
        <v>26730</v>
      </c>
    </row>
    <row r="58" spans="3:59" x14ac:dyDescent="0.25">
      <c r="C58" s="1">
        <v>45678</v>
      </c>
      <c r="D58" s="36">
        <v>244325.41132717</v>
      </c>
      <c r="E58" s="33">
        <v>4.2064516129032299</v>
      </c>
      <c r="F58" s="33">
        <v>3.4480283870967701</v>
      </c>
      <c r="G58" s="2">
        <v>0.81969999999999998</v>
      </c>
      <c r="H58" s="2">
        <v>0.99</v>
      </c>
      <c r="I58" s="3">
        <v>76013</v>
      </c>
      <c r="J58" s="3">
        <v>66073</v>
      </c>
      <c r="K58" s="3">
        <v>41690.375</v>
      </c>
      <c r="L58" s="3">
        <v>50675.5</v>
      </c>
      <c r="M58" s="3">
        <v>42144</v>
      </c>
      <c r="N58" s="3">
        <v>276595.875</v>
      </c>
      <c r="O58" s="3">
        <v>271738.83</v>
      </c>
      <c r="P58" s="3">
        <v>-4857.0449999999801</v>
      </c>
      <c r="Q58" s="3">
        <v>0</v>
      </c>
      <c r="R58" s="3">
        <v>276595.875</v>
      </c>
      <c r="S58" s="3">
        <v>276595.875</v>
      </c>
      <c r="T58" s="3">
        <v>268477.96403999999</v>
      </c>
      <c r="U58" s="3">
        <v>28020</v>
      </c>
      <c r="V58" s="3">
        <v>28800</v>
      </c>
      <c r="W58" s="3">
        <v>24460</v>
      </c>
      <c r="X58" s="3">
        <v>30620</v>
      </c>
      <c r="Y58" s="3">
        <v>31410</v>
      </c>
      <c r="Z58" s="3">
        <v>34660</v>
      </c>
      <c r="AA58" s="3">
        <v>27790</v>
      </c>
      <c r="AB58" s="3">
        <v>27680</v>
      </c>
      <c r="AC58" s="3">
        <v>17430</v>
      </c>
      <c r="AD58" s="3">
        <v>30500</v>
      </c>
      <c r="AE58" s="3">
        <v>281370</v>
      </c>
      <c r="AF58" s="3">
        <v>281370</v>
      </c>
      <c r="AG58" s="3">
        <v>1450.61</v>
      </c>
      <c r="AH58" s="40">
        <v>0.78920000000000001</v>
      </c>
      <c r="AI58" s="40">
        <v>0.81120000000000003</v>
      </c>
      <c r="AJ58" s="40">
        <v>0.77059999999999995</v>
      </c>
      <c r="AK58" s="40">
        <v>0.75970000000000004</v>
      </c>
      <c r="AL58" s="40">
        <v>0.80989999999999995</v>
      </c>
      <c r="AM58" s="40">
        <v>0.84009999999999996</v>
      </c>
      <c r="AN58" s="40">
        <v>0.79300000000000004</v>
      </c>
      <c r="AO58" s="40">
        <v>0.77410000000000001</v>
      </c>
      <c r="AP58" s="40">
        <v>0.85550000000000004</v>
      </c>
      <c r="AQ58" s="40">
        <v>0.83630000000000004</v>
      </c>
      <c r="AR58" s="31">
        <v>1.0172602899446701</v>
      </c>
      <c r="AS58" s="36">
        <v>4.0934715850229404</v>
      </c>
      <c r="AT58">
        <v>5.16</v>
      </c>
      <c r="AU58">
        <v>5.09</v>
      </c>
      <c r="AV58">
        <v>5.16</v>
      </c>
      <c r="AW58">
        <v>5.29</v>
      </c>
      <c r="AX58">
        <v>5.26</v>
      </c>
      <c r="AY58" s="6">
        <v>5.1920000000000002</v>
      </c>
      <c r="AZ58" s="2">
        <v>0.80400000000000005</v>
      </c>
      <c r="BA58" s="2">
        <v>0.78841902639116701</v>
      </c>
      <c r="BB58" s="2">
        <v>0.98799999999999999</v>
      </c>
      <c r="BC58">
        <v>67570</v>
      </c>
      <c r="BD58">
        <v>53692</v>
      </c>
      <c r="BE58">
        <v>23987</v>
      </c>
      <c r="BF58">
        <v>26730</v>
      </c>
    </row>
    <row r="59" spans="3:59" x14ac:dyDescent="0.25">
      <c r="C59" s="1">
        <v>45679</v>
      </c>
      <c r="D59" s="36">
        <v>244325.41132717</v>
      </c>
      <c r="E59" s="33">
        <v>4.2064516129032299</v>
      </c>
      <c r="F59" s="33">
        <v>3.4480283870967701</v>
      </c>
      <c r="G59" s="2">
        <v>0.81969999999999998</v>
      </c>
      <c r="H59" s="2">
        <v>0.99</v>
      </c>
      <c r="I59" s="3">
        <v>48647</v>
      </c>
      <c r="J59" s="3">
        <v>58537.75</v>
      </c>
      <c r="K59" s="3">
        <v>36494.129999999997</v>
      </c>
      <c r="L59" s="3">
        <v>46577.75</v>
      </c>
      <c r="M59" s="3">
        <v>37535</v>
      </c>
      <c r="N59" s="3">
        <v>227791.63</v>
      </c>
      <c r="O59" s="3">
        <v>221339.33</v>
      </c>
      <c r="P59" s="3">
        <v>-6452.3000000000202</v>
      </c>
      <c r="Q59" s="3">
        <v>0</v>
      </c>
      <c r="R59" s="3">
        <v>227791.63</v>
      </c>
      <c r="S59" s="3">
        <v>227791.63</v>
      </c>
      <c r="T59" s="3">
        <v>218683.25803999999</v>
      </c>
      <c r="U59" s="3">
        <v>22960</v>
      </c>
      <c r="V59" s="3">
        <v>23670</v>
      </c>
      <c r="W59" s="3">
        <v>19940</v>
      </c>
      <c r="X59" s="3">
        <v>24900</v>
      </c>
      <c r="Y59" s="3">
        <v>25900</v>
      </c>
      <c r="Z59" s="3">
        <v>29380</v>
      </c>
      <c r="AA59" s="3">
        <v>23570</v>
      </c>
      <c r="AB59" s="3">
        <v>23550</v>
      </c>
      <c r="AC59" s="3">
        <v>14910</v>
      </c>
      <c r="AD59" s="3">
        <v>25850</v>
      </c>
      <c r="AE59" s="3">
        <v>234630</v>
      </c>
      <c r="AF59" s="3">
        <v>234630</v>
      </c>
      <c r="AG59" s="3">
        <v>1455.91</v>
      </c>
      <c r="AH59" s="40">
        <v>0.8236</v>
      </c>
      <c r="AI59" s="40">
        <v>0.84889999999999999</v>
      </c>
      <c r="AJ59" s="40">
        <v>0.80469999999999997</v>
      </c>
      <c r="AK59" s="40">
        <v>0.79120000000000001</v>
      </c>
      <c r="AL59" s="40">
        <v>0.80359999999999998</v>
      </c>
      <c r="AM59" s="40">
        <v>0.88119999999999998</v>
      </c>
      <c r="AN59" s="40">
        <v>0.81659999999999999</v>
      </c>
      <c r="AO59" s="40">
        <v>0.81499999999999995</v>
      </c>
      <c r="AP59" s="40">
        <v>0.88859999999999995</v>
      </c>
      <c r="AQ59" s="40">
        <v>0.86050000000000004</v>
      </c>
      <c r="AR59" s="31">
        <v>1.03002028652238</v>
      </c>
      <c r="AS59" s="36">
        <v>3.3711947609886002</v>
      </c>
      <c r="AT59">
        <v>4.25</v>
      </c>
      <c r="AU59">
        <v>4.2300000000000004</v>
      </c>
      <c r="AV59">
        <v>4.17</v>
      </c>
      <c r="AW59">
        <v>4.13</v>
      </c>
      <c r="AX59">
        <v>4.13</v>
      </c>
      <c r="AY59" s="6">
        <v>4.1820000000000004</v>
      </c>
      <c r="AZ59" s="2">
        <v>0.83340000000000003</v>
      </c>
      <c r="BA59" s="2">
        <v>0.80612022022683005</v>
      </c>
      <c r="BB59" s="2">
        <v>0.98799999999999999</v>
      </c>
      <c r="BC59">
        <v>67570</v>
      </c>
      <c r="BD59">
        <v>53692</v>
      </c>
      <c r="BE59">
        <v>16292</v>
      </c>
      <c r="BF59">
        <v>25370</v>
      </c>
    </row>
    <row r="60" spans="3:59" x14ac:dyDescent="0.25">
      <c r="C60" s="1">
        <v>45680</v>
      </c>
      <c r="D60" s="36">
        <v>244325.41132717</v>
      </c>
      <c r="E60" s="33">
        <v>4.2064516129032299</v>
      </c>
      <c r="F60" s="33">
        <v>3.4480283870967701</v>
      </c>
      <c r="G60" s="2">
        <v>0.81969999999999998</v>
      </c>
      <c r="H60" s="2">
        <v>0.99</v>
      </c>
      <c r="I60" s="3">
        <v>43282</v>
      </c>
      <c r="J60" s="3">
        <v>17580.5</v>
      </c>
      <c r="K60" s="3">
        <v>46450.87</v>
      </c>
      <c r="L60" s="3">
        <v>36073.375</v>
      </c>
      <c r="M60" s="3">
        <v>28918</v>
      </c>
      <c r="N60" s="3">
        <v>172304.745</v>
      </c>
      <c r="O60" s="3">
        <v>218528.5</v>
      </c>
      <c r="P60" s="3">
        <v>46223.754999999997</v>
      </c>
      <c r="Q60" s="3">
        <v>46223.754999999997</v>
      </c>
      <c r="R60" s="3">
        <v>218528.5</v>
      </c>
      <c r="S60" s="3">
        <v>218528.5</v>
      </c>
      <c r="T60" s="3">
        <v>216780.272</v>
      </c>
      <c r="U60" s="3">
        <v>18010</v>
      </c>
      <c r="V60" s="3">
        <v>18400</v>
      </c>
      <c r="W60" s="3">
        <v>12010</v>
      </c>
      <c r="X60" s="3">
        <v>14870</v>
      </c>
      <c r="Y60" s="3">
        <v>15250</v>
      </c>
      <c r="Z60" s="3">
        <v>28340</v>
      </c>
      <c r="AA60" s="3">
        <v>23090</v>
      </c>
      <c r="AB60" s="3">
        <v>23040</v>
      </c>
      <c r="AC60" s="3">
        <v>14360</v>
      </c>
      <c r="AD60" s="3">
        <v>25220</v>
      </c>
      <c r="AE60" s="3">
        <v>192590</v>
      </c>
      <c r="AF60" s="3">
        <v>238813.755</v>
      </c>
      <c r="AG60" s="3">
        <v>1440.19</v>
      </c>
      <c r="AH60" s="40">
        <v>0.68869999999999998</v>
      </c>
      <c r="AI60" s="40">
        <v>0.68320000000000003</v>
      </c>
      <c r="AJ60" s="40">
        <v>0.48470000000000002</v>
      </c>
      <c r="AK60" s="40">
        <v>0.47249999999999998</v>
      </c>
      <c r="AL60" s="40">
        <v>0.4834</v>
      </c>
      <c r="AM60" s="40">
        <v>0.85209999999999997</v>
      </c>
      <c r="AN60" s="40">
        <v>0.79800000000000004</v>
      </c>
      <c r="AO60" s="40">
        <v>0.79920000000000002</v>
      </c>
      <c r="AP60" s="40">
        <v>0.85360000000000003</v>
      </c>
      <c r="AQ60" s="40">
        <v>0.83760000000000001</v>
      </c>
      <c r="AR60" s="31">
        <v>1.1177289400822901</v>
      </c>
      <c r="AS60" s="36">
        <v>3.2341053722066002</v>
      </c>
      <c r="AT60">
        <v>4.26</v>
      </c>
      <c r="AU60">
        <v>4.1399999999999997</v>
      </c>
      <c r="AV60">
        <v>4.16</v>
      </c>
      <c r="AW60">
        <v>4.13</v>
      </c>
      <c r="AX60">
        <v>3.99</v>
      </c>
      <c r="AY60" s="6">
        <v>4.1360000000000001</v>
      </c>
      <c r="AZ60" s="2">
        <v>0.69330000000000003</v>
      </c>
      <c r="BA60" s="2">
        <v>0.78194037045614095</v>
      </c>
      <c r="BB60" s="2">
        <v>0.99199999999999999</v>
      </c>
      <c r="BC60">
        <v>67570</v>
      </c>
      <c r="BD60">
        <v>53692</v>
      </c>
      <c r="BE60">
        <v>11900</v>
      </c>
      <c r="BF60">
        <v>26730</v>
      </c>
      <c r="BG60" t="s">
        <v>106</v>
      </c>
    </row>
    <row r="61" spans="3:59" x14ac:dyDescent="0.25">
      <c r="C61" s="1">
        <v>45681</v>
      </c>
      <c r="D61" s="36">
        <v>244325.41132717</v>
      </c>
      <c r="E61" s="33">
        <v>4.2064516129032299</v>
      </c>
      <c r="F61" s="33">
        <v>3.4480283870967701</v>
      </c>
      <c r="G61" s="2">
        <v>0.81969999999999998</v>
      </c>
      <c r="H61" s="2">
        <v>0.99</v>
      </c>
      <c r="I61" s="3">
        <v>54392.25</v>
      </c>
      <c r="J61" s="3">
        <v>0</v>
      </c>
      <c r="K61" s="3">
        <v>33104.879999999997</v>
      </c>
      <c r="L61" s="3">
        <v>44453.254999999997</v>
      </c>
      <c r="M61" s="3">
        <v>34955</v>
      </c>
      <c r="N61" s="3">
        <v>166905.38500000001</v>
      </c>
      <c r="O61" s="3">
        <v>199635.83</v>
      </c>
      <c r="P61" s="3">
        <v>32730.445</v>
      </c>
      <c r="Q61" s="3">
        <v>32730.445</v>
      </c>
      <c r="R61" s="3">
        <v>199635.83</v>
      </c>
      <c r="S61" s="3">
        <v>199635.83</v>
      </c>
      <c r="T61" s="3">
        <v>198537.83293500001</v>
      </c>
      <c r="U61" s="3">
        <v>17260</v>
      </c>
      <c r="V61" s="3">
        <v>18120</v>
      </c>
      <c r="W61" s="3">
        <v>4220</v>
      </c>
      <c r="X61" s="3">
        <v>4310</v>
      </c>
      <c r="Y61" s="3">
        <v>4310</v>
      </c>
      <c r="Z61" s="3">
        <v>21520</v>
      </c>
      <c r="AA61" s="3">
        <v>17840</v>
      </c>
      <c r="AB61" s="3">
        <v>18190</v>
      </c>
      <c r="AC61" s="3">
        <v>10650</v>
      </c>
      <c r="AD61" s="3">
        <v>19530</v>
      </c>
      <c r="AE61" s="3">
        <v>135950</v>
      </c>
      <c r="AF61" s="3">
        <v>168680.44500000001</v>
      </c>
      <c r="AG61" s="3">
        <v>1477.13</v>
      </c>
      <c r="AH61" s="40">
        <v>0.88160000000000005</v>
      </c>
      <c r="AI61" s="40">
        <v>0.92559999999999998</v>
      </c>
      <c r="AJ61" s="40">
        <v>0.24079999999999999</v>
      </c>
      <c r="AK61" s="40">
        <v>0.19350000000000001</v>
      </c>
      <c r="AL61" s="40">
        <v>0.1963</v>
      </c>
      <c r="AM61" s="40">
        <v>0.94099999999999995</v>
      </c>
      <c r="AN61" s="40">
        <v>0.89329999999999998</v>
      </c>
      <c r="AO61" s="40">
        <v>0.91790000000000005</v>
      </c>
      <c r="AP61" s="40">
        <v>0.91700000000000004</v>
      </c>
      <c r="AQ61" s="40">
        <v>0.93979999999999997</v>
      </c>
      <c r="AR61" s="31">
        <v>0.81453333575786102</v>
      </c>
      <c r="AS61" s="36">
        <v>2.9545039218588101</v>
      </c>
      <c r="AT61">
        <v>2.94</v>
      </c>
      <c r="AU61">
        <v>2.88</v>
      </c>
      <c r="AV61">
        <v>2.86</v>
      </c>
      <c r="AW61">
        <v>2.92</v>
      </c>
      <c r="AX61">
        <v>2.9</v>
      </c>
      <c r="AY61" s="6">
        <v>2.9</v>
      </c>
      <c r="AZ61" s="2">
        <v>0.70469999999999999</v>
      </c>
      <c r="BA61" s="2">
        <v>1.0187944558133799</v>
      </c>
      <c r="BB61" s="2">
        <v>0.99450000000000005</v>
      </c>
      <c r="BC61">
        <v>67570</v>
      </c>
      <c r="BD61">
        <v>53692</v>
      </c>
      <c r="BE61">
        <v>11900</v>
      </c>
      <c r="BF61">
        <v>26730</v>
      </c>
    </row>
    <row r="62" spans="3:59" x14ac:dyDescent="0.25">
      <c r="C62" s="1">
        <v>45682</v>
      </c>
      <c r="D62" s="36">
        <v>244325.41132717</v>
      </c>
      <c r="E62" s="33">
        <v>4.2064516129032299</v>
      </c>
      <c r="F62" s="33">
        <v>3.4480283870967701</v>
      </c>
      <c r="G62" s="2">
        <v>0.81969999999999998</v>
      </c>
      <c r="H62" s="2">
        <v>0.99</v>
      </c>
      <c r="I62" s="3">
        <v>39828</v>
      </c>
      <c r="J62" s="3">
        <v>0</v>
      </c>
      <c r="K62" s="3">
        <v>24534.98</v>
      </c>
      <c r="L62" s="3">
        <v>35750.5</v>
      </c>
      <c r="M62" s="3">
        <v>27042</v>
      </c>
      <c r="N62" s="3">
        <v>127155.48</v>
      </c>
      <c r="O62" s="3">
        <v>145504.32999999999</v>
      </c>
      <c r="P62" s="3">
        <v>18348.849999999999</v>
      </c>
      <c r="Q62" s="3">
        <v>18348.849999999999</v>
      </c>
      <c r="R62" s="3">
        <v>145504.32999999999</v>
      </c>
      <c r="S62" s="3">
        <v>145504.32999999999</v>
      </c>
      <c r="T62" s="3">
        <v>145504.32999999999</v>
      </c>
      <c r="U62" s="3">
        <v>20880</v>
      </c>
      <c r="V62" s="3">
        <v>20530</v>
      </c>
      <c r="W62" s="3">
        <v>4200</v>
      </c>
      <c r="X62" s="3">
        <v>4310</v>
      </c>
      <c r="Y62" s="3">
        <v>4320</v>
      </c>
      <c r="Z62" s="3">
        <v>26770</v>
      </c>
      <c r="AA62" s="3">
        <v>23530</v>
      </c>
      <c r="AB62" s="3">
        <v>24480</v>
      </c>
      <c r="AC62" s="3">
        <v>16340</v>
      </c>
      <c r="AD62" s="3">
        <v>25440</v>
      </c>
      <c r="AE62" s="3">
        <v>170800</v>
      </c>
      <c r="AF62" s="3">
        <v>189148.85</v>
      </c>
      <c r="AG62" s="3">
        <v>1397.39</v>
      </c>
      <c r="AH62" s="40">
        <v>0.80149999999999999</v>
      </c>
      <c r="AI62" s="40">
        <v>0.78800000000000003</v>
      </c>
      <c r="AJ62" s="40">
        <v>0.185</v>
      </c>
      <c r="AK62" s="40">
        <v>0.14960000000000001</v>
      </c>
      <c r="AL62" s="40">
        <v>0.1414</v>
      </c>
      <c r="AM62" s="40">
        <v>0.85629999999999995</v>
      </c>
      <c r="AN62" s="40">
        <v>0.78900000000000003</v>
      </c>
      <c r="AO62" s="40">
        <v>0.90329999999999999</v>
      </c>
      <c r="AP62" s="40">
        <v>0.94240000000000002</v>
      </c>
      <c r="AQ62" s="40">
        <v>0.82</v>
      </c>
      <c r="AR62" s="31">
        <v>1.3432374286975299</v>
      </c>
      <c r="AS62" s="36">
        <v>2.1533865620837598</v>
      </c>
      <c r="AT62">
        <v>4.3899999999999997</v>
      </c>
      <c r="AU62">
        <v>4.01</v>
      </c>
      <c r="AV62">
        <v>3.91</v>
      </c>
      <c r="AW62">
        <v>3.78</v>
      </c>
      <c r="AX62">
        <v>3.86</v>
      </c>
      <c r="AY62" s="6">
        <v>3.99</v>
      </c>
      <c r="AZ62" s="2">
        <v>0.63759999999999994</v>
      </c>
      <c r="BA62" s="2">
        <v>0.53969588022149495</v>
      </c>
      <c r="BB62" s="2">
        <v>1</v>
      </c>
      <c r="BC62">
        <v>67570</v>
      </c>
      <c r="BD62">
        <v>53692</v>
      </c>
      <c r="BE62">
        <v>11900</v>
      </c>
      <c r="BF62">
        <v>26730</v>
      </c>
    </row>
    <row r="63" spans="3:59" x14ac:dyDescent="0.25">
      <c r="C63" s="1">
        <v>45683</v>
      </c>
      <c r="D63" s="36">
        <v>244325.41132717</v>
      </c>
      <c r="E63" s="33">
        <v>4.2064516129032299</v>
      </c>
      <c r="F63" s="33">
        <v>3.4480283870967701</v>
      </c>
      <c r="G63" s="2">
        <v>0.81969999999999998</v>
      </c>
      <c r="H63" s="2">
        <v>0.99</v>
      </c>
      <c r="I63" s="3">
        <v>43619</v>
      </c>
      <c r="J63" s="3">
        <v>0</v>
      </c>
      <c r="K63" s="3">
        <v>25189.14</v>
      </c>
      <c r="L63" s="3">
        <v>36227.120000000003</v>
      </c>
      <c r="M63" s="3">
        <v>26549</v>
      </c>
      <c r="N63" s="3">
        <v>131584.26</v>
      </c>
      <c r="O63" s="3">
        <v>140620</v>
      </c>
      <c r="P63" s="3">
        <v>9035.7399999999907</v>
      </c>
      <c r="Q63" s="3">
        <v>9035.7399999999907</v>
      </c>
      <c r="R63" s="3">
        <v>140620</v>
      </c>
      <c r="S63" s="3">
        <v>140620</v>
      </c>
      <c r="T63" s="3">
        <v>140338.76</v>
      </c>
      <c r="U63" s="3">
        <v>10290</v>
      </c>
      <c r="V63" s="3">
        <v>10300</v>
      </c>
      <c r="W63" s="3">
        <v>3430</v>
      </c>
      <c r="X63" s="3">
        <v>3690</v>
      </c>
      <c r="Y63" s="3">
        <v>3720</v>
      </c>
      <c r="Z63" s="3">
        <v>12890</v>
      </c>
      <c r="AA63" s="3">
        <v>11080</v>
      </c>
      <c r="AB63" s="3">
        <v>10890</v>
      </c>
      <c r="AC63" s="3">
        <v>6150</v>
      </c>
      <c r="AD63" s="3">
        <v>11400</v>
      </c>
      <c r="AE63" s="3">
        <v>83840</v>
      </c>
      <c r="AF63" s="3">
        <v>92875.74</v>
      </c>
      <c r="AG63" s="3">
        <v>1486.47</v>
      </c>
      <c r="AH63" s="40">
        <v>0.86619999999999997</v>
      </c>
      <c r="AI63" s="40">
        <v>0.86719999999999997</v>
      </c>
      <c r="AJ63" s="40">
        <v>0.32819999999999999</v>
      </c>
      <c r="AK63" s="40">
        <v>0.27839999999999998</v>
      </c>
      <c r="AL63" s="40">
        <v>0.28560000000000002</v>
      </c>
      <c r="AM63" s="40">
        <v>0.93159999999999998</v>
      </c>
      <c r="AN63" s="40">
        <v>0.94840000000000002</v>
      </c>
      <c r="AO63" s="40">
        <v>0.90859999999999996</v>
      </c>
      <c r="AP63" s="40">
        <v>0.90490000000000004</v>
      </c>
      <c r="AQ63" s="40">
        <v>0.93769999999999998</v>
      </c>
      <c r="AR63" s="31">
        <v>0.63715827409752501</v>
      </c>
      <c r="AS63" s="36">
        <v>2.0811010803611101</v>
      </c>
      <c r="AT63">
        <v>1.72</v>
      </c>
      <c r="AU63">
        <v>1.71</v>
      </c>
      <c r="AV63">
        <v>1.73</v>
      </c>
      <c r="AW63">
        <v>1.74</v>
      </c>
      <c r="AX63">
        <v>1.76</v>
      </c>
      <c r="AY63" s="6">
        <v>1.732</v>
      </c>
      <c r="AZ63" s="2">
        <v>0.72570000000000001</v>
      </c>
      <c r="BA63" s="2">
        <v>1.20155951522004</v>
      </c>
      <c r="BB63" s="2">
        <v>0.998</v>
      </c>
      <c r="BC63">
        <v>67570</v>
      </c>
      <c r="BD63">
        <v>53692</v>
      </c>
      <c r="BE63">
        <v>11900</v>
      </c>
      <c r="BF63">
        <v>26730</v>
      </c>
    </row>
    <row r="64" spans="3:59" x14ac:dyDescent="0.25">
      <c r="C64" s="1">
        <v>45684</v>
      </c>
      <c r="D64" s="36">
        <v>244325.41132717</v>
      </c>
      <c r="E64" s="33">
        <v>4.2064516129032299</v>
      </c>
      <c r="F64" s="33">
        <v>3.4480283870967701</v>
      </c>
      <c r="G64" s="2">
        <v>0.81969999999999998</v>
      </c>
      <c r="H64" s="2">
        <v>0.99</v>
      </c>
      <c r="I64" s="3">
        <v>60896.5</v>
      </c>
      <c r="J64" s="3">
        <v>0</v>
      </c>
      <c r="K64" s="3">
        <v>40090.5</v>
      </c>
      <c r="L64" s="3">
        <v>52330</v>
      </c>
      <c r="M64" s="3">
        <v>39809</v>
      </c>
      <c r="N64" s="3">
        <v>193126</v>
      </c>
      <c r="O64" s="3">
        <v>273904.5</v>
      </c>
      <c r="P64" s="3">
        <v>80778.5</v>
      </c>
      <c r="Q64" s="3">
        <v>80778.5</v>
      </c>
      <c r="R64" s="3">
        <v>273904.5</v>
      </c>
      <c r="S64" s="3">
        <v>273904.5</v>
      </c>
      <c r="T64" s="3">
        <v>273356.69099999999</v>
      </c>
      <c r="U64" s="3">
        <v>28300</v>
      </c>
      <c r="V64" s="3">
        <v>28330</v>
      </c>
      <c r="W64" s="3">
        <v>4300</v>
      </c>
      <c r="X64" s="3">
        <v>4400</v>
      </c>
      <c r="Y64" s="3">
        <v>4410</v>
      </c>
      <c r="Z64" s="3">
        <v>35730</v>
      </c>
      <c r="AA64" s="3">
        <v>30590</v>
      </c>
      <c r="AB64" s="3">
        <v>30560</v>
      </c>
      <c r="AC64" s="3">
        <v>17800</v>
      </c>
      <c r="AD64" s="3">
        <v>31790</v>
      </c>
      <c r="AE64" s="3">
        <v>216210</v>
      </c>
      <c r="AF64" s="3">
        <v>296988.5</v>
      </c>
      <c r="AG64" s="3">
        <v>1471.89</v>
      </c>
      <c r="AH64" s="40">
        <v>0.77649999999999997</v>
      </c>
      <c r="AI64" s="40">
        <v>0.7772</v>
      </c>
      <c r="AJ64" s="40">
        <v>0.1338</v>
      </c>
      <c r="AK64" s="40">
        <v>0.1076</v>
      </c>
      <c r="AL64" s="40">
        <v>0.1106</v>
      </c>
      <c r="AM64" s="40">
        <v>0.83530000000000004</v>
      </c>
      <c r="AN64" s="40">
        <v>0.83240000000000003</v>
      </c>
      <c r="AO64" s="40">
        <v>0.82420000000000004</v>
      </c>
      <c r="AP64" s="40">
        <v>0.83299999999999996</v>
      </c>
      <c r="AQ64" s="40">
        <v>0.83140000000000003</v>
      </c>
      <c r="AR64" s="31">
        <v>1.1195281836728399</v>
      </c>
      <c r="AS64" s="36">
        <v>4.0536406689359197</v>
      </c>
      <c r="AT64">
        <v>5.41</v>
      </c>
      <c r="AU64">
        <v>5.23</v>
      </c>
      <c r="AV64">
        <v>5.35</v>
      </c>
      <c r="AW64">
        <v>5.36</v>
      </c>
      <c r="AX64">
        <v>5.4</v>
      </c>
      <c r="AY64" s="6">
        <v>5.35</v>
      </c>
      <c r="AZ64" s="2">
        <v>0.60619999999999996</v>
      </c>
      <c r="BA64" s="2">
        <v>0.75768984466091904</v>
      </c>
      <c r="BB64" s="2">
        <v>0.998</v>
      </c>
      <c r="BC64">
        <v>67570</v>
      </c>
      <c r="BD64">
        <v>53692</v>
      </c>
      <c r="BE64">
        <v>9256</v>
      </c>
      <c r="BF64">
        <v>26730</v>
      </c>
    </row>
    <row r="65" spans="3:59" ht="409.5" x14ac:dyDescent="0.25">
      <c r="C65" s="1">
        <v>45685</v>
      </c>
      <c r="D65" s="36">
        <v>244325.41132717</v>
      </c>
      <c r="E65" s="33">
        <v>4.2064516129032299</v>
      </c>
      <c r="F65" s="33">
        <v>3.4480283870967701</v>
      </c>
      <c r="G65" s="2">
        <v>0.81969999999999998</v>
      </c>
      <c r="H65" s="2">
        <v>0.99</v>
      </c>
      <c r="I65" s="3">
        <v>32969.5</v>
      </c>
      <c r="J65" s="3">
        <v>0</v>
      </c>
      <c r="K65" s="3">
        <v>24176.875</v>
      </c>
      <c r="L65" s="3">
        <v>34210.25</v>
      </c>
      <c r="M65" s="3">
        <v>27011</v>
      </c>
      <c r="N65" s="3">
        <v>118367.625</v>
      </c>
      <c r="O65" s="3">
        <v>143367.17000000001</v>
      </c>
      <c r="P65" s="3">
        <v>24999.544999999998</v>
      </c>
      <c r="Q65" s="3">
        <v>24999.544999999998</v>
      </c>
      <c r="R65" s="3">
        <v>143367.17000000001</v>
      </c>
      <c r="S65" s="3">
        <v>143367.17000000001</v>
      </c>
      <c r="T65" s="3">
        <v>143080.43565999999</v>
      </c>
      <c r="U65" s="3">
        <v>13140</v>
      </c>
      <c r="V65" s="3">
        <v>13000</v>
      </c>
      <c r="W65" s="3">
        <v>3100</v>
      </c>
      <c r="X65" s="3">
        <v>3180</v>
      </c>
      <c r="Y65" s="3">
        <v>3190</v>
      </c>
      <c r="Z65" s="3">
        <v>21180</v>
      </c>
      <c r="AA65" s="3">
        <v>18200</v>
      </c>
      <c r="AB65" s="3">
        <v>17910</v>
      </c>
      <c r="AC65" s="3">
        <v>10370</v>
      </c>
      <c r="AD65" s="3">
        <v>18710</v>
      </c>
      <c r="AE65" s="3">
        <v>121980</v>
      </c>
      <c r="AF65" s="3">
        <v>146979.54500000001</v>
      </c>
      <c r="AG65" s="3">
        <v>1314.88</v>
      </c>
      <c r="AH65" s="40">
        <v>0.67800000000000005</v>
      </c>
      <c r="AI65" s="40">
        <v>0.67110000000000003</v>
      </c>
      <c r="AJ65" s="40">
        <v>0.17929999999999999</v>
      </c>
      <c r="AK65" s="40">
        <v>0.14499999999999999</v>
      </c>
      <c r="AL65" s="40">
        <v>0.14799999999999999</v>
      </c>
      <c r="AM65" s="40">
        <v>0.92610000000000003</v>
      </c>
      <c r="AN65" s="40">
        <v>0.93020000000000003</v>
      </c>
      <c r="AO65" s="40">
        <v>0.90359999999999996</v>
      </c>
      <c r="AP65" s="40">
        <v>0.91180000000000005</v>
      </c>
      <c r="AQ65" s="40">
        <v>0.91900000000000004</v>
      </c>
      <c r="AR65" s="31">
        <v>1.03051826882562</v>
      </c>
      <c r="AS65" s="36">
        <v>2.1217577327216199</v>
      </c>
      <c r="AT65">
        <v>2.88</v>
      </c>
      <c r="AU65">
        <v>2.83</v>
      </c>
      <c r="AV65">
        <v>2.86</v>
      </c>
      <c r="AW65">
        <v>2.88</v>
      </c>
      <c r="AX65">
        <v>2.87</v>
      </c>
      <c r="AY65" s="6">
        <v>2.8639999999999999</v>
      </c>
      <c r="AZ65" s="2">
        <v>0.64119999999999999</v>
      </c>
      <c r="BA65" s="2">
        <v>0.74083719717933705</v>
      </c>
      <c r="BB65" s="2">
        <v>0.998</v>
      </c>
      <c r="BC65">
        <v>67570</v>
      </c>
      <c r="BD65">
        <v>53692</v>
      </c>
      <c r="BE65">
        <v>11900</v>
      </c>
      <c r="BF65">
        <v>26730</v>
      </c>
      <c r="BG65" s="9" t="s">
        <v>107</v>
      </c>
    </row>
    <row r="66" spans="3:59" x14ac:dyDescent="0.25">
      <c r="C66" s="1">
        <v>45686</v>
      </c>
      <c r="D66" s="36">
        <v>244325.41132717</v>
      </c>
      <c r="E66" s="33">
        <v>4.2064516129032299</v>
      </c>
      <c r="F66" s="33">
        <v>3.4480283870967701</v>
      </c>
      <c r="G66" s="2">
        <v>0.81969999999999998</v>
      </c>
      <c r="H66" s="2">
        <v>0.99</v>
      </c>
      <c r="I66" s="3">
        <v>36207.5</v>
      </c>
      <c r="J66" s="3">
        <v>0</v>
      </c>
      <c r="K66" s="3">
        <v>13821.254999999999</v>
      </c>
      <c r="L66" s="3">
        <v>30329.119999999999</v>
      </c>
      <c r="M66" s="3">
        <v>22996</v>
      </c>
      <c r="N66" s="3">
        <v>103353.875</v>
      </c>
      <c r="O66" s="3">
        <v>101943.5</v>
      </c>
      <c r="P66" s="3">
        <v>-1410.375</v>
      </c>
      <c r="Q66" s="3">
        <v>0</v>
      </c>
      <c r="R66" s="3">
        <v>103353.875</v>
      </c>
      <c r="S66" s="3">
        <v>103353.875</v>
      </c>
      <c r="T66" s="3">
        <v>101739.613</v>
      </c>
      <c r="U66" s="3">
        <v>12510</v>
      </c>
      <c r="V66" s="3">
        <v>12470</v>
      </c>
      <c r="W66" s="3">
        <v>4290</v>
      </c>
      <c r="X66" s="3">
        <v>4370</v>
      </c>
      <c r="Y66" s="3">
        <v>4370</v>
      </c>
      <c r="Z66" s="3">
        <v>15510</v>
      </c>
      <c r="AA66" s="3">
        <v>13170</v>
      </c>
      <c r="AB66" s="3">
        <v>13060</v>
      </c>
      <c r="AC66" s="3">
        <v>7450</v>
      </c>
      <c r="AD66" s="3">
        <v>13590</v>
      </c>
      <c r="AE66" s="3">
        <v>100790</v>
      </c>
      <c r="AF66" s="3">
        <v>100790</v>
      </c>
      <c r="AG66" s="3">
        <v>1438.9</v>
      </c>
      <c r="AH66" s="40">
        <v>0.91710000000000003</v>
      </c>
      <c r="AI66" s="40">
        <v>0.91459999999999997</v>
      </c>
      <c r="AJ66" s="40">
        <v>0.35899999999999999</v>
      </c>
      <c r="AK66" s="40">
        <v>0.28799999999999998</v>
      </c>
      <c r="AL66" s="40">
        <v>0.2898</v>
      </c>
      <c r="AM66" s="40">
        <v>0.9798</v>
      </c>
      <c r="AN66" s="40">
        <v>0.98919999999999997</v>
      </c>
      <c r="AO66" s="40">
        <v>0.95189999999999997</v>
      </c>
      <c r="AP66" s="40">
        <v>0.96199999999999997</v>
      </c>
      <c r="AQ66" s="40">
        <v>0.98070000000000002</v>
      </c>
      <c r="AR66" s="31">
        <v>0.97519323779587397</v>
      </c>
      <c r="AS66" s="36">
        <v>1.5295822850377401</v>
      </c>
      <c r="AT66">
        <v>1.96</v>
      </c>
      <c r="AU66">
        <v>1.98</v>
      </c>
      <c r="AV66">
        <v>1.98</v>
      </c>
      <c r="AW66">
        <v>1.99</v>
      </c>
      <c r="AX66">
        <v>2.02</v>
      </c>
      <c r="AY66" s="6">
        <v>1.986</v>
      </c>
      <c r="AZ66" s="2">
        <v>0.76319999999999999</v>
      </c>
      <c r="BA66" s="2">
        <v>0.77018241945505495</v>
      </c>
      <c r="BB66" s="2">
        <v>0.998</v>
      </c>
      <c r="BC66">
        <v>67570</v>
      </c>
      <c r="BD66">
        <v>53692</v>
      </c>
      <c r="BE66">
        <v>11900</v>
      </c>
      <c r="BF66">
        <v>25411</v>
      </c>
      <c r="BG66" t="s">
        <v>106</v>
      </c>
    </row>
    <row r="67" spans="3:59" ht="409.5" x14ac:dyDescent="0.25">
      <c r="C67" s="1">
        <v>45687</v>
      </c>
      <c r="D67" s="36">
        <v>244325.41132717</v>
      </c>
      <c r="E67" s="33">
        <v>4.2064516129032299</v>
      </c>
      <c r="F67" s="33">
        <v>3.4480283870967701</v>
      </c>
      <c r="G67" s="2">
        <v>0.81969999999999998</v>
      </c>
      <c r="H67" s="2">
        <v>0.99</v>
      </c>
      <c r="I67" s="3">
        <v>47274</v>
      </c>
      <c r="J67" s="3">
        <v>0</v>
      </c>
      <c r="K67" s="3">
        <v>39988.370000000003</v>
      </c>
      <c r="L67" s="3">
        <v>14003.26</v>
      </c>
      <c r="M67" s="3">
        <v>43371</v>
      </c>
      <c r="N67" s="3">
        <v>144636.63</v>
      </c>
      <c r="O67" s="3">
        <v>173235.33</v>
      </c>
      <c r="P67" s="3">
        <v>28598.7</v>
      </c>
      <c r="Q67" s="3">
        <v>28598.7</v>
      </c>
      <c r="R67" s="3">
        <v>173235.33</v>
      </c>
      <c r="S67" s="3">
        <v>173235.33</v>
      </c>
      <c r="T67" s="3">
        <v>172888.85934</v>
      </c>
      <c r="U67" s="3">
        <v>19520</v>
      </c>
      <c r="V67" s="3">
        <v>19480</v>
      </c>
      <c r="W67" s="3">
        <v>4010</v>
      </c>
      <c r="X67" s="3">
        <v>4130</v>
      </c>
      <c r="Y67" s="3">
        <v>4140</v>
      </c>
      <c r="Z67" s="3">
        <v>24280</v>
      </c>
      <c r="AA67" s="3">
        <v>20810</v>
      </c>
      <c r="AB67" s="3">
        <v>20570</v>
      </c>
      <c r="AC67" s="3">
        <v>11860</v>
      </c>
      <c r="AD67" s="3">
        <v>21450</v>
      </c>
      <c r="AE67" s="3">
        <v>150250</v>
      </c>
      <c r="AF67" s="3">
        <v>178848.7</v>
      </c>
      <c r="AG67" s="3">
        <v>1328.37</v>
      </c>
      <c r="AH67" s="40">
        <v>0.86850000000000005</v>
      </c>
      <c r="AI67" s="40">
        <v>0.86680000000000001</v>
      </c>
      <c r="AJ67" s="40">
        <v>0.20319999999999999</v>
      </c>
      <c r="AK67" s="40">
        <v>0.1646</v>
      </c>
      <c r="AL67" s="40">
        <v>0.1661</v>
      </c>
      <c r="AM67" s="40">
        <v>0.92879999999999996</v>
      </c>
      <c r="AN67" s="40">
        <v>0.93969999999999998</v>
      </c>
      <c r="AO67" s="40">
        <v>0.90759999999999996</v>
      </c>
      <c r="AP67" s="40">
        <v>0.92110000000000003</v>
      </c>
      <c r="AQ67" s="40">
        <v>0.93069999999999997</v>
      </c>
      <c r="AR67" s="31">
        <v>1.03881015479965</v>
      </c>
      <c r="AS67" s="36">
        <v>2.56379058753885</v>
      </c>
      <c r="AT67">
        <v>3.26</v>
      </c>
      <c r="AU67">
        <v>3.27</v>
      </c>
      <c r="AV67">
        <v>3.27</v>
      </c>
      <c r="AW67">
        <v>3.29</v>
      </c>
      <c r="AX67">
        <v>3.33</v>
      </c>
      <c r="AY67" s="6">
        <v>3.2839999999999998</v>
      </c>
      <c r="AZ67" s="2">
        <v>0.68969999999999998</v>
      </c>
      <c r="BA67" s="2">
        <v>0.78069140911657997</v>
      </c>
      <c r="BB67" s="2">
        <v>0.998</v>
      </c>
      <c r="BC67">
        <v>67570</v>
      </c>
      <c r="BD67">
        <v>53692</v>
      </c>
      <c r="BE67">
        <v>11900</v>
      </c>
      <c r="BF67">
        <v>11900</v>
      </c>
      <c r="BG67" s="9" t="s">
        <v>108</v>
      </c>
    </row>
    <row r="68" spans="3:59" ht="270" x14ac:dyDescent="0.25">
      <c r="C68" s="1">
        <v>45688</v>
      </c>
      <c r="D68" s="36">
        <v>244325.41132717</v>
      </c>
      <c r="E68" s="33">
        <v>4.2064516129032299</v>
      </c>
      <c r="F68" s="33">
        <v>3.4480283870967701</v>
      </c>
      <c r="G68" s="2">
        <v>0.81969999999999998</v>
      </c>
      <c r="H68" s="2">
        <v>0.99</v>
      </c>
      <c r="I68" s="3">
        <v>56274.5</v>
      </c>
      <c r="J68" s="3">
        <v>0</v>
      </c>
      <c r="K68" s="3">
        <v>25059.37</v>
      </c>
      <c r="L68" s="3">
        <v>38917.74</v>
      </c>
      <c r="M68" s="3">
        <v>44454</v>
      </c>
      <c r="N68" s="3">
        <v>164705.60999999999</v>
      </c>
      <c r="O68" s="3">
        <v>212112.5</v>
      </c>
      <c r="P68" s="3">
        <v>47406.89</v>
      </c>
      <c r="Q68" s="3">
        <v>47406.89</v>
      </c>
      <c r="R68" s="3">
        <v>212112.5</v>
      </c>
      <c r="S68" s="3">
        <v>212112.5</v>
      </c>
      <c r="T68" s="3">
        <v>211688.27499999999</v>
      </c>
      <c r="U68" s="3">
        <v>18110</v>
      </c>
      <c r="V68" s="3">
        <v>18400</v>
      </c>
      <c r="W68" s="3">
        <v>3850</v>
      </c>
      <c r="X68" s="3">
        <v>3970</v>
      </c>
      <c r="Y68" s="3">
        <v>3990</v>
      </c>
      <c r="Z68" s="3">
        <v>19760</v>
      </c>
      <c r="AA68" s="3">
        <v>16790</v>
      </c>
      <c r="AB68" s="3">
        <v>16820</v>
      </c>
      <c r="AC68" s="3">
        <v>9750</v>
      </c>
      <c r="AD68" s="3">
        <v>17250</v>
      </c>
      <c r="AE68" s="3">
        <v>128690</v>
      </c>
      <c r="AF68" s="3">
        <v>176096.89</v>
      </c>
      <c r="AG68" s="3">
        <v>1380.38</v>
      </c>
      <c r="AH68" s="40">
        <v>0.84909999999999997</v>
      </c>
      <c r="AI68" s="40">
        <v>0.86240000000000006</v>
      </c>
      <c r="AJ68" s="40">
        <v>0.20180000000000001</v>
      </c>
      <c r="AK68" s="40">
        <v>0.16400000000000001</v>
      </c>
      <c r="AL68" s="40">
        <v>0.16839999999999999</v>
      </c>
      <c r="AM68" s="40">
        <v>0.76280000000000003</v>
      </c>
      <c r="AN68" s="40">
        <v>0.78500000000000003</v>
      </c>
      <c r="AO68" s="40">
        <v>0.749</v>
      </c>
      <c r="AP68" s="40">
        <v>0.78400000000000003</v>
      </c>
      <c r="AQ68" s="40">
        <v>0.77470000000000006</v>
      </c>
      <c r="AR68" s="31">
        <v>0.78133343484778695</v>
      </c>
      <c r="AS68" s="36">
        <v>3.1391519905283398</v>
      </c>
      <c r="AT68">
        <v>3.15</v>
      </c>
      <c r="AU68">
        <v>3.11</v>
      </c>
      <c r="AV68">
        <v>3.24</v>
      </c>
      <c r="AW68">
        <v>3.18</v>
      </c>
      <c r="AX68">
        <v>3.16</v>
      </c>
      <c r="AY68" s="6">
        <v>3.1680000000000001</v>
      </c>
      <c r="AZ68" s="2">
        <v>0.61009999999999998</v>
      </c>
      <c r="BA68" s="2">
        <v>0.99089393640414802</v>
      </c>
      <c r="BB68" s="2">
        <v>0.998</v>
      </c>
      <c r="BC68">
        <v>67570</v>
      </c>
      <c r="BD68">
        <v>53692</v>
      </c>
      <c r="BE68">
        <v>11900</v>
      </c>
      <c r="BF68">
        <v>26730</v>
      </c>
      <c r="BG68" s="9" t="s">
        <v>109</v>
      </c>
    </row>
    <row r="69" spans="3:59" x14ac:dyDescent="0.25">
      <c r="C69" s="1">
        <v>45689</v>
      </c>
      <c r="D69" s="36">
        <v>266354.31289621699</v>
      </c>
      <c r="E69" s="33">
        <v>4.5857142857142899</v>
      </c>
      <c r="F69" s="33">
        <v>3.7589100000000002</v>
      </c>
      <c r="G69" s="2">
        <v>0.81969999999999998</v>
      </c>
      <c r="H69" s="2">
        <v>0.99</v>
      </c>
      <c r="I69" s="3">
        <v>45115</v>
      </c>
      <c r="J69" s="3">
        <v>0</v>
      </c>
      <c r="K69" s="3">
        <v>28675.63</v>
      </c>
      <c r="L69" s="3">
        <v>27839.38</v>
      </c>
      <c r="M69" s="3">
        <v>30743</v>
      </c>
      <c r="N69" s="3">
        <v>132373.01</v>
      </c>
      <c r="O69" s="3">
        <v>139259.67000000001</v>
      </c>
      <c r="P69" s="3">
        <v>6886.66</v>
      </c>
      <c r="Q69" s="3">
        <v>6886.66</v>
      </c>
      <c r="R69" s="3">
        <v>139259.67000000001</v>
      </c>
      <c r="S69" s="3">
        <v>139259.67000000001</v>
      </c>
      <c r="T69" s="3">
        <v>138981.15066000001</v>
      </c>
      <c r="U69" s="3">
        <v>14890</v>
      </c>
      <c r="V69" s="3">
        <v>14730</v>
      </c>
      <c r="W69" s="3">
        <v>4330</v>
      </c>
      <c r="X69" s="3">
        <v>4430</v>
      </c>
      <c r="Y69" s="3">
        <v>4440</v>
      </c>
      <c r="Z69" s="3">
        <v>18450</v>
      </c>
      <c r="AA69" s="3">
        <v>15490</v>
      </c>
      <c r="AB69" s="3">
        <v>15650</v>
      </c>
      <c r="AC69" s="3">
        <v>9390</v>
      </c>
      <c r="AD69" s="3">
        <v>16210</v>
      </c>
      <c r="AE69" s="3">
        <v>118010</v>
      </c>
      <c r="AF69" s="3">
        <v>124896.66</v>
      </c>
      <c r="AG69" s="3">
        <v>1512.33</v>
      </c>
      <c r="AH69" s="40">
        <v>0.88470000000000004</v>
      </c>
      <c r="AI69" s="40">
        <v>0.875</v>
      </c>
      <c r="AJ69" s="40">
        <v>0.29160000000000003</v>
      </c>
      <c r="AK69" s="40">
        <v>0.2349</v>
      </c>
      <c r="AL69" s="40">
        <v>0.23019999999999999</v>
      </c>
      <c r="AM69" s="40">
        <v>0.94510000000000005</v>
      </c>
      <c r="AN69" s="40">
        <v>0.93100000000000005</v>
      </c>
      <c r="AO69" s="40">
        <v>0.94389999999999996</v>
      </c>
      <c r="AP69" s="40">
        <v>0.97060000000000002</v>
      </c>
      <c r="AQ69" s="40">
        <v>0.93620000000000003</v>
      </c>
      <c r="AR69" s="31">
        <v>0.89149593259230098</v>
      </c>
      <c r="AS69" s="36">
        <v>2.0609689211188398</v>
      </c>
      <c r="AT69">
        <v>2.4500000000000002</v>
      </c>
      <c r="AU69">
        <v>2.4500000000000002</v>
      </c>
      <c r="AV69">
        <v>2.44</v>
      </c>
      <c r="AW69">
        <v>2.4700000000000002</v>
      </c>
      <c r="AX69">
        <v>2.4900000000000002</v>
      </c>
      <c r="AY69" s="6">
        <v>2.46</v>
      </c>
      <c r="AZ69" s="2">
        <v>0.72430000000000005</v>
      </c>
      <c r="BA69" s="2">
        <v>0.83779224435725197</v>
      </c>
      <c r="BB69" s="2">
        <v>0.998</v>
      </c>
      <c r="BC69">
        <v>67570</v>
      </c>
      <c r="BD69">
        <v>53692</v>
      </c>
      <c r="BE69">
        <v>11900</v>
      </c>
      <c r="BF69">
        <v>26730</v>
      </c>
      <c r="BG69" t="s">
        <v>110</v>
      </c>
    </row>
    <row r="70" spans="3:59" x14ac:dyDescent="0.25">
      <c r="C70" s="1">
        <v>45690</v>
      </c>
      <c r="D70" s="36">
        <v>266354.31289621699</v>
      </c>
      <c r="E70" s="33">
        <v>4.5857142857142899</v>
      </c>
      <c r="F70" s="33">
        <v>3.7589100000000002</v>
      </c>
      <c r="G70" s="2">
        <v>0.81969999999999998</v>
      </c>
      <c r="H70" s="2">
        <v>0.99</v>
      </c>
      <c r="I70" s="3">
        <v>65862</v>
      </c>
      <c r="J70" s="3">
        <v>0</v>
      </c>
      <c r="K70" s="3">
        <v>48569.125</v>
      </c>
      <c r="L70" s="3">
        <v>50649.75</v>
      </c>
      <c r="M70" s="3">
        <v>47193</v>
      </c>
      <c r="N70" s="3">
        <v>212273.875</v>
      </c>
      <c r="O70" s="3">
        <v>322495.67</v>
      </c>
      <c r="P70" s="3">
        <v>110221.795</v>
      </c>
      <c r="Q70" s="3">
        <v>110221.795</v>
      </c>
      <c r="R70" s="3">
        <v>322495.67</v>
      </c>
      <c r="S70" s="3">
        <v>322495.67</v>
      </c>
      <c r="T70" s="3">
        <v>321850.67865999998</v>
      </c>
      <c r="U70" s="3">
        <v>29040</v>
      </c>
      <c r="V70" s="3">
        <v>28400</v>
      </c>
      <c r="W70" s="3">
        <v>4330</v>
      </c>
      <c r="X70" s="3">
        <v>4390</v>
      </c>
      <c r="Y70" s="3">
        <v>4400</v>
      </c>
      <c r="Z70" s="3">
        <v>37210</v>
      </c>
      <c r="AA70" s="3">
        <v>31040</v>
      </c>
      <c r="AB70" s="3">
        <v>31080</v>
      </c>
      <c r="AC70" s="3">
        <v>18350</v>
      </c>
      <c r="AD70" s="3">
        <v>32800</v>
      </c>
      <c r="AE70" s="3">
        <v>221040</v>
      </c>
      <c r="AF70" s="3">
        <v>331261.79499999998</v>
      </c>
      <c r="AG70" s="3">
        <v>1500.24</v>
      </c>
      <c r="AH70" s="40">
        <v>0.8871</v>
      </c>
      <c r="AI70" s="40">
        <v>0.74039999999999995</v>
      </c>
      <c r="AJ70" s="40">
        <v>0.12559999999999999</v>
      </c>
      <c r="AK70" s="40">
        <v>0.1004</v>
      </c>
      <c r="AL70" s="40">
        <v>0.1021</v>
      </c>
      <c r="AM70" s="40">
        <v>0.8095</v>
      </c>
      <c r="AN70" s="40">
        <v>0.81330000000000002</v>
      </c>
      <c r="AO70" s="40">
        <v>0.81430000000000002</v>
      </c>
      <c r="AP70" s="40">
        <v>0.82730000000000004</v>
      </c>
      <c r="AQ70" s="40">
        <v>0.82589999999999997</v>
      </c>
      <c r="AR70" s="31">
        <v>1.04129629705964</v>
      </c>
      <c r="AS70" s="36">
        <v>4.77276409649253</v>
      </c>
      <c r="AT70">
        <v>5.62</v>
      </c>
      <c r="AU70">
        <v>5.49</v>
      </c>
      <c r="AV70">
        <v>5.75</v>
      </c>
      <c r="AW70">
        <v>5.75</v>
      </c>
      <c r="AX70">
        <v>5.68</v>
      </c>
      <c r="AY70" s="6">
        <v>5.6580000000000004</v>
      </c>
      <c r="AZ70" s="2">
        <v>0.60460000000000003</v>
      </c>
      <c r="BA70" s="2">
        <v>0.84354261161055599</v>
      </c>
      <c r="BB70" s="2">
        <v>0.998</v>
      </c>
      <c r="BC70">
        <v>67570</v>
      </c>
      <c r="BD70">
        <v>53692</v>
      </c>
      <c r="BE70">
        <v>11900</v>
      </c>
      <c r="BF70">
        <v>26730</v>
      </c>
    </row>
    <row r="71" spans="3:59" x14ac:dyDescent="0.25">
      <c r="C71" s="1">
        <v>45691</v>
      </c>
      <c r="D71" s="36">
        <v>266354.31289621699</v>
      </c>
      <c r="E71" s="33">
        <v>4.5857142857142899</v>
      </c>
      <c r="F71" s="33">
        <v>3.7589100000000002</v>
      </c>
      <c r="G71" s="2">
        <v>0.81969999999999998</v>
      </c>
      <c r="H71" s="2">
        <v>0.99</v>
      </c>
      <c r="I71" s="3">
        <v>41732.5</v>
      </c>
      <c r="J71" s="3">
        <v>0</v>
      </c>
      <c r="K71" s="3">
        <v>19355.625</v>
      </c>
      <c r="L71" s="3">
        <v>28036.63</v>
      </c>
      <c r="M71" s="3">
        <v>13713</v>
      </c>
      <c r="N71" s="3">
        <v>102837.755</v>
      </c>
      <c r="O71" s="3">
        <v>144178</v>
      </c>
      <c r="P71" s="3">
        <v>41340.245000000003</v>
      </c>
      <c r="Q71" s="3">
        <v>41340.245000000003</v>
      </c>
      <c r="R71" s="3">
        <v>144178</v>
      </c>
      <c r="S71" s="3">
        <v>144178</v>
      </c>
      <c r="T71" s="3">
        <v>143889.644</v>
      </c>
      <c r="U71" s="3">
        <v>16620</v>
      </c>
      <c r="V71" s="3">
        <v>16290</v>
      </c>
      <c r="W71" s="3">
        <v>3680</v>
      </c>
      <c r="X71" s="3">
        <v>3930</v>
      </c>
      <c r="Y71" s="3">
        <v>3940</v>
      </c>
      <c r="Z71" s="3">
        <v>14670</v>
      </c>
      <c r="AA71" s="3">
        <v>11960</v>
      </c>
      <c r="AB71" s="3">
        <v>12420</v>
      </c>
      <c r="AC71" s="3">
        <v>7800</v>
      </c>
      <c r="AD71" s="3">
        <v>12640</v>
      </c>
      <c r="AE71" s="3">
        <v>103950</v>
      </c>
      <c r="AF71" s="3">
        <v>145290.245</v>
      </c>
      <c r="AG71" s="3">
        <v>1440.52</v>
      </c>
      <c r="AH71" s="40">
        <v>0.81</v>
      </c>
      <c r="AI71" s="40">
        <v>0.79430000000000001</v>
      </c>
      <c r="AJ71" s="40">
        <v>0.2092</v>
      </c>
      <c r="AK71" s="40">
        <v>0.17560000000000001</v>
      </c>
      <c r="AL71" s="40">
        <v>0.1779</v>
      </c>
      <c r="AM71" s="40">
        <v>0.64629999999999999</v>
      </c>
      <c r="AN71" s="40">
        <v>0.62929999999999997</v>
      </c>
      <c r="AO71" s="40">
        <v>0.64419999999999999</v>
      </c>
      <c r="AP71" s="40">
        <v>0.7056</v>
      </c>
      <c r="AQ71" s="40">
        <v>0.63880000000000003</v>
      </c>
      <c r="AR71" s="31">
        <v>1.01081553170817</v>
      </c>
      <c r="AS71" s="36">
        <v>2.1337575847269501</v>
      </c>
      <c r="AT71">
        <v>2.8</v>
      </c>
      <c r="AU71">
        <v>2.82</v>
      </c>
      <c r="AV71">
        <v>2.84</v>
      </c>
      <c r="AW71">
        <v>2.94</v>
      </c>
      <c r="AX71">
        <v>3.04</v>
      </c>
      <c r="AY71" s="6">
        <v>2.8879999999999999</v>
      </c>
      <c r="AZ71" s="2">
        <v>0.54310000000000003</v>
      </c>
      <c r="BA71" s="2">
        <v>0.73883572878356996</v>
      </c>
      <c r="BB71" s="2">
        <v>0.998</v>
      </c>
      <c r="BC71">
        <v>67570</v>
      </c>
      <c r="BD71">
        <v>53692</v>
      </c>
      <c r="BE71">
        <v>4611</v>
      </c>
      <c r="BF71">
        <v>17647</v>
      </c>
      <c r="BG71" t="s">
        <v>111</v>
      </c>
    </row>
    <row r="72" spans="3:59" ht="150" x14ac:dyDescent="0.25">
      <c r="C72" s="1">
        <v>45692</v>
      </c>
      <c r="D72" s="36">
        <v>266354.31289621699</v>
      </c>
      <c r="E72" s="33">
        <v>4.5857142857142899</v>
      </c>
      <c r="F72" s="33">
        <v>3.7589100000000002</v>
      </c>
      <c r="G72" s="2">
        <v>0.81969999999999998</v>
      </c>
      <c r="H72" s="2">
        <v>0.99</v>
      </c>
      <c r="I72" s="3">
        <v>17109.75</v>
      </c>
      <c r="J72" s="3">
        <v>0</v>
      </c>
      <c r="K72" s="3">
        <v>20247.75</v>
      </c>
      <c r="L72" s="3">
        <v>17634</v>
      </c>
      <c r="M72" s="3">
        <v>75710</v>
      </c>
      <c r="N72" s="3">
        <v>130701.5</v>
      </c>
      <c r="O72" s="3">
        <v>285766.17</v>
      </c>
      <c r="P72" s="3">
        <v>155064.67000000001</v>
      </c>
      <c r="Q72" s="3">
        <v>155064.67000000001</v>
      </c>
      <c r="R72" s="3">
        <v>285766.17</v>
      </c>
      <c r="S72" s="3">
        <v>285766.17</v>
      </c>
      <c r="T72" s="3">
        <v>285194.63766000001</v>
      </c>
      <c r="U72" s="3">
        <v>5920</v>
      </c>
      <c r="V72" s="3">
        <v>5770</v>
      </c>
      <c r="W72" s="3">
        <v>1350</v>
      </c>
      <c r="X72" s="3">
        <v>1410</v>
      </c>
      <c r="Y72" s="3">
        <v>1410</v>
      </c>
      <c r="Z72" s="3">
        <v>23970</v>
      </c>
      <c r="AA72" s="3">
        <v>20300</v>
      </c>
      <c r="AB72" s="3">
        <v>20340</v>
      </c>
      <c r="AC72" s="3">
        <v>11910</v>
      </c>
      <c r="AD72" s="3">
        <v>20520</v>
      </c>
      <c r="AE72" s="3">
        <v>112900</v>
      </c>
      <c r="AF72" s="3">
        <v>267964.67</v>
      </c>
      <c r="AG72" s="3">
        <v>1474.87</v>
      </c>
      <c r="AH72" s="40">
        <v>0.18729999999999999</v>
      </c>
      <c r="AI72" s="40">
        <v>0.1825</v>
      </c>
      <c r="AJ72" s="40">
        <v>4.7199999999999999E-2</v>
      </c>
      <c r="AK72" s="40">
        <v>3.8600000000000002E-2</v>
      </c>
      <c r="AL72" s="40">
        <v>3.9E-2</v>
      </c>
      <c r="AM72" s="40">
        <v>0.63890000000000002</v>
      </c>
      <c r="AN72" s="40">
        <v>0.62609999999999999</v>
      </c>
      <c r="AO72" s="40">
        <v>0.63839999999999997</v>
      </c>
      <c r="AP72" s="40">
        <v>0.6522</v>
      </c>
      <c r="AQ72" s="40">
        <v>0.62770000000000004</v>
      </c>
      <c r="AR72" s="31">
        <v>0.86380033894025698</v>
      </c>
      <c r="AS72" s="36">
        <v>4.2291870652656502</v>
      </c>
      <c r="AT72">
        <v>4.63</v>
      </c>
      <c r="AU72">
        <v>4.59</v>
      </c>
      <c r="AV72">
        <v>4.6900000000000004</v>
      </c>
      <c r="AW72">
        <v>4.7699999999999996</v>
      </c>
      <c r="AX72">
        <v>4.68</v>
      </c>
      <c r="AY72" s="6">
        <v>4.6719999999999997</v>
      </c>
      <c r="AZ72" s="2">
        <v>0.36980000000000002</v>
      </c>
      <c r="BA72" s="2">
        <v>0.90521983417501095</v>
      </c>
      <c r="BB72" s="2">
        <v>0.998</v>
      </c>
      <c r="BC72">
        <v>67570</v>
      </c>
      <c r="BD72">
        <v>53692</v>
      </c>
      <c r="BE72">
        <v>11900</v>
      </c>
      <c r="BF72">
        <v>23000</v>
      </c>
      <c r="BG72" s="9" t="s">
        <v>112</v>
      </c>
    </row>
    <row r="73" spans="3:59" x14ac:dyDescent="0.25">
      <c r="C73" s="1">
        <v>45693</v>
      </c>
      <c r="D73" s="36">
        <v>266354.31289621699</v>
      </c>
      <c r="E73" s="33">
        <v>4.5857142857142899</v>
      </c>
      <c r="F73" s="33">
        <v>3.7589100000000002</v>
      </c>
      <c r="G73" s="2">
        <v>0.81969999999999998</v>
      </c>
      <c r="H73" s="2">
        <v>0.99</v>
      </c>
      <c r="I73" s="3">
        <v>70116</v>
      </c>
      <c r="J73" s="3">
        <v>0</v>
      </c>
      <c r="K73" s="3">
        <v>13265</v>
      </c>
      <c r="L73" s="3">
        <v>70879</v>
      </c>
      <c r="M73" s="3">
        <v>62058</v>
      </c>
      <c r="N73" s="3">
        <v>216318</v>
      </c>
      <c r="O73" s="3">
        <v>307313.83</v>
      </c>
      <c r="P73" s="3">
        <v>90995.83</v>
      </c>
      <c r="Q73" s="3">
        <v>90995.83</v>
      </c>
      <c r="R73" s="3">
        <v>307313.83</v>
      </c>
      <c r="S73" s="3">
        <v>307313.83</v>
      </c>
      <c r="T73" s="3">
        <v>305777.26085000002</v>
      </c>
      <c r="U73" s="3">
        <v>30810</v>
      </c>
      <c r="V73" s="3">
        <v>31410</v>
      </c>
      <c r="W73" s="3">
        <v>4170</v>
      </c>
      <c r="X73" s="3">
        <v>4430</v>
      </c>
      <c r="Y73" s="3">
        <v>4440</v>
      </c>
      <c r="Z73" s="3">
        <v>36860</v>
      </c>
      <c r="AA73" s="3">
        <v>30370</v>
      </c>
      <c r="AB73" s="3">
        <v>31190</v>
      </c>
      <c r="AC73" s="3">
        <v>19750</v>
      </c>
      <c r="AD73" s="3">
        <v>32510</v>
      </c>
      <c r="AE73" s="3">
        <v>225940</v>
      </c>
      <c r="AF73" s="3">
        <v>316935.83</v>
      </c>
      <c r="AG73" s="3">
        <v>1546.72</v>
      </c>
      <c r="AH73" s="40">
        <v>0.74919999999999998</v>
      </c>
      <c r="AI73" s="40">
        <v>0.76400000000000001</v>
      </c>
      <c r="AJ73" s="40">
        <v>0.1144</v>
      </c>
      <c r="AK73" s="40">
        <v>9.5600000000000004E-2</v>
      </c>
      <c r="AL73" s="40">
        <v>9.6799999999999997E-2</v>
      </c>
      <c r="AM73" s="40">
        <v>0.77349999999999997</v>
      </c>
      <c r="AN73" s="40">
        <v>0.73960000000000004</v>
      </c>
      <c r="AO73" s="40">
        <v>0.77049999999999996</v>
      </c>
      <c r="AP73" s="40">
        <v>0.82720000000000005</v>
      </c>
      <c r="AQ73" s="40">
        <v>0.76070000000000004</v>
      </c>
      <c r="AR73" s="31">
        <v>1.0444808106583801</v>
      </c>
      <c r="AS73" s="36">
        <v>4.54808095308569</v>
      </c>
      <c r="AT73">
        <v>6.05</v>
      </c>
      <c r="AU73">
        <v>5.85</v>
      </c>
      <c r="AV73">
        <v>5.96</v>
      </c>
      <c r="AW73">
        <v>6.09</v>
      </c>
      <c r="AX73">
        <v>6.09</v>
      </c>
      <c r="AY73" s="6">
        <v>6.008</v>
      </c>
      <c r="AZ73" s="2">
        <v>0.56920000000000004</v>
      </c>
      <c r="BA73" s="2">
        <v>0.75700415330986803</v>
      </c>
      <c r="BB73" s="2">
        <v>0.995</v>
      </c>
      <c r="BC73">
        <v>67570</v>
      </c>
      <c r="BD73">
        <v>53692</v>
      </c>
      <c r="BE73">
        <v>11900</v>
      </c>
      <c r="BF73">
        <v>16263</v>
      </c>
      <c r="BG73" t="s">
        <v>110</v>
      </c>
    </row>
    <row r="74" spans="3:59" x14ac:dyDescent="0.25">
      <c r="C74" s="1">
        <v>45694</v>
      </c>
      <c r="D74" s="36">
        <v>266354.31289621699</v>
      </c>
      <c r="E74" s="33">
        <v>4.5857142857142899</v>
      </c>
      <c r="F74" s="33">
        <v>3.7589100000000002</v>
      </c>
      <c r="G74" s="2">
        <v>0.81969999999999998</v>
      </c>
      <c r="H74" s="2">
        <v>0.99</v>
      </c>
      <c r="I74" s="3">
        <v>53046.5</v>
      </c>
      <c r="J74" s="3">
        <v>0</v>
      </c>
      <c r="K74" s="3">
        <v>7092.63</v>
      </c>
      <c r="L74" s="3">
        <v>71502.75</v>
      </c>
      <c r="M74" s="3">
        <v>15444</v>
      </c>
      <c r="N74" s="3">
        <v>147085.88</v>
      </c>
      <c r="O74" s="3">
        <v>196738.17</v>
      </c>
      <c r="P74" s="3">
        <v>49652.29</v>
      </c>
      <c r="Q74" s="3">
        <v>49652.29</v>
      </c>
      <c r="R74" s="3">
        <v>196738.17</v>
      </c>
      <c r="S74" s="3">
        <v>196738.17</v>
      </c>
      <c r="T74" s="3">
        <v>196344.69365999999</v>
      </c>
      <c r="U74" s="3">
        <v>20960</v>
      </c>
      <c r="V74" s="3">
        <v>21060</v>
      </c>
      <c r="W74" s="3">
        <v>4280</v>
      </c>
      <c r="X74" s="3">
        <v>4390</v>
      </c>
      <c r="Y74" s="3">
        <v>4400</v>
      </c>
      <c r="Z74" s="3">
        <v>24490</v>
      </c>
      <c r="AA74" s="3">
        <v>19370</v>
      </c>
      <c r="AB74" s="3">
        <v>18890</v>
      </c>
      <c r="AC74" s="3">
        <v>12900</v>
      </c>
      <c r="AD74" s="3">
        <v>18580</v>
      </c>
      <c r="AE74" s="3">
        <v>149320</v>
      </c>
      <c r="AF74" s="3">
        <v>198972.29</v>
      </c>
      <c r="AG74" s="3">
        <v>1382.41</v>
      </c>
      <c r="AH74" s="40">
        <v>0.85540000000000005</v>
      </c>
      <c r="AI74" s="40">
        <v>0.85960000000000003</v>
      </c>
      <c r="AJ74" s="40">
        <v>0.1966</v>
      </c>
      <c r="AK74" s="40">
        <v>0.1578</v>
      </c>
      <c r="AL74" s="40">
        <v>0.1603</v>
      </c>
      <c r="AM74" s="40">
        <v>0.85270000000000001</v>
      </c>
      <c r="AN74" s="40">
        <v>0.79190000000000005</v>
      </c>
      <c r="AO74" s="40">
        <v>0.7591</v>
      </c>
      <c r="AP74" s="40">
        <v>0.9103</v>
      </c>
      <c r="AQ74" s="40">
        <v>0.747</v>
      </c>
      <c r="AR74" s="31">
        <v>1.0151892214262801</v>
      </c>
      <c r="AS74" s="36">
        <v>2.9116200976764799</v>
      </c>
      <c r="AT74">
        <v>3.63</v>
      </c>
      <c r="AU74">
        <v>3.65</v>
      </c>
      <c r="AV74">
        <v>3.59</v>
      </c>
      <c r="AW74">
        <v>3.6</v>
      </c>
      <c r="AX74">
        <v>3.53</v>
      </c>
      <c r="AY74" s="6">
        <v>3.6</v>
      </c>
      <c r="AZ74" s="2">
        <v>0.54859999999999998</v>
      </c>
      <c r="BA74" s="2">
        <v>0.80878336046568999</v>
      </c>
      <c r="BB74" s="2">
        <v>0.998</v>
      </c>
      <c r="BC74">
        <v>67570</v>
      </c>
      <c r="BD74">
        <v>53692</v>
      </c>
      <c r="BE74">
        <v>11900</v>
      </c>
      <c r="BF74">
        <v>11900</v>
      </c>
      <c r="BG74" t="s">
        <v>113</v>
      </c>
    </row>
    <row r="75" spans="3:59" x14ac:dyDescent="0.25">
      <c r="C75" s="1">
        <v>45695</v>
      </c>
      <c r="D75" s="36">
        <v>266354.31289621699</v>
      </c>
      <c r="E75" s="33">
        <v>4.5857142857142899</v>
      </c>
      <c r="F75" s="33">
        <v>3.7589100000000002</v>
      </c>
      <c r="G75" s="2">
        <v>0.81969999999999998</v>
      </c>
      <c r="H75" s="2">
        <v>0.99</v>
      </c>
      <c r="I75" s="3">
        <v>58826.25</v>
      </c>
      <c r="J75" s="3">
        <v>0</v>
      </c>
      <c r="K75" s="3">
        <v>14819.5</v>
      </c>
      <c r="L75" s="3">
        <v>46216.5</v>
      </c>
      <c r="M75" s="3">
        <v>40791</v>
      </c>
      <c r="N75" s="3">
        <v>160653.25</v>
      </c>
      <c r="O75" s="3">
        <v>238908</v>
      </c>
      <c r="P75" s="3">
        <v>78254.75</v>
      </c>
      <c r="Q75" s="3">
        <v>78254.75</v>
      </c>
      <c r="R75" s="3">
        <v>238908</v>
      </c>
      <c r="S75" s="3">
        <v>238908</v>
      </c>
      <c r="T75" s="3">
        <v>238310.73</v>
      </c>
      <c r="U75" s="3">
        <v>21600</v>
      </c>
      <c r="V75" s="3">
        <v>21710</v>
      </c>
      <c r="W75" s="3">
        <v>3840</v>
      </c>
      <c r="X75" s="3">
        <v>3990</v>
      </c>
      <c r="Y75" s="3">
        <v>4000</v>
      </c>
      <c r="Z75" s="3">
        <v>21730</v>
      </c>
      <c r="AA75" s="3">
        <v>16390</v>
      </c>
      <c r="AB75" s="3">
        <v>15820</v>
      </c>
      <c r="AC75" s="3">
        <v>13400</v>
      </c>
      <c r="AD75" s="3">
        <v>15500</v>
      </c>
      <c r="AE75" s="3">
        <v>137980</v>
      </c>
      <c r="AF75" s="3">
        <v>216234.75</v>
      </c>
      <c r="AG75" s="3">
        <v>1457.45</v>
      </c>
      <c r="AH75" s="40">
        <v>0.82</v>
      </c>
      <c r="AI75" s="40">
        <v>0.83</v>
      </c>
      <c r="AJ75" s="40">
        <v>0.16</v>
      </c>
      <c r="AK75" s="40">
        <v>0.13</v>
      </c>
      <c r="AL75" s="40">
        <v>0.13</v>
      </c>
      <c r="AM75" s="40">
        <v>0.7</v>
      </c>
      <c r="AN75" s="40">
        <v>0.62</v>
      </c>
      <c r="AO75" s="40">
        <v>0.59</v>
      </c>
      <c r="AP75" s="40">
        <v>0.88</v>
      </c>
      <c r="AQ75" s="40">
        <v>0.47</v>
      </c>
      <c r="AR75" s="31">
        <v>0.85886840135509201</v>
      </c>
      <c r="AS75" s="36">
        <v>3.5357111143998798</v>
      </c>
      <c r="AT75">
        <v>3.87</v>
      </c>
      <c r="AU75">
        <v>3.88</v>
      </c>
      <c r="AV75">
        <v>3.86</v>
      </c>
      <c r="AW75">
        <v>3.85</v>
      </c>
      <c r="AX75">
        <v>3.76</v>
      </c>
      <c r="AY75" s="6">
        <v>3.8439999999999999</v>
      </c>
      <c r="AZ75" s="2">
        <v>0.54859999999999998</v>
      </c>
      <c r="BA75" s="2">
        <v>0.91979997773149902</v>
      </c>
      <c r="BB75" s="2">
        <v>0.99750000000000005</v>
      </c>
      <c r="BC75">
        <v>67570</v>
      </c>
      <c r="BD75">
        <v>53692</v>
      </c>
      <c r="BE75">
        <v>11900</v>
      </c>
      <c r="BF75">
        <v>26730</v>
      </c>
      <c r="BG75" t="s">
        <v>106</v>
      </c>
    </row>
    <row r="76" spans="3:59" x14ac:dyDescent="0.25">
      <c r="C76" s="1">
        <v>45696</v>
      </c>
      <c r="D76" s="36">
        <v>266354.31289621699</v>
      </c>
      <c r="E76" s="33">
        <v>4.5857142857142899</v>
      </c>
      <c r="F76" s="33">
        <v>3.7589100000000002</v>
      </c>
      <c r="G76" s="2">
        <v>0.81969999999999998</v>
      </c>
      <c r="H76" s="2">
        <v>0.99</v>
      </c>
      <c r="I76" s="3">
        <v>63807</v>
      </c>
      <c r="J76" s="3">
        <v>0</v>
      </c>
      <c r="K76" s="3">
        <v>46623</v>
      </c>
      <c r="L76" s="3">
        <v>52040</v>
      </c>
      <c r="M76" s="3">
        <v>46417</v>
      </c>
      <c r="N76" s="3">
        <v>208887</v>
      </c>
      <c r="O76" s="3">
        <v>292267.17</v>
      </c>
      <c r="P76" s="3">
        <v>83380.17</v>
      </c>
      <c r="Q76" s="3">
        <v>83380.17</v>
      </c>
      <c r="R76" s="3">
        <v>292267.17</v>
      </c>
      <c r="S76" s="3">
        <v>292267.17</v>
      </c>
      <c r="T76" s="3">
        <v>291682.63566000003</v>
      </c>
      <c r="U76" s="3">
        <v>28050</v>
      </c>
      <c r="V76" s="3">
        <v>27960</v>
      </c>
      <c r="W76" s="3">
        <v>3840</v>
      </c>
      <c r="X76" s="3">
        <v>3930</v>
      </c>
      <c r="Y76" s="3">
        <v>3940</v>
      </c>
      <c r="Z76" s="3">
        <v>36390</v>
      </c>
      <c r="AA76" s="3">
        <v>30900</v>
      </c>
      <c r="AB76" s="3">
        <v>31160</v>
      </c>
      <c r="AC76" s="3">
        <v>18020</v>
      </c>
      <c r="AD76" s="3">
        <v>31790</v>
      </c>
      <c r="AE76" s="3">
        <v>215980</v>
      </c>
      <c r="AF76" s="3">
        <v>299360.17</v>
      </c>
      <c r="AG76" s="3">
        <v>1453.64</v>
      </c>
      <c r="AH76" s="40">
        <v>0.7782</v>
      </c>
      <c r="AI76" s="40">
        <v>0.77559999999999996</v>
      </c>
      <c r="AJ76" s="40">
        <v>0.11990000000000001</v>
      </c>
      <c r="AK76" s="40">
        <v>9.5200000000000007E-2</v>
      </c>
      <c r="AL76" s="40">
        <v>9.7299999999999998E-2</v>
      </c>
      <c r="AM76" s="40">
        <v>0.83919999999999995</v>
      </c>
      <c r="AN76" s="40">
        <v>0.83020000000000005</v>
      </c>
      <c r="AO76" s="40">
        <v>0.82950000000000002</v>
      </c>
      <c r="AP76" s="40">
        <v>0.83599999999999997</v>
      </c>
      <c r="AQ76" s="40">
        <v>0.84630000000000005</v>
      </c>
      <c r="AR76" s="31">
        <v>1.0339561581142001</v>
      </c>
      <c r="AS76" s="36">
        <v>4.32539840165754</v>
      </c>
      <c r="AT76">
        <v>5.34</v>
      </c>
      <c r="AU76">
        <v>5.42</v>
      </c>
      <c r="AV76">
        <v>5.42</v>
      </c>
      <c r="AW76">
        <v>5.32</v>
      </c>
      <c r="AX76">
        <v>5.37</v>
      </c>
      <c r="AY76" s="6">
        <v>5.3739999999999997</v>
      </c>
      <c r="AZ76" s="2">
        <v>0.7319</v>
      </c>
      <c r="BA76" s="2">
        <v>0.80487502822060697</v>
      </c>
      <c r="BB76" s="2">
        <v>0.998</v>
      </c>
      <c r="BC76">
        <v>67570</v>
      </c>
      <c r="BD76">
        <v>53692</v>
      </c>
      <c r="BE76">
        <v>11900</v>
      </c>
      <c r="BF76">
        <v>26730</v>
      </c>
    </row>
    <row r="77" spans="3:59" x14ac:dyDescent="0.25">
      <c r="C77" s="1">
        <v>45697</v>
      </c>
      <c r="D77" s="36">
        <v>266354.31289621699</v>
      </c>
      <c r="E77" s="33">
        <v>4.5857142857142899</v>
      </c>
      <c r="F77" s="33">
        <v>3.7589100000000002</v>
      </c>
      <c r="G77" s="2">
        <v>0.81969999999999998</v>
      </c>
      <c r="H77" s="2">
        <v>0.99</v>
      </c>
      <c r="I77" s="3">
        <v>50189</v>
      </c>
      <c r="J77" s="3">
        <v>0</v>
      </c>
      <c r="K77" s="3">
        <v>33927</v>
      </c>
      <c r="L77" s="3">
        <v>40874</v>
      </c>
      <c r="M77" s="3">
        <v>35718</v>
      </c>
      <c r="N77" s="3">
        <v>160708</v>
      </c>
      <c r="O77" s="3">
        <v>205084.5</v>
      </c>
      <c r="P77" s="3">
        <v>44376.5</v>
      </c>
      <c r="Q77" s="3">
        <v>44376.5</v>
      </c>
      <c r="R77" s="3">
        <v>205084.5</v>
      </c>
      <c r="S77" s="3">
        <v>205084.5</v>
      </c>
      <c r="T77" s="3">
        <v>204674.33100000001</v>
      </c>
      <c r="U77" s="3">
        <v>17920</v>
      </c>
      <c r="V77" s="3">
        <v>18010</v>
      </c>
      <c r="W77" s="3">
        <v>4110</v>
      </c>
      <c r="X77" s="3">
        <v>4200</v>
      </c>
      <c r="Y77" s="3">
        <v>4210</v>
      </c>
      <c r="Z77" s="3">
        <v>23920</v>
      </c>
      <c r="AA77" s="3">
        <v>20370</v>
      </c>
      <c r="AB77" s="3">
        <v>20630</v>
      </c>
      <c r="AC77" s="3">
        <v>12280</v>
      </c>
      <c r="AD77" s="3">
        <v>21510</v>
      </c>
      <c r="AE77" s="3">
        <v>147160</v>
      </c>
      <c r="AF77" s="3">
        <v>191536.5</v>
      </c>
      <c r="AG77" s="3">
        <v>1364.33</v>
      </c>
      <c r="AH77" s="40">
        <v>0.83989999999999998</v>
      </c>
      <c r="AI77" s="40">
        <v>0.84419999999999995</v>
      </c>
      <c r="AJ77" s="40">
        <v>0.21679999999999999</v>
      </c>
      <c r="AK77" s="40">
        <v>0.16889999999999999</v>
      </c>
      <c r="AL77" s="40">
        <v>0.16420000000000001</v>
      </c>
      <c r="AM77" s="40">
        <v>0.8952</v>
      </c>
      <c r="AN77" s="40">
        <v>0.85950000000000004</v>
      </c>
      <c r="AO77" s="40">
        <v>0.89119999999999999</v>
      </c>
      <c r="AP77" s="40">
        <v>0.89439999999999997</v>
      </c>
      <c r="AQ77" s="40">
        <v>0.92410000000000003</v>
      </c>
      <c r="AR77" s="31">
        <v>0.91569803618986001</v>
      </c>
      <c r="AS77" s="36">
        <v>3.0351413349119398</v>
      </c>
      <c r="AT77">
        <v>3.16</v>
      </c>
      <c r="AU77">
        <v>3.26</v>
      </c>
      <c r="AV77">
        <v>3.34</v>
      </c>
      <c r="AW77">
        <v>3.36</v>
      </c>
      <c r="AX77">
        <v>3.42</v>
      </c>
      <c r="AY77" s="6">
        <v>3.3079999999999998</v>
      </c>
      <c r="AZ77" s="2">
        <v>0.6704</v>
      </c>
      <c r="BA77" s="2">
        <v>0.91751551841352597</v>
      </c>
      <c r="BB77" s="2">
        <v>0.998</v>
      </c>
      <c r="BC77">
        <v>67570</v>
      </c>
      <c r="BD77">
        <v>53692</v>
      </c>
      <c r="BE77">
        <v>11900</v>
      </c>
      <c r="BF77">
        <v>26730</v>
      </c>
    </row>
    <row r="78" spans="3:59" x14ac:dyDescent="0.25">
      <c r="C78" s="1">
        <v>45698</v>
      </c>
      <c r="D78" s="36">
        <v>266354.31289621699</v>
      </c>
      <c r="E78" s="33">
        <v>4.5857142857142899</v>
      </c>
      <c r="F78" s="33">
        <v>3.7589100000000002</v>
      </c>
      <c r="G78" s="2">
        <v>0.81969999999999998</v>
      </c>
      <c r="H78" s="2">
        <v>0.99</v>
      </c>
      <c r="I78" s="3">
        <v>53026</v>
      </c>
      <c r="J78" s="3">
        <v>0</v>
      </c>
      <c r="K78" s="3">
        <v>34096</v>
      </c>
      <c r="L78" s="3">
        <v>41646</v>
      </c>
      <c r="M78" s="3">
        <v>36261</v>
      </c>
      <c r="N78" s="3">
        <v>165029</v>
      </c>
      <c r="O78" s="3">
        <v>206953.33</v>
      </c>
      <c r="P78" s="3">
        <v>41924.33</v>
      </c>
      <c r="Q78" s="3">
        <v>41924.33</v>
      </c>
      <c r="R78" s="3">
        <v>206953.33</v>
      </c>
      <c r="S78" s="3">
        <v>206953.33</v>
      </c>
      <c r="T78" s="3">
        <v>206746.37667</v>
      </c>
      <c r="U78" s="3">
        <v>20890</v>
      </c>
      <c r="V78" s="3">
        <v>20960</v>
      </c>
      <c r="W78" s="3">
        <v>4210</v>
      </c>
      <c r="X78" s="3">
        <v>4300</v>
      </c>
      <c r="Y78" s="3">
        <v>4310</v>
      </c>
      <c r="Z78" s="3">
        <v>26310</v>
      </c>
      <c r="AA78" s="3">
        <v>22410</v>
      </c>
      <c r="AB78" s="3">
        <v>22380</v>
      </c>
      <c r="AC78" s="3">
        <v>13250</v>
      </c>
      <c r="AD78" s="3">
        <v>23700</v>
      </c>
      <c r="AE78" s="3">
        <v>162720</v>
      </c>
      <c r="AF78" s="3">
        <v>204644.33</v>
      </c>
      <c r="AG78" s="3">
        <v>1437.89</v>
      </c>
      <c r="AH78" s="40">
        <v>0.82540000000000002</v>
      </c>
      <c r="AI78" s="40">
        <v>0.82789999999999997</v>
      </c>
      <c r="AJ78" s="40">
        <v>0.18690000000000001</v>
      </c>
      <c r="AK78" s="40">
        <v>0.15129999999999999</v>
      </c>
      <c r="AL78" s="40">
        <v>0.15679999999999999</v>
      </c>
      <c r="AM78" s="40">
        <v>0.88890000000000002</v>
      </c>
      <c r="AN78" s="40">
        <v>0.87170000000000003</v>
      </c>
      <c r="AO78" s="40">
        <v>0.87290000000000001</v>
      </c>
      <c r="AP78" s="40">
        <v>0.88949999999999996</v>
      </c>
      <c r="AQ78" s="40">
        <v>0.92430000000000001</v>
      </c>
      <c r="AR78" s="31">
        <v>0.98600851971471704</v>
      </c>
      <c r="AS78" s="36">
        <v>3.0627990232351601</v>
      </c>
      <c r="AT78">
        <v>3.75</v>
      </c>
      <c r="AU78">
        <v>3.73</v>
      </c>
      <c r="AV78">
        <v>3.7</v>
      </c>
      <c r="AW78">
        <v>3.61</v>
      </c>
      <c r="AX78">
        <v>3.71</v>
      </c>
      <c r="AY78" s="6">
        <v>3.7</v>
      </c>
      <c r="AZ78" s="2">
        <v>0.65949999999999998</v>
      </c>
      <c r="BA78" s="2">
        <v>0.82778351979328701</v>
      </c>
      <c r="BB78" s="2">
        <v>0.999</v>
      </c>
      <c r="BC78">
        <v>67570</v>
      </c>
      <c r="BD78">
        <v>53692</v>
      </c>
      <c r="BE78">
        <v>11900</v>
      </c>
      <c r="BF78">
        <v>26730</v>
      </c>
    </row>
    <row r="79" spans="3:59" x14ac:dyDescent="0.25">
      <c r="C79" s="1">
        <v>45699</v>
      </c>
      <c r="D79" s="36">
        <v>266354.31289621699</v>
      </c>
      <c r="E79" s="33">
        <v>4.5857142857142899</v>
      </c>
      <c r="F79" s="33">
        <v>3.7589100000000002</v>
      </c>
      <c r="G79" s="2">
        <v>0.81969999999999998</v>
      </c>
      <c r="H79" s="2">
        <v>0.99</v>
      </c>
      <c r="I79" s="3">
        <v>43598.25</v>
      </c>
      <c r="J79" s="3">
        <v>0</v>
      </c>
      <c r="K79" s="3">
        <v>20349</v>
      </c>
      <c r="L79" s="3">
        <v>28532.75</v>
      </c>
      <c r="M79" s="3">
        <v>25949</v>
      </c>
      <c r="N79" s="3">
        <v>118429</v>
      </c>
      <c r="O79" s="3">
        <v>158758</v>
      </c>
      <c r="P79" s="3">
        <v>40329</v>
      </c>
      <c r="Q79" s="3">
        <v>40329</v>
      </c>
      <c r="R79" s="3">
        <v>158758</v>
      </c>
      <c r="S79" s="3">
        <v>158758</v>
      </c>
      <c r="T79" s="3">
        <v>158758</v>
      </c>
      <c r="U79" s="3">
        <v>20080</v>
      </c>
      <c r="V79" s="3">
        <v>20480</v>
      </c>
      <c r="W79" s="3">
        <v>4130</v>
      </c>
      <c r="X79" s="3">
        <v>4260</v>
      </c>
      <c r="Y79" s="3">
        <v>4280</v>
      </c>
      <c r="Z79" s="3">
        <v>25540</v>
      </c>
      <c r="AA79" s="3">
        <v>21460</v>
      </c>
      <c r="AB79" s="3">
        <v>21890</v>
      </c>
      <c r="AC79" s="3">
        <v>13190</v>
      </c>
      <c r="AD79" s="3">
        <v>22630</v>
      </c>
      <c r="AE79" s="3">
        <v>157940</v>
      </c>
      <c r="AF79" s="3">
        <v>198269</v>
      </c>
      <c r="AG79" s="3">
        <v>1514.79</v>
      </c>
      <c r="AH79" s="40">
        <v>0.83809999999999996</v>
      </c>
      <c r="AI79" s="40">
        <v>0.8548</v>
      </c>
      <c r="AJ79" s="40">
        <v>0.19370000000000001</v>
      </c>
      <c r="AK79" s="40">
        <v>0.15579999999999999</v>
      </c>
      <c r="AL79" s="40">
        <v>0.1555</v>
      </c>
      <c r="AM79" s="40">
        <v>0.88429999999999997</v>
      </c>
      <c r="AN79" s="40">
        <v>0.85319999999999996</v>
      </c>
      <c r="AO79" s="40">
        <v>0.87480000000000002</v>
      </c>
      <c r="AP79" s="40">
        <v>0.90480000000000005</v>
      </c>
      <c r="AQ79" s="40">
        <v>0.90439999999999998</v>
      </c>
      <c r="AR79" s="31">
        <v>1.33362605442924</v>
      </c>
      <c r="AS79" s="36">
        <v>2.3495338167825999</v>
      </c>
      <c r="AT79">
        <v>3.55</v>
      </c>
      <c r="AU79">
        <v>3.59</v>
      </c>
      <c r="AV79">
        <v>3.61</v>
      </c>
      <c r="AW79">
        <v>3.61</v>
      </c>
      <c r="AX79">
        <v>3.63</v>
      </c>
      <c r="AY79" s="6">
        <v>3.5979999999999999</v>
      </c>
      <c r="AZ79" s="2">
        <v>0.66200000000000003</v>
      </c>
      <c r="BA79" s="2">
        <v>0.65301106636536899</v>
      </c>
      <c r="BB79" s="2">
        <v>1</v>
      </c>
      <c r="BC79">
        <v>67570</v>
      </c>
      <c r="BD79">
        <v>53692</v>
      </c>
      <c r="BE79">
        <v>23900</v>
      </c>
      <c r="BF79">
        <v>26730</v>
      </c>
    </row>
    <row r="80" spans="3:59" x14ac:dyDescent="0.25">
      <c r="C80" s="1">
        <v>45700</v>
      </c>
      <c r="D80" s="36">
        <v>266354.31289621699</v>
      </c>
      <c r="E80" s="33">
        <v>4.5857142857142899</v>
      </c>
      <c r="F80" s="33">
        <v>3.7589100000000002</v>
      </c>
      <c r="G80" s="2">
        <v>0.81969999999999998</v>
      </c>
      <c r="H80" s="2">
        <v>0.99</v>
      </c>
      <c r="I80" s="3">
        <v>45713</v>
      </c>
      <c r="J80" s="3">
        <v>45534</v>
      </c>
      <c r="K80" s="3">
        <v>28173</v>
      </c>
      <c r="L80" s="3">
        <v>35209</v>
      </c>
      <c r="M80" s="3">
        <v>29573</v>
      </c>
      <c r="N80" s="3">
        <v>184202</v>
      </c>
      <c r="O80" s="3">
        <v>161667</v>
      </c>
      <c r="P80" s="3">
        <v>-22535</v>
      </c>
      <c r="Q80" s="3">
        <v>0</v>
      </c>
      <c r="R80" s="3">
        <v>184202</v>
      </c>
      <c r="S80" s="3">
        <v>184202</v>
      </c>
      <c r="T80" s="3">
        <v>161667</v>
      </c>
      <c r="U80" s="3">
        <v>15590</v>
      </c>
      <c r="V80" s="3">
        <v>16270</v>
      </c>
      <c r="W80" s="3">
        <v>13030</v>
      </c>
      <c r="X80" s="3">
        <v>16280</v>
      </c>
      <c r="Y80" s="3">
        <v>16780</v>
      </c>
      <c r="Z80" s="3">
        <v>19540</v>
      </c>
      <c r="AA80" s="3">
        <v>16470</v>
      </c>
      <c r="AB80" s="3">
        <v>16500</v>
      </c>
      <c r="AC80" s="3">
        <v>9530</v>
      </c>
      <c r="AD80" s="3">
        <v>17210</v>
      </c>
      <c r="AE80" s="3">
        <v>157200</v>
      </c>
      <c r="AF80" s="3">
        <v>157200</v>
      </c>
      <c r="AG80" s="3">
        <v>1492.65</v>
      </c>
      <c r="AH80" s="40">
        <v>0.8881</v>
      </c>
      <c r="AI80" s="40">
        <v>0.92720000000000002</v>
      </c>
      <c r="AJ80" s="40">
        <v>0.83509999999999995</v>
      </c>
      <c r="AK80" s="40">
        <v>0.81479999999999997</v>
      </c>
      <c r="AL80" s="40">
        <v>0.86339999999999995</v>
      </c>
      <c r="AM80" s="40">
        <v>0.96150000000000002</v>
      </c>
      <c r="AN80" s="40">
        <v>0.93940000000000001</v>
      </c>
      <c r="AO80" s="40">
        <v>0.93940000000000001</v>
      </c>
      <c r="AP80" s="40">
        <v>0.93720000000000003</v>
      </c>
      <c r="AQ80" s="40">
        <v>0.9778</v>
      </c>
      <c r="AR80" s="31">
        <v>0.85341092930587104</v>
      </c>
      <c r="AS80" s="36">
        <v>2.7260914607074098</v>
      </c>
      <c r="AT80">
        <v>2.6</v>
      </c>
      <c r="AU80">
        <v>2.59</v>
      </c>
      <c r="AV80">
        <v>2.54</v>
      </c>
      <c r="AW80">
        <v>2.5499999999999998</v>
      </c>
      <c r="AX80">
        <v>2.5299999999999998</v>
      </c>
      <c r="AY80" s="6">
        <v>2.5619999999999998</v>
      </c>
      <c r="AZ80" s="2">
        <v>0.9093</v>
      </c>
      <c r="BA80" s="2">
        <v>1.0640481891910301</v>
      </c>
      <c r="BB80" s="2">
        <v>1</v>
      </c>
      <c r="BC80">
        <v>67570</v>
      </c>
      <c r="BD80">
        <v>53692</v>
      </c>
      <c r="BE80">
        <v>23900</v>
      </c>
      <c r="BF80">
        <v>26730</v>
      </c>
    </row>
    <row r="81" spans="3:59" x14ac:dyDescent="0.25">
      <c r="C81" s="1">
        <v>45701</v>
      </c>
      <c r="D81" s="36">
        <v>266354.31289621699</v>
      </c>
      <c r="E81" s="33">
        <v>4.5857142857142899</v>
      </c>
      <c r="F81" s="33">
        <v>3.7589100000000002</v>
      </c>
      <c r="G81" s="2">
        <v>0.81969999999999998</v>
      </c>
      <c r="H81" s="2">
        <v>0.99</v>
      </c>
      <c r="I81" s="3">
        <v>49544.75</v>
      </c>
      <c r="J81" s="3">
        <v>49547.25</v>
      </c>
      <c r="K81" s="3">
        <v>32364.13</v>
      </c>
      <c r="L81" s="3">
        <v>38717.25</v>
      </c>
      <c r="M81" s="3">
        <v>29640</v>
      </c>
      <c r="N81" s="3">
        <v>199813.38</v>
      </c>
      <c r="O81" s="3">
        <v>182890.83</v>
      </c>
      <c r="P81" s="3">
        <v>-16922.55</v>
      </c>
      <c r="Q81" s="3">
        <v>0</v>
      </c>
      <c r="R81" s="3">
        <v>199813.38</v>
      </c>
      <c r="S81" s="3">
        <v>199813.38</v>
      </c>
      <c r="T81" s="3">
        <v>182890.83</v>
      </c>
      <c r="U81" s="3">
        <v>19510</v>
      </c>
      <c r="V81" s="3">
        <v>20280</v>
      </c>
      <c r="W81" s="3">
        <v>18280</v>
      </c>
      <c r="X81" s="3">
        <v>22080</v>
      </c>
      <c r="Y81" s="3">
        <v>22980</v>
      </c>
      <c r="Z81" s="3">
        <v>24780</v>
      </c>
      <c r="AA81" s="3">
        <v>21180</v>
      </c>
      <c r="AB81" s="3">
        <v>20990</v>
      </c>
      <c r="AC81" s="3">
        <v>12400</v>
      </c>
      <c r="AD81" s="3">
        <v>21750</v>
      </c>
      <c r="AE81" s="3">
        <v>204230</v>
      </c>
      <c r="AF81" s="3">
        <v>204230</v>
      </c>
      <c r="AG81" s="3">
        <v>1459.69</v>
      </c>
      <c r="AH81" s="40">
        <v>0.85780000000000001</v>
      </c>
      <c r="AI81" s="40">
        <v>0.89139999999999997</v>
      </c>
      <c r="AJ81" s="40">
        <v>0.90390000000000004</v>
      </c>
      <c r="AK81" s="40">
        <v>0.85719999999999996</v>
      </c>
      <c r="AL81" s="40">
        <v>0.88180000000000003</v>
      </c>
      <c r="AM81" s="40">
        <v>0.9163</v>
      </c>
      <c r="AN81" s="40">
        <v>0.8962</v>
      </c>
      <c r="AO81" s="40">
        <v>0.8962</v>
      </c>
      <c r="AP81" s="40">
        <v>0.90580000000000005</v>
      </c>
      <c r="AQ81" s="40">
        <v>0.92849999999999999</v>
      </c>
      <c r="AR81" s="31">
        <v>1.0221037249857801</v>
      </c>
      <c r="AS81" s="36">
        <v>2.9571315672635801</v>
      </c>
      <c r="AT81">
        <v>3.37</v>
      </c>
      <c r="AU81">
        <v>3.38</v>
      </c>
      <c r="AV81">
        <v>3.38</v>
      </c>
      <c r="AW81">
        <v>3.42</v>
      </c>
      <c r="AX81">
        <v>3.41</v>
      </c>
      <c r="AY81" s="6">
        <v>3.3919999999999999</v>
      </c>
      <c r="AZ81" s="2">
        <v>0.89349999999999996</v>
      </c>
      <c r="BA81" s="2">
        <v>0.87179586299044198</v>
      </c>
      <c r="BB81" s="2">
        <v>1</v>
      </c>
      <c r="BC81">
        <v>67570</v>
      </c>
      <c r="BD81">
        <v>53692</v>
      </c>
      <c r="BE81">
        <v>23900</v>
      </c>
      <c r="BF81">
        <v>26730</v>
      </c>
    </row>
    <row r="82" spans="3:59" x14ac:dyDescent="0.25">
      <c r="C82" s="1">
        <v>45702</v>
      </c>
      <c r="D82" s="36">
        <v>266354.31289621699</v>
      </c>
      <c r="E82" s="33">
        <v>4.5857142857142899</v>
      </c>
      <c r="F82" s="33">
        <v>3.7589100000000002</v>
      </c>
      <c r="G82" s="2">
        <v>0.81969999999999998</v>
      </c>
      <c r="H82" s="2">
        <v>0.99</v>
      </c>
      <c r="I82" s="3">
        <v>71285</v>
      </c>
      <c r="J82" s="3">
        <v>71247.75</v>
      </c>
      <c r="K82" s="3">
        <v>49191.5</v>
      </c>
      <c r="L82" s="3">
        <v>54493.75</v>
      </c>
      <c r="M82" s="3">
        <v>45261</v>
      </c>
      <c r="N82" s="3">
        <v>291479</v>
      </c>
      <c r="O82" s="3">
        <v>283405.33</v>
      </c>
      <c r="P82" s="3">
        <v>-8073.6699999999801</v>
      </c>
      <c r="Q82" s="3">
        <v>0</v>
      </c>
      <c r="R82" s="3">
        <v>291479</v>
      </c>
      <c r="S82" s="3">
        <v>291479</v>
      </c>
      <c r="T82" s="3">
        <v>283405.33</v>
      </c>
      <c r="U82" s="3">
        <v>25380</v>
      </c>
      <c r="V82" s="3">
        <v>26630</v>
      </c>
      <c r="W82" s="3">
        <v>23800</v>
      </c>
      <c r="X82" s="3">
        <v>28570</v>
      </c>
      <c r="Y82" s="3">
        <v>29250</v>
      </c>
      <c r="Z82" s="3">
        <v>32390</v>
      </c>
      <c r="AA82" s="3">
        <v>27840</v>
      </c>
      <c r="AB82" s="3">
        <v>27850</v>
      </c>
      <c r="AC82" s="3">
        <v>15670</v>
      </c>
      <c r="AD82" s="3">
        <v>28950</v>
      </c>
      <c r="AE82" s="3">
        <v>266330</v>
      </c>
      <c r="AF82" s="3">
        <v>266330</v>
      </c>
      <c r="AG82" s="3">
        <v>1452.47</v>
      </c>
      <c r="AH82" s="40">
        <v>0.8155</v>
      </c>
      <c r="AI82" s="40">
        <v>0.85589999999999999</v>
      </c>
      <c r="AJ82" s="40">
        <v>0.86040000000000005</v>
      </c>
      <c r="AK82" s="40">
        <v>0.81320000000000003</v>
      </c>
      <c r="AL82" s="40">
        <v>0.84909999999999997</v>
      </c>
      <c r="AM82" s="40">
        <v>0.88219999999999998</v>
      </c>
      <c r="AN82" s="40">
        <v>0.879</v>
      </c>
      <c r="AO82" s="40">
        <v>0.87539999999999996</v>
      </c>
      <c r="AP82" s="40">
        <v>0.85389999999999999</v>
      </c>
      <c r="AQ82" s="40">
        <v>0.91</v>
      </c>
      <c r="AR82" s="31">
        <v>0.91371934170214697</v>
      </c>
      <c r="AS82" s="36">
        <v>4.3137339055794</v>
      </c>
      <c r="AT82">
        <v>4.6100000000000003</v>
      </c>
      <c r="AU82">
        <v>4.59</v>
      </c>
      <c r="AV82">
        <v>4.6100000000000003</v>
      </c>
      <c r="AW82">
        <v>4.5199999999999996</v>
      </c>
      <c r="AX82">
        <v>4.57</v>
      </c>
      <c r="AY82" s="6">
        <v>4.58</v>
      </c>
      <c r="AZ82" s="2">
        <v>0.85940000000000005</v>
      </c>
      <c r="BA82" s="2">
        <v>0.94186329816144099</v>
      </c>
      <c r="BB82" s="2">
        <v>1</v>
      </c>
      <c r="BC82">
        <v>67570</v>
      </c>
      <c r="BD82">
        <v>53692</v>
      </c>
      <c r="BE82">
        <v>23900</v>
      </c>
      <c r="BF82">
        <v>26730</v>
      </c>
    </row>
    <row r="83" spans="3:59" x14ac:dyDescent="0.25">
      <c r="C83" s="1">
        <v>45703</v>
      </c>
      <c r="D83" s="36">
        <v>266354.31289621699</v>
      </c>
      <c r="E83" s="33">
        <v>4.5857142857142899</v>
      </c>
      <c r="F83" s="33">
        <v>3.7589100000000002</v>
      </c>
      <c r="G83" s="2">
        <v>0.81969999999999998</v>
      </c>
      <c r="H83" s="2">
        <v>0.99</v>
      </c>
      <c r="I83" s="3">
        <v>57082</v>
      </c>
      <c r="J83" s="3">
        <v>57060.5</v>
      </c>
      <c r="K83" s="3">
        <v>34994.379999999997</v>
      </c>
      <c r="L83" s="3">
        <v>43202</v>
      </c>
      <c r="M83" s="3">
        <v>37928</v>
      </c>
      <c r="N83" s="3">
        <v>230266.88</v>
      </c>
      <c r="O83" s="3">
        <v>228373.5</v>
      </c>
      <c r="P83" s="3">
        <v>-1893.38</v>
      </c>
      <c r="Q83" s="3">
        <v>0</v>
      </c>
      <c r="R83" s="3">
        <v>230266.88</v>
      </c>
      <c r="S83" s="3">
        <v>230266.88</v>
      </c>
      <c r="T83" s="3">
        <v>228373.5</v>
      </c>
      <c r="U83" s="3">
        <v>23760</v>
      </c>
      <c r="V83" s="3">
        <v>24270</v>
      </c>
      <c r="W83" s="3">
        <v>21640</v>
      </c>
      <c r="X83" s="3">
        <v>25330</v>
      </c>
      <c r="Y83" s="3">
        <v>26060</v>
      </c>
      <c r="Z83" s="3">
        <v>29310</v>
      </c>
      <c r="AA83" s="3">
        <v>24570</v>
      </c>
      <c r="AB83" s="3">
        <v>24720</v>
      </c>
      <c r="AC83" s="3">
        <v>14590</v>
      </c>
      <c r="AD83" s="3">
        <v>25420</v>
      </c>
      <c r="AE83" s="3">
        <v>239670</v>
      </c>
      <c r="AF83" s="3">
        <v>239670</v>
      </c>
      <c r="AG83" s="3">
        <v>1464.22</v>
      </c>
      <c r="AH83" s="40">
        <v>0.7823</v>
      </c>
      <c r="AI83" s="40">
        <v>0.79910000000000003</v>
      </c>
      <c r="AJ83" s="40">
        <v>0.8014</v>
      </c>
      <c r="AK83" s="40">
        <v>0.76049999999999995</v>
      </c>
      <c r="AL83" s="40">
        <v>0.81440000000000001</v>
      </c>
      <c r="AM83" s="40">
        <v>0.85199999999999998</v>
      </c>
      <c r="AN83" s="40">
        <v>0.83240000000000003</v>
      </c>
      <c r="AO83" s="40">
        <v>0.82969999999999999</v>
      </c>
      <c r="AP83" s="40">
        <v>0.85329999999999995</v>
      </c>
      <c r="AQ83" s="40">
        <v>0.85289999999999999</v>
      </c>
      <c r="AR83" s="31">
        <v>1.0408357467648</v>
      </c>
      <c r="AS83" s="36">
        <v>3.4078271422228799</v>
      </c>
      <c r="AT83">
        <v>4.5</v>
      </c>
      <c r="AU83">
        <v>4.3</v>
      </c>
      <c r="AV83">
        <v>4.37</v>
      </c>
      <c r="AW83">
        <v>4.2</v>
      </c>
      <c r="AX83">
        <v>4.26</v>
      </c>
      <c r="AY83" s="6">
        <v>4.3259999999999996</v>
      </c>
      <c r="AZ83" s="2">
        <v>0.81779999999999997</v>
      </c>
      <c r="BA83" s="2">
        <v>0.78775477166502095</v>
      </c>
      <c r="BB83" s="2">
        <v>1</v>
      </c>
      <c r="BC83">
        <v>67570</v>
      </c>
      <c r="BD83">
        <v>53692</v>
      </c>
      <c r="BE83">
        <v>23900</v>
      </c>
      <c r="BF83">
        <v>26730</v>
      </c>
    </row>
    <row r="84" spans="3:59" x14ac:dyDescent="0.25">
      <c r="C84" s="1">
        <v>45704</v>
      </c>
      <c r="D84" s="36">
        <v>266354.31289621699</v>
      </c>
      <c r="E84" s="33">
        <v>4.5857142857142899</v>
      </c>
      <c r="F84" s="33">
        <v>3.7589100000000002</v>
      </c>
      <c r="G84" s="2">
        <v>0.81969999999999998</v>
      </c>
      <c r="H84" s="2">
        <v>0.99</v>
      </c>
      <c r="I84" s="3">
        <v>39791</v>
      </c>
      <c r="J84" s="3">
        <v>39849</v>
      </c>
      <c r="K84" s="3">
        <v>22816.25</v>
      </c>
      <c r="L84" s="3">
        <v>31055.5</v>
      </c>
      <c r="M84" s="3">
        <v>27181</v>
      </c>
      <c r="N84" s="3">
        <v>160692.75</v>
      </c>
      <c r="O84" s="3">
        <v>150131.5</v>
      </c>
      <c r="P84" s="3">
        <v>-10561.25</v>
      </c>
      <c r="Q84" s="3">
        <v>0</v>
      </c>
      <c r="R84" s="3">
        <v>160692.75</v>
      </c>
      <c r="S84" s="3">
        <v>160692.75</v>
      </c>
      <c r="T84" s="3">
        <v>150131.5</v>
      </c>
      <c r="U84" s="3">
        <v>18240</v>
      </c>
      <c r="V84" s="3">
        <v>18720</v>
      </c>
      <c r="W84" s="3">
        <v>16600</v>
      </c>
      <c r="X84" s="3">
        <v>19180</v>
      </c>
      <c r="Y84" s="3">
        <v>19740</v>
      </c>
      <c r="Z84" s="3">
        <v>21990</v>
      </c>
      <c r="AA84" s="3">
        <v>18920</v>
      </c>
      <c r="AB84" s="3">
        <v>18690</v>
      </c>
      <c r="AC84" s="3">
        <v>11180</v>
      </c>
      <c r="AD84" s="3">
        <v>18690</v>
      </c>
      <c r="AE84" s="3">
        <v>181950</v>
      </c>
      <c r="AF84" s="3">
        <v>181950</v>
      </c>
      <c r="AG84" s="3">
        <v>1317.19</v>
      </c>
      <c r="AH84" s="40">
        <v>0.7923</v>
      </c>
      <c r="AI84" s="40">
        <v>0.81330000000000002</v>
      </c>
      <c r="AJ84" s="40">
        <v>0.8115</v>
      </c>
      <c r="AK84" s="40">
        <v>0.74680000000000002</v>
      </c>
      <c r="AL84" s="40">
        <v>0.76659999999999995</v>
      </c>
      <c r="AM84" s="40">
        <v>0.85350000000000004</v>
      </c>
      <c r="AN84" s="40">
        <v>0.81</v>
      </c>
      <c r="AO84" s="40">
        <v>0.83740000000000003</v>
      </c>
      <c r="AP84" s="40">
        <v>0.82609999999999995</v>
      </c>
      <c r="AQ84" s="40">
        <v>0.83750000000000002</v>
      </c>
      <c r="AR84" s="31">
        <v>1.1322850595313101</v>
      </c>
      <c r="AS84" s="36">
        <v>2.3781670859849</v>
      </c>
      <c r="AT84">
        <v>3.41</v>
      </c>
      <c r="AU84">
        <v>3.22</v>
      </c>
      <c r="AV84">
        <v>3.37</v>
      </c>
      <c r="AW84">
        <v>3.38</v>
      </c>
      <c r="AX84">
        <v>3.37</v>
      </c>
      <c r="AY84" s="6">
        <v>3.35</v>
      </c>
      <c r="AZ84" s="2">
        <v>0.8095</v>
      </c>
      <c r="BA84" s="2">
        <v>0.709900622682061</v>
      </c>
      <c r="BB84" s="2">
        <v>1</v>
      </c>
      <c r="BC84">
        <v>67570</v>
      </c>
      <c r="BD84">
        <v>53692</v>
      </c>
      <c r="BE84">
        <v>23900</v>
      </c>
      <c r="BF84">
        <v>26730</v>
      </c>
    </row>
    <row r="85" spans="3:59" x14ac:dyDescent="0.25">
      <c r="C85" s="1">
        <v>45705</v>
      </c>
      <c r="D85" s="36">
        <v>266354.31289621699</v>
      </c>
      <c r="E85" s="33">
        <v>4.5857142857142899</v>
      </c>
      <c r="F85" s="33">
        <v>3.7589100000000002</v>
      </c>
      <c r="G85" s="2">
        <v>0.81969999999999998</v>
      </c>
      <c r="H85" s="2">
        <v>0.99</v>
      </c>
      <c r="I85" s="3">
        <v>66424.5</v>
      </c>
      <c r="J85" s="3">
        <v>66380.25</v>
      </c>
      <c r="K85" s="3">
        <v>40044.879999999997</v>
      </c>
      <c r="L85" s="3">
        <v>44302.25</v>
      </c>
      <c r="M85" s="3">
        <v>42999</v>
      </c>
      <c r="N85" s="3">
        <v>260150.88</v>
      </c>
      <c r="O85" s="3">
        <v>248116.33</v>
      </c>
      <c r="P85" s="3">
        <v>-12034.55</v>
      </c>
      <c r="Q85" s="3">
        <v>0</v>
      </c>
      <c r="R85" s="3">
        <v>260150.88</v>
      </c>
      <c r="S85" s="3">
        <v>260150.88</v>
      </c>
      <c r="T85" s="3">
        <v>248116.33</v>
      </c>
      <c r="U85" s="3">
        <v>21990</v>
      </c>
      <c r="V85" s="3">
        <v>22760</v>
      </c>
      <c r="W85" s="3">
        <v>20370</v>
      </c>
      <c r="X85" s="3">
        <v>24910</v>
      </c>
      <c r="Y85" s="3">
        <v>25700</v>
      </c>
      <c r="Z85" s="3">
        <v>27210</v>
      </c>
      <c r="AA85" s="3">
        <v>23150</v>
      </c>
      <c r="AB85" s="3">
        <v>22910</v>
      </c>
      <c r="AC85" s="3">
        <v>13110</v>
      </c>
      <c r="AD85" s="3">
        <v>23820</v>
      </c>
      <c r="AE85" s="3">
        <v>225930</v>
      </c>
      <c r="AF85" s="3">
        <v>225930</v>
      </c>
      <c r="AG85" s="3">
        <v>1341.14</v>
      </c>
      <c r="AH85" s="40">
        <v>0.87570000000000003</v>
      </c>
      <c r="AI85" s="40">
        <v>0.90649999999999997</v>
      </c>
      <c r="AJ85" s="40">
        <v>0.91249999999999998</v>
      </c>
      <c r="AK85" s="40">
        <v>0.87880000000000003</v>
      </c>
      <c r="AL85" s="40">
        <v>0.92130000000000001</v>
      </c>
      <c r="AM85" s="40">
        <v>0.92659999999999998</v>
      </c>
      <c r="AN85" s="40">
        <v>0.93049999999999999</v>
      </c>
      <c r="AO85" s="40">
        <v>0.90069999999999995</v>
      </c>
      <c r="AP85" s="40">
        <v>0.90969999999999995</v>
      </c>
      <c r="AQ85" s="40">
        <v>0.9365</v>
      </c>
      <c r="AR85" s="31">
        <v>0.86845756585563005</v>
      </c>
      <c r="AS85" s="36">
        <v>3.8500944206008598</v>
      </c>
      <c r="AT85">
        <v>3.72</v>
      </c>
      <c r="AU85">
        <v>3.67</v>
      </c>
      <c r="AV85">
        <v>3.72</v>
      </c>
      <c r="AW85">
        <v>3.66</v>
      </c>
      <c r="AX85">
        <v>3.59</v>
      </c>
      <c r="AY85" s="6">
        <v>3.6720000000000002</v>
      </c>
      <c r="AZ85" s="2">
        <v>0.90990000000000004</v>
      </c>
      <c r="BA85" s="2">
        <v>1.0485006592050301</v>
      </c>
      <c r="BB85" s="2">
        <v>1</v>
      </c>
      <c r="BC85">
        <v>67570</v>
      </c>
      <c r="BD85">
        <v>53692</v>
      </c>
      <c r="BE85">
        <v>23900</v>
      </c>
      <c r="BF85">
        <v>21560</v>
      </c>
    </row>
    <row r="86" spans="3:59" x14ac:dyDescent="0.25">
      <c r="C86" s="1">
        <v>45706</v>
      </c>
      <c r="D86" s="36">
        <v>266354.31289621699</v>
      </c>
      <c r="E86" s="33">
        <v>4.5857142857142899</v>
      </c>
      <c r="F86" s="33">
        <v>3.7589100000000002</v>
      </c>
      <c r="G86" s="2">
        <v>0.81969999999999998</v>
      </c>
      <c r="H86" s="2">
        <v>0.99</v>
      </c>
      <c r="I86" s="3">
        <v>65879.5</v>
      </c>
      <c r="J86" s="3">
        <v>65808.75</v>
      </c>
      <c r="K86" s="3">
        <v>60198.8</v>
      </c>
      <c r="L86" s="3">
        <v>24487.5</v>
      </c>
      <c r="M86" s="3">
        <v>68762</v>
      </c>
      <c r="N86" s="3">
        <v>285136.55</v>
      </c>
      <c r="O86" s="3">
        <v>256050.83</v>
      </c>
      <c r="P86" s="3">
        <v>-29085.72</v>
      </c>
      <c r="Q86" s="3">
        <v>0</v>
      </c>
      <c r="R86" s="3">
        <v>285136.55</v>
      </c>
      <c r="S86" s="3">
        <v>285136.55</v>
      </c>
      <c r="T86" s="3">
        <v>255538.72834</v>
      </c>
      <c r="U86" s="3">
        <v>23910</v>
      </c>
      <c r="V86" s="3">
        <v>23640</v>
      </c>
      <c r="W86" s="3">
        <v>22170</v>
      </c>
      <c r="X86" s="3">
        <v>26560</v>
      </c>
      <c r="Y86" s="3">
        <v>27510</v>
      </c>
      <c r="Z86" s="3">
        <v>21960</v>
      </c>
      <c r="AA86" s="3">
        <v>20300</v>
      </c>
      <c r="AB86" s="3">
        <v>20230</v>
      </c>
      <c r="AC86" s="3">
        <v>14150</v>
      </c>
      <c r="AD86" s="3">
        <v>20770</v>
      </c>
      <c r="AE86" s="3">
        <v>221200</v>
      </c>
      <c r="AF86" s="3">
        <v>221200</v>
      </c>
      <c r="AG86" s="3">
        <v>1491.86</v>
      </c>
      <c r="AH86" s="40">
        <v>0.85140000000000005</v>
      </c>
      <c r="AI86" s="40">
        <v>0.84179999999999999</v>
      </c>
      <c r="AJ86" s="40">
        <v>0.88829999999999998</v>
      </c>
      <c r="AK86" s="40">
        <v>0.84399999999999997</v>
      </c>
      <c r="AL86" s="40">
        <v>0.88490000000000002</v>
      </c>
      <c r="AM86" s="40">
        <v>0.67769999999999997</v>
      </c>
      <c r="AN86" s="40">
        <v>0.71430000000000005</v>
      </c>
      <c r="AO86" s="40">
        <v>0.7208</v>
      </c>
      <c r="AP86" s="40">
        <v>0.85960000000000003</v>
      </c>
      <c r="AQ86" s="40">
        <v>0.74</v>
      </c>
      <c r="AR86" s="31">
        <v>0.77576866241805897</v>
      </c>
      <c r="AS86" s="36">
        <v>4.2198690247151101</v>
      </c>
      <c r="AT86">
        <v>4.16</v>
      </c>
      <c r="AU86">
        <v>4.05</v>
      </c>
      <c r="AV86">
        <v>4.13</v>
      </c>
      <c r="AW86">
        <v>4.08</v>
      </c>
      <c r="AX86">
        <v>4.0999999999999996</v>
      </c>
      <c r="AY86" s="6">
        <v>4.1040000000000001</v>
      </c>
      <c r="AZ86" s="2">
        <v>0.80230000000000001</v>
      </c>
      <c r="BA86" s="2">
        <v>1.0282331931566999</v>
      </c>
      <c r="BB86" s="2">
        <v>0.998</v>
      </c>
      <c r="BC86">
        <v>67570</v>
      </c>
      <c r="BD86">
        <v>53692</v>
      </c>
      <c r="BE86">
        <v>23900</v>
      </c>
      <c r="BF86">
        <v>26730</v>
      </c>
      <c r="BG86" t="s">
        <v>114</v>
      </c>
    </row>
    <row r="87" spans="3:59" x14ac:dyDescent="0.25">
      <c r="C87" s="1">
        <v>45707</v>
      </c>
      <c r="D87" s="36">
        <v>266354.31289621699</v>
      </c>
      <c r="E87" s="33">
        <v>4.5857142857142899</v>
      </c>
      <c r="F87" s="33">
        <v>3.7589100000000002</v>
      </c>
      <c r="G87" s="2">
        <v>0.81969999999999998</v>
      </c>
      <c r="H87" s="2">
        <v>0.99</v>
      </c>
      <c r="I87" s="3">
        <v>43388</v>
      </c>
      <c r="J87" s="3">
        <v>43357.75</v>
      </c>
      <c r="K87" s="3">
        <v>67952.5</v>
      </c>
      <c r="L87" s="3">
        <v>46979.25</v>
      </c>
      <c r="M87" s="3">
        <v>46507</v>
      </c>
      <c r="N87" s="3">
        <v>248184.5</v>
      </c>
      <c r="O87" s="3">
        <v>188615.33</v>
      </c>
      <c r="P87" s="3">
        <v>-59569.17</v>
      </c>
      <c r="Q87" s="3">
        <v>0</v>
      </c>
      <c r="R87" s="3">
        <v>248184.5</v>
      </c>
      <c r="S87" s="3">
        <v>248184.5</v>
      </c>
      <c r="T87" s="3">
        <v>187766.56101500001</v>
      </c>
      <c r="U87" s="3">
        <v>26430</v>
      </c>
      <c r="V87" s="3">
        <v>25760</v>
      </c>
      <c r="W87" s="3">
        <v>21970</v>
      </c>
      <c r="X87" s="3">
        <v>26090</v>
      </c>
      <c r="Y87" s="3">
        <v>26200</v>
      </c>
      <c r="Z87" s="3">
        <v>31120</v>
      </c>
      <c r="AA87" s="3">
        <v>25680</v>
      </c>
      <c r="AB87" s="3">
        <v>26330</v>
      </c>
      <c r="AC87" s="3">
        <v>16250</v>
      </c>
      <c r="AD87" s="3">
        <v>27250</v>
      </c>
      <c r="AE87" s="3">
        <v>253080</v>
      </c>
      <c r="AF87" s="3">
        <v>253080</v>
      </c>
      <c r="AG87" s="3">
        <v>1308.1099999999999</v>
      </c>
      <c r="AH87" s="40">
        <v>0.79590000000000005</v>
      </c>
      <c r="AI87" s="40">
        <v>0.77549999999999997</v>
      </c>
      <c r="AJ87" s="40">
        <v>0.74419999999999997</v>
      </c>
      <c r="AK87" s="40">
        <v>0.6946</v>
      </c>
      <c r="AL87" s="40">
        <v>0.74099999999999999</v>
      </c>
      <c r="AM87" s="40">
        <v>0.81720000000000004</v>
      </c>
      <c r="AN87" s="40">
        <v>0.75780000000000003</v>
      </c>
      <c r="AO87" s="40">
        <v>0.79830000000000001</v>
      </c>
      <c r="AP87" s="40">
        <v>0.82750000000000001</v>
      </c>
      <c r="AQ87" s="40">
        <v>0.82589999999999997</v>
      </c>
      <c r="AR87" s="31">
        <v>1.01972524472721</v>
      </c>
      <c r="AS87" s="36">
        <v>3.6729983720586099</v>
      </c>
      <c r="AT87">
        <v>4.92</v>
      </c>
      <c r="AU87">
        <v>4.76</v>
      </c>
      <c r="AV87">
        <v>4.93</v>
      </c>
      <c r="AW87">
        <v>4.6399999999999997</v>
      </c>
      <c r="AX87">
        <v>4.8899999999999997</v>
      </c>
      <c r="AY87" s="6">
        <v>4.8280000000000003</v>
      </c>
      <c r="AZ87" s="2">
        <v>0.77780000000000005</v>
      </c>
      <c r="BA87" s="2">
        <v>0.76077016819772303</v>
      </c>
      <c r="BB87" s="2">
        <v>0.99550000000000005</v>
      </c>
      <c r="BC87">
        <v>67570</v>
      </c>
      <c r="BD87">
        <v>53692</v>
      </c>
      <c r="BE87">
        <v>23900</v>
      </c>
      <c r="BF87">
        <v>26730</v>
      </c>
    </row>
    <row r="88" spans="3:59" x14ac:dyDescent="0.25">
      <c r="C88" s="1">
        <v>45708</v>
      </c>
      <c r="D88" s="36">
        <v>266354.31289621699</v>
      </c>
      <c r="E88" s="33">
        <v>4.5857142857142899</v>
      </c>
      <c r="F88" s="33">
        <v>3.7589100000000002</v>
      </c>
      <c r="G88" s="2">
        <v>0.81969999999999998</v>
      </c>
      <c r="H88" s="2">
        <v>0.99</v>
      </c>
      <c r="I88" s="3">
        <v>48001</v>
      </c>
      <c r="J88" s="3">
        <v>48122.75</v>
      </c>
      <c r="K88" s="3">
        <v>25741.119999999999</v>
      </c>
      <c r="L88" s="3">
        <v>41092</v>
      </c>
      <c r="M88" s="3">
        <v>25744</v>
      </c>
      <c r="N88" s="3">
        <v>188700.87</v>
      </c>
      <c r="O88" s="3">
        <v>167797.33</v>
      </c>
      <c r="P88" s="3">
        <v>-20903.54</v>
      </c>
      <c r="Q88" s="3">
        <v>0</v>
      </c>
      <c r="R88" s="3">
        <v>188700.87</v>
      </c>
      <c r="S88" s="3">
        <v>188700.87</v>
      </c>
      <c r="T88" s="3">
        <v>166874.44468499999</v>
      </c>
      <c r="U88" s="3">
        <v>13040</v>
      </c>
      <c r="V88" s="3">
        <v>13000</v>
      </c>
      <c r="W88" s="3">
        <v>10860</v>
      </c>
      <c r="X88" s="3">
        <v>14650</v>
      </c>
      <c r="Y88" s="3">
        <v>15310</v>
      </c>
      <c r="Z88" s="3">
        <v>15580</v>
      </c>
      <c r="AA88" s="3">
        <v>13260</v>
      </c>
      <c r="AB88" s="3">
        <v>13170</v>
      </c>
      <c r="AC88" s="3">
        <v>7620</v>
      </c>
      <c r="AD88" s="3">
        <v>13730</v>
      </c>
      <c r="AE88" s="3">
        <v>130220</v>
      </c>
      <c r="AF88" s="3">
        <v>130220</v>
      </c>
      <c r="AG88" s="3">
        <v>1342.8</v>
      </c>
      <c r="AH88" s="40">
        <v>0.95050000000000001</v>
      </c>
      <c r="AI88" s="40">
        <v>0.94710000000000005</v>
      </c>
      <c r="AJ88" s="40">
        <v>0.89029999999999998</v>
      </c>
      <c r="AK88" s="40">
        <v>0.96150000000000002</v>
      </c>
      <c r="AL88" s="40">
        <v>0.97889999999999999</v>
      </c>
      <c r="AM88" s="40">
        <v>0.97860000000000003</v>
      </c>
      <c r="AN88" s="40">
        <v>0.97119999999999995</v>
      </c>
      <c r="AO88" s="40">
        <v>0.95530000000000004</v>
      </c>
      <c r="AP88" s="40">
        <v>0.96299999999999997</v>
      </c>
      <c r="AQ88" s="40">
        <v>0.99570000000000003</v>
      </c>
      <c r="AR88" s="31">
        <v>0.69008690844933596</v>
      </c>
      <c r="AS88" s="36">
        <v>2.7926723397957698</v>
      </c>
      <c r="AT88">
        <v>2.0299999999999998</v>
      </c>
      <c r="AU88">
        <v>1.99</v>
      </c>
      <c r="AV88">
        <v>2</v>
      </c>
      <c r="AW88">
        <v>1.99</v>
      </c>
      <c r="AX88">
        <v>1.97</v>
      </c>
      <c r="AY88" s="6">
        <v>1.996</v>
      </c>
      <c r="AZ88" s="2">
        <v>0.96230000000000004</v>
      </c>
      <c r="BA88" s="2">
        <v>1.3991344387754301</v>
      </c>
      <c r="BB88" s="2">
        <v>0.99450000000000005</v>
      </c>
      <c r="BC88">
        <v>67570</v>
      </c>
      <c r="BD88">
        <v>53692</v>
      </c>
      <c r="BE88">
        <v>23900</v>
      </c>
      <c r="BF88">
        <v>26730</v>
      </c>
    </row>
    <row r="89" spans="3:59" x14ac:dyDescent="0.25">
      <c r="C89" s="1">
        <v>45709</v>
      </c>
      <c r="D89" s="36">
        <v>266354.31289621699</v>
      </c>
      <c r="E89" s="33">
        <v>4.5857142857142899</v>
      </c>
      <c r="F89" s="33">
        <v>3.7589100000000002</v>
      </c>
      <c r="G89" s="2">
        <v>0.81969999999999998</v>
      </c>
      <c r="H89" s="2">
        <v>0.99</v>
      </c>
      <c r="I89" s="3">
        <v>58328.5</v>
      </c>
      <c r="J89" s="3">
        <v>58340.75</v>
      </c>
      <c r="K89" s="3">
        <v>38621.379999999997</v>
      </c>
      <c r="L89" s="3">
        <v>47854.75</v>
      </c>
      <c r="M89" s="3">
        <v>38940</v>
      </c>
      <c r="N89" s="3">
        <v>242085.38</v>
      </c>
      <c r="O89" s="3">
        <v>239888.33</v>
      </c>
      <c r="P89" s="3">
        <v>-2197.0500000000202</v>
      </c>
      <c r="Q89" s="3">
        <v>0</v>
      </c>
      <c r="R89" s="3">
        <v>242085.38</v>
      </c>
      <c r="S89" s="3">
        <v>242085.38</v>
      </c>
      <c r="T89" s="3">
        <v>238568.944185</v>
      </c>
      <c r="U89" s="3">
        <v>25710</v>
      </c>
      <c r="V89" s="3">
        <v>25240</v>
      </c>
      <c r="W89" s="3">
        <v>21610</v>
      </c>
      <c r="X89" s="3">
        <v>26870</v>
      </c>
      <c r="Y89" s="3">
        <v>27460</v>
      </c>
      <c r="Z89" s="3">
        <v>31440</v>
      </c>
      <c r="AA89" s="3">
        <v>25880</v>
      </c>
      <c r="AB89" s="3">
        <v>26560</v>
      </c>
      <c r="AC89" s="3">
        <v>15840</v>
      </c>
      <c r="AD89" s="3">
        <v>27520</v>
      </c>
      <c r="AE89" s="3">
        <v>254130</v>
      </c>
      <c r="AF89" s="3">
        <v>254130</v>
      </c>
      <c r="AG89" s="3">
        <v>1354.92</v>
      </c>
      <c r="AH89" s="40">
        <v>0.84450000000000003</v>
      </c>
      <c r="AI89" s="40">
        <v>0.82909999999999995</v>
      </c>
      <c r="AJ89" s="40">
        <v>0.79859999999999998</v>
      </c>
      <c r="AK89" s="40">
        <v>0.76</v>
      </c>
      <c r="AL89" s="40">
        <v>0.80089999999999995</v>
      </c>
      <c r="AM89" s="40">
        <v>0.86009999999999998</v>
      </c>
      <c r="AN89" s="40">
        <v>0.83740000000000003</v>
      </c>
      <c r="AO89" s="40">
        <v>0.83850000000000002</v>
      </c>
      <c r="AP89" s="40">
        <v>0.88429999999999997</v>
      </c>
      <c r="AQ89" s="40">
        <v>0.86890000000000001</v>
      </c>
      <c r="AR89" s="31">
        <v>1.0497536034600701</v>
      </c>
      <c r="AS89" s="36">
        <v>3.58273464555276</v>
      </c>
      <c r="AT89">
        <v>4.51</v>
      </c>
      <c r="AU89">
        <v>4.57</v>
      </c>
      <c r="AV89">
        <v>4.6399999999999997</v>
      </c>
      <c r="AW89">
        <v>4.5</v>
      </c>
      <c r="AX89">
        <v>4.46</v>
      </c>
      <c r="AY89" s="6">
        <v>4.5359999999999996</v>
      </c>
      <c r="AZ89" s="2">
        <v>0.83220000000000005</v>
      </c>
      <c r="BA89" s="2">
        <v>0.78984449857865102</v>
      </c>
      <c r="BB89" s="2">
        <v>0.99450000000000005</v>
      </c>
      <c r="BC89">
        <v>67570</v>
      </c>
      <c r="BD89">
        <v>53692</v>
      </c>
      <c r="BE89">
        <v>16008</v>
      </c>
      <c r="BF89">
        <v>26730</v>
      </c>
    </row>
    <row r="90" spans="3:59" x14ac:dyDescent="0.25">
      <c r="C90" s="1">
        <v>45710</v>
      </c>
      <c r="D90" s="36">
        <v>266354.31289621699</v>
      </c>
      <c r="E90" s="33">
        <v>4.5857142857142899</v>
      </c>
      <c r="F90" s="33">
        <v>3.7589100000000002</v>
      </c>
      <c r="G90" s="2">
        <v>0.81969999999999998</v>
      </c>
      <c r="H90" s="2">
        <v>0.99</v>
      </c>
      <c r="I90" s="3">
        <v>26232.5</v>
      </c>
      <c r="J90" s="3">
        <v>69273.5</v>
      </c>
      <c r="K90" s="3">
        <v>34954.870000000003</v>
      </c>
      <c r="L90" s="3">
        <v>43248</v>
      </c>
      <c r="M90" s="3">
        <v>36518</v>
      </c>
      <c r="N90" s="3">
        <v>210226.87</v>
      </c>
      <c r="O90" s="3">
        <v>221186.5</v>
      </c>
      <c r="P90" s="3">
        <v>10959.63</v>
      </c>
      <c r="Q90" s="3">
        <v>10959.63</v>
      </c>
      <c r="R90" s="3">
        <v>221186.5</v>
      </c>
      <c r="S90" s="3">
        <v>221186.5</v>
      </c>
      <c r="T90" s="3">
        <v>220301.75399999999</v>
      </c>
      <c r="U90" s="3">
        <v>20200</v>
      </c>
      <c r="V90" s="3">
        <v>19730</v>
      </c>
      <c r="W90" s="3">
        <v>17740</v>
      </c>
      <c r="X90" s="3">
        <v>21030</v>
      </c>
      <c r="Y90" s="3">
        <v>21490</v>
      </c>
      <c r="Z90" s="3">
        <v>28780</v>
      </c>
      <c r="AA90" s="3">
        <v>23490</v>
      </c>
      <c r="AB90" s="3">
        <v>23740</v>
      </c>
      <c r="AC90" s="3">
        <v>13590</v>
      </c>
      <c r="AD90" s="3">
        <v>24260</v>
      </c>
      <c r="AE90" s="3">
        <v>214050</v>
      </c>
      <c r="AF90" s="3">
        <v>225009.63</v>
      </c>
      <c r="AG90" s="3">
        <v>1521.83</v>
      </c>
      <c r="AH90" s="40">
        <v>0.75590000000000002</v>
      </c>
      <c r="AI90" s="40">
        <v>0.73809999999999998</v>
      </c>
      <c r="AJ90" s="40">
        <v>0.74680000000000002</v>
      </c>
      <c r="AK90" s="40">
        <v>0.65249999999999997</v>
      </c>
      <c r="AL90" s="40">
        <v>0.68789999999999996</v>
      </c>
      <c r="AM90" s="40">
        <v>0.83660000000000001</v>
      </c>
      <c r="AN90" s="40">
        <v>0.84740000000000004</v>
      </c>
      <c r="AO90" s="40">
        <v>0.79669999999999996</v>
      </c>
      <c r="AP90" s="40">
        <v>0.84619999999999995</v>
      </c>
      <c r="AQ90" s="40">
        <v>0.81410000000000005</v>
      </c>
      <c r="AR90" s="31">
        <v>1.0181857342974301</v>
      </c>
      <c r="AS90" s="36">
        <v>3.2734423560751802</v>
      </c>
      <c r="AT90">
        <v>3.96</v>
      </c>
      <c r="AU90">
        <v>4.3</v>
      </c>
      <c r="AV90">
        <v>4.2300000000000004</v>
      </c>
      <c r="AW90">
        <v>4.0999999999999996</v>
      </c>
      <c r="AX90">
        <v>4</v>
      </c>
      <c r="AY90" s="6">
        <v>4.1180000000000003</v>
      </c>
      <c r="AZ90" s="2">
        <v>0.7722</v>
      </c>
      <c r="BA90" s="2">
        <v>0.79491072269916996</v>
      </c>
      <c r="BB90" s="2">
        <v>0.996</v>
      </c>
      <c r="BC90">
        <v>67570</v>
      </c>
      <c r="BD90">
        <v>53692</v>
      </c>
      <c r="BE90">
        <v>12000</v>
      </c>
      <c r="BF90">
        <v>26730</v>
      </c>
      <c r="BG90" t="s">
        <v>115</v>
      </c>
    </row>
    <row r="91" spans="3:59" x14ac:dyDescent="0.25">
      <c r="C91" s="1">
        <v>45711</v>
      </c>
      <c r="D91" s="36">
        <v>266354.31289621699</v>
      </c>
      <c r="E91" s="33">
        <v>4.5857142857142899</v>
      </c>
      <c r="F91" s="33">
        <v>3.7589100000000002</v>
      </c>
      <c r="G91" s="2">
        <v>0.81969999999999998</v>
      </c>
      <c r="H91" s="2">
        <v>0.99</v>
      </c>
      <c r="I91" s="3">
        <v>0</v>
      </c>
      <c r="J91" s="3">
        <v>66184</v>
      </c>
      <c r="K91" s="3">
        <v>17095.63</v>
      </c>
      <c r="L91" s="3">
        <v>28042.75</v>
      </c>
      <c r="M91" s="3">
        <v>22887</v>
      </c>
      <c r="N91" s="3">
        <v>134209.38</v>
      </c>
      <c r="O91" s="3">
        <v>101355</v>
      </c>
      <c r="P91" s="3">
        <v>-32854.379999999997</v>
      </c>
      <c r="Q91" s="3">
        <v>0</v>
      </c>
      <c r="R91" s="3">
        <v>134209.38</v>
      </c>
      <c r="S91" s="3">
        <v>134209.38</v>
      </c>
      <c r="T91" s="3">
        <v>101152.29</v>
      </c>
      <c r="U91" s="3">
        <v>13110</v>
      </c>
      <c r="V91" s="3">
        <v>12540</v>
      </c>
      <c r="W91" s="3">
        <v>11700</v>
      </c>
      <c r="X91" s="3">
        <v>14680</v>
      </c>
      <c r="Y91" s="3">
        <v>15370</v>
      </c>
      <c r="Z91" s="3">
        <v>15970</v>
      </c>
      <c r="AA91" s="3">
        <v>13550</v>
      </c>
      <c r="AB91" s="3">
        <v>13530</v>
      </c>
      <c r="AC91" s="3">
        <v>7960</v>
      </c>
      <c r="AD91" s="3">
        <v>14100</v>
      </c>
      <c r="AE91" s="3">
        <v>132510</v>
      </c>
      <c r="AF91" s="3">
        <v>132510</v>
      </c>
      <c r="AG91" s="3">
        <v>1561.14</v>
      </c>
      <c r="AH91" s="40">
        <v>0.9335</v>
      </c>
      <c r="AI91" s="40">
        <v>0.89290000000000003</v>
      </c>
      <c r="AJ91" s="40">
        <v>0.93740000000000001</v>
      </c>
      <c r="AK91" s="40">
        <v>0.93540000000000001</v>
      </c>
      <c r="AL91" s="40">
        <v>0.97460000000000002</v>
      </c>
      <c r="AM91" s="40">
        <v>0.98360000000000003</v>
      </c>
      <c r="AN91" s="40">
        <v>0.95830000000000004</v>
      </c>
      <c r="AO91" s="40">
        <v>0.96199999999999997</v>
      </c>
      <c r="AP91" s="40">
        <v>0.97219999999999995</v>
      </c>
      <c r="AQ91" s="40">
        <v>1</v>
      </c>
      <c r="AR91" s="31">
        <v>0.98733784479147402</v>
      </c>
      <c r="AS91" s="36">
        <v>1.9862273198164899</v>
      </c>
      <c r="AT91">
        <v>2.08</v>
      </c>
      <c r="AU91">
        <v>2.0299999999999998</v>
      </c>
      <c r="AV91">
        <v>2.06</v>
      </c>
      <c r="AW91">
        <v>2.0699999999999998</v>
      </c>
      <c r="AX91">
        <v>2.04</v>
      </c>
      <c r="AY91" s="6">
        <v>2.056</v>
      </c>
      <c r="AZ91" s="2">
        <v>0.95530000000000004</v>
      </c>
      <c r="BA91" s="2">
        <v>0.96606387150607298</v>
      </c>
      <c r="BB91" s="2">
        <v>0.998</v>
      </c>
      <c r="BC91">
        <v>67570</v>
      </c>
      <c r="BD91">
        <v>53692</v>
      </c>
      <c r="BE91">
        <v>12000</v>
      </c>
      <c r="BF91">
        <v>26730</v>
      </c>
    </row>
    <row r="92" spans="3:59" x14ac:dyDescent="0.25">
      <c r="C92" s="1">
        <v>45712</v>
      </c>
      <c r="D92" s="36">
        <v>266354.31289621699</v>
      </c>
      <c r="E92" s="33">
        <v>4.5857142857142899</v>
      </c>
      <c r="F92" s="33">
        <v>3.7589100000000002</v>
      </c>
      <c r="G92" s="2">
        <v>0.81969999999999998</v>
      </c>
      <c r="H92" s="2">
        <v>0.99</v>
      </c>
      <c r="I92" s="3">
        <v>0</v>
      </c>
      <c r="J92" s="3">
        <v>102544.75</v>
      </c>
      <c r="K92" s="3">
        <v>38760.120000000003</v>
      </c>
      <c r="L92" s="3">
        <v>48280.25</v>
      </c>
      <c r="M92" s="3">
        <v>40417</v>
      </c>
      <c r="N92" s="3">
        <v>230002.12</v>
      </c>
      <c r="O92" s="3">
        <v>241149.67</v>
      </c>
      <c r="P92" s="3">
        <v>11147.55</v>
      </c>
      <c r="Q92" s="3">
        <v>11147.55</v>
      </c>
      <c r="R92" s="3">
        <v>241149.67</v>
      </c>
      <c r="S92" s="3">
        <v>241149.67</v>
      </c>
      <c r="T92" s="3">
        <v>240667.37065999999</v>
      </c>
      <c r="U92" s="3">
        <v>18380</v>
      </c>
      <c r="V92" s="3">
        <v>17950</v>
      </c>
      <c r="W92" s="3">
        <v>16540</v>
      </c>
      <c r="X92" s="3">
        <v>20900</v>
      </c>
      <c r="Y92" s="3">
        <v>21370</v>
      </c>
      <c r="Z92" s="3">
        <v>25280</v>
      </c>
      <c r="AA92" s="3">
        <v>22120</v>
      </c>
      <c r="AB92" s="3">
        <v>21570</v>
      </c>
      <c r="AC92" s="3">
        <v>12380</v>
      </c>
      <c r="AD92" s="3">
        <v>22890</v>
      </c>
      <c r="AE92" s="3">
        <v>199380</v>
      </c>
      <c r="AF92" s="3">
        <v>210527.55</v>
      </c>
      <c r="AG92" s="3">
        <v>1490.95</v>
      </c>
      <c r="AH92" s="40">
        <v>0.79869999999999997</v>
      </c>
      <c r="AI92" s="40">
        <v>0.77969999999999995</v>
      </c>
      <c r="AJ92" s="40">
        <v>0.80840000000000001</v>
      </c>
      <c r="AK92" s="40">
        <v>0.80910000000000004</v>
      </c>
      <c r="AL92" s="40">
        <v>0.82730000000000004</v>
      </c>
      <c r="AM92" s="40">
        <v>0.93510000000000004</v>
      </c>
      <c r="AN92" s="40">
        <v>0.93340000000000001</v>
      </c>
      <c r="AO92" s="40">
        <v>0.92090000000000005</v>
      </c>
      <c r="AP92" s="40">
        <v>0.90159999999999996</v>
      </c>
      <c r="AQ92" s="40">
        <v>0.97729999999999995</v>
      </c>
      <c r="AR92" s="31">
        <v>0.86686157501504801</v>
      </c>
      <c r="AS92" s="36">
        <v>3.5688866360810998</v>
      </c>
      <c r="AT92">
        <v>3.41</v>
      </c>
      <c r="AU92">
        <v>3.38</v>
      </c>
      <c r="AV92">
        <v>3.39</v>
      </c>
      <c r="AW92">
        <v>3.39</v>
      </c>
      <c r="AX92">
        <v>3.42</v>
      </c>
      <c r="AY92" s="6">
        <v>3.3980000000000001</v>
      </c>
      <c r="AZ92" s="2">
        <v>0.86909999999999998</v>
      </c>
      <c r="BA92" s="2">
        <v>1.05029035788143</v>
      </c>
      <c r="BB92" s="2">
        <v>0.998</v>
      </c>
      <c r="BC92">
        <v>67570</v>
      </c>
      <c r="BD92">
        <v>53692</v>
      </c>
      <c r="BE92">
        <v>12000</v>
      </c>
      <c r="BF92">
        <v>26730</v>
      </c>
    </row>
    <row r="93" spans="3:59" x14ac:dyDescent="0.25">
      <c r="C93" s="1">
        <v>45713</v>
      </c>
      <c r="D93" s="36">
        <v>266354.31289621699</v>
      </c>
      <c r="E93" s="33">
        <v>4.5857142857142899</v>
      </c>
      <c r="F93" s="33">
        <v>3.7589100000000002</v>
      </c>
      <c r="G93" s="2">
        <v>0.81969999999999998</v>
      </c>
      <c r="H93" s="2">
        <v>0.99</v>
      </c>
      <c r="I93" s="3">
        <v>0</v>
      </c>
      <c r="J93" s="3">
        <v>108977.5</v>
      </c>
      <c r="K93" s="3">
        <v>52175.75</v>
      </c>
      <c r="L93" s="3">
        <v>61450.5</v>
      </c>
      <c r="M93" s="3">
        <v>49928</v>
      </c>
      <c r="N93" s="3">
        <v>272531.75</v>
      </c>
      <c r="O93" s="3">
        <v>317418</v>
      </c>
      <c r="P93" s="3">
        <v>44886.25</v>
      </c>
      <c r="Q93" s="3">
        <v>44886.25</v>
      </c>
      <c r="R93" s="3">
        <v>317418</v>
      </c>
      <c r="S93" s="3">
        <v>317418</v>
      </c>
      <c r="T93" s="3">
        <v>311545.76699999999</v>
      </c>
      <c r="U93" s="3">
        <v>20200</v>
      </c>
      <c r="V93" s="3">
        <v>19830</v>
      </c>
      <c r="W93" s="3">
        <v>18430</v>
      </c>
      <c r="X93" s="3">
        <v>23280</v>
      </c>
      <c r="Y93" s="3">
        <v>23500</v>
      </c>
      <c r="Z93" s="3">
        <v>40920</v>
      </c>
      <c r="AA93" s="3">
        <v>32740</v>
      </c>
      <c r="AB93" s="3">
        <v>33290</v>
      </c>
      <c r="AC93" s="3">
        <v>20590</v>
      </c>
      <c r="AD93" s="3">
        <v>34740</v>
      </c>
      <c r="AE93" s="3">
        <v>267520</v>
      </c>
      <c r="AF93" s="3">
        <v>312406.25</v>
      </c>
      <c r="AG93" s="3">
        <v>1481.27</v>
      </c>
      <c r="AH93" s="40">
        <v>0.47060000000000002</v>
      </c>
      <c r="AI93" s="40">
        <v>0.46200000000000002</v>
      </c>
      <c r="AJ93" s="40">
        <v>0.4829</v>
      </c>
      <c r="AK93" s="40">
        <v>0.48120000000000002</v>
      </c>
      <c r="AL93" s="40">
        <v>0.51490000000000002</v>
      </c>
      <c r="AM93" s="40">
        <v>0.83430000000000004</v>
      </c>
      <c r="AN93" s="40">
        <v>0.77959999999999996</v>
      </c>
      <c r="AO93" s="40">
        <v>0.78359999999999996</v>
      </c>
      <c r="AP93" s="40">
        <v>0.84599999999999997</v>
      </c>
      <c r="AQ93" s="40">
        <v>0.81789999999999996</v>
      </c>
      <c r="AR93" s="31">
        <v>0.98161039952225704</v>
      </c>
      <c r="AS93" s="36">
        <v>4.6976172857777101</v>
      </c>
      <c r="AT93">
        <v>6.36</v>
      </c>
      <c r="AU93">
        <v>6.13</v>
      </c>
      <c r="AV93">
        <v>6.35</v>
      </c>
      <c r="AW93">
        <v>5.99</v>
      </c>
      <c r="AX93">
        <v>6.06</v>
      </c>
      <c r="AY93" s="6">
        <v>6.1779999999999999</v>
      </c>
      <c r="AZ93" s="2">
        <v>0.64729999999999999</v>
      </c>
      <c r="BA93" s="2">
        <v>0.76037832401711103</v>
      </c>
      <c r="BB93" s="2">
        <v>0.98150000000000004</v>
      </c>
      <c r="BC93">
        <v>67570</v>
      </c>
      <c r="BD93">
        <v>53692</v>
      </c>
      <c r="BE93">
        <v>12000</v>
      </c>
      <c r="BF93">
        <v>26730</v>
      </c>
    </row>
    <row r="94" spans="3:59" x14ac:dyDescent="0.25">
      <c r="C94" s="1">
        <v>45714</v>
      </c>
      <c r="D94" s="36">
        <v>266354.31289621699</v>
      </c>
      <c r="E94" s="33">
        <v>4.5857142857142899</v>
      </c>
      <c r="F94" s="33">
        <v>3.7589100000000002</v>
      </c>
      <c r="G94" s="2">
        <v>0.81969999999999998</v>
      </c>
      <c r="H94" s="2">
        <v>0.99</v>
      </c>
      <c r="I94" s="3">
        <v>0</v>
      </c>
      <c r="J94" s="3">
        <v>85098.5</v>
      </c>
      <c r="K94" s="3">
        <v>31083.599999999999</v>
      </c>
      <c r="L94" s="3">
        <v>41919.25</v>
      </c>
      <c r="M94" s="3">
        <v>33441</v>
      </c>
      <c r="N94" s="3">
        <v>191542.35</v>
      </c>
      <c r="O94" s="3">
        <v>248155.67</v>
      </c>
      <c r="P94" s="3">
        <v>56613.32</v>
      </c>
      <c r="Q94" s="3">
        <v>56613.32</v>
      </c>
      <c r="R94" s="3">
        <v>248155.67</v>
      </c>
      <c r="S94" s="3">
        <v>248155.67</v>
      </c>
      <c r="T94" s="3">
        <v>244061.10144500001</v>
      </c>
      <c r="U94" s="3">
        <v>20750</v>
      </c>
      <c r="V94" s="3">
        <v>20620</v>
      </c>
      <c r="W94" s="3">
        <v>18820</v>
      </c>
      <c r="X94" s="3">
        <v>24020</v>
      </c>
      <c r="Y94" s="3">
        <v>24010</v>
      </c>
      <c r="Z94" s="3">
        <v>32910</v>
      </c>
      <c r="AA94" s="3">
        <v>27380</v>
      </c>
      <c r="AB94" s="3">
        <v>26980</v>
      </c>
      <c r="AC94" s="3">
        <v>15730</v>
      </c>
      <c r="AD94" s="3">
        <v>28620</v>
      </c>
      <c r="AE94" s="3">
        <v>239840</v>
      </c>
      <c r="AF94" s="3">
        <v>296453.32</v>
      </c>
      <c r="AG94" s="3">
        <v>1447.66</v>
      </c>
      <c r="AH94" s="40">
        <v>0.62990000000000002</v>
      </c>
      <c r="AI94" s="40">
        <v>0.62609999999999999</v>
      </c>
      <c r="AJ94" s="40">
        <v>0.64280000000000004</v>
      </c>
      <c r="AK94" s="40">
        <v>0.65259999999999996</v>
      </c>
      <c r="AL94" s="40">
        <v>0.68789999999999996</v>
      </c>
      <c r="AM94" s="40">
        <v>0.88019999999999998</v>
      </c>
      <c r="AN94" s="40">
        <v>0.874</v>
      </c>
      <c r="AO94" s="40">
        <v>0.83299999999999996</v>
      </c>
      <c r="AP94" s="40">
        <v>0.86660000000000004</v>
      </c>
      <c r="AQ94" s="40">
        <v>0.88360000000000005</v>
      </c>
      <c r="AR94" s="31">
        <v>1.2521512866475699</v>
      </c>
      <c r="AS94" s="36">
        <v>3.6725717034186798</v>
      </c>
      <c r="AT94">
        <v>4.88</v>
      </c>
      <c r="AU94">
        <v>4.67</v>
      </c>
      <c r="AV94">
        <v>4.83</v>
      </c>
      <c r="AW94">
        <v>4.58</v>
      </c>
      <c r="AX94">
        <v>4.5199999999999996</v>
      </c>
      <c r="AY94" s="6">
        <v>4.6959999999999997</v>
      </c>
      <c r="AZ94" s="2">
        <v>0.75770000000000004</v>
      </c>
      <c r="BA94" s="2">
        <v>0.78206382100057004</v>
      </c>
      <c r="BB94" s="2">
        <v>0.98350000000000004</v>
      </c>
      <c r="BC94">
        <v>67570</v>
      </c>
      <c r="BD94">
        <v>53692</v>
      </c>
      <c r="BE94">
        <v>12000</v>
      </c>
      <c r="BF94">
        <v>26730</v>
      </c>
    </row>
    <row r="95" spans="3:59" ht="409.5" x14ac:dyDescent="0.25">
      <c r="C95" s="1">
        <v>45715</v>
      </c>
      <c r="D95" s="36">
        <v>266354.31289621699</v>
      </c>
      <c r="E95" s="33">
        <v>4.5857142857142899</v>
      </c>
      <c r="F95" s="33">
        <v>3.7589100000000002</v>
      </c>
      <c r="G95" s="2">
        <v>0.81969999999999998</v>
      </c>
      <c r="H95" s="2">
        <v>0.99</v>
      </c>
      <c r="I95" s="3">
        <v>0</v>
      </c>
      <c r="J95" s="3">
        <v>32414.25</v>
      </c>
      <c r="K95" s="3">
        <v>12019.03</v>
      </c>
      <c r="L95" s="3">
        <v>18471</v>
      </c>
      <c r="M95" s="3">
        <v>14865</v>
      </c>
      <c r="N95" s="3">
        <v>77769.279999999999</v>
      </c>
      <c r="O95" s="3">
        <v>337697</v>
      </c>
      <c r="P95" s="3">
        <v>259927.72</v>
      </c>
      <c r="Q95" s="3">
        <v>259927.72</v>
      </c>
      <c r="R95" s="3">
        <v>337697</v>
      </c>
      <c r="S95" s="3">
        <v>337697</v>
      </c>
      <c r="T95" s="3">
        <v>336177.36349999998</v>
      </c>
      <c r="U95" s="3">
        <v>17920</v>
      </c>
      <c r="V95" s="3">
        <v>17680</v>
      </c>
      <c r="W95" s="3">
        <v>16270</v>
      </c>
      <c r="X95" s="3">
        <v>20520</v>
      </c>
      <c r="Y95" s="3">
        <v>20720</v>
      </c>
      <c r="Z95" s="3">
        <v>35640</v>
      </c>
      <c r="AA95" s="3">
        <v>29450</v>
      </c>
      <c r="AB95" s="3">
        <v>29060</v>
      </c>
      <c r="AC95" s="3">
        <v>16950</v>
      </c>
      <c r="AD95" s="3">
        <v>30150</v>
      </c>
      <c r="AE95" s="3">
        <v>234360</v>
      </c>
      <c r="AF95" s="3">
        <v>494287.72</v>
      </c>
      <c r="AG95" s="3">
        <v>1379.22</v>
      </c>
      <c r="AH95" s="40">
        <v>0.497</v>
      </c>
      <c r="AI95" s="40">
        <v>0.4904</v>
      </c>
      <c r="AJ95" s="40">
        <v>0.50760000000000005</v>
      </c>
      <c r="AK95" s="40">
        <v>0.48959999999999998</v>
      </c>
      <c r="AL95" s="40">
        <v>0.51500000000000001</v>
      </c>
      <c r="AM95" s="40">
        <v>0.81140000000000001</v>
      </c>
      <c r="AN95" s="40">
        <v>0.82040000000000002</v>
      </c>
      <c r="AO95" s="40">
        <v>0.76390000000000002</v>
      </c>
      <c r="AP95" s="40">
        <v>0.81489999999999996</v>
      </c>
      <c r="AQ95" s="40">
        <v>0.79249999999999998</v>
      </c>
      <c r="AR95" s="31">
        <v>3.01352924959573</v>
      </c>
      <c r="AS95" s="36">
        <v>4.9977356815154703</v>
      </c>
      <c r="AT95">
        <v>5.34</v>
      </c>
      <c r="AU95">
        <v>5.49</v>
      </c>
      <c r="AV95">
        <v>5.5</v>
      </c>
      <c r="AW95">
        <v>5.28</v>
      </c>
      <c r="AX95">
        <v>5.18</v>
      </c>
      <c r="AY95" s="6">
        <v>5.3579999999999997</v>
      </c>
      <c r="AZ95" s="2">
        <v>0.65029999999999999</v>
      </c>
      <c r="BA95" s="2">
        <v>0.93276141872255802</v>
      </c>
      <c r="BB95" s="2">
        <v>0.99550000000000005</v>
      </c>
      <c r="BC95">
        <v>67570</v>
      </c>
      <c r="BD95">
        <v>53692</v>
      </c>
      <c r="BE95">
        <v>12000</v>
      </c>
      <c r="BF95">
        <v>26730</v>
      </c>
      <c r="BG95" s="9" t="s">
        <v>116</v>
      </c>
    </row>
    <row r="96" spans="3:59" x14ac:dyDescent="0.25">
      <c r="C96" s="1">
        <v>45716</v>
      </c>
      <c r="D96" s="36">
        <v>266354.31289621699</v>
      </c>
      <c r="E96" s="33">
        <v>4.5857142857142899</v>
      </c>
      <c r="F96" s="33">
        <v>3.7589100000000002</v>
      </c>
      <c r="G96" s="2">
        <v>0.81969999999999998</v>
      </c>
      <c r="H96" s="2">
        <v>0.99</v>
      </c>
      <c r="I96" s="3">
        <v>0</v>
      </c>
      <c r="J96" s="3">
        <v>106719.75</v>
      </c>
      <c r="K96" s="3">
        <v>48361</v>
      </c>
      <c r="L96" s="3">
        <v>56381.5</v>
      </c>
      <c r="M96" s="3">
        <v>49264</v>
      </c>
      <c r="N96" s="3">
        <v>260726.25</v>
      </c>
      <c r="O96" s="3">
        <v>327749.67</v>
      </c>
      <c r="P96" s="3">
        <v>67023.42</v>
      </c>
      <c r="Q96" s="3">
        <v>67023.42</v>
      </c>
      <c r="R96" s="3">
        <v>327749.67</v>
      </c>
      <c r="S96" s="3">
        <v>327749.67</v>
      </c>
      <c r="T96" s="3">
        <v>321030.80176499998</v>
      </c>
      <c r="U96" s="3">
        <v>21900</v>
      </c>
      <c r="V96" s="3">
        <v>21460</v>
      </c>
      <c r="W96" s="3">
        <v>19920</v>
      </c>
      <c r="X96" s="3">
        <v>25070</v>
      </c>
      <c r="Y96" s="3">
        <v>25290</v>
      </c>
      <c r="Z96" s="3">
        <v>43010</v>
      </c>
      <c r="AA96" s="3">
        <v>34480</v>
      </c>
      <c r="AB96" s="3">
        <v>32670</v>
      </c>
      <c r="AC96" s="3">
        <v>21390</v>
      </c>
      <c r="AD96" s="3">
        <v>35500</v>
      </c>
      <c r="AE96" s="3">
        <v>280690</v>
      </c>
      <c r="AF96" s="3">
        <v>347713.42</v>
      </c>
      <c r="AG96" s="3">
        <v>1322.69</v>
      </c>
      <c r="AH96" s="40">
        <v>0.48060000000000003</v>
      </c>
      <c r="AI96" s="40">
        <v>0.47099999999999997</v>
      </c>
      <c r="AJ96" s="40">
        <v>0.49180000000000001</v>
      </c>
      <c r="AK96" s="40">
        <v>0.49619999999999997</v>
      </c>
      <c r="AL96" s="40">
        <v>0.51929999999999998</v>
      </c>
      <c r="AM96" s="40">
        <v>0.8246</v>
      </c>
      <c r="AN96" s="40">
        <v>0.79220000000000002</v>
      </c>
      <c r="AO96" s="40">
        <v>0.72309999999999997</v>
      </c>
      <c r="AP96" s="40">
        <v>0.84809999999999997</v>
      </c>
      <c r="AQ96" s="40">
        <v>0.78559999999999997</v>
      </c>
      <c r="AR96" s="31">
        <v>1.0765697738528399</v>
      </c>
      <c r="AS96" s="36">
        <v>4.8505204972621003</v>
      </c>
      <c r="AT96">
        <v>6.75</v>
      </c>
      <c r="AU96">
        <v>6.52</v>
      </c>
      <c r="AV96">
        <v>6.63</v>
      </c>
      <c r="AW96">
        <v>6.39</v>
      </c>
      <c r="AX96">
        <v>6.28</v>
      </c>
      <c r="AY96" s="6">
        <v>6.5140000000000002</v>
      </c>
      <c r="AZ96" s="2">
        <v>0.64329999999999998</v>
      </c>
      <c r="BA96" s="2">
        <v>0.74463010397023299</v>
      </c>
      <c r="BB96" s="2">
        <v>0.97950000000000004</v>
      </c>
      <c r="BC96">
        <v>67570</v>
      </c>
      <c r="BD96">
        <v>53692</v>
      </c>
      <c r="BE96">
        <v>12000</v>
      </c>
      <c r="BF96">
        <v>26730</v>
      </c>
      <c r="BG96" t="s">
        <v>115</v>
      </c>
    </row>
    <row r="97" spans="3:59" x14ac:dyDescent="0.25">
      <c r="C97" s="1">
        <v>45717</v>
      </c>
      <c r="D97" s="36">
        <v>267184.07711084699</v>
      </c>
      <c r="E97" s="33">
        <v>4.5999999999999996</v>
      </c>
      <c r="F97" s="33">
        <v>3.7706200000000001</v>
      </c>
      <c r="G97" s="2">
        <v>0.81969999999999998</v>
      </c>
      <c r="H97" s="2">
        <v>0.99</v>
      </c>
      <c r="I97" s="3">
        <v>0</v>
      </c>
      <c r="J97" s="3">
        <v>94944</v>
      </c>
      <c r="K97" s="3">
        <v>43344.62</v>
      </c>
      <c r="L97" s="3">
        <v>48507.5</v>
      </c>
      <c r="M97" s="3">
        <v>42076</v>
      </c>
      <c r="N97" s="3">
        <v>228872.12</v>
      </c>
      <c r="O97" s="3">
        <v>296272.67</v>
      </c>
      <c r="P97" s="3">
        <v>67400.55</v>
      </c>
      <c r="Q97" s="3">
        <v>67400.55</v>
      </c>
      <c r="R97" s="3">
        <v>296272.67</v>
      </c>
      <c r="S97" s="3">
        <v>296272.67</v>
      </c>
      <c r="T97" s="3">
        <v>289606.53492499999</v>
      </c>
      <c r="U97" s="3">
        <v>18120</v>
      </c>
      <c r="V97" s="3">
        <v>17790</v>
      </c>
      <c r="W97" s="3">
        <v>16510</v>
      </c>
      <c r="X97" s="3">
        <v>20610</v>
      </c>
      <c r="Y97" s="3">
        <v>21060</v>
      </c>
      <c r="Z97" s="3">
        <v>35140</v>
      </c>
      <c r="AA97" s="3">
        <v>27040</v>
      </c>
      <c r="AB97" s="3">
        <v>25190</v>
      </c>
      <c r="AC97" s="3">
        <v>17880</v>
      </c>
      <c r="AD97" s="3">
        <v>27340</v>
      </c>
      <c r="AE97" s="3">
        <v>226680</v>
      </c>
      <c r="AF97" s="3">
        <v>294080.55</v>
      </c>
      <c r="AG97" s="3">
        <v>1523.06</v>
      </c>
      <c r="AH97" s="40">
        <v>0.52649999999999997</v>
      </c>
      <c r="AI97" s="40">
        <v>0.51680000000000004</v>
      </c>
      <c r="AJ97" s="40">
        <v>0.53939999999999999</v>
      </c>
      <c r="AK97" s="40">
        <v>0.52529999999999999</v>
      </c>
      <c r="AL97" s="40">
        <v>0.51759999999999995</v>
      </c>
      <c r="AM97" s="40">
        <v>0.83509999999999995</v>
      </c>
      <c r="AN97" s="40">
        <v>0.70809999999999995</v>
      </c>
      <c r="AO97" s="40">
        <v>0.69099999999999995</v>
      </c>
      <c r="AP97" s="40">
        <v>0.80810000000000004</v>
      </c>
      <c r="AQ97" s="40">
        <v>0.75009999999999999</v>
      </c>
      <c r="AR97" s="31">
        <v>0.99042207499978596</v>
      </c>
      <c r="AS97" s="36">
        <v>4.3846776676039703</v>
      </c>
      <c r="AT97">
        <v>5.0999999999999996</v>
      </c>
      <c r="AU97">
        <v>5.26</v>
      </c>
      <c r="AV97">
        <v>5.15</v>
      </c>
      <c r="AW97">
        <v>5.34</v>
      </c>
      <c r="AX97">
        <v>5.51</v>
      </c>
      <c r="AY97" s="6">
        <v>5.2720000000000002</v>
      </c>
      <c r="AZ97" s="2">
        <v>0.64180000000000004</v>
      </c>
      <c r="BA97" s="2">
        <v>0.83169151509938699</v>
      </c>
      <c r="BB97" s="2">
        <v>0.97750000000000004</v>
      </c>
      <c r="BC97">
        <v>67570</v>
      </c>
      <c r="BD97">
        <v>53692</v>
      </c>
      <c r="BE97">
        <v>12000</v>
      </c>
      <c r="BF97">
        <v>26730</v>
      </c>
    </row>
    <row r="98" spans="3:59" x14ac:dyDescent="0.25">
      <c r="C98" s="1">
        <v>45718</v>
      </c>
      <c r="D98" s="36">
        <v>267184.07711084699</v>
      </c>
      <c r="E98" s="33">
        <v>4.5999999999999996</v>
      </c>
      <c r="F98" s="33">
        <v>3.7706200000000001</v>
      </c>
      <c r="G98" s="2">
        <v>0.81969999999999998</v>
      </c>
      <c r="H98" s="2">
        <v>0.99</v>
      </c>
      <c r="I98" s="3">
        <v>0</v>
      </c>
      <c r="J98" s="3">
        <v>106051.75</v>
      </c>
      <c r="K98" s="3">
        <v>42359.25</v>
      </c>
      <c r="L98" s="3">
        <v>50324</v>
      </c>
      <c r="M98" s="3">
        <v>43456</v>
      </c>
      <c r="N98" s="3">
        <v>242191</v>
      </c>
      <c r="O98" s="3">
        <v>283379.67</v>
      </c>
      <c r="P98" s="3">
        <v>41188.67</v>
      </c>
      <c r="Q98" s="3">
        <v>41188.67</v>
      </c>
      <c r="R98" s="3">
        <v>283379.67</v>
      </c>
      <c r="S98" s="3">
        <v>283379.67</v>
      </c>
      <c r="T98" s="3">
        <v>277003.62742500001</v>
      </c>
      <c r="U98" s="3">
        <v>19770</v>
      </c>
      <c r="V98" s="3">
        <v>19200</v>
      </c>
      <c r="W98" s="3">
        <v>17990</v>
      </c>
      <c r="X98" s="3">
        <v>22640</v>
      </c>
      <c r="Y98" s="3">
        <v>22970</v>
      </c>
      <c r="Z98" s="3">
        <v>33040</v>
      </c>
      <c r="AA98" s="3">
        <v>25210</v>
      </c>
      <c r="AB98" s="3">
        <v>23250</v>
      </c>
      <c r="AC98" s="3">
        <v>16540</v>
      </c>
      <c r="AD98" s="3">
        <v>25910</v>
      </c>
      <c r="AE98" s="3">
        <v>226520</v>
      </c>
      <c r="AF98" s="3">
        <v>267708.67</v>
      </c>
      <c r="AG98" s="3">
        <v>1260.31</v>
      </c>
      <c r="AH98" s="40">
        <v>0.6129</v>
      </c>
      <c r="AI98" s="40">
        <v>0.59519999999999995</v>
      </c>
      <c r="AJ98" s="40">
        <v>0.62739999999999996</v>
      </c>
      <c r="AK98" s="40">
        <v>0.63900000000000001</v>
      </c>
      <c r="AL98" s="40">
        <v>0.64419999999999999</v>
      </c>
      <c r="AM98" s="40">
        <v>0.8881</v>
      </c>
      <c r="AN98" s="40">
        <v>0.78569999999999995</v>
      </c>
      <c r="AO98" s="40">
        <v>0.72130000000000005</v>
      </c>
      <c r="AP98" s="40">
        <v>0.88949999999999996</v>
      </c>
      <c r="AQ98" s="40">
        <v>0.80389999999999995</v>
      </c>
      <c r="AR98" s="31">
        <v>0.93529487057735405</v>
      </c>
      <c r="AS98" s="36">
        <v>4.1938681367470796</v>
      </c>
      <c r="AT98">
        <v>4.78</v>
      </c>
      <c r="AU98">
        <v>4.6500000000000004</v>
      </c>
      <c r="AV98">
        <v>4.6500000000000004</v>
      </c>
      <c r="AW98">
        <v>4.68</v>
      </c>
      <c r="AX98">
        <v>4.63</v>
      </c>
      <c r="AY98" s="6">
        <v>4.6779999999999999</v>
      </c>
      <c r="AZ98" s="2">
        <v>0.72070000000000001</v>
      </c>
      <c r="BA98" s="2">
        <v>0.89650879366119696</v>
      </c>
      <c r="BB98" s="2">
        <v>0.97750000000000004</v>
      </c>
      <c r="BC98">
        <v>67570</v>
      </c>
      <c r="BD98">
        <v>53692</v>
      </c>
      <c r="BE98">
        <v>12000</v>
      </c>
      <c r="BF98">
        <v>26730</v>
      </c>
    </row>
    <row r="99" spans="3:59" x14ac:dyDescent="0.25">
      <c r="C99" s="1">
        <v>45719</v>
      </c>
      <c r="D99" s="36">
        <v>267184.07711084699</v>
      </c>
      <c r="E99" s="33">
        <v>4.5999999999999996</v>
      </c>
      <c r="F99" s="33">
        <v>3.7706200000000001</v>
      </c>
      <c r="G99" s="2">
        <v>0.81969999999999998</v>
      </c>
      <c r="H99" s="2">
        <v>0.99</v>
      </c>
      <c r="I99" s="3">
        <v>0</v>
      </c>
      <c r="J99" s="3">
        <v>95312.25</v>
      </c>
      <c r="K99" s="3">
        <v>36035.5</v>
      </c>
      <c r="L99" s="3">
        <v>45620.5</v>
      </c>
      <c r="M99" s="3">
        <v>39039</v>
      </c>
      <c r="N99" s="3">
        <v>216007.25</v>
      </c>
      <c r="O99" s="3">
        <v>244905.17</v>
      </c>
      <c r="P99" s="3">
        <v>28897.919999999998</v>
      </c>
      <c r="Q99" s="3">
        <v>28897.919999999998</v>
      </c>
      <c r="R99" s="3">
        <v>244905.17</v>
      </c>
      <c r="S99" s="3">
        <v>244905.17</v>
      </c>
      <c r="T99" s="3">
        <v>239394.803675</v>
      </c>
      <c r="U99" s="3">
        <v>20510</v>
      </c>
      <c r="V99" s="3">
        <v>19660</v>
      </c>
      <c r="W99" s="3">
        <v>18700</v>
      </c>
      <c r="X99" s="3">
        <v>23450</v>
      </c>
      <c r="Y99" s="3">
        <v>23900</v>
      </c>
      <c r="Z99" s="3">
        <v>34400</v>
      </c>
      <c r="AA99" s="3">
        <v>25530</v>
      </c>
      <c r="AB99" s="3">
        <v>23860</v>
      </c>
      <c r="AC99" s="3">
        <v>17860</v>
      </c>
      <c r="AD99" s="3">
        <v>26700</v>
      </c>
      <c r="AE99" s="3">
        <v>234570</v>
      </c>
      <c r="AF99" s="3">
        <v>263467.92</v>
      </c>
      <c r="AG99" s="3">
        <v>1364.98</v>
      </c>
      <c r="AH99" s="40">
        <v>0.64780000000000004</v>
      </c>
      <c r="AI99" s="40">
        <v>0.62090000000000001</v>
      </c>
      <c r="AJ99" s="40">
        <v>0.66420000000000001</v>
      </c>
      <c r="AK99" s="40">
        <v>0.62170000000000003</v>
      </c>
      <c r="AL99" s="40">
        <v>0.62980000000000003</v>
      </c>
      <c r="AM99" s="40">
        <v>0.8901</v>
      </c>
      <c r="AN99" s="40">
        <v>0.79379999999999995</v>
      </c>
      <c r="AO99" s="40">
        <v>0.7127</v>
      </c>
      <c r="AP99" s="40">
        <v>0.95860000000000001</v>
      </c>
      <c r="AQ99" s="40">
        <v>0.79749999999999999</v>
      </c>
      <c r="AR99" s="31">
        <v>1.0859357729890999</v>
      </c>
      <c r="AS99" s="36">
        <v>3.62446603522273</v>
      </c>
      <c r="AT99">
        <v>4.6399999999999997</v>
      </c>
      <c r="AU99">
        <v>4.9800000000000004</v>
      </c>
      <c r="AV99">
        <v>4.83</v>
      </c>
      <c r="AW99">
        <v>4.95</v>
      </c>
      <c r="AX99">
        <v>4.6900000000000004</v>
      </c>
      <c r="AY99" s="6">
        <v>4.8179999999999996</v>
      </c>
      <c r="AZ99" s="2">
        <v>0.73370000000000002</v>
      </c>
      <c r="BA99" s="2">
        <v>0.75227605546341503</v>
      </c>
      <c r="BB99" s="2">
        <v>0.97750000000000004</v>
      </c>
      <c r="BC99">
        <v>67570</v>
      </c>
      <c r="BD99">
        <v>53692</v>
      </c>
      <c r="BE99">
        <v>12000</v>
      </c>
      <c r="BF99">
        <v>26730</v>
      </c>
    </row>
    <row r="100" spans="3:59" x14ac:dyDescent="0.25">
      <c r="C100" s="1">
        <v>45720</v>
      </c>
      <c r="D100" s="36">
        <v>267184.07711084699</v>
      </c>
      <c r="E100" s="33">
        <v>4.5999999999999996</v>
      </c>
      <c r="F100" s="33">
        <v>3.7706200000000001</v>
      </c>
      <c r="G100" s="2">
        <v>0.81969999999999998</v>
      </c>
      <c r="H100" s="2">
        <v>0.99</v>
      </c>
      <c r="I100" s="3">
        <v>0</v>
      </c>
      <c r="J100" s="3">
        <v>98275</v>
      </c>
      <c r="K100" s="3">
        <v>36422.5</v>
      </c>
      <c r="L100" s="3">
        <v>45670.75</v>
      </c>
      <c r="M100" s="3">
        <v>39618</v>
      </c>
      <c r="N100" s="3">
        <v>219986.25</v>
      </c>
      <c r="O100" s="3">
        <v>245305</v>
      </c>
      <c r="P100" s="3">
        <v>25318.75</v>
      </c>
      <c r="Q100" s="3">
        <v>25318.75</v>
      </c>
      <c r="R100" s="3">
        <v>245305</v>
      </c>
      <c r="S100" s="3">
        <v>245305</v>
      </c>
      <c r="T100" s="3">
        <v>239785.63750000001</v>
      </c>
      <c r="U100" s="3">
        <v>16820</v>
      </c>
      <c r="V100" s="3">
        <v>16310</v>
      </c>
      <c r="W100" s="3">
        <v>15370</v>
      </c>
      <c r="X100" s="3">
        <v>19420</v>
      </c>
      <c r="Y100" s="3">
        <v>19740</v>
      </c>
      <c r="Z100" s="3">
        <v>27340</v>
      </c>
      <c r="AA100" s="3">
        <v>20710</v>
      </c>
      <c r="AB100" s="3">
        <v>19320</v>
      </c>
      <c r="AC100" s="3">
        <v>13570</v>
      </c>
      <c r="AD100" s="3">
        <v>21910</v>
      </c>
      <c r="AE100" s="3">
        <v>190510</v>
      </c>
      <c r="AF100" s="3">
        <v>215828.75</v>
      </c>
      <c r="AG100" s="3">
        <v>1568.06</v>
      </c>
      <c r="AH100" s="40">
        <v>0.66249999999999998</v>
      </c>
      <c r="AI100" s="40">
        <v>0.64249999999999996</v>
      </c>
      <c r="AJ100" s="40">
        <v>0.68130000000000002</v>
      </c>
      <c r="AK100" s="40">
        <v>0.67949999999999999</v>
      </c>
      <c r="AL100" s="40">
        <v>0.6946</v>
      </c>
      <c r="AM100" s="40">
        <v>0.91120000000000001</v>
      </c>
      <c r="AN100" s="40">
        <v>0.79679999999999995</v>
      </c>
      <c r="AO100" s="40">
        <v>0.74350000000000005</v>
      </c>
      <c r="AP100" s="40">
        <v>0.90110000000000001</v>
      </c>
      <c r="AQ100" s="40">
        <v>0.84289999999999998</v>
      </c>
      <c r="AR100" s="31">
        <v>0.86600867099648304</v>
      </c>
      <c r="AS100" s="36">
        <v>3.6303833062009798</v>
      </c>
      <c r="AT100">
        <v>3.76</v>
      </c>
      <c r="AU100">
        <v>3.75</v>
      </c>
      <c r="AV100">
        <v>3.75</v>
      </c>
      <c r="AW100">
        <v>3.73</v>
      </c>
      <c r="AX100">
        <v>3.75</v>
      </c>
      <c r="AY100" s="6">
        <v>3.7480000000000002</v>
      </c>
      <c r="AZ100" s="2">
        <v>0.75560000000000005</v>
      </c>
      <c r="BA100" s="2">
        <v>0.968618811686493</v>
      </c>
      <c r="BB100" s="2">
        <v>0.97750000000000004</v>
      </c>
      <c r="BC100">
        <v>67570</v>
      </c>
      <c r="BD100">
        <v>53692</v>
      </c>
      <c r="BE100">
        <v>12000</v>
      </c>
      <c r="BF100">
        <v>26730</v>
      </c>
    </row>
    <row r="101" spans="3:59" x14ac:dyDescent="0.25">
      <c r="C101" s="1">
        <v>45721</v>
      </c>
      <c r="D101" s="36">
        <v>267184.07711084699</v>
      </c>
      <c r="E101" s="33">
        <v>4.5999999999999996</v>
      </c>
      <c r="F101" s="33">
        <v>3.7706200000000001</v>
      </c>
      <c r="G101" s="2">
        <v>0.81969999999999998</v>
      </c>
      <c r="H101" s="2">
        <v>0.99</v>
      </c>
      <c r="I101" s="3">
        <v>0</v>
      </c>
      <c r="J101" s="3">
        <v>92166.5</v>
      </c>
      <c r="K101" s="3">
        <v>31935.75</v>
      </c>
      <c r="L101" s="3">
        <v>41940</v>
      </c>
      <c r="M101" s="3">
        <v>35463</v>
      </c>
      <c r="N101" s="3">
        <v>201505.25</v>
      </c>
      <c r="O101" s="3">
        <v>211033.67</v>
      </c>
      <c r="P101" s="3">
        <v>9528.4200000000092</v>
      </c>
      <c r="Q101" s="3">
        <v>9528.4200000000092</v>
      </c>
      <c r="R101" s="3">
        <v>211033.67</v>
      </c>
      <c r="S101" s="3">
        <v>211033.67</v>
      </c>
      <c r="T101" s="3">
        <v>206285.41242499999</v>
      </c>
      <c r="U101" s="3">
        <v>18120</v>
      </c>
      <c r="V101" s="3">
        <v>17320</v>
      </c>
      <c r="W101" s="3">
        <v>16490</v>
      </c>
      <c r="X101" s="3">
        <v>20690</v>
      </c>
      <c r="Y101" s="3">
        <v>21180</v>
      </c>
      <c r="Z101" s="3">
        <v>26570</v>
      </c>
      <c r="AA101" s="3">
        <v>19900</v>
      </c>
      <c r="AB101" s="3">
        <v>18550</v>
      </c>
      <c r="AC101" s="3">
        <v>13760</v>
      </c>
      <c r="AD101" s="3">
        <v>20830</v>
      </c>
      <c r="AE101" s="3">
        <v>193410</v>
      </c>
      <c r="AF101" s="3">
        <v>202938.42</v>
      </c>
      <c r="AG101" s="3">
        <v>1570.33</v>
      </c>
      <c r="AH101" s="40">
        <v>0.67789999999999995</v>
      </c>
      <c r="AI101" s="40">
        <v>0.64800000000000002</v>
      </c>
      <c r="AJ101" s="40">
        <v>0.69389999999999996</v>
      </c>
      <c r="AK101" s="40">
        <v>0.64180000000000004</v>
      </c>
      <c r="AL101" s="40">
        <v>0.67800000000000005</v>
      </c>
      <c r="AM101" s="40">
        <v>0.77239999999999998</v>
      </c>
      <c r="AN101" s="40">
        <v>0.71799999999999997</v>
      </c>
      <c r="AO101" s="40">
        <v>0.62260000000000004</v>
      </c>
      <c r="AP101" s="40">
        <v>0.85660000000000003</v>
      </c>
      <c r="AQ101" s="40">
        <v>0.69889999999999997</v>
      </c>
      <c r="AR101" s="31">
        <v>0.95982610874902796</v>
      </c>
      <c r="AS101" s="36">
        <v>3.1231858813082698</v>
      </c>
      <c r="AT101">
        <v>3.96</v>
      </c>
      <c r="AU101">
        <v>4.3</v>
      </c>
      <c r="AV101">
        <v>4.2300000000000004</v>
      </c>
      <c r="AW101">
        <v>4.0999999999999996</v>
      </c>
      <c r="AX101">
        <v>4</v>
      </c>
      <c r="AY101" s="6">
        <v>4.1180000000000003</v>
      </c>
      <c r="AZ101" s="2">
        <v>0.70079999999999998</v>
      </c>
      <c r="BA101" s="2">
        <v>0.75842299206126096</v>
      </c>
      <c r="BB101" s="2">
        <v>0.97750000000000004</v>
      </c>
      <c r="BC101">
        <v>67570</v>
      </c>
      <c r="BD101">
        <v>53692</v>
      </c>
      <c r="BE101">
        <v>8783</v>
      </c>
      <c r="BF101">
        <v>26730</v>
      </c>
    </row>
    <row r="102" spans="3:59" ht="315" x14ac:dyDescent="0.25">
      <c r="C102" s="1">
        <v>45722</v>
      </c>
      <c r="D102" s="36">
        <v>267184.07711084699</v>
      </c>
      <c r="E102" s="33">
        <v>4.5999999999999996</v>
      </c>
      <c r="F102" s="33">
        <v>3.7706200000000001</v>
      </c>
      <c r="G102" s="2">
        <v>0.81969999999999998</v>
      </c>
      <c r="H102" s="2">
        <v>0.99</v>
      </c>
      <c r="I102" s="3">
        <v>15936</v>
      </c>
      <c r="J102" s="3">
        <v>24781</v>
      </c>
      <c r="K102" s="3">
        <v>26867.25</v>
      </c>
      <c r="L102" s="3">
        <v>36545.75</v>
      </c>
      <c r="M102" s="3">
        <v>30959</v>
      </c>
      <c r="N102" s="3">
        <v>135089</v>
      </c>
      <c r="O102" s="3">
        <v>209066.67</v>
      </c>
      <c r="P102" s="3">
        <v>73977.67</v>
      </c>
      <c r="Q102" s="3">
        <v>73977.67</v>
      </c>
      <c r="R102" s="3">
        <v>209066.67</v>
      </c>
      <c r="S102" s="3">
        <v>209066.67</v>
      </c>
      <c r="T102" s="3">
        <v>204362.66992499999</v>
      </c>
      <c r="U102" s="3">
        <v>10100</v>
      </c>
      <c r="V102" s="3">
        <v>10180</v>
      </c>
      <c r="W102" s="3">
        <v>9220</v>
      </c>
      <c r="X102" s="3">
        <v>11680</v>
      </c>
      <c r="Y102" s="3">
        <v>11850</v>
      </c>
      <c r="Z102" s="3">
        <v>29970</v>
      </c>
      <c r="AA102" s="3">
        <v>22080</v>
      </c>
      <c r="AB102" s="3">
        <v>21400</v>
      </c>
      <c r="AC102" s="3">
        <v>16230</v>
      </c>
      <c r="AD102" s="3">
        <v>24400</v>
      </c>
      <c r="AE102" s="3">
        <v>167110</v>
      </c>
      <c r="AF102" s="3">
        <v>241087.67</v>
      </c>
      <c r="AG102" s="3">
        <v>1552.33</v>
      </c>
      <c r="AH102" s="40">
        <v>0.3579</v>
      </c>
      <c r="AI102" s="40">
        <v>0.36070000000000002</v>
      </c>
      <c r="AJ102" s="40">
        <v>0.36770000000000003</v>
      </c>
      <c r="AK102" s="40">
        <v>0.33689999999999998</v>
      </c>
      <c r="AL102" s="40">
        <v>0.35659999999999997</v>
      </c>
      <c r="AM102" s="40">
        <v>0.86850000000000005</v>
      </c>
      <c r="AN102" s="40">
        <v>0.68669999999999998</v>
      </c>
      <c r="AO102" s="40">
        <v>0.8831</v>
      </c>
      <c r="AP102" s="40">
        <v>0.871</v>
      </c>
      <c r="AQ102" s="40">
        <v>0.74450000000000005</v>
      </c>
      <c r="AR102" s="31">
        <v>1.23703632420108</v>
      </c>
      <c r="AS102" s="36">
        <v>3.0940753292881502</v>
      </c>
      <c r="AT102">
        <v>4.18</v>
      </c>
      <c r="AU102">
        <v>4.4400000000000004</v>
      </c>
      <c r="AV102">
        <v>4.55</v>
      </c>
      <c r="AW102">
        <v>4.3600000000000003</v>
      </c>
      <c r="AX102">
        <v>4.6399999999999997</v>
      </c>
      <c r="AY102" s="6">
        <v>4.4340000000000002</v>
      </c>
      <c r="AZ102" s="2">
        <v>0.4768</v>
      </c>
      <c r="BA102" s="2">
        <v>0.69780679505821996</v>
      </c>
      <c r="BB102" s="2">
        <v>0.97750000000000004</v>
      </c>
      <c r="BC102">
        <v>67570</v>
      </c>
      <c r="BD102">
        <v>53692</v>
      </c>
      <c r="BE102">
        <v>12000</v>
      </c>
      <c r="BF102">
        <v>26730</v>
      </c>
      <c r="BG102" s="9" t="s">
        <v>117</v>
      </c>
    </row>
    <row r="103" spans="3:59" x14ac:dyDescent="0.25">
      <c r="C103" s="1">
        <v>45723</v>
      </c>
      <c r="D103" s="36">
        <v>267184.07711084699</v>
      </c>
      <c r="E103" s="33">
        <v>4.5999999999999996</v>
      </c>
      <c r="F103" s="33">
        <v>3.7706200000000001</v>
      </c>
      <c r="G103" s="2">
        <v>0.81969999999999998</v>
      </c>
      <c r="H103" s="2">
        <v>0.99</v>
      </c>
      <c r="I103" s="3">
        <v>94487.5</v>
      </c>
      <c r="J103" s="3">
        <v>0</v>
      </c>
      <c r="K103" s="3">
        <v>36774</v>
      </c>
      <c r="L103" s="3">
        <v>45938</v>
      </c>
      <c r="M103" s="3">
        <v>38120</v>
      </c>
      <c r="N103" s="3">
        <v>215319.5</v>
      </c>
      <c r="O103" s="3">
        <v>251826.67</v>
      </c>
      <c r="P103" s="3">
        <v>36507.17</v>
      </c>
      <c r="Q103" s="3">
        <v>36507.17</v>
      </c>
      <c r="R103" s="3">
        <v>251826.67</v>
      </c>
      <c r="S103" s="3">
        <v>251826.67</v>
      </c>
      <c r="T103" s="3">
        <v>246160.56992499999</v>
      </c>
      <c r="U103" s="3">
        <v>18160</v>
      </c>
      <c r="V103" s="3">
        <v>17930</v>
      </c>
      <c r="W103" s="3">
        <v>16560</v>
      </c>
      <c r="X103" s="3">
        <v>20930</v>
      </c>
      <c r="Y103" s="3">
        <v>21110</v>
      </c>
      <c r="Z103" s="3">
        <v>31270</v>
      </c>
      <c r="AA103" s="3">
        <v>23520</v>
      </c>
      <c r="AB103" s="3">
        <v>21770</v>
      </c>
      <c r="AC103" s="3">
        <v>15130</v>
      </c>
      <c r="AD103" s="3">
        <v>24400</v>
      </c>
      <c r="AE103" s="3">
        <v>210780</v>
      </c>
      <c r="AF103" s="3">
        <v>247287.17</v>
      </c>
      <c r="AG103" s="3">
        <v>1270.21</v>
      </c>
      <c r="AH103" s="40">
        <v>0.61270000000000002</v>
      </c>
      <c r="AI103" s="40">
        <v>0.60509999999999997</v>
      </c>
      <c r="AJ103" s="40">
        <v>0.62849999999999995</v>
      </c>
      <c r="AK103" s="40">
        <v>0.63300000000000001</v>
      </c>
      <c r="AL103" s="40">
        <v>0.65039999999999998</v>
      </c>
      <c r="AM103" s="40">
        <v>1</v>
      </c>
      <c r="AN103" s="40">
        <v>0.80430000000000001</v>
      </c>
      <c r="AO103" s="40">
        <v>0.87990000000000002</v>
      </c>
      <c r="AP103" s="40">
        <v>0.89290000000000003</v>
      </c>
      <c r="AQ103" s="40">
        <v>0.98619999999999997</v>
      </c>
      <c r="AR103" s="31">
        <v>0.978917376271076</v>
      </c>
      <c r="AS103" s="36">
        <v>3.7269005475802901</v>
      </c>
      <c r="AT103">
        <v>4.22</v>
      </c>
      <c r="AU103">
        <v>4.26</v>
      </c>
      <c r="AW103">
        <v>4.34</v>
      </c>
      <c r="AX103">
        <v>4.3899999999999997</v>
      </c>
      <c r="AY103" s="6">
        <v>4.3025000000000002</v>
      </c>
      <c r="AZ103" s="2">
        <v>0.77880000000000005</v>
      </c>
      <c r="BA103" s="2">
        <v>0.86621744278449397</v>
      </c>
      <c r="BB103" s="2">
        <v>0.97750000000000004</v>
      </c>
      <c r="BC103">
        <v>67570</v>
      </c>
      <c r="BD103">
        <v>53692</v>
      </c>
      <c r="BE103">
        <v>12000</v>
      </c>
      <c r="BF103">
        <v>26730</v>
      </c>
    </row>
    <row r="104" spans="3:59" x14ac:dyDescent="0.25">
      <c r="C104" s="1">
        <v>45724</v>
      </c>
      <c r="D104" s="36">
        <v>267184.07711084699</v>
      </c>
      <c r="E104" s="33">
        <v>4.5999999999999996</v>
      </c>
      <c r="F104" s="33">
        <v>3.7706200000000001</v>
      </c>
      <c r="G104" s="2">
        <v>0.81969999999999998</v>
      </c>
      <c r="H104" s="2">
        <v>0.99</v>
      </c>
      <c r="I104" s="3">
        <v>87084.5</v>
      </c>
      <c r="J104" s="3">
        <v>0</v>
      </c>
      <c r="K104" s="3">
        <v>30053</v>
      </c>
      <c r="L104" s="3">
        <v>38653.5</v>
      </c>
      <c r="M104" s="3">
        <v>32385</v>
      </c>
      <c r="N104" s="3">
        <v>188176</v>
      </c>
      <c r="O104" s="3">
        <v>180160</v>
      </c>
      <c r="P104" s="3">
        <v>-8016</v>
      </c>
      <c r="Q104" s="3">
        <v>0</v>
      </c>
      <c r="R104" s="3">
        <v>188176</v>
      </c>
      <c r="S104" s="3">
        <v>188176</v>
      </c>
      <c r="T104" s="3">
        <v>176736.96</v>
      </c>
      <c r="U104" s="3">
        <v>15000</v>
      </c>
      <c r="V104" s="3">
        <v>14540</v>
      </c>
      <c r="W104" s="3">
        <v>13430</v>
      </c>
      <c r="X104" s="3">
        <v>16940</v>
      </c>
      <c r="Y104" s="3">
        <v>17440</v>
      </c>
      <c r="Z104" s="3">
        <v>18810</v>
      </c>
      <c r="AA104" s="3">
        <v>15630</v>
      </c>
      <c r="AB104" s="3">
        <v>17450</v>
      </c>
      <c r="AC104" s="3">
        <v>9340</v>
      </c>
      <c r="AD104" s="3">
        <v>16460</v>
      </c>
      <c r="AE104" s="3">
        <v>155040</v>
      </c>
      <c r="AF104" s="3">
        <v>155040</v>
      </c>
      <c r="AG104" s="3">
        <v>1574.48</v>
      </c>
      <c r="AH104" s="40">
        <v>0.91449999999999998</v>
      </c>
      <c r="AI104" s="40">
        <v>0.88649999999999995</v>
      </c>
      <c r="AJ104" s="40">
        <v>0.92110000000000003</v>
      </c>
      <c r="AK104" s="40">
        <v>0.92630000000000001</v>
      </c>
      <c r="AL104" s="40">
        <v>0.94969999999999999</v>
      </c>
      <c r="AM104" s="40">
        <v>0.90429999999999999</v>
      </c>
      <c r="AN104" s="40">
        <v>0.94369999999999998</v>
      </c>
      <c r="AO104" s="40">
        <v>0.96850000000000003</v>
      </c>
      <c r="AP104" s="40">
        <v>0.97330000000000005</v>
      </c>
      <c r="AQ104" s="40">
        <v>0.91349999999999998</v>
      </c>
      <c r="AR104" s="31">
        <v>0.82390953150242296</v>
      </c>
      <c r="AS104" s="36">
        <v>2.7849045434364399</v>
      </c>
      <c r="AT104">
        <v>2.39</v>
      </c>
      <c r="AU104">
        <v>2.6</v>
      </c>
      <c r="AW104">
        <v>2.4</v>
      </c>
      <c r="AX104">
        <v>2.4300000000000002</v>
      </c>
      <c r="AY104" s="6">
        <v>2.4550000000000001</v>
      </c>
      <c r="AZ104" s="2">
        <v>0.93010000000000004</v>
      </c>
      <c r="BA104" s="2">
        <v>1.13438066942421</v>
      </c>
      <c r="BB104" s="2">
        <v>0.98099999999999998</v>
      </c>
      <c r="BC104">
        <v>67570</v>
      </c>
      <c r="BD104">
        <v>53692</v>
      </c>
      <c r="BE104">
        <v>9667</v>
      </c>
      <c r="BF104">
        <v>26730</v>
      </c>
    </row>
    <row r="105" spans="3:59" x14ac:dyDescent="0.25">
      <c r="C105" s="1">
        <v>45725</v>
      </c>
      <c r="D105" s="36">
        <v>267184.07711084699</v>
      </c>
      <c r="E105" s="33">
        <v>4.5999999999999996</v>
      </c>
      <c r="F105" s="33">
        <v>3.7706200000000001</v>
      </c>
      <c r="G105" s="2">
        <v>0.81969999999999998</v>
      </c>
      <c r="H105" s="2">
        <v>0.99</v>
      </c>
      <c r="I105" s="3">
        <v>648.5</v>
      </c>
      <c r="J105" s="3">
        <v>74740.5</v>
      </c>
      <c r="K105" s="3">
        <v>55013.5</v>
      </c>
      <c r="L105" s="3">
        <v>61600.5</v>
      </c>
      <c r="M105" s="3">
        <v>52811</v>
      </c>
      <c r="N105" s="3">
        <v>244814</v>
      </c>
      <c r="O105" s="3">
        <v>385873.5</v>
      </c>
      <c r="P105" s="3">
        <v>141059.5</v>
      </c>
      <c r="Q105" s="3">
        <v>141059.5</v>
      </c>
      <c r="R105" s="3">
        <v>385873.5</v>
      </c>
      <c r="S105" s="3">
        <v>385873.5</v>
      </c>
      <c r="T105" s="3">
        <v>385101.75300000003</v>
      </c>
      <c r="U105" s="3">
        <v>13650</v>
      </c>
      <c r="V105" s="3">
        <v>13550</v>
      </c>
      <c r="W105" s="3">
        <v>12400</v>
      </c>
      <c r="X105" s="3">
        <v>15790</v>
      </c>
      <c r="Y105" s="3">
        <v>15810</v>
      </c>
      <c r="Z105" s="3">
        <v>43100</v>
      </c>
      <c r="AA105" s="3">
        <v>36730</v>
      </c>
      <c r="AB105" s="3">
        <v>26510</v>
      </c>
      <c r="AC105" s="3">
        <v>21670</v>
      </c>
      <c r="AD105" s="3">
        <v>37670</v>
      </c>
      <c r="AE105" s="3">
        <v>236880</v>
      </c>
      <c r="AF105" s="3">
        <v>377939.5</v>
      </c>
      <c r="AG105" s="3">
        <v>1535.33</v>
      </c>
      <c r="AH105" s="40">
        <v>0.313</v>
      </c>
      <c r="AI105" s="40">
        <v>0.31069999999999998</v>
      </c>
      <c r="AJ105" s="40">
        <v>0.31979999999999997</v>
      </c>
      <c r="AK105" s="40">
        <v>0.30740000000000001</v>
      </c>
      <c r="AL105" s="40">
        <v>0.32119999999999999</v>
      </c>
      <c r="AM105" s="40">
        <v>1</v>
      </c>
      <c r="AN105" s="40">
        <v>0.79220000000000002</v>
      </c>
      <c r="AO105" s="40">
        <v>1</v>
      </c>
      <c r="AP105" s="40">
        <v>0.80669999999999997</v>
      </c>
      <c r="AQ105" s="40">
        <v>0.81240000000000001</v>
      </c>
      <c r="AR105" s="31">
        <v>0.96759172269559701</v>
      </c>
      <c r="AS105" s="36">
        <v>5.7107222140002998</v>
      </c>
      <c r="AT105">
        <v>6.69</v>
      </c>
      <c r="AU105">
        <v>6.46</v>
      </c>
      <c r="AW105">
        <v>6.74</v>
      </c>
      <c r="AX105">
        <v>6.46</v>
      </c>
      <c r="AY105" s="6">
        <v>6.5875000000000004</v>
      </c>
      <c r="AZ105" s="2">
        <v>0.65639999999999998</v>
      </c>
      <c r="BA105" s="2">
        <v>0.866902802884295</v>
      </c>
      <c r="BB105" s="2">
        <v>0.998</v>
      </c>
      <c r="BC105">
        <v>67570</v>
      </c>
      <c r="BD105">
        <v>53692</v>
      </c>
      <c r="BE105">
        <v>12000</v>
      </c>
      <c r="BF105">
        <v>26730</v>
      </c>
    </row>
    <row r="106" spans="3:59" x14ac:dyDescent="0.25">
      <c r="C106" s="1">
        <v>45726</v>
      </c>
      <c r="D106" s="36">
        <v>267184.07711084699</v>
      </c>
      <c r="E106" s="33">
        <v>4.5999999999999996</v>
      </c>
      <c r="F106" s="33">
        <v>3.7706200000000001</v>
      </c>
      <c r="G106" s="2">
        <v>0.81969999999999998</v>
      </c>
      <c r="H106" s="2">
        <v>0.99</v>
      </c>
      <c r="I106" s="3">
        <v>0</v>
      </c>
      <c r="J106" s="3">
        <v>83723</v>
      </c>
      <c r="K106" s="3">
        <v>36430.5</v>
      </c>
      <c r="L106" s="3">
        <v>45105.25</v>
      </c>
      <c r="M106" s="3">
        <v>36921</v>
      </c>
      <c r="N106" s="3">
        <v>202179.75</v>
      </c>
      <c r="O106" s="3">
        <v>247243.5</v>
      </c>
      <c r="P106" s="3">
        <v>45063.75</v>
      </c>
      <c r="Q106" s="3">
        <v>45063.75</v>
      </c>
      <c r="R106" s="3">
        <v>247243.5</v>
      </c>
      <c r="S106" s="3">
        <v>247243.5</v>
      </c>
      <c r="T106" s="3">
        <v>246749.01300000001</v>
      </c>
      <c r="U106" s="3">
        <v>19880</v>
      </c>
      <c r="V106" s="3">
        <v>19380</v>
      </c>
      <c r="W106" s="3">
        <v>18120</v>
      </c>
      <c r="X106" s="3">
        <v>22760</v>
      </c>
      <c r="Y106" s="3">
        <v>23300</v>
      </c>
      <c r="Z106" s="3">
        <v>36130</v>
      </c>
      <c r="AA106" s="3">
        <v>30310</v>
      </c>
      <c r="AB106" s="3">
        <v>30810</v>
      </c>
      <c r="AC106" s="3">
        <v>18860</v>
      </c>
      <c r="AD106" s="3">
        <v>31950</v>
      </c>
      <c r="AE106" s="3">
        <v>251500</v>
      </c>
      <c r="AF106" s="3">
        <v>296563.75</v>
      </c>
      <c r="AG106" s="3">
        <v>1579.55</v>
      </c>
      <c r="AH106" s="40">
        <v>0.54139999999999999</v>
      </c>
      <c r="AI106" s="40">
        <v>0.52780000000000005</v>
      </c>
      <c r="AJ106" s="40">
        <v>0.55520000000000003</v>
      </c>
      <c r="AK106" s="40">
        <v>0.54690000000000005</v>
      </c>
      <c r="AL106" s="40">
        <v>0.57369999999999999</v>
      </c>
      <c r="AM106" s="40">
        <v>1</v>
      </c>
      <c r="AN106" s="40">
        <v>0.82050000000000001</v>
      </c>
      <c r="AO106" s="40">
        <v>1</v>
      </c>
      <c r="AP106" s="40">
        <v>0.88119999999999998</v>
      </c>
      <c r="AQ106" s="40">
        <v>0.8649</v>
      </c>
      <c r="AR106" s="31">
        <v>1.24394258079753</v>
      </c>
      <c r="AS106" s="36">
        <v>3.6590720734053601</v>
      </c>
      <c r="AT106">
        <v>5.33</v>
      </c>
      <c r="AU106">
        <v>5.33</v>
      </c>
      <c r="AV106" s="6"/>
      <c r="AW106" s="6">
        <v>5.46</v>
      </c>
      <c r="AX106" s="6">
        <v>5.44</v>
      </c>
      <c r="AY106" s="6">
        <v>5.39</v>
      </c>
      <c r="AZ106" s="2">
        <v>0.78220000000000001</v>
      </c>
      <c r="BA106" s="2">
        <v>0.67886309339617001</v>
      </c>
      <c r="BB106" s="2">
        <v>0.998</v>
      </c>
      <c r="BC106">
        <v>67570</v>
      </c>
      <c r="BD106">
        <v>53692</v>
      </c>
      <c r="BE106">
        <v>12959</v>
      </c>
      <c r="BF106">
        <v>26730</v>
      </c>
    </row>
    <row r="107" spans="3:59" ht="409.5" x14ac:dyDescent="0.25">
      <c r="C107" s="1">
        <v>45727</v>
      </c>
      <c r="D107" s="36">
        <v>267184.07711084699</v>
      </c>
      <c r="E107" s="33">
        <v>4.5999999999999996</v>
      </c>
      <c r="F107" s="33">
        <v>3.7706200000000001</v>
      </c>
      <c r="G107" s="2">
        <v>0.81969999999999998</v>
      </c>
      <c r="H107" s="2">
        <v>0.99</v>
      </c>
      <c r="I107" s="3">
        <v>11934.5</v>
      </c>
      <c r="J107" s="3">
        <v>87436</v>
      </c>
      <c r="K107" s="3">
        <v>38634</v>
      </c>
      <c r="L107" s="3">
        <v>47447</v>
      </c>
      <c r="M107" s="3">
        <v>39998</v>
      </c>
      <c r="N107" s="3">
        <v>225449.5</v>
      </c>
      <c r="O107" s="3">
        <v>241783.67</v>
      </c>
      <c r="P107" s="3">
        <v>16334.17</v>
      </c>
      <c r="Q107" s="3">
        <v>16334.17</v>
      </c>
      <c r="R107" s="3">
        <v>241783.67</v>
      </c>
      <c r="S107" s="3">
        <v>241783.67</v>
      </c>
      <c r="T107" s="3">
        <v>241300.10266</v>
      </c>
      <c r="U107" s="3">
        <v>18160</v>
      </c>
      <c r="V107" s="3">
        <v>18080</v>
      </c>
      <c r="W107" s="3">
        <v>16430</v>
      </c>
      <c r="X107" s="3">
        <v>20860</v>
      </c>
      <c r="Y107" s="3">
        <v>20910</v>
      </c>
      <c r="Z107" s="3">
        <v>280</v>
      </c>
      <c r="AA107" s="3">
        <v>23810</v>
      </c>
      <c r="AB107" s="3">
        <v>23520</v>
      </c>
      <c r="AC107" s="3">
        <v>12760</v>
      </c>
      <c r="AD107" s="3">
        <v>24570</v>
      </c>
      <c r="AE107" s="3">
        <v>179380</v>
      </c>
      <c r="AF107" s="3">
        <v>195714.17</v>
      </c>
      <c r="AG107" s="3">
        <v>1326.67</v>
      </c>
      <c r="AH107" s="40">
        <v>0.6391</v>
      </c>
      <c r="AI107" s="40">
        <v>0.63629999999999998</v>
      </c>
      <c r="AJ107" s="40">
        <v>0.65029999999999999</v>
      </c>
      <c r="AK107" s="40">
        <v>0.6472</v>
      </c>
      <c r="AL107" s="40">
        <v>0.72219999999999995</v>
      </c>
      <c r="AM107" s="40">
        <v>9.9000000000000008E-3</v>
      </c>
      <c r="AN107" s="40">
        <v>0.91369999999999996</v>
      </c>
      <c r="AO107" s="40">
        <v>0.95079999999999998</v>
      </c>
      <c r="AP107" s="40">
        <v>0.84540000000000004</v>
      </c>
      <c r="AQ107" s="40">
        <v>0.94310000000000005</v>
      </c>
      <c r="AR107" s="31">
        <v>0.79565490276092898</v>
      </c>
      <c r="AS107" s="36">
        <v>3.5782694982980598</v>
      </c>
      <c r="AT107">
        <v>3.76</v>
      </c>
      <c r="AU107">
        <v>3.8</v>
      </c>
      <c r="AV107" s="6"/>
      <c r="AW107" s="6">
        <v>4.2300000000000004</v>
      </c>
      <c r="AX107" s="6">
        <v>4.21</v>
      </c>
      <c r="AY107" s="6">
        <v>4</v>
      </c>
      <c r="AZ107" s="2">
        <v>0.77200000000000002</v>
      </c>
      <c r="BA107" s="2">
        <v>0.89456737457451496</v>
      </c>
      <c r="BB107" s="2">
        <v>0.998</v>
      </c>
      <c r="BC107">
        <v>67570</v>
      </c>
      <c r="BD107">
        <v>53692</v>
      </c>
      <c r="BE107">
        <v>23103</v>
      </c>
      <c r="BF107">
        <v>26730</v>
      </c>
      <c r="BG107" s="9" t="s">
        <v>118</v>
      </c>
    </row>
    <row r="108" spans="3:59" ht="255" x14ac:dyDescent="0.25">
      <c r="C108" s="1">
        <v>45728</v>
      </c>
      <c r="D108" s="36">
        <v>267184.07711084699</v>
      </c>
      <c r="E108" s="33">
        <v>4.5999999999999996</v>
      </c>
      <c r="F108" s="33">
        <v>3.7706200000000001</v>
      </c>
      <c r="G108" s="2">
        <v>0.81969999999999998</v>
      </c>
      <c r="H108" s="2">
        <v>0.99</v>
      </c>
      <c r="I108" s="3">
        <v>40631</v>
      </c>
      <c r="J108" s="3">
        <v>40649</v>
      </c>
      <c r="K108" s="3">
        <v>24282</v>
      </c>
      <c r="L108" s="3">
        <v>33603.5</v>
      </c>
      <c r="M108" s="3">
        <v>29270</v>
      </c>
      <c r="N108" s="3">
        <v>168435.5</v>
      </c>
      <c r="O108" s="3">
        <v>152158.67000000001</v>
      </c>
      <c r="P108" s="3">
        <v>-16276.83</v>
      </c>
      <c r="Q108" s="3">
        <v>0</v>
      </c>
      <c r="R108" s="3">
        <v>168435.5</v>
      </c>
      <c r="S108" s="3">
        <v>168435.5</v>
      </c>
      <c r="T108" s="3">
        <v>151854.35266</v>
      </c>
      <c r="U108" s="3">
        <v>17500</v>
      </c>
      <c r="V108" s="3">
        <v>16450</v>
      </c>
      <c r="W108" s="3">
        <v>15730</v>
      </c>
      <c r="X108" s="3">
        <v>19400</v>
      </c>
      <c r="Y108" s="3">
        <v>20680</v>
      </c>
      <c r="Z108" s="3">
        <v>280</v>
      </c>
      <c r="AA108" s="3">
        <v>18920</v>
      </c>
      <c r="AB108" s="3">
        <v>18810</v>
      </c>
      <c r="AC108" s="3">
        <v>11330</v>
      </c>
      <c r="AD108" s="3">
        <v>19870</v>
      </c>
      <c r="AE108" s="3">
        <v>158970</v>
      </c>
      <c r="AF108" s="3">
        <v>158970</v>
      </c>
      <c r="AG108" s="3">
        <v>1360.94</v>
      </c>
      <c r="AH108" s="40">
        <v>0.84740000000000004</v>
      </c>
      <c r="AI108" s="40">
        <v>0.79659999999999997</v>
      </c>
      <c r="AJ108" s="40">
        <v>0.85699999999999998</v>
      </c>
      <c r="AK108" s="40">
        <v>0.82669999999999999</v>
      </c>
      <c r="AL108" s="40">
        <v>0.86140000000000005</v>
      </c>
      <c r="AM108" s="40">
        <v>9.9000000000000008E-3</v>
      </c>
      <c r="AN108" s="40">
        <v>0.86409999999999998</v>
      </c>
      <c r="AO108" s="40">
        <v>0.7601</v>
      </c>
      <c r="AP108" s="40">
        <v>0.89329999999999998</v>
      </c>
      <c r="AQ108" s="40">
        <v>0.90720000000000001</v>
      </c>
      <c r="AR108" s="31">
        <v>0.94380341436336201</v>
      </c>
      <c r="AS108" s="36">
        <v>2.49275566079621</v>
      </c>
      <c r="AT108">
        <v>3.16</v>
      </c>
      <c r="AU108">
        <v>3.15</v>
      </c>
      <c r="AV108" s="6"/>
      <c r="AW108" s="6">
        <v>3.08</v>
      </c>
      <c r="AX108" s="6">
        <v>3.06</v>
      </c>
      <c r="AY108" s="6">
        <v>3.1124999999999998</v>
      </c>
      <c r="AZ108" s="2">
        <v>0.84599999999999997</v>
      </c>
      <c r="BA108" s="2">
        <v>0.80088535286625295</v>
      </c>
      <c r="BB108" s="2">
        <v>0.998</v>
      </c>
      <c r="BC108">
        <v>67570</v>
      </c>
      <c r="BD108">
        <v>53692</v>
      </c>
      <c r="BE108">
        <v>23900</v>
      </c>
      <c r="BF108">
        <v>26730</v>
      </c>
      <c r="BG108" s="9" t="s">
        <v>119</v>
      </c>
    </row>
    <row r="109" spans="3:59" x14ac:dyDescent="0.25">
      <c r="C109" s="1">
        <v>45729</v>
      </c>
      <c r="D109" s="36">
        <v>267184.07711084699</v>
      </c>
      <c r="E109" s="33">
        <v>4.5999999999999996</v>
      </c>
      <c r="F109" s="33">
        <v>3.7706200000000001</v>
      </c>
      <c r="G109" s="2">
        <v>0.81969999999999998</v>
      </c>
      <c r="H109" s="2">
        <v>0.99</v>
      </c>
      <c r="I109" s="3">
        <v>54878.5</v>
      </c>
      <c r="J109" s="3">
        <v>54958.5</v>
      </c>
      <c r="K109" s="3">
        <v>33302.25</v>
      </c>
      <c r="L109" s="3">
        <v>41611</v>
      </c>
      <c r="M109" s="3">
        <v>39064</v>
      </c>
      <c r="N109" s="3">
        <v>223814.25</v>
      </c>
      <c r="O109" s="3">
        <v>196557</v>
      </c>
      <c r="P109" s="3">
        <v>-27257.25</v>
      </c>
      <c r="Q109" s="3">
        <v>0</v>
      </c>
      <c r="R109" s="3">
        <v>223814.25</v>
      </c>
      <c r="S109" s="3">
        <v>223814.25</v>
      </c>
      <c r="T109" s="3">
        <v>196163.886</v>
      </c>
      <c r="U109" s="3">
        <v>16350</v>
      </c>
      <c r="V109" s="3">
        <v>15780</v>
      </c>
      <c r="W109" s="3">
        <v>14770</v>
      </c>
      <c r="X109" s="3">
        <v>18370</v>
      </c>
      <c r="Y109" s="3">
        <v>19370</v>
      </c>
      <c r="Z109" s="3">
        <v>280</v>
      </c>
      <c r="AA109" s="3">
        <v>17090</v>
      </c>
      <c r="AB109" s="3">
        <v>16740</v>
      </c>
      <c r="AC109" s="3">
        <v>9550</v>
      </c>
      <c r="AD109" s="3">
        <v>17700</v>
      </c>
      <c r="AE109" s="3">
        <v>146000</v>
      </c>
      <c r="AF109" s="3">
        <v>146000</v>
      </c>
      <c r="AG109" s="3">
        <v>1313.27</v>
      </c>
      <c r="AH109" s="40">
        <v>0.93879999999999997</v>
      </c>
      <c r="AI109" s="40">
        <v>0.90610000000000002</v>
      </c>
      <c r="AJ109" s="40">
        <v>0.95430000000000004</v>
      </c>
      <c r="AK109" s="40">
        <v>0.9456</v>
      </c>
      <c r="AL109" s="40">
        <v>0.99280000000000002</v>
      </c>
      <c r="AM109" s="40">
        <v>9.9000000000000008E-3</v>
      </c>
      <c r="AN109" s="40">
        <v>0.97070000000000001</v>
      </c>
      <c r="AO109" s="40">
        <v>0.67669999999999997</v>
      </c>
      <c r="AP109" s="40">
        <v>0.93679999999999997</v>
      </c>
      <c r="AQ109" s="40">
        <v>0.99750000000000005</v>
      </c>
      <c r="AR109" s="31">
        <v>0.65232665033616</v>
      </c>
      <c r="AS109" s="36">
        <v>3.3123316560603802</v>
      </c>
      <c r="AT109">
        <v>2.54</v>
      </c>
      <c r="AU109">
        <v>2.56</v>
      </c>
      <c r="AV109" s="6"/>
      <c r="AW109" s="6">
        <v>2.5499999999999998</v>
      </c>
      <c r="AX109" s="6">
        <v>2.58</v>
      </c>
      <c r="AY109" s="6">
        <v>2.5575000000000001</v>
      </c>
      <c r="AZ109" s="2">
        <v>0.9244</v>
      </c>
      <c r="BA109" s="2">
        <v>1.2951443425456</v>
      </c>
      <c r="BB109" s="2">
        <v>0.998</v>
      </c>
      <c r="BC109">
        <v>67570</v>
      </c>
      <c r="BD109">
        <v>53692</v>
      </c>
      <c r="BE109">
        <v>17096</v>
      </c>
      <c r="BF109">
        <v>25263</v>
      </c>
    </row>
    <row r="110" spans="3:59" x14ac:dyDescent="0.25">
      <c r="C110" s="1">
        <v>45730</v>
      </c>
      <c r="D110" s="36">
        <v>267184.07711084699</v>
      </c>
      <c r="E110" s="33">
        <v>4.5999999999999996</v>
      </c>
      <c r="F110" s="33">
        <v>3.7706200000000001</v>
      </c>
      <c r="G110" s="2">
        <v>0.81969999999999998</v>
      </c>
      <c r="H110" s="2">
        <v>0.99</v>
      </c>
      <c r="I110" s="3">
        <v>16010</v>
      </c>
      <c r="J110" s="3">
        <v>71986.5</v>
      </c>
      <c r="K110" s="3">
        <v>34442.25</v>
      </c>
      <c r="L110" s="3">
        <v>41851.5</v>
      </c>
      <c r="M110" s="3">
        <v>35742</v>
      </c>
      <c r="N110" s="3">
        <v>200032.25</v>
      </c>
      <c r="O110" s="3">
        <v>256727.17</v>
      </c>
      <c r="P110" s="3">
        <v>56694.92</v>
      </c>
      <c r="Q110" s="3">
        <v>56694.92</v>
      </c>
      <c r="R110" s="3">
        <v>256727.17</v>
      </c>
      <c r="S110" s="3">
        <v>256727.17</v>
      </c>
      <c r="T110" s="3">
        <v>256213.71565999999</v>
      </c>
      <c r="U110" s="3">
        <v>19230</v>
      </c>
      <c r="V110" s="3">
        <v>18270</v>
      </c>
      <c r="W110" s="3">
        <v>17460</v>
      </c>
      <c r="X110" s="3">
        <v>21350</v>
      </c>
      <c r="Y110" s="3">
        <v>22400</v>
      </c>
      <c r="Z110" s="3">
        <v>280</v>
      </c>
      <c r="AA110" s="3">
        <v>25460</v>
      </c>
      <c r="AB110" s="3">
        <v>25830</v>
      </c>
      <c r="AC110" s="3">
        <v>15710</v>
      </c>
      <c r="AD110" s="3">
        <v>26610</v>
      </c>
      <c r="AE110" s="3">
        <v>192600</v>
      </c>
      <c r="AF110" s="3">
        <v>249294.92</v>
      </c>
      <c r="AG110" s="3">
        <v>1463.68</v>
      </c>
      <c r="AH110" s="40">
        <v>0.65</v>
      </c>
      <c r="AI110" s="40">
        <v>0.61929999999999996</v>
      </c>
      <c r="AJ110" s="40">
        <v>0.66579999999999995</v>
      </c>
      <c r="AK110" s="40">
        <v>0.62</v>
      </c>
      <c r="AL110" s="40">
        <v>0.63370000000000004</v>
      </c>
      <c r="AM110" s="40">
        <v>9.9000000000000008E-3</v>
      </c>
      <c r="AN110" s="40">
        <v>0.81810000000000005</v>
      </c>
      <c r="AO110" s="40">
        <v>1.0439000000000001</v>
      </c>
      <c r="AP110" s="40">
        <v>0.87150000000000005</v>
      </c>
      <c r="AQ110" s="40">
        <v>0.8276</v>
      </c>
      <c r="AR110" s="31">
        <v>0.96284474128546804</v>
      </c>
      <c r="AS110" s="36">
        <v>3.7994253366878801</v>
      </c>
      <c r="AT110">
        <v>4.49</v>
      </c>
      <c r="AU110">
        <v>4.6399999999999997</v>
      </c>
      <c r="AV110" s="6"/>
      <c r="AW110" s="6">
        <v>4.5199999999999996</v>
      </c>
      <c r="AX110" s="6">
        <v>4.37</v>
      </c>
      <c r="AY110" s="6">
        <v>4.5049999999999999</v>
      </c>
      <c r="AZ110" s="2">
        <v>0.75019999999999998</v>
      </c>
      <c r="BA110" s="2">
        <v>0.84337965298288098</v>
      </c>
      <c r="BB110" s="2">
        <v>0.998</v>
      </c>
      <c r="BC110">
        <v>67570</v>
      </c>
      <c r="BD110">
        <v>53692</v>
      </c>
      <c r="BE110">
        <v>11900</v>
      </c>
      <c r="BF110">
        <v>26730</v>
      </c>
    </row>
    <row r="111" spans="3:59" ht="409.5" x14ac:dyDescent="0.25">
      <c r="C111" s="1">
        <v>45731</v>
      </c>
      <c r="D111" s="36">
        <v>267184.07711084699</v>
      </c>
      <c r="E111" s="33">
        <v>4.5999999999999996</v>
      </c>
      <c r="F111" s="33">
        <v>3.7706200000000001</v>
      </c>
      <c r="G111" s="2">
        <v>0.81969999999999998</v>
      </c>
      <c r="H111" s="2">
        <v>0.99</v>
      </c>
      <c r="I111" s="3">
        <v>0</v>
      </c>
      <c r="J111" s="3">
        <v>62949</v>
      </c>
      <c r="K111" s="3">
        <v>24708</v>
      </c>
      <c r="L111" s="3">
        <v>32739</v>
      </c>
      <c r="M111" s="3">
        <v>26393</v>
      </c>
      <c r="N111" s="3">
        <v>146789</v>
      </c>
      <c r="O111" s="3">
        <v>167195.32999999999</v>
      </c>
      <c r="P111" s="3">
        <v>20406.330000000002</v>
      </c>
      <c r="Q111" s="3">
        <v>20406.330000000002</v>
      </c>
      <c r="R111" s="3">
        <v>167195.32999999999</v>
      </c>
      <c r="S111" s="3">
        <v>167195.32999999999</v>
      </c>
      <c r="T111" s="3">
        <v>166860.93934000001</v>
      </c>
      <c r="U111" s="3">
        <v>16420</v>
      </c>
      <c r="V111" s="3">
        <v>15890</v>
      </c>
      <c r="W111" s="3">
        <v>14970</v>
      </c>
      <c r="X111" s="3">
        <v>18710</v>
      </c>
      <c r="Y111" s="3">
        <v>19310</v>
      </c>
      <c r="Z111" s="3">
        <v>28100</v>
      </c>
      <c r="AA111" s="3">
        <v>22890</v>
      </c>
      <c r="AB111" s="3">
        <v>24190</v>
      </c>
      <c r="AC111" s="3">
        <v>14550</v>
      </c>
      <c r="AD111" s="3">
        <v>25310</v>
      </c>
      <c r="AE111" s="3">
        <v>200340</v>
      </c>
      <c r="AF111" s="3">
        <v>220746.33</v>
      </c>
      <c r="AG111" s="3">
        <v>1332</v>
      </c>
      <c r="AH111" s="40">
        <v>0.60060000000000002</v>
      </c>
      <c r="AI111" s="40">
        <v>0.58130000000000004</v>
      </c>
      <c r="AJ111" s="40">
        <v>0.61599999999999999</v>
      </c>
      <c r="AK111" s="40">
        <v>0.6048</v>
      </c>
      <c r="AL111" s="40">
        <v>0.64</v>
      </c>
      <c r="AM111" s="40">
        <v>0.86509999999999998</v>
      </c>
      <c r="AN111" s="40">
        <v>0.83420000000000005</v>
      </c>
      <c r="AO111" s="40">
        <v>0.85980000000000001</v>
      </c>
      <c r="AP111" s="40">
        <v>0.91510000000000002</v>
      </c>
      <c r="AQ111" s="40">
        <v>0.92210000000000003</v>
      </c>
      <c r="AR111" s="31">
        <v>1.36481616469899</v>
      </c>
      <c r="AS111" s="36">
        <v>2.4744018055349999</v>
      </c>
      <c r="AT111">
        <v>3.96</v>
      </c>
      <c r="AU111">
        <v>3.96</v>
      </c>
      <c r="AV111" s="6"/>
      <c r="AW111" s="6">
        <v>4.0599999999999996</v>
      </c>
      <c r="AX111" s="6">
        <v>4.05</v>
      </c>
      <c r="AY111" s="6">
        <v>4.0075000000000003</v>
      </c>
      <c r="AZ111" s="2">
        <v>0.71430000000000005</v>
      </c>
      <c r="BA111" s="2">
        <v>0.61744274623455997</v>
      </c>
      <c r="BB111" s="2">
        <v>0.998</v>
      </c>
      <c r="BC111">
        <v>67570</v>
      </c>
      <c r="BD111">
        <v>53692</v>
      </c>
      <c r="BE111">
        <v>11900</v>
      </c>
      <c r="BF111">
        <v>26730</v>
      </c>
      <c r="BG111" s="9" t="s">
        <v>120</v>
      </c>
    </row>
    <row r="112" spans="3:59" ht="409.5" x14ac:dyDescent="0.25">
      <c r="C112" s="1">
        <v>45732</v>
      </c>
      <c r="D112" s="36">
        <v>267184.07711084699</v>
      </c>
      <c r="E112" s="33">
        <v>4.5999999999999996</v>
      </c>
      <c r="F112" s="33">
        <v>3.7706200000000001</v>
      </c>
      <c r="G112" s="2">
        <v>0.81969999999999998</v>
      </c>
      <c r="H112" s="2">
        <v>0.99</v>
      </c>
      <c r="I112" s="3">
        <v>0</v>
      </c>
      <c r="J112" s="3">
        <v>74596</v>
      </c>
      <c r="K112" s="3">
        <v>27937</v>
      </c>
      <c r="L112" s="3">
        <v>35387.25</v>
      </c>
      <c r="M112" s="3">
        <v>28799</v>
      </c>
      <c r="N112" s="3">
        <v>166719.25</v>
      </c>
      <c r="O112" s="3">
        <v>180388.5</v>
      </c>
      <c r="P112" s="3">
        <v>13669.25</v>
      </c>
      <c r="Q112" s="3">
        <v>13669.25</v>
      </c>
      <c r="R112" s="3">
        <v>180388.5</v>
      </c>
      <c r="S112" s="3">
        <v>180388.5</v>
      </c>
      <c r="T112" s="3">
        <v>180027.723</v>
      </c>
      <c r="U112" s="3">
        <v>14900</v>
      </c>
      <c r="V112" s="3">
        <v>14840</v>
      </c>
      <c r="W112" s="3">
        <v>13660</v>
      </c>
      <c r="X112" s="3">
        <v>17490</v>
      </c>
      <c r="Y112" s="3">
        <v>17540</v>
      </c>
      <c r="Z112" s="3">
        <v>23340</v>
      </c>
      <c r="AA112" s="3">
        <v>20280</v>
      </c>
      <c r="AB112" s="3">
        <v>19650</v>
      </c>
      <c r="AC112" s="3">
        <v>10850</v>
      </c>
      <c r="AD112" s="3">
        <v>20660</v>
      </c>
      <c r="AE112" s="3">
        <v>173210</v>
      </c>
      <c r="AF112" s="3">
        <v>186879.25</v>
      </c>
      <c r="AG112" s="3">
        <v>1429.19</v>
      </c>
      <c r="AH112" s="40">
        <v>0.66910000000000003</v>
      </c>
      <c r="AI112" s="40">
        <v>0.66639999999999999</v>
      </c>
      <c r="AJ112" s="40">
        <v>0.68959999999999999</v>
      </c>
      <c r="AK112" s="40">
        <v>0.70850000000000002</v>
      </c>
      <c r="AL112" s="40">
        <v>0.72850000000000004</v>
      </c>
      <c r="AM112" s="40">
        <v>0.90049999999999997</v>
      </c>
      <c r="AN112" s="40">
        <v>0.93169999999999997</v>
      </c>
      <c r="AO112" s="40">
        <v>0.87519999999999998</v>
      </c>
      <c r="AP112" s="40">
        <v>0.86050000000000004</v>
      </c>
      <c r="AQ112" s="40">
        <v>0.94320000000000004</v>
      </c>
      <c r="AR112" s="31">
        <v>1.0389322168855699</v>
      </c>
      <c r="AS112" s="36">
        <v>2.6696536924670702</v>
      </c>
      <c r="AT112">
        <v>3.14</v>
      </c>
      <c r="AU112">
        <v>3.16</v>
      </c>
      <c r="AV112" s="6"/>
      <c r="AW112" s="6">
        <v>3.24</v>
      </c>
      <c r="AX112" s="6">
        <v>3.3</v>
      </c>
      <c r="AY112" s="6">
        <v>3.21</v>
      </c>
      <c r="AZ112" s="2">
        <v>0.77470000000000006</v>
      </c>
      <c r="BA112" s="2">
        <v>0.83166781696793501</v>
      </c>
      <c r="BB112" s="2">
        <v>0.998</v>
      </c>
      <c r="BC112">
        <v>67570</v>
      </c>
      <c r="BD112">
        <v>53692</v>
      </c>
      <c r="BE112">
        <v>11900</v>
      </c>
      <c r="BF112">
        <v>26730</v>
      </c>
      <c r="BG112" s="9" t="s">
        <v>120</v>
      </c>
    </row>
    <row r="113" spans="3:59" ht="409.5" x14ac:dyDescent="0.25">
      <c r="C113" s="1">
        <v>45733</v>
      </c>
      <c r="D113" s="36">
        <v>267184.07711084699</v>
      </c>
      <c r="E113" s="33">
        <v>4.5999999999999996</v>
      </c>
      <c r="F113" s="33">
        <v>3.7706200000000001</v>
      </c>
      <c r="G113" s="2">
        <v>0.81969999999999998</v>
      </c>
      <c r="H113" s="2">
        <v>0.99</v>
      </c>
      <c r="I113" s="3">
        <v>0</v>
      </c>
      <c r="J113" s="3">
        <v>86344.5</v>
      </c>
      <c r="K113" s="3">
        <v>30134.25</v>
      </c>
      <c r="L113" s="3">
        <v>36939.75</v>
      </c>
      <c r="M113" s="3">
        <v>31139</v>
      </c>
      <c r="N113" s="3">
        <v>184557.5</v>
      </c>
      <c r="O113" s="3">
        <v>178819.67</v>
      </c>
      <c r="P113" s="3">
        <v>-5737.8299999999899</v>
      </c>
      <c r="Q113" s="3">
        <v>0</v>
      </c>
      <c r="R113" s="3">
        <v>184557.5</v>
      </c>
      <c r="S113" s="3">
        <v>184557.5</v>
      </c>
      <c r="T113" s="3">
        <v>178462.03065999999</v>
      </c>
      <c r="U113" s="3">
        <v>11830</v>
      </c>
      <c r="V113" s="3">
        <v>11550</v>
      </c>
      <c r="W113" s="3">
        <v>10730</v>
      </c>
      <c r="X113" s="3">
        <v>13600</v>
      </c>
      <c r="Y113" s="3">
        <v>13860</v>
      </c>
      <c r="Z113" s="3">
        <v>15030</v>
      </c>
      <c r="AA113" s="3">
        <v>12880</v>
      </c>
      <c r="AB113" s="3">
        <v>12710</v>
      </c>
      <c r="AC113" s="3">
        <v>7280</v>
      </c>
      <c r="AD113" s="3">
        <v>13280</v>
      </c>
      <c r="AE113" s="3">
        <v>122750</v>
      </c>
      <c r="AF113" s="3">
        <v>122750</v>
      </c>
      <c r="AG113" s="3">
        <v>1274.8800000000001</v>
      </c>
      <c r="AH113" s="40">
        <v>0.88060000000000005</v>
      </c>
      <c r="AI113" s="40">
        <v>0.8599</v>
      </c>
      <c r="AJ113" s="40">
        <v>0.89859999999999995</v>
      </c>
      <c r="AK113" s="40">
        <v>0.91510000000000002</v>
      </c>
      <c r="AL113" s="40">
        <v>0.93779999999999997</v>
      </c>
      <c r="AM113" s="40">
        <v>0.96</v>
      </c>
      <c r="AN113" s="40">
        <v>0.96309999999999996</v>
      </c>
      <c r="AO113" s="40">
        <v>0.94</v>
      </c>
      <c r="AP113" s="40">
        <v>0.93910000000000005</v>
      </c>
      <c r="AQ113" s="40">
        <v>0.98770000000000002</v>
      </c>
      <c r="AR113" s="31">
        <v>0.66510437126640798</v>
      </c>
      <c r="AS113" s="36">
        <v>2.7313526713038301</v>
      </c>
      <c r="AT113">
        <v>1.93</v>
      </c>
      <c r="AU113">
        <v>1.94</v>
      </c>
      <c r="AV113" s="6"/>
      <c r="AW113" s="6">
        <v>1.95</v>
      </c>
      <c r="AX113" s="6">
        <v>1.99</v>
      </c>
      <c r="AY113" s="6">
        <v>1.9524999999999999</v>
      </c>
      <c r="AZ113" s="2">
        <v>0.92269999999999996</v>
      </c>
      <c r="BA113" s="2">
        <v>1.3989002157766099</v>
      </c>
      <c r="BB113" s="2">
        <v>0.998</v>
      </c>
      <c r="BC113">
        <v>67570</v>
      </c>
      <c r="BD113">
        <v>53692</v>
      </c>
      <c r="BE113">
        <v>11900</v>
      </c>
      <c r="BF113">
        <v>26730</v>
      </c>
      <c r="BG113" s="9" t="s">
        <v>120</v>
      </c>
    </row>
    <row r="114" spans="3:59" ht="409.5" x14ac:dyDescent="0.25">
      <c r="C114" s="1">
        <v>45734</v>
      </c>
      <c r="D114" s="36">
        <v>267184.07711084699</v>
      </c>
      <c r="E114" s="33">
        <v>4.5999999999999996</v>
      </c>
      <c r="F114" s="33">
        <v>3.7706200000000001</v>
      </c>
      <c r="G114" s="2">
        <v>0.81969999999999998</v>
      </c>
      <c r="H114" s="2">
        <v>0.99</v>
      </c>
      <c r="I114" s="3">
        <v>18237</v>
      </c>
      <c r="J114" s="3">
        <v>74803</v>
      </c>
      <c r="K114" s="3">
        <v>44266.75</v>
      </c>
      <c r="L114" s="3">
        <v>29846.5</v>
      </c>
      <c r="M114" s="3">
        <v>44712</v>
      </c>
      <c r="N114" s="3">
        <v>211865.25</v>
      </c>
      <c r="O114" s="3">
        <v>250961.83</v>
      </c>
      <c r="P114" s="3">
        <v>39096.58</v>
      </c>
      <c r="Q114" s="3">
        <v>39096.58</v>
      </c>
      <c r="R114" s="3">
        <v>250961.83</v>
      </c>
      <c r="S114" s="3">
        <v>250961.83</v>
      </c>
      <c r="T114" s="3">
        <v>250459.90633999999</v>
      </c>
      <c r="U114" s="3">
        <v>19670</v>
      </c>
      <c r="V114" s="3">
        <v>19280</v>
      </c>
      <c r="W114" s="3">
        <v>17820</v>
      </c>
      <c r="X114" s="3">
        <v>22490</v>
      </c>
      <c r="Y114" s="3">
        <v>22750</v>
      </c>
      <c r="Z114" s="3">
        <v>30650</v>
      </c>
      <c r="AA114" s="3">
        <v>25630</v>
      </c>
      <c r="AB114" s="3">
        <v>25490</v>
      </c>
      <c r="AC114" s="3">
        <v>14710</v>
      </c>
      <c r="AD114" s="3">
        <v>26050</v>
      </c>
      <c r="AE114" s="3">
        <v>224540</v>
      </c>
      <c r="AF114" s="3">
        <v>263636.58</v>
      </c>
      <c r="AG114" s="3">
        <v>1462.73</v>
      </c>
      <c r="AH114" s="40">
        <v>0.53949999999999998</v>
      </c>
      <c r="AI114" s="40">
        <v>0.52880000000000005</v>
      </c>
      <c r="AJ114" s="40">
        <v>0.55010000000000003</v>
      </c>
      <c r="AK114" s="40">
        <v>0.55579999999999996</v>
      </c>
      <c r="AL114" s="40">
        <v>0.57740000000000002</v>
      </c>
      <c r="AM114" s="40">
        <v>0.72150000000000003</v>
      </c>
      <c r="AN114" s="40">
        <v>0.75160000000000005</v>
      </c>
      <c r="AO114" s="40">
        <v>0.69269999999999998</v>
      </c>
      <c r="AP114" s="40">
        <v>0.74450000000000005</v>
      </c>
      <c r="AQ114" s="40">
        <v>0.72699999999999998</v>
      </c>
      <c r="AR114" s="31">
        <v>1.05982458189816</v>
      </c>
      <c r="AS114" s="36">
        <v>3.7141013763504498</v>
      </c>
      <c r="AT114">
        <v>4.92</v>
      </c>
      <c r="AU114">
        <v>5.17</v>
      </c>
      <c r="AV114" s="6"/>
      <c r="AW114" s="6">
        <v>5.31</v>
      </c>
      <c r="AX114" s="6">
        <v>5.31</v>
      </c>
      <c r="AY114" s="6">
        <v>5.1775000000000002</v>
      </c>
      <c r="AZ114" s="2">
        <v>0.62180000000000002</v>
      </c>
      <c r="BA114" s="2">
        <v>0.71735420112997605</v>
      </c>
      <c r="BB114" s="2">
        <v>0.998</v>
      </c>
      <c r="BC114">
        <v>67570</v>
      </c>
      <c r="BD114">
        <v>53692</v>
      </c>
      <c r="BE114">
        <v>23900</v>
      </c>
      <c r="BF114">
        <v>26730</v>
      </c>
      <c r="BG114" s="9" t="s">
        <v>120</v>
      </c>
    </row>
    <row r="115" spans="3:59" ht="390" x14ac:dyDescent="0.25">
      <c r="C115" s="1">
        <v>45735</v>
      </c>
      <c r="D115" s="36">
        <v>267184.07711084699</v>
      </c>
      <c r="E115" s="33">
        <v>4.5999999999999996</v>
      </c>
      <c r="F115" s="33">
        <v>3.7706200000000001</v>
      </c>
      <c r="G115" s="2">
        <v>0.81969999999999998</v>
      </c>
      <c r="H115" s="2">
        <v>0.99</v>
      </c>
      <c r="I115" s="3">
        <v>61930.5</v>
      </c>
      <c r="J115" s="3">
        <v>61877</v>
      </c>
      <c r="K115" s="3">
        <v>34202</v>
      </c>
      <c r="L115" s="3">
        <v>40279</v>
      </c>
      <c r="M115" s="3">
        <v>35093</v>
      </c>
      <c r="N115" s="3">
        <v>233381.5</v>
      </c>
      <c r="O115" s="3">
        <v>257966.83</v>
      </c>
      <c r="P115" s="3">
        <v>24585.33</v>
      </c>
      <c r="Q115" s="3">
        <v>24585.33</v>
      </c>
      <c r="R115" s="3">
        <v>257966.83</v>
      </c>
      <c r="S115" s="3">
        <v>257966.83</v>
      </c>
      <c r="T115" s="3">
        <v>257450.89634000001</v>
      </c>
      <c r="U115" s="3">
        <v>25760</v>
      </c>
      <c r="V115" s="3">
        <v>25230</v>
      </c>
      <c r="W115" s="3">
        <v>23380</v>
      </c>
      <c r="X115" s="3">
        <v>29440</v>
      </c>
      <c r="Y115" s="3">
        <v>30100</v>
      </c>
      <c r="Z115" s="3">
        <v>32300</v>
      </c>
      <c r="AA115" s="3">
        <v>27740</v>
      </c>
      <c r="AB115" s="3">
        <v>27480</v>
      </c>
      <c r="AC115" s="3">
        <v>10510</v>
      </c>
      <c r="AD115" s="3">
        <v>28920</v>
      </c>
      <c r="AE115" s="3">
        <v>260860</v>
      </c>
      <c r="AF115" s="3">
        <v>285445.33</v>
      </c>
      <c r="AG115" s="3">
        <v>1247.02</v>
      </c>
      <c r="AH115" s="40">
        <v>0.77110000000000001</v>
      </c>
      <c r="AI115" s="40">
        <v>0.75519999999999998</v>
      </c>
      <c r="AJ115" s="40">
        <v>0.7873</v>
      </c>
      <c r="AK115" s="40">
        <v>0.8</v>
      </c>
      <c r="AL115" s="40">
        <v>0.83689999999999998</v>
      </c>
      <c r="AM115" s="40">
        <v>0.83589999999999998</v>
      </c>
      <c r="AN115" s="40">
        <v>0.84440000000000004</v>
      </c>
      <c r="AO115" s="40">
        <v>0.76149999999999995</v>
      </c>
      <c r="AP115" s="40">
        <v>0.28199999999999997</v>
      </c>
      <c r="AQ115" s="40">
        <v>0.8841</v>
      </c>
      <c r="AR115" s="31">
        <v>1.11774069495654</v>
      </c>
      <c r="AS115" s="36">
        <v>3.8177716442208101</v>
      </c>
      <c r="AT115">
        <v>4.74</v>
      </c>
      <c r="AU115">
        <v>4.72</v>
      </c>
      <c r="AV115" s="6"/>
      <c r="AW115" s="6">
        <v>4.83</v>
      </c>
      <c r="AX115" s="6">
        <v>4.95</v>
      </c>
      <c r="AY115" s="6">
        <v>4.8099999999999996</v>
      </c>
      <c r="AZ115" s="2">
        <v>0.77890000000000004</v>
      </c>
      <c r="BA115" s="2">
        <v>0.793715518549024</v>
      </c>
      <c r="BB115" s="2">
        <v>0.998</v>
      </c>
      <c r="BC115">
        <v>67570</v>
      </c>
      <c r="BD115">
        <v>53692</v>
      </c>
      <c r="BE115">
        <v>23900</v>
      </c>
      <c r="BF115">
        <v>26730</v>
      </c>
      <c r="BG115" s="9" t="s">
        <v>121</v>
      </c>
    </row>
    <row r="116" spans="3:59" ht="345" x14ac:dyDescent="0.25">
      <c r="C116" s="1">
        <v>45736</v>
      </c>
      <c r="D116" s="36">
        <v>267184.07711084699</v>
      </c>
      <c r="E116" s="33">
        <v>4.5999999999999996</v>
      </c>
      <c r="F116" s="33">
        <v>3.7706200000000001</v>
      </c>
      <c r="G116" s="2">
        <v>0.81969999999999998</v>
      </c>
      <c r="H116" s="2">
        <v>0.99</v>
      </c>
      <c r="I116" s="3">
        <v>32973.5</v>
      </c>
      <c r="J116" s="3">
        <v>33112</v>
      </c>
      <c r="K116" s="3">
        <v>21197.75</v>
      </c>
      <c r="L116" s="3">
        <v>28551</v>
      </c>
      <c r="M116" s="3">
        <v>23728</v>
      </c>
      <c r="N116" s="3">
        <v>139562.25</v>
      </c>
      <c r="O116" s="3">
        <v>110694.83</v>
      </c>
      <c r="P116" s="3">
        <v>-28867.42</v>
      </c>
      <c r="Q116" s="3">
        <v>0</v>
      </c>
      <c r="R116" s="3">
        <v>139562.25</v>
      </c>
      <c r="S116" s="3">
        <v>139562.25</v>
      </c>
      <c r="T116" s="3">
        <v>110473.44034</v>
      </c>
      <c r="U116" s="3">
        <v>9170</v>
      </c>
      <c r="V116" s="3">
        <v>8840</v>
      </c>
      <c r="W116" s="3">
        <v>8270</v>
      </c>
      <c r="X116" s="3">
        <v>10410</v>
      </c>
      <c r="Y116" s="3">
        <v>10760</v>
      </c>
      <c r="Z116" s="3">
        <v>11050</v>
      </c>
      <c r="AA116" s="3">
        <v>9320</v>
      </c>
      <c r="AB116" s="3">
        <v>9260</v>
      </c>
      <c r="AC116" s="3">
        <v>8090</v>
      </c>
      <c r="AD116" s="3">
        <v>9670</v>
      </c>
      <c r="AE116" s="3">
        <v>94840</v>
      </c>
      <c r="AF116" s="3">
        <v>94840</v>
      </c>
      <c r="AG116" s="3">
        <v>1406.88</v>
      </c>
      <c r="AH116" s="40">
        <v>0.9496</v>
      </c>
      <c r="AI116" s="40">
        <v>0.91549999999999998</v>
      </c>
      <c r="AJ116" s="40">
        <v>0.96399999999999997</v>
      </c>
      <c r="AK116" s="40">
        <v>0.98309999999999997</v>
      </c>
      <c r="AL116" s="40">
        <v>0.99880000000000002</v>
      </c>
      <c r="AM116" s="40">
        <v>0.99370000000000003</v>
      </c>
      <c r="AN116" s="40">
        <v>0.97489999999999999</v>
      </c>
      <c r="AO116" s="40">
        <v>0.96130000000000004</v>
      </c>
      <c r="AP116" s="40">
        <v>0.73</v>
      </c>
      <c r="AQ116" s="40">
        <v>0.99660000000000004</v>
      </c>
      <c r="AR116" s="31">
        <v>0.67955338925819797</v>
      </c>
      <c r="AS116" s="36">
        <v>2.06544694391002</v>
      </c>
      <c r="AT116">
        <v>1.38</v>
      </c>
      <c r="AU116">
        <v>1.4</v>
      </c>
      <c r="AV116" s="6"/>
      <c r="AW116" s="6">
        <v>1.39</v>
      </c>
      <c r="AX116" s="6">
        <v>1.43</v>
      </c>
      <c r="AY116" s="6">
        <v>1.4</v>
      </c>
      <c r="AZ116" s="2">
        <v>0.94059999999999999</v>
      </c>
      <c r="BA116" s="2">
        <v>1.4753192456500099</v>
      </c>
      <c r="BB116" s="2">
        <v>0.998</v>
      </c>
      <c r="BC116">
        <v>67570</v>
      </c>
      <c r="BD116">
        <v>53692</v>
      </c>
      <c r="BE116">
        <v>11900</v>
      </c>
      <c r="BF116">
        <v>26730</v>
      </c>
      <c r="BG116" s="9" t="s">
        <v>122</v>
      </c>
    </row>
    <row r="117" spans="3:59" ht="345" x14ac:dyDescent="0.25">
      <c r="C117" s="1">
        <v>45737</v>
      </c>
      <c r="D117" s="36">
        <v>267184.07711084699</v>
      </c>
      <c r="E117" s="33">
        <v>4.5999999999999996</v>
      </c>
      <c r="F117" s="33">
        <v>3.7706200000000001</v>
      </c>
      <c r="G117" s="2">
        <v>0.81969999999999998</v>
      </c>
      <c r="H117" s="2">
        <v>0.99</v>
      </c>
      <c r="I117" s="3">
        <v>32262</v>
      </c>
      <c r="J117" s="3">
        <v>72564</v>
      </c>
      <c r="K117" s="3">
        <v>42196.5</v>
      </c>
      <c r="L117" s="3">
        <v>47296</v>
      </c>
      <c r="M117" s="3">
        <v>39014</v>
      </c>
      <c r="N117" s="3">
        <v>233332.5</v>
      </c>
      <c r="O117" s="3">
        <v>208827.5</v>
      </c>
      <c r="P117" s="3">
        <v>-24505</v>
      </c>
      <c r="Q117" s="3">
        <v>0</v>
      </c>
      <c r="R117" s="3">
        <v>233332.5</v>
      </c>
      <c r="S117" s="3">
        <v>233332.5</v>
      </c>
      <c r="T117" s="3">
        <v>208409.845</v>
      </c>
      <c r="U117" s="3">
        <v>21360</v>
      </c>
      <c r="V117" s="3">
        <v>20490</v>
      </c>
      <c r="W117" s="3">
        <v>19250</v>
      </c>
      <c r="X117" s="3">
        <v>24060</v>
      </c>
      <c r="Y117" s="3">
        <v>24910</v>
      </c>
      <c r="Z117" s="3">
        <v>27910</v>
      </c>
      <c r="AA117" s="3">
        <v>23400</v>
      </c>
      <c r="AB117" s="3">
        <v>23410</v>
      </c>
      <c r="AC117" s="3">
        <v>26080</v>
      </c>
      <c r="AD117" s="3">
        <v>24340</v>
      </c>
      <c r="AE117" s="3">
        <v>235210</v>
      </c>
      <c r="AF117" s="3">
        <v>235210</v>
      </c>
      <c r="AG117" s="3">
        <v>1525.98</v>
      </c>
      <c r="AH117" s="40">
        <v>0.83919999999999995</v>
      </c>
      <c r="AI117" s="40">
        <v>0.80530000000000002</v>
      </c>
      <c r="AJ117" s="40">
        <v>0.85119999999999996</v>
      </c>
      <c r="AK117" s="40">
        <v>0.83040000000000003</v>
      </c>
      <c r="AL117" s="40">
        <v>0.87419999999999998</v>
      </c>
      <c r="AM117" s="40">
        <v>0.91810000000000003</v>
      </c>
      <c r="AN117" s="40">
        <v>0.89559999999999995</v>
      </c>
      <c r="AO117" s="40">
        <v>0.88900000000000001</v>
      </c>
      <c r="AP117" s="40">
        <v>0.86480000000000001</v>
      </c>
      <c r="AQ117" s="40">
        <v>0.93930000000000002</v>
      </c>
      <c r="AR117" s="31">
        <v>1.00804645730878</v>
      </c>
      <c r="AS117" s="36">
        <v>3.2633916083916099</v>
      </c>
      <c r="AT117">
        <v>3.77</v>
      </c>
      <c r="AU117">
        <v>3.74</v>
      </c>
      <c r="AV117" s="6"/>
      <c r="AW117" s="6">
        <v>3.8</v>
      </c>
      <c r="AX117" s="6">
        <v>3.77</v>
      </c>
      <c r="AY117" s="6">
        <v>3.77</v>
      </c>
      <c r="AZ117" s="2">
        <v>0.86250000000000004</v>
      </c>
      <c r="BA117" s="2">
        <v>0.86562111628424598</v>
      </c>
      <c r="BB117" s="2">
        <v>0.998</v>
      </c>
      <c r="BC117">
        <v>71500</v>
      </c>
      <c r="BD117">
        <v>56992</v>
      </c>
      <c r="BE117">
        <v>11900</v>
      </c>
      <c r="BF117">
        <v>26730</v>
      </c>
      <c r="BG117" s="9" t="s">
        <v>122</v>
      </c>
    </row>
    <row r="118" spans="3:59" ht="409.5" x14ac:dyDescent="0.25">
      <c r="C118" s="1">
        <v>45738</v>
      </c>
      <c r="D118" s="36">
        <v>267184.07711084699</v>
      </c>
      <c r="E118" s="33">
        <v>4.5999999999999996</v>
      </c>
      <c r="F118" s="33">
        <v>3.7706200000000001</v>
      </c>
      <c r="G118" s="2">
        <v>0.81969999999999998</v>
      </c>
      <c r="H118" s="2">
        <v>0.99</v>
      </c>
      <c r="I118" s="3">
        <v>0</v>
      </c>
      <c r="J118" s="3">
        <v>73516</v>
      </c>
      <c r="K118" s="3">
        <v>33386.5</v>
      </c>
      <c r="L118" s="3">
        <v>38021</v>
      </c>
      <c r="M118" s="3">
        <v>32293</v>
      </c>
      <c r="N118" s="3">
        <v>177216.5</v>
      </c>
      <c r="O118" s="3">
        <v>178145</v>
      </c>
      <c r="P118" s="3">
        <v>928.5</v>
      </c>
      <c r="Q118" s="3">
        <v>928.5</v>
      </c>
      <c r="R118" s="3">
        <v>178145</v>
      </c>
      <c r="S118" s="3">
        <v>178145</v>
      </c>
      <c r="T118" s="3">
        <v>177788.71</v>
      </c>
      <c r="U118" s="3">
        <v>14150</v>
      </c>
      <c r="V118" s="3">
        <v>13890</v>
      </c>
      <c r="W118" s="3">
        <v>12870</v>
      </c>
      <c r="X118" s="3">
        <v>16300</v>
      </c>
      <c r="Y118" s="3">
        <v>16470</v>
      </c>
      <c r="Z118" s="3">
        <v>21920</v>
      </c>
      <c r="AA118" s="3">
        <v>18300</v>
      </c>
      <c r="AB118" s="3">
        <v>18460</v>
      </c>
      <c r="AC118" s="3">
        <v>22170</v>
      </c>
      <c r="AD118" s="3">
        <v>19390</v>
      </c>
      <c r="AE118" s="3">
        <v>173920</v>
      </c>
      <c r="AF118" s="3">
        <v>174848.5</v>
      </c>
      <c r="AG118" s="3">
        <v>1312.02</v>
      </c>
      <c r="AH118" s="40">
        <v>0.66349999999999998</v>
      </c>
      <c r="AI118" s="40">
        <v>0.65110000000000001</v>
      </c>
      <c r="AJ118" s="40">
        <v>0.67859999999999998</v>
      </c>
      <c r="AK118" s="40">
        <v>0.67889999999999995</v>
      </c>
      <c r="AL118" s="40">
        <v>0.72529999999999994</v>
      </c>
      <c r="AM118" s="40">
        <v>0.86980000000000002</v>
      </c>
      <c r="AN118" s="40">
        <v>0.9</v>
      </c>
      <c r="AO118" s="40">
        <v>0.84560000000000002</v>
      </c>
      <c r="AP118" s="40">
        <v>0.93</v>
      </c>
      <c r="AQ118" s="40">
        <v>0.93930000000000002</v>
      </c>
      <c r="AR118" s="31">
        <v>0.98139845894710698</v>
      </c>
      <c r="AS118" s="36">
        <v>2.4915384615384601</v>
      </c>
      <c r="AT118">
        <v>2.97</v>
      </c>
      <c r="AU118">
        <v>2.98</v>
      </c>
      <c r="AV118" s="6"/>
      <c r="AW118" s="6">
        <v>3.15</v>
      </c>
      <c r="AX118" s="6">
        <v>3.16</v>
      </c>
      <c r="AY118" s="6">
        <v>3.0649999999999999</v>
      </c>
      <c r="AZ118" s="2">
        <v>0.76980000000000004</v>
      </c>
      <c r="BA118" s="2">
        <v>0.81289998745137404</v>
      </c>
      <c r="BB118" s="2">
        <v>0.998</v>
      </c>
      <c r="BC118">
        <v>71500</v>
      </c>
      <c r="BD118">
        <v>56992</v>
      </c>
      <c r="BE118">
        <v>11900</v>
      </c>
      <c r="BF118">
        <v>26730</v>
      </c>
      <c r="BG118" s="9" t="s">
        <v>123</v>
      </c>
    </row>
    <row r="119" spans="3:59" ht="409.5" x14ac:dyDescent="0.25">
      <c r="C119" s="1">
        <v>45739</v>
      </c>
      <c r="D119" s="36">
        <v>267184.07711084699</v>
      </c>
      <c r="E119" s="33">
        <v>4.5999999999999996</v>
      </c>
      <c r="F119" s="33">
        <v>3.7706200000000001</v>
      </c>
      <c r="G119" s="2">
        <v>0.81969999999999998</v>
      </c>
      <c r="H119" s="2">
        <v>0.99</v>
      </c>
      <c r="I119" s="3">
        <v>0</v>
      </c>
      <c r="J119" s="3">
        <v>91768</v>
      </c>
      <c r="K119" s="3">
        <v>44980.5</v>
      </c>
      <c r="L119" s="3">
        <v>47570.25</v>
      </c>
      <c r="M119" s="3">
        <v>41628</v>
      </c>
      <c r="N119" s="3">
        <v>225946.75</v>
      </c>
      <c r="O119" s="3">
        <v>254130.83</v>
      </c>
      <c r="P119" s="3">
        <v>28184.080000000002</v>
      </c>
      <c r="Q119" s="3">
        <v>28184.080000000002</v>
      </c>
      <c r="R119" s="3">
        <v>254130.83</v>
      </c>
      <c r="S119" s="3">
        <v>254130.83</v>
      </c>
      <c r="T119" s="3">
        <v>253622.56834</v>
      </c>
      <c r="U119" s="3">
        <v>18730</v>
      </c>
      <c r="V119" s="3">
        <v>18400</v>
      </c>
      <c r="W119" s="3">
        <v>17160</v>
      </c>
      <c r="X119" s="3">
        <v>21650</v>
      </c>
      <c r="Y119" s="3">
        <v>21980</v>
      </c>
      <c r="Z119" s="3">
        <v>31050</v>
      </c>
      <c r="AA119" s="3">
        <v>27230</v>
      </c>
      <c r="AB119" s="3">
        <v>26270</v>
      </c>
      <c r="AC119" s="3">
        <v>31250</v>
      </c>
      <c r="AD119" s="3">
        <v>26720</v>
      </c>
      <c r="AE119" s="3">
        <v>240440</v>
      </c>
      <c r="AF119" s="3">
        <v>268624.08</v>
      </c>
      <c r="AG119" s="3">
        <v>1454.7</v>
      </c>
      <c r="AH119" s="40">
        <v>0.57999999999999996</v>
      </c>
      <c r="AI119" s="40">
        <v>0.56999999999999995</v>
      </c>
      <c r="AJ119" s="40">
        <v>0.6</v>
      </c>
      <c r="AK119" s="40">
        <v>0.61</v>
      </c>
      <c r="AL119" s="40">
        <v>0.59599999999999997</v>
      </c>
      <c r="AM119" s="40">
        <v>0.83650000000000002</v>
      </c>
      <c r="AN119" s="40">
        <v>0.87</v>
      </c>
      <c r="AO119" s="40">
        <v>0.81699999999999995</v>
      </c>
      <c r="AP119" s="40">
        <v>0.87</v>
      </c>
      <c r="AQ119" s="40">
        <v>0.8</v>
      </c>
      <c r="AR119" s="31">
        <v>1.0641445384808601</v>
      </c>
      <c r="AS119" s="36">
        <v>3.5542773426573402</v>
      </c>
      <c r="AT119">
        <v>4.51</v>
      </c>
      <c r="AU119">
        <v>4.84</v>
      </c>
      <c r="AV119" s="6"/>
      <c r="AW119" s="6">
        <v>4.6399999999999997</v>
      </c>
      <c r="AX119" s="6">
        <v>4.76</v>
      </c>
      <c r="AY119" s="6">
        <v>4.6875</v>
      </c>
      <c r="AZ119" s="2">
        <v>0.68730000000000002</v>
      </c>
      <c r="BA119" s="2">
        <v>0.75824583310023297</v>
      </c>
      <c r="BB119" s="2">
        <v>0.998</v>
      </c>
      <c r="BC119">
        <v>71500</v>
      </c>
      <c r="BD119">
        <v>56992</v>
      </c>
      <c r="BE119">
        <v>11900</v>
      </c>
      <c r="BF119">
        <v>29712</v>
      </c>
      <c r="BG119" s="9" t="s">
        <v>123</v>
      </c>
    </row>
    <row r="120" spans="3:59" ht="409.5" x14ac:dyDescent="0.25">
      <c r="C120" s="1">
        <v>45740</v>
      </c>
      <c r="D120" s="36">
        <v>267184.07711084699</v>
      </c>
      <c r="E120" s="33">
        <v>4.5999999999999996</v>
      </c>
      <c r="F120" s="33">
        <v>3.7706200000000001</v>
      </c>
      <c r="G120" s="2">
        <v>0.81969999999999998</v>
      </c>
      <c r="H120" s="2">
        <v>0.99</v>
      </c>
      <c r="I120" s="3">
        <v>0</v>
      </c>
      <c r="J120" s="3">
        <v>96761.5</v>
      </c>
      <c r="K120" s="3">
        <v>52066.5</v>
      </c>
      <c r="L120" s="3">
        <v>60704.25</v>
      </c>
      <c r="M120" s="3">
        <v>52483</v>
      </c>
      <c r="N120" s="3">
        <v>262015.25</v>
      </c>
      <c r="O120" s="3">
        <v>302779.33</v>
      </c>
      <c r="P120" s="3">
        <v>40764.080000000002</v>
      </c>
      <c r="Q120" s="3">
        <v>40764.080000000002</v>
      </c>
      <c r="R120" s="3">
        <v>302779.33</v>
      </c>
      <c r="S120" s="3">
        <v>302779.33</v>
      </c>
      <c r="T120" s="3">
        <v>302173.77133999998</v>
      </c>
      <c r="U120" s="3">
        <v>20200</v>
      </c>
      <c r="V120" s="3">
        <v>20080</v>
      </c>
      <c r="W120" s="3">
        <v>18560</v>
      </c>
      <c r="X120" s="3">
        <v>23680</v>
      </c>
      <c r="Y120" s="3">
        <v>23580</v>
      </c>
      <c r="Z120" s="3">
        <v>37680</v>
      </c>
      <c r="AA120" s="3">
        <v>32750</v>
      </c>
      <c r="AB120" s="3">
        <v>32450</v>
      </c>
      <c r="AC120" s="3">
        <v>37910</v>
      </c>
      <c r="AD120" s="3">
        <v>34220</v>
      </c>
      <c r="AE120" s="3">
        <v>281110</v>
      </c>
      <c r="AF120" s="3">
        <v>321874.08</v>
      </c>
      <c r="AG120" s="3">
        <v>1510.43</v>
      </c>
      <c r="AH120" s="40">
        <v>0.53439999999999999</v>
      </c>
      <c r="AI120" s="40">
        <v>0.53</v>
      </c>
      <c r="AJ120" s="40">
        <v>0.55000000000000004</v>
      </c>
      <c r="AK120" s="40">
        <v>0.55000000000000004</v>
      </c>
      <c r="AL120" s="40">
        <v>0.54</v>
      </c>
      <c r="AM120" s="40">
        <v>0.83960000000000001</v>
      </c>
      <c r="AN120" s="40">
        <v>0.82</v>
      </c>
      <c r="AO120" s="40">
        <v>0.8347</v>
      </c>
      <c r="AP120" s="40">
        <v>0.83</v>
      </c>
      <c r="AQ120" s="40">
        <v>0.87</v>
      </c>
      <c r="AR120" s="31">
        <v>1.07287648333446</v>
      </c>
      <c r="AS120" s="36">
        <v>4.2346759440559403</v>
      </c>
      <c r="AT120">
        <v>5.73</v>
      </c>
      <c r="AU120">
        <v>5.68</v>
      </c>
      <c r="AV120" s="6"/>
      <c r="AW120" s="6">
        <v>5.61</v>
      </c>
      <c r="AX120" s="6">
        <v>5.6</v>
      </c>
      <c r="AY120" s="6">
        <v>5.6550000000000002</v>
      </c>
      <c r="AZ120" s="2">
        <v>0.65469999999999995</v>
      </c>
      <c r="BA120" s="2">
        <v>0.74883747905498599</v>
      </c>
      <c r="BB120" s="2">
        <v>0.998</v>
      </c>
      <c r="BC120">
        <v>71500</v>
      </c>
      <c r="BD120">
        <v>56992</v>
      </c>
      <c r="BE120">
        <v>11900</v>
      </c>
      <c r="BF120">
        <v>26730</v>
      </c>
      <c r="BG120" s="9" t="s">
        <v>123</v>
      </c>
    </row>
    <row r="121" spans="3:59" ht="409.5" x14ac:dyDescent="0.25">
      <c r="C121" s="1">
        <v>45741</v>
      </c>
      <c r="D121" s="36">
        <v>267184.07711084699</v>
      </c>
      <c r="E121" s="33">
        <v>4.5999999999999996</v>
      </c>
      <c r="F121" s="33">
        <v>3.7706200000000001</v>
      </c>
      <c r="G121" s="2">
        <v>0.81969999999999998</v>
      </c>
      <c r="H121" s="2">
        <v>0.99</v>
      </c>
      <c r="I121" s="3">
        <v>0</v>
      </c>
      <c r="J121" s="3">
        <v>100895</v>
      </c>
      <c r="K121" s="3">
        <v>49560</v>
      </c>
      <c r="L121" s="3">
        <v>52560</v>
      </c>
      <c r="M121" s="3">
        <v>45198</v>
      </c>
      <c r="N121" s="3">
        <v>248213</v>
      </c>
      <c r="O121" s="3">
        <v>259393.83</v>
      </c>
      <c r="P121" s="3">
        <v>11180.83</v>
      </c>
      <c r="Q121" s="3">
        <v>11180.83</v>
      </c>
      <c r="R121" s="3">
        <v>259393.83</v>
      </c>
      <c r="S121" s="3">
        <v>259393.83</v>
      </c>
      <c r="T121" s="3">
        <v>258875.04234000001</v>
      </c>
      <c r="U121" s="3">
        <v>17360</v>
      </c>
      <c r="V121" s="3">
        <v>17090</v>
      </c>
      <c r="W121" s="3">
        <v>15860</v>
      </c>
      <c r="X121" s="3">
        <v>20120</v>
      </c>
      <c r="Y121" s="3">
        <v>20300</v>
      </c>
      <c r="Z121" s="3">
        <v>26900</v>
      </c>
      <c r="AA121" s="3">
        <v>23800</v>
      </c>
      <c r="AB121" s="3">
        <v>23550</v>
      </c>
      <c r="AC121" s="3">
        <v>28200</v>
      </c>
      <c r="AD121" s="3">
        <v>24260</v>
      </c>
      <c r="AE121" s="3">
        <v>217440</v>
      </c>
      <c r="AF121" s="3">
        <v>228620.83</v>
      </c>
      <c r="AG121" s="3">
        <v>1369.18</v>
      </c>
      <c r="AH121" s="40">
        <v>0.61819999999999997</v>
      </c>
      <c r="AI121" s="40">
        <v>0.61</v>
      </c>
      <c r="AJ121" s="40">
        <v>0.64</v>
      </c>
      <c r="AK121" s="40">
        <v>0.62</v>
      </c>
      <c r="AL121" s="40">
        <v>0.63</v>
      </c>
      <c r="AM121" s="40">
        <v>0.79</v>
      </c>
      <c r="AN121" s="40">
        <v>0.81</v>
      </c>
      <c r="AO121" s="40">
        <v>0.8</v>
      </c>
      <c r="AP121" s="40">
        <v>0.83</v>
      </c>
      <c r="AQ121" s="40">
        <v>0.83</v>
      </c>
      <c r="AR121" s="31">
        <v>0.87602180385394801</v>
      </c>
      <c r="AS121" s="36">
        <v>3.62788573426573</v>
      </c>
      <c r="AT121">
        <v>4.26</v>
      </c>
      <c r="AU121">
        <v>4.26</v>
      </c>
      <c r="AV121" s="6"/>
      <c r="AW121" s="6">
        <v>4.2300000000000004</v>
      </c>
      <c r="AX121" s="6">
        <v>4.16</v>
      </c>
      <c r="AY121" s="6">
        <v>4.2275</v>
      </c>
      <c r="AZ121" s="2">
        <v>0.71709999999999996</v>
      </c>
      <c r="BA121" s="2">
        <v>0.85816339071927505</v>
      </c>
      <c r="BB121" s="2">
        <v>0.998</v>
      </c>
      <c r="BC121">
        <v>71500</v>
      </c>
      <c r="BD121">
        <v>56992</v>
      </c>
      <c r="BE121">
        <v>11900</v>
      </c>
      <c r="BF121">
        <v>26730</v>
      </c>
      <c r="BG121" s="9" t="s">
        <v>123</v>
      </c>
    </row>
    <row r="122" spans="3:59" ht="409.5" x14ac:dyDescent="0.25">
      <c r="C122" s="1">
        <v>45742</v>
      </c>
      <c r="D122" s="36">
        <v>267184.07711084699</v>
      </c>
      <c r="E122" s="33">
        <v>4.5999999999999996</v>
      </c>
      <c r="F122" s="33">
        <v>3.7706200000000001</v>
      </c>
      <c r="G122" s="2">
        <v>0.81969999999999998</v>
      </c>
      <c r="H122" s="2">
        <v>0.99</v>
      </c>
      <c r="I122" s="3">
        <v>0</v>
      </c>
      <c r="J122" s="3">
        <v>92415</v>
      </c>
      <c r="K122" s="3">
        <v>52125.5</v>
      </c>
      <c r="L122" s="3">
        <v>54096.25</v>
      </c>
      <c r="M122" s="3">
        <v>49577</v>
      </c>
      <c r="N122" s="3">
        <v>248213.75</v>
      </c>
      <c r="O122" s="3">
        <v>294986.17</v>
      </c>
      <c r="P122" s="3">
        <v>46772.42</v>
      </c>
      <c r="Q122" s="3">
        <v>46772.42</v>
      </c>
      <c r="R122" s="3">
        <v>294986.17</v>
      </c>
      <c r="S122" s="3">
        <v>294986.17</v>
      </c>
      <c r="T122" s="3">
        <v>294396.19766000001</v>
      </c>
      <c r="U122" s="3">
        <v>17900</v>
      </c>
      <c r="V122" s="3">
        <v>17570</v>
      </c>
      <c r="W122" s="3">
        <v>16370</v>
      </c>
      <c r="X122" s="3">
        <v>20650</v>
      </c>
      <c r="Y122" s="3">
        <v>21040</v>
      </c>
      <c r="Z122" s="3">
        <v>31340</v>
      </c>
      <c r="AA122" s="3">
        <v>28210</v>
      </c>
      <c r="AB122" s="3">
        <v>28060</v>
      </c>
      <c r="AC122" s="3">
        <v>34900</v>
      </c>
      <c r="AD122" s="3">
        <v>28650</v>
      </c>
      <c r="AE122" s="3">
        <v>244690</v>
      </c>
      <c r="AF122" s="3">
        <v>291462.42</v>
      </c>
      <c r="AG122" s="3">
        <v>1559.39</v>
      </c>
      <c r="AH122" s="40">
        <v>0.51</v>
      </c>
      <c r="AI122" s="40">
        <v>0.5</v>
      </c>
      <c r="AJ122" s="40">
        <v>0.53</v>
      </c>
      <c r="AK122" s="40">
        <v>0.54</v>
      </c>
      <c r="AL122" s="40">
        <v>0.53</v>
      </c>
      <c r="AM122" s="40">
        <v>0.84</v>
      </c>
      <c r="AN122" s="40">
        <v>0.8</v>
      </c>
      <c r="AO122" s="40">
        <v>0.87</v>
      </c>
      <c r="AP122" s="40">
        <v>0.86</v>
      </c>
      <c r="AQ122" s="40">
        <v>0.83</v>
      </c>
      <c r="AR122" s="31">
        <v>0.98580356648251799</v>
      </c>
      <c r="AS122" s="36">
        <v>4.1256806993007</v>
      </c>
      <c r="AT122">
        <v>5.0999999999999996</v>
      </c>
      <c r="AU122">
        <v>5.17</v>
      </c>
      <c r="AV122" s="6"/>
      <c r="AW122" s="6">
        <v>5</v>
      </c>
      <c r="AX122" s="6">
        <v>5.19</v>
      </c>
      <c r="AY122" s="6">
        <v>5.1150000000000002</v>
      </c>
      <c r="AZ122" s="2">
        <v>0.62119999999999997</v>
      </c>
      <c r="BA122" s="2">
        <v>0.80658469194539595</v>
      </c>
      <c r="BB122" s="2">
        <v>0.998</v>
      </c>
      <c r="BC122">
        <v>71500</v>
      </c>
      <c r="BD122">
        <v>56992</v>
      </c>
      <c r="BE122">
        <v>11900</v>
      </c>
      <c r="BF122">
        <v>25471</v>
      </c>
      <c r="BG122" s="9" t="s">
        <v>123</v>
      </c>
    </row>
    <row r="123" spans="3:59" ht="409.5" x14ac:dyDescent="0.25">
      <c r="C123" s="1">
        <v>45743</v>
      </c>
      <c r="D123" s="36">
        <v>267184.07711084699</v>
      </c>
      <c r="E123" s="33">
        <v>4.5999999999999996</v>
      </c>
      <c r="F123" s="33">
        <v>3.7706200000000001</v>
      </c>
      <c r="G123" s="2">
        <v>0.81969999999999998</v>
      </c>
      <c r="H123" s="2">
        <v>0.99</v>
      </c>
      <c r="I123" s="3">
        <v>0</v>
      </c>
      <c r="J123" s="3">
        <v>65225</v>
      </c>
      <c r="K123" s="3">
        <v>42392.5</v>
      </c>
      <c r="L123" s="3">
        <v>45436.25</v>
      </c>
      <c r="M123" s="3">
        <v>39615</v>
      </c>
      <c r="N123" s="3">
        <v>192668.75</v>
      </c>
      <c r="O123" s="3">
        <v>244241.83</v>
      </c>
      <c r="P123" s="3">
        <v>51573.08</v>
      </c>
      <c r="Q123" s="3">
        <v>51573.08</v>
      </c>
      <c r="R123" s="3">
        <v>244241.83</v>
      </c>
      <c r="S123" s="3">
        <v>244241.83</v>
      </c>
      <c r="T123" s="3">
        <v>243753.34633999999</v>
      </c>
      <c r="U123" s="3">
        <v>16180</v>
      </c>
      <c r="V123" s="3">
        <v>14770</v>
      </c>
      <c r="W123" s="3">
        <v>18920</v>
      </c>
      <c r="X123" s="3">
        <v>21540</v>
      </c>
      <c r="Y123" s="3">
        <v>25680</v>
      </c>
      <c r="Z123" s="3">
        <v>15790</v>
      </c>
      <c r="AA123" s="3">
        <v>18630</v>
      </c>
      <c r="AB123" s="3">
        <v>25050</v>
      </c>
      <c r="AC123" s="3">
        <v>21300</v>
      </c>
      <c r="AD123" s="3">
        <v>21160</v>
      </c>
      <c r="AE123" s="3">
        <v>199020</v>
      </c>
      <c r="AF123" s="3">
        <v>250593.08</v>
      </c>
      <c r="AG123" s="3">
        <v>1547.98</v>
      </c>
      <c r="AH123" s="40">
        <v>0.59179999999999999</v>
      </c>
      <c r="AI123" s="40">
        <v>0.54039999999999999</v>
      </c>
      <c r="AJ123" s="40">
        <v>0.77869999999999995</v>
      </c>
      <c r="AK123" s="40">
        <v>0.69450000000000001</v>
      </c>
      <c r="AL123" s="40">
        <v>0.7873</v>
      </c>
      <c r="AM123" s="40">
        <v>0.42549999999999999</v>
      </c>
      <c r="AN123" s="40">
        <v>0.66220000000000001</v>
      </c>
      <c r="AO123" s="40">
        <v>0.77890000000000004</v>
      </c>
      <c r="AP123" s="40">
        <v>0.65080000000000005</v>
      </c>
      <c r="AQ123" s="40">
        <v>0.75029999999999997</v>
      </c>
      <c r="AR123" s="31">
        <v>1.0329646089466999</v>
      </c>
      <c r="AS123" s="36">
        <v>3.4159696503496502</v>
      </c>
      <c r="AT123">
        <v>4.0599999999999996</v>
      </c>
      <c r="AU123">
        <v>4.28</v>
      </c>
      <c r="AV123" s="6"/>
      <c r="AW123" s="6">
        <v>4.07</v>
      </c>
      <c r="AX123" s="6">
        <v>4.05</v>
      </c>
      <c r="AY123" s="6">
        <v>4.1150000000000002</v>
      </c>
      <c r="AZ123" s="2">
        <v>0.66649999999999998</v>
      </c>
      <c r="BA123" s="2">
        <v>0.830126281980474</v>
      </c>
      <c r="BB123" s="2">
        <v>0.998</v>
      </c>
      <c r="BC123">
        <v>71500</v>
      </c>
      <c r="BD123">
        <v>56992</v>
      </c>
      <c r="BE123">
        <v>2066</v>
      </c>
      <c r="BF123">
        <v>26730</v>
      </c>
      <c r="BG123" s="9" t="s">
        <v>123</v>
      </c>
    </row>
    <row r="124" spans="3:59" ht="409.5" x14ac:dyDescent="0.25">
      <c r="C124" s="1">
        <v>45744</v>
      </c>
      <c r="D124" s="36">
        <v>267184.07711084699</v>
      </c>
      <c r="E124" s="33">
        <v>4.5999999999999996</v>
      </c>
      <c r="F124" s="33">
        <v>3.7706200000000001</v>
      </c>
      <c r="G124" s="2">
        <v>0.81969999999999998</v>
      </c>
      <c r="H124" s="2">
        <v>0.99</v>
      </c>
      <c r="I124" s="3">
        <v>0</v>
      </c>
      <c r="J124" s="3">
        <v>0</v>
      </c>
      <c r="K124" s="3">
        <v>33111</v>
      </c>
      <c r="L124" s="3">
        <v>36273.75</v>
      </c>
      <c r="M124" s="3">
        <v>31793</v>
      </c>
      <c r="N124" s="3">
        <v>101177.75</v>
      </c>
      <c r="O124" s="3">
        <v>213669.83</v>
      </c>
      <c r="P124" s="3">
        <v>112492.08</v>
      </c>
      <c r="Q124" s="3">
        <v>112492.08</v>
      </c>
      <c r="R124" s="3">
        <v>213669.83</v>
      </c>
      <c r="S124" s="3">
        <v>213669.83</v>
      </c>
      <c r="T124" s="3">
        <v>213242.49033999999</v>
      </c>
      <c r="U124" s="3">
        <v>1810</v>
      </c>
      <c r="V124" s="3">
        <v>1470</v>
      </c>
      <c r="W124" s="3">
        <v>1610</v>
      </c>
      <c r="X124" s="3">
        <v>1860</v>
      </c>
      <c r="Y124" s="3">
        <v>2060</v>
      </c>
      <c r="Z124" s="3">
        <v>27030</v>
      </c>
      <c r="AA124" s="3">
        <v>21690</v>
      </c>
      <c r="AB124" s="3">
        <v>22600</v>
      </c>
      <c r="AC124" s="3">
        <v>27280</v>
      </c>
      <c r="AD124" s="3">
        <v>17340</v>
      </c>
      <c r="AE124" s="3">
        <v>124750</v>
      </c>
      <c r="AF124" s="3">
        <v>237242.08</v>
      </c>
      <c r="AG124" s="3">
        <v>1542.05</v>
      </c>
      <c r="AH124" s="40">
        <v>6.4299999999999996E-2</v>
      </c>
      <c r="AI124" s="40">
        <v>5.1999999999999998E-2</v>
      </c>
      <c r="AJ124" s="40">
        <v>6.4100000000000004E-2</v>
      </c>
      <c r="AK124" s="40">
        <v>5.96E-2</v>
      </c>
      <c r="AL124" s="40">
        <v>6.8000000000000005E-2</v>
      </c>
      <c r="AM124" s="40">
        <v>0.72819999999999996</v>
      </c>
      <c r="AN124" s="40">
        <v>0.79449999999999998</v>
      </c>
      <c r="AO124" s="40">
        <v>0.70469999999999999</v>
      </c>
      <c r="AP124" s="40">
        <v>0.86550000000000005</v>
      </c>
      <c r="AQ124" s="40">
        <v>0.61160000000000003</v>
      </c>
      <c r="AR124" s="31">
        <v>1.2329785946020699</v>
      </c>
      <c r="AS124" s="36">
        <v>2.9883892307692301</v>
      </c>
      <c r="AT124">
        <v>3.94</v>
      </c>
      <c r="AU124">
        <v>3.98</v>
      </c>
      <c r="AV124" s="6"/>
      <c r="AW124" s="6">
        <v>4.09</v>
      </c>
      <c r="AX124" s="6">
        <v>4.18</v>
      </c>
      <c r="AY124" s="6">
        <v>4.0475000000000003</v>
      </c>
      <c r="AZ124" s="2">
        <v>0.7409</v>
      </c>
      <c r="BA124" s="2">
        <v>0.73832964317955097</v>
      </c>
      <c r="BB124" s="2">
        <v>0.998</v>
      </c>
      <c r="BC124">
        <v>71500</v>
      </c>
      <c r="BD124">
        <v>56992</v>
      </c>
      <c r="BE124">
        <v>0</v>
      </c>
      <c r="BF124">
        <v>26730</v>
      </c>
      <c r="BG124" s="9" t="s">
        <v>123</v>
      </c>
    </row>
    <row r="125" spans="3:59" ht="409.5" x14ac:dyDescent="0.25">
      <c r="C125" s="1">
        <v>45745</v>
      </c>
      <c r="D125" s="36">
        <v>267184.07711084699</v>
      </c>
      <c r="E125" s="33">
        <v>4.5999999999999996</v>
      </c>
      <c r="F125" s="33">
        <v>3.7706200000000001</v>
      </c>
      <c r="G125" s="2">
        <v>0.81969999999999998</v>
      </c>
      <c r="H125" s="2">
        <v>0.99</v>
      </c>
      <c r="I125" s="3">
        <v>0</v>
      </c>
      <c r="J125" s="3">
        <v>0</v>
      </c>
      <c r="K125" s="3">
        <v>26101</v>
      </c>
      <c r="L125" s="3">
        <v>29629.25</v>
      </c>
      <c r="M125" s="3">
        <v>26011</v>
      </c>
      <c r="N125" s="3">
        <v>81741.25</v>
      </c>
      <c r="O125" s="3">
        <v>150936.82999999999</v>
      </c>
      <c r="P125" s="3">
        <v>69195.58</v>
      </c>
      <c r="Q125" s="3">
        <v>69195.58</v>
      </c>
      <c r="R125" s="3">
        <v>150936.82999999999</v>
      </c>
      <c r="S125" s="3">
        <v>150936.82999999999</v>
      </c>
      <c r="T125" s="3">
        <v>150634.95634</v>
      </c>
      <c r="U125" s="3">
        <v>0</v>
      </c>
      <c r="V125" s="3">
        <v>0</v>
      </c>
      <c r="W125" s="3">
        <v>0</v>
      </c>
      <c r="X125" s="3">
        <v>0</v>
      </c>
      <c r="Y125" s="3">
        <v>0</v>
      </c>
      <c r="Z125" s="3">
        <v>23500</v>
      </c>
      <c r="AA125" s="3">
        <v>19500</v>
      </c>
      <c r="AB125" s="3">
        <v>19720</v>
      </c>
      <c r="AC125" s="3">
        <v>23770</v>
      </c>
      <c r="AD125" s="3">
        <v>20100</v>
      </c>
      <c r="AE125" s="3">
        <v>106590</v>
      </c>
      <c r="AF125" s="3">
        <v>175785.58</v>
      </c>
      <c r="AG125" s="3">
        <v>1560.73</v>
      </c>
      <c r="AH125" s="40">
        <v>0</v>
      </c>
      <c r="AI125" s="40">
        <v>0</v>
      </c>
      <c r="AJ125" s="40">
        <v>0</v>
      </c>
      <c r="AK125" s="40">
        <v>0</v>
      </c>
      <c r="AL125" s="40">
        <v>0</v>
      </c>
      <c r="AM125" s="40">
        <v>0.63319999999999999</v>
      </c>
      <c r="AN125" s="40">
        <v>0.79710000000000003</v>
      </c>
      <c r="AO125" s="40">
        <v>0.61329999999999996</v>
      </c>
      <c r="AP125" s="40">
        <v>0.8417</v>
      </c>
      <c r="AQ125" s="40">
        <v>0.82379999999999998</v>
      </c>
      <c r="AR125" s="31">
        <v>1.30399278210206</v>
      </c>
      <c r="AS125" s="36">
        <v>2.11100461538462</v>
      </c>
      <c r="AT125">
        <v>3.53</v>
      </c>
      <c r="AU125">
        <v>3.53</v>
      </c>
      <c r="AV125" s="6"/>
      <c r="AW125" s="6">
        <v>3.52</v>
      </c>
      <c r="AX125" s="6">
        <v>3.67</v>
      </c>
      <c r="AY125" s="6">
        <v>3.5625</v>
      </c>
      <c r="AZ125" s="2">
        <v>0.74180000000000001</v>
      </c>
      <c r="BA125" s="2">
        <v>0.59256269905533099</v>
      </c>
      <c r="BB125" s="2">
        <v>0.998</v>
      </c>
      <c r="BC125">
        <v>71500</v>
      </c>
      <c r="BD125">
        <v>56992</v>
      </c>
      <c r="BE125">
        <v>0</v>
      </c>
      <c r="BF125">
        <v>26730</v>
      </c>
      <c r="BG125" s="9" t="s">
        <v>124</v>
      </c>
    </row>
    <row r="126" spans="3:59" ht="409.5" x14ac:dyDescent="0.25">
      <c r="C126" s="1">
        <v>45746</v>
      </c>
      <c r="D126" s="36">
        <v>267184.07711084699</v>
      </c>
      <c r="E126" s="33">
        <v>4.5999999999999996</v>
      </c>
      <c r="F126" s="33">
        <v>3.7706200000000001</v>
      </c>
      <c r="G126" s="2">
        <v>0.81969999999999998</v>
      </c>
      <c r="H126" s="2">
        <v>0.99</v>
      </c>
      <c r="I126" s="3">
        <v>20930.5</v>
      </c>
      <c r="J126" s="3">
        <v>0</v>
      </c>
      <c r="K126" s="3">
        <v>28245</v>
      </c>
      <c r="L126" s="3">
        <v>32212.5</v>
      </c>
      <c r="M126" s="3">
        <v>28688</v>
      </c>
      <c r="N126" s="3">
        <v>110076</v>
      </c>
      <c r="O126" s="3">
        <v>133714</v>
      </c>
      <c r="P126" s="3">
        <v>23638</v>
      </c>
      <c r="Q126" s="3">
        <v>23638</v>
      </c>
      <c r="R126" s="3">
        <v>133714</v>
      </c>
      <c r="S126" s="3">
        <v>133714</v>
      </c>
      <c r="T126" s="3">
        <v>133446.57199999999</v>
      </c>
      <c r="U126" s="3">
        <v>0</v>
      </c>
      <c r="V126" s="3">
        <v>0</v>
      </c>
      <c r="W126" s="3">
        <v>0</v>
      </c>
      <c r="X126" s="3">
        <v>0</v>
      </c>
      <c r="Y126" s="3">
        <v>0</v>
      </c>
      <c r="Z126" s="3">
        <v>15320</v>
      </c>
      <c r="AA126" s="3">
        <v>12860</v>
      </c>
      <c r="AB126" s="3">
        <v>12850</v>
      </c>
      <c r="AC126" s="3">
        <v>15030</v>
      </c>
      <c r="AD126" s="3">
        <v>13380</v>
      </c>
      <c r="AE126" s="3">
        <v>69440</v>
      </c>
      <c r="AF126" s="3">
        <v>93078</v>
      </c>
      <c r="AG126" s="3">
        <v>1450.28</v>
      </c>
      <c r="AH126" s="40">
        <v>0</v>
      </c>
      <c r="AI126" s="40">
        <v>0</v>
      </c>
      <c r="AJ126" s="40">
        <v>0</v>
      </c>
      <c r="AK126" s="40">
        <v>0</v>
      </c>
      <c r="AL126" s="40">
        <v>0</v>
      </c>
      <c r="AM126" s="40">
        <v>0.9718</v>
      </c>
      <c r="AN126" s="40">
        <v>0.98680000000000001</v>
      </c>
      <c r="AO126" s="40">
        <v>0.94089999999999996</v>
      </c>
      <c r="AP126" s="40">
        <v>0.999</v>
      </c>
      <c r="AQ126" s="40">
        <v>0.98009999999999997</v>
      </c>
      <c r="AR126" s="31">
        <v>0.63083687633998298</v>
      </c>
      <c r="AS126" s="36">
        <v>1.8701258741258699</v>
      </c>
      <c r="AT126">
        <v>1.88</v>
      </c>
      <c r="AU126">
        <v>1.88</v>
      </c>
      <c r="AV126" s="6"/>
      <c r="AW126" s="6">
        <v>1.97</v>
      </c>
      <c r="AX126" s="6">
        <v>1.97</v>
      </c>
      <c r="AY126" s="6">
        <v>1.925</v>
      </c>
      <c r="AZ126" s="2">
        <v>0.97570000000000001</v>
      </c>
      <c r="BA126" s="2">
        <v>0.97149396058487003</v>
      </c>
      <c r="BB126" s="2">
        <v>0.998</v>
      </c>
      <c r="BC126">
        <v>71500</v>
      </c>
      <c r="BD126">
        <v>56992</v>
      </c>
      <c r="BE126">
        <v>11900</v>
      </c>
      <c r="BF126">
        <v>26730</v>
      </c>
      <c r="BG126" s="9" t="s">
        <v>124</v>
      </c>
    </row>
    <row r="127" spans="3:59" ht="409.5" x14ac:dyDescent="0.25">
      <c r="C127" s="1">
        <v>45747</v>
      </c>
      <c r="D127" s="36">
        <v>267184.07711084699</v>
      </c>
      <c r="E127" s="33">
        <v>4.5999999999999996</v>
      </c>
      <c r="F127" s="33">
        <v>3.7706200000000001</v>
      </c>
      <c r="G127" s="2">
        <v>0.81969999999999998</v>
      </c>
      <c r="H127" s="2">
        <v>0.99</v>
      </c>
      <c r="I127" s="3">
        <v>85466</v>
      </c>
      <c r="J127" s="3">
        <v>0</v>
      </c>
      <c r="K127" s="3">
        <v>55705.5</v>
      </c>
      <c r="L127" s="3">
        <v>56724</v>
      </c>
      <c r="M127" s="3">
        <v>49718</v>
      </c>
      <c r="N127" s="3">
        <v>247613.5</v>
      </c>
      <c r="O127" s="3">
        <v>319744.5</v>
      </c>
      <c r="P127" s="3">
        <v>72131</v>
      </c>
      <c r="Q127" s="3">
        <v>72131</v>
      </c>
      <c r="R127" s="3">
        <v>319744.5</v>
      </c>
      <c r="S127" s="3">
        <v>319744.5</v>
      </c>
      <c r="T127" s="3">
        <v>319105.011</v>
      </c>
      <c r="U127" s="3">
        <v>17930</v>
      </c>
      <c r="V127" s="3">
        <v>17900</v>
      </c>
      <c r="W127" s="3">
        <v>16420</v>
      </c>
      <c r="X127" s="3">
        <v>20940</v>
      </c>
      <c r="Y127" s="3">
        <v>20750</v>
      </c>
      <c r="Z127" s="3">
        <v>39600</v>
      </c>
      <c r="AA127" s="3">
        <v>33180</v>
      </c>
      <c r="AB127" s="3">
        <v>33020</v>
      </c>
      <c r="AC127" s="3">
        <v>37690</v>
      </c>
      <c r="AD127" s="3">
        <v>33860</v>
      </c>
      <c r="AE127" s="3">
        <v>271290</v>
      </c>
      <c r="AF127" s="3">
        <v>343421</v>
      </c>
      <c r="AG127" s="3">
        <v>1321.36</v>
      </c>
      <c r="AH127" s="40">
        <v>0.39760000000000001</v>
      </c>
      <c r="AI127" s="40">
        <v>0.39700000000000002</v>
      </c>
      <c r="AJ127" s="40">
        <v>0.40970000000000001</v>
      </c>
      <c r="AK127" s="40">
        <v>0.43</v>
      </c>
      <c r="AL127" s="40">
        <v>0.46</v>
      </c>
      <c r="AM127" s="40">
        <v>0.77</v>
      </c>
      <c r="AN127" s="40">
        <v>0.79</v>
      </c>
      <c r="AO127" s="40">
        <v>0.74</v>
      </c>
      <c r="AP127" s="40">
        <v>0.78</v>
      </c>
      <c r="AQ127" s="40">
        <v>0.76</v>
      </c>
      <c r="AR127" s="31">
        <v>1.09561877684375</v>
      </c>
      <c r="AS127" s="36">
        <v>4.4719510489510501</v>
      </c>
      <c r="AT127">
        <v>6.06</v>
      </c>
      <c r="AU127">
        <v>5.97</v>
      </c>
      <c r="AV127" s="6"/>
      <c r="AW127" s="6">
        <v>6.44</v>
      </c>
      <c r="AX127" s="6">
        <v>6.68</v>
      </c>
      <c r="AY127" s="6">
        <v>6.2874999999999996</v>
      </c>
      <c r="AZ127" s="2">
        <v>0.59219999999999995</v>
      </c>
      <c r="BA127" s="2">
        <v>0.71124469963436199</v>
      </c>
      <c r="BB127" s="2">
        <v>0.998</v>
      </c>
      <c r="BC127">
        <v>71500</v>
      </c>
      <c r="BD127">
        <v>56992</v>
      </c>
      <c r="BE127">
        <v>4153</v>
      </c>
      <c r="BF127">
        <v>26730</v>
      </c>
      <c r="BG127" s="9" t="s">
        <v>124</v>
      </c>
    </row>
    <row r="128" spans="3:59" ht="409.5" x14ac:dyDescent="0.25">
      <c r="C128" s="1">
        <v>45748</v>
      </c>
      <c r="D128" s="36">
        <v>259826.83440779499</v>
      </c>
      <c r="E128" s="33">
        <v>4.4733333333333301</v>
      </c>
      <c r="F128" s="33">
        <v>3.6667913333333302</v>
      </c>
      <c r="G128" s="2">
        <v>0.81969999999999998</v>
      </c>
      <c r="H128" s="2">
        <v>0.99</v>
      </c>
      <c r="I128" s="3">
        <v>8268</v>
      </c>
      <c r="J128" s="3">
        <v>0</v>
      </c>
      <c r="K128" s="3">
        <v>56496.25</v>
      </c>
      <c r="L128" s="3">
        <v>56848.25</v>
      </c>
      <c r="M128" s="3">
        <v>49503</v>
      </c>
      <c r="N128" s="3">
        <v>171115.5</v>
      </c>
      <c r="O128" s="3">
        <v>259298.5</v>
      </c>
      <c r="P128" s="3">
        <v>88183</v>
      </c>
      <c r="Q128" s="3">
        <v>88183</v>
      </c>
      <c r="R128" s="3">
        <v>259298.5</v>
      </c>
      <c r="S128" s="3">
        <v>259298.5</v>
      </c>
      <c r="T128" s="3">
        <v>258779.90299999999</v>
      </c>
      <c r="U128" s="3">
        <v>4200</v>
      </c>
      <c r="V128" s="3">
        <v>4150</v>
      </c>
      <c r="W128" s="3">
        <v>3830</v>
      </c>
      <c r="X128" s="3">
        <v>4860</v>
      </c>
      <c r="Y128" s="3">
        <v>4880</v>
      </c>
      <c r="Z128" s="3">
        <v>26650</v>
      </c>
      <c r="AA128" s="3">
        <v>22460</v>
      </c>
      <c r="AB128" s="3">
        <v>22470</v>
      </c>
      <c r="AC128" s="3">
        <v>26250</v>
      </c>
      <c r="AD128" s="3">
        <v>23460</v>
      </c>
      <c r="AE128" s="3">
        <v>143210</v>
      </c>
      <c r="AF128" s="3">
        <v>231393</v>
      </c>
      <c r="AG128" s="3">
        <v>1356.04</v>
      </c>
      <c r="AH128" s="40">
        <v>0.18</v>
      </c>
      <c r="AI128" s="40">
        <v>0.18</v>
      </c>
      <c r="AJ128" s="40">
        <v>0.18</v>
      </c>
      <c r="AK128" s="40">
        <v>0.18</v>
      </c>
      <c r="AL128" s="40">
        <v>0.18</v>
      </c>
      <c r="AM128" s="40">
        <v>0.94</v>
      </c>
      <c r="AN128" s="40">
        <v>0.93</v>
      </c>
      <c r="AO128" s="40">
        <v>0.92</v>
      </c>
      <c r="AP128" s="40">
        <v>0.94</v>
      </c>
      <c r="AQ128" s="40">
        <v>0.96</v>
      </c>
      <c r="AR128" s="31">
        <v>0.836920091984654</v>
      </c>
      <c r="AS128" s="36">
        <v>3.62655244755245</v>
      </c>
      <c r="AT128">
        <v>3.49</v>
      </c>
      <c r="AU128">
        <v>3.53</v>
      </c>
      <c r="AV128" s="6"/>
      <c r="AW128" s="6">
        <v>3.53</v>
      </c>
      <c r="AX128" s="6">
        <v>3.44</v>
      </c>
      <c r="AY128" s="6">
        <v>3.4975000000000001</v>
      </c>
      <c r="AZ128" s="2">
        <v>0.55969999999999998</v>
      </c>
      <c r="BA128" s="2">
        <v>1.0368984839320801</v>
      </c>
      <c r="BB128" s="2">
        <v>0.998</v>
      </c>
      <c r="BC128">
        <v>71500</v>
      </c>
      <c r="BD128">
        <v>56992</v>
      </c>
      <c r="BE128">
        <v>0</v>
      </c>
      <c r="BF128">
        <v>26730</v>
      </c>
      <c r="BG128" s="9" t="s">
        <v>125</v>
      </c>
    </row>
    <row r="129" spans="3:59" ht="409.5" x14ac:dyDescent="0.25">
      <c r="C129" s="1">
        <v>45749</v>
      </c>
      <c r="D129" s="36">
        <v>259826.83440779499</v>
      </c>
      <c r="E129" s="33">
        <v>4.4733333333333301</v>
      </c>
      <c r="F129" s="33">
        <v>3.6667913333333302</v>
      </c>
      <c r="G129" s="2">
        <v>0.81969999999999998</v>
      </c>
      <c r="H129" s="2">
        <v>0.99</v>
      </c>
      <c r="I129" s="3">
        <v>0</v>
      </c>
      <c r="J129" s="3">
        <v>0</v>
      </c>
      <c r="K129" s="3">
        <v>41010.5</v>
      </c>
      <c r="L129" s="3">
        <v>42666.5</v>
      </c>
      <c r="M129" s="3">
        <v>37304</v>
      </c>
      <c r="N129" s="3">
        <v>120981</v>
      </c>
      <c r="O129" s="3">
        <v>268519.67</v>
      </c>
      <c r="P129" s="3">
        <v>147538.67000000001</v>
      </c>
      <c r="Q129" s="3">
        <v>147538.67000000001</v>
      </c>
      <c r="R129" s="3">
        <v>268519.67</v>
      </c>
      <c r="S129" s="3">
        <v>268519.67</v>
      </c>
      <c r="T129" s="3">
        <v>267982.63066000002</v>
      </c>
      <c r="U129" s="3">
        <v>0</v>
      </c>
      <c r="V129" s="3">
        <v>0</v>
      </c>
      <c r="W129" s="3">
        <v>0</v>
      </c>
      <c r="X129" s="3">
        <v>0</v>
      </c>
      <c r="Y129" s="3">
        <v>0</v>
      </c>
      <c r="Z129" s="3">
        <v>33590</v>
      </c>
      <c r="AA129" s="3">
        <v>26950</v>
      </c>
      <c r="AB129" s="3">
        <v>28270</v>
      </c>
      <c r="AC129" s="3">
        <v>33450</v>
      </c>
      <c r="AD129" s="3">
        <v>28720</v>
      </c>
      <c r="AE129" s="3">
        <v>150980</v>
      </c>
      <c r="AF129" s="3">
        <v>298518.67</v>
      </c>
      <c r="AG129" s="3">
        <v>1440.28</v>
      </c>
      <c r="AH129" s="40">
        <v>0</v>
      </c>
      <c r="AI129" s="40">
        <v>0</v>
      </c>
      <c r="AJ129" s="40">
        <v>0</v>
      </c>
      <c r="AK129" s="40">
        <v>0</v>
      </c>
      <c r="AL129" s="40">
        <v>0</v>
      </c>
      <c r="AM129" s="40">
        <v>0.8639</v>
      </c>
      <c r="AN129" s="40">
        <v>0.81699999999999995</v>
      </c>
      <c r="AO129" s="40">
        <v>0.83940000000000003</v>
      </c>
      <c r="AP129" s="40">
        <v>0.87849999999999995</v>
      </c>
      <c r="AQ129" s="40">
        <v>0.85270000000000001</v>
      </c>
      <c r="AR129" s="31">
        <v>1.24796455641795</v>
      </c>
      <c r="AS129" s="36">
        <v>3.7555198601398598</v>
      </c>
      <c r="AT129">
        <v>4.76</v>
      </c>
      <c r="AU129">
        <v>4.7699999999999996</v>
      </c>
      <c r="AV129" s="6"/>
      <c r="AW129" s="6">
        <v>4.8600000000000003</v>
      </c>
      <c r="AX129" s="6">
        <v>4.84</v>
      </c>
      <c r="AY129" s="6">
        <v>4.8075000000000001</v>
      </c>
      <c r="AZ129" s="2">
        <v>0.85029999999999994</v>
      </c>
      <c r="BA129" s="2">
        <v>0.781179378084214</v>
      </c>
      <c r="BB129" s="2">
        <v>0.998</v>
      </c>
      <c r="BC129">
        <v>71500</v>
      </c>
      <c r="BD129">
        <v>56992</v>
      </c>
      <c r="BE129">
        <v>0</v>
      </c>
      <c r="BF129">
        <v>26730</v>
      </c>
      <c r="BG129" s="9" t="s">
        <v>125</v>
      </c>
    </row>
    <row r="130" spans="3:59" ht="409.5" x14ac:dyDescent="0.25">
      <c r="C130" s="1">
        <v>45750</v>
      </c>
      <c r="D130" s="36">
        <v>259826.83440779499</v>
      </c>
      <c r="E130" s="33">
        <v>4.4733333333333301</v>
      </c>
      <c r="F130" s="33">
        <v>3.6667913333333302</v>
      </c>
      <c r="G130" s="2">
        <v>0.81969999999999998</v>
      </c>
      <c r="H130" s="2">
        <v>0.99</v>
      </c>
      <c r="I130" s="3">
        <v>0</v>
      </c>
      <c r="J130" s="3">
        <v>0</v>
      </c>
      <c r="K130" s="3">
        <v>21184</v>
      </c>
      <c r="L130" s="3">
        <v>25172</v>
      </c>
      <c r="M130" s="3">
        <v>21733</v>
      </c>
      <c r="N130" s="3">
        <v>68089</v>
      </c>
      <c r="O130" s="3">
        <v>107817.33</v>
      </c>
      <c r="P130" s="3">
        <v>39728.33</v>
      </c>
      <c r="Q130" s="3">
        <v>39728.33</v>
      </c>
      <c r="R130" s="3">
        <v>107817.33</v>
      </c>
      <c r="S130" s="3">
        <v>107817.33</v>
      </c>
      <c r="T130" s="3">
        <v>107278.24335</v>
      </c>
      <c r="U130" s="3">
        <v>0</v>
      </c>
      <c r="V130" s="3">
        <v>0</v>
      </c>
      <c r="W130" s="3">
        <v>0</v>
      </c>
      <c r="X130" s="3">
        <v>0</v>
      </c>
      <c r="Y130" s="3">
        <v>0</v>
      </c>
      <c r="Z130" s="3">
        <v>17650</v>
      </c>
      <c r="AA130" s="3">
        <v>13850</v>
      </c>
      <c r="AB130" s="3">
        <v>14820</v>
      </c>
      <c r="AC130" s="3">
        <v>18200</v>
      </c>
      <c r="AD130" s="3">
        <v>15250</v>
      </c>
      <c r="AE130" s="3">
        <v>79770</v>
      </c>
      <c r="AF130" s="3">
        <v>119498.33</v>
      </c>
      <c r="AG130" s="3">
        <v>1293.21</v>
      </c>
      <c r="AH130" s="40">
        <v>0</v>
      </c>
      <c r="AI130" s="40">
        <v>0</v>
      </c>
      <c r="AJ130" s="40">
        <v>0</v>
      </c>
      <c r="AK130" s="40">
        <v>0</v>
      </c>
      <c r="AL130" s="40">
        <v>0</v>
      </c>
      <c r="AM130" s="40">
        <v>0.90780000000000005</v>
      </c>
      <c r="AN130" s="40">
        <v>0.82899999999999996</v>
      </c>
      <c r="AO130" s="40">
        <v>0.87990000000000002</v>
      </c>
      <c r="AP130" s="40">
        <v>0.94410000000000005</v>
      </c>
      <c r="AQ130" s="40">
        <v>0.90549999999999997</v>
      </c>
      <c r="AR130" s="31">
        <v>1.17155487670549</v>
      </c>
      <c r="AS130" s="36">
        <v>1.50793468531469</v>
      </c>
      <c r="AT130">
        <v>2.41</v>
      </c>
      <c r="AU130">
        <v>2.44</v>
      </c>
      <c r="AV130" s="6"/>
      <c r="AW130" s="6">
        <v>2.4300000000000002</v>
      </c>
      <c r="AX130" s="6">
        <v>2.5</v>
      </c>
      <c r="AY130" s="6">
        <v>2.4449999999999998</v>
      </c>
      <c r="AZ130" s="2">
        <v>0.89329999999999998</v>
      </c>
      <c r="BA130" s="2">
        <v>0.61674220258269297</v>
      </c>
      <c r="BB130" s="2">
        <v>0.995</v>
      </c>
      <c r="BC130">
        <v>71500</v>
      </c>
      <c r="BD130">
        <v>56992</v>
      </c>
      <c r="BE130">
        <v>0</v>
      </c>
      <c r="BF130">
        <v>26730</v>
      </c>
      <c r="BG130" s="9" t="s">
        <v>125</v>
      </c>
    </row>
    <row r="131" spans="3:59" ht="409.5" x14ac:dyDescent="0.25">
      <c r="C131" s="1">
        <v>45751</v>
      </c>
      <c r="D131" s="36">
        <v>259826.83440779499</v>
      </c>
      <c r="E131" s="33">
        <v>4.4733333333333301</v>
      </c>
      <c r="F131" s="33">
        <v>3.6667913333333302</v>
      </c>
      <c r="G131" s="2">
        <v>0.81969999999999998</v>
      </c>
      <c r="H131" s="2">
        <v>0.99</v>
      </c>
      <c r="I131" s="3">
        <v>0</v>
      </c>
      <c r="J131" s="3">
        <v>0</v>
      </c>
      <c r="K131" s="3">
        <v>50435</v>
      </c>
      <c r="L131" s="3">
        <v>51894.5</v>
      </c>
      <c r="M131" s="3">
        <v>45683</v>
      </c>
      <c r="N131" s="3">
        <v>148012.5</v>
      </c>
      <c r="O131" s="3">
        <v>283661.5</v>
      </c>
      <c r="P131" s="3">
        <v>135649</v>
      </c>
      <c r="Q131" s="3">
        <v>135649</v>
      </c>
      <c r="R131" s="3">
        <v>283661.5</v>
      </c>
      <c r="S131" s="3">
        <v>283661.5</v>
      </c>
      <c r="T131" s="3">
        <v>282526.85399999999</v>
      </c>
      <c r="U131" s="3">
        <v>0</v>
      </c>
      <c r="V131" s="3">
        <v>0</v>
      </c>
      <c r="W131" s="3">
        <v>0</v>
      </c>
      <c r="X131" s="3">
        <v>0</v>
      </c>
      <c r="Y131" s="3">
        <v>0</v>
      </c>
      <c r="Z131" s="3">
        <v>31950</v>
      </c>
      <c r="AA131" s="3">
        <v>26180</v>
      </c>
      <c r="AB131" s="3">
        <v>26940</v>
      </c>
      <c r="AC131" s="3">
        <v>32500</v>
      </c>
      <c r="AD131" s="3">
        <v>28050</v>
      </c>
      <c r="AE131" s="3">
        <v>145620</v>
      </c>
      <c r="AF131" s="3">
        <v>281269</v>
      </c>
      <c r="AG131" s="3">
        <v>1410.03</v>
      </c>
      <c r="AH131" s="40">
        <v>0</v>
      </c>
      <c r="AI131" s="40">
        <v>0</v>
      </c>
      <c r="AJ131" s="40">
        <v>0</v>
      </c>
      <c r="AK131" s="40">
        <v>0</v>
      </c>
      <c r="AL131" s="40">
        <v>0</v>
      </c>
      <c r="AM131" s="40">
        <v>0.84789999999999999</v>
      </c>
      <c r="AN131" s="40">
        <v>0.8</v>
      </c>
      <c r="AO131" s="40">
        <v>0.83</v>
      </c>
      <c r="AP131" s="40">
        <v>0.86</v>
      </c>
      <c r="AQ131" s="40">
        <v>0.86</v>
      </c>
      <c r="AR131" s="31">
        <v>0.98383582467696995</v>
      </c>
      <c r="AS131" s="36">
        <v>3.9672937062937099</v>
      </c>
      <c r="AT131">
        <v>4.7</v>
      </c>
      <c r="AU131">
        <v>4.7</v>
      </c>
      <c r="AV131" s="6"/>
      <c r="AW131" s="6">
        <v>4.71</v>
      </c>
      <c r="AX131" s="6">
        <v>4.78</v>
      </c>
      <c r="AY131" s="6">
        <v>4.7225000000000001</v>
      </c>
      <c r="AZ131" s="2">
        <v>0.84</v>
      </c>
      <c r="BA131" s="2">
        <v>0.84008336819347895</v>
      </c>
      <c r="BB131" s="2">
        <v>0.996</v>
      </c>
      <c r="BC131">
        <v>71500</v>
      </c>
      <c r="BD131">
        <v>56992</v>
      </c>
      <c r="BE131">
        <v>0</v>
      </c>
      <c r="BF131">
        <v>26730</v>
      </c>
      <c r="BG131" s="9" t="s">
        <v>125</v>
      </c>
    </row>
    <row r="132" spans="3:59" ht="409.5" x14ac:dyDescent="0.25">
      <c r="C132" s="1">
        <v>45752</v>
      </c>
      <c r="D132" s="36">
        <v>259826.83440779499</v>
      </c>
      <c r="E132" s="33">
        <v>4.4733333333333301</v>
      </c>
      <c r="F132" s="33">
        <v>3.6667913333333302</v>
      </c>
      <c r="G132" s="2">
        <v>0.81969999999999998</v>
      </c>
      <c r="H132" s="2">
        <v>0.99</v>
      </c>
      <c r="I132" s="3">
        <v>0</v>
      </c>
      <c r="J132" s="3">
        <v>0</v>
      </c>
      <c r="K132" s="3">
        <v>38998.25</v>
      </c>
      <c r="L132" s="3">
        <v>41083</v>
      </c>
      <c r="M132" s="3">
        <v>36410</v>
      </c>
      <c r="N132" s="3">
        <v>116491.25</v>
      </c>
      <c r="O132" s="3">
        <v>194520.5</v>
      </c>
      <c r="P132" s="3">
        <v>78029.25</v>
      </c>
      <c r="Q132" s="3">
        <v>78029.25</v>
      </c>
      <c r="R132" s="3">
        <v>194520.5</v>
      </c>
      <c r="S132" s="3">
        <v>194520.5</v>
      </c>
      <c r="T132" s="3">
        <v>194131.459</v>
      </c>
      <c r="U132" s="3">
        <v>0</v>
      </c>
      <c r="V132" s="3">
        <v>0</v>
      </c>
      <c r="W132" s="3">
        <v>0</v>
      </c>
      <c r="X132" s="3">
        <v>0</v>
      </c>
      <c r="Y132" s="3">
        <v>0</v>
      </c>
      <c r="Z132" s="3">
        <v>29360</v>
      </c>
      <c r="AA132" s="3">
        <v>24870</v>
      </c>
      <c r="AB132" s="3">
        <v>24510</v>
      </c>
      <c r="AC132" s="3">
        <v>28610</v>
      </c>
      <c r="AD132" s="3">
        <v>25420</v>
      </c>
      <c r="AE132" s="3">
        <v>132770</v>
      </c>
      <c r="AF132" s="3">
        <v>210799.25</v>
      </c>
      <c r="AG132" s="3">
        <v>1395.7</v>
      </c>
      <c r="AH132" s="40">
        <v>0</v>
      </c>
      <c r="AI132" s="40">
        <v>0</v>
      </c>
      <c r="AJ132" s="40">
        <v>0</v>
      </c>
      <c r="AK132" s="40">
        <v>0</v>
      </c>
      <c r="AL132" s="40">
        <v>0</v>
      </c>
      <c r="AM132" s="40">
        <v>0.92</v>
      </c>
      <c r="AN132" s="40">
        <v>0.93</v>
      </c>
      <c r="AO132" s="40">
        <v>0.88</v>
      </c>
      <c r="AP132" s="40">
        <v>0.92</v>
      </c>
      <c r="AQ132" s="40">
        <v>0.92</v>
      </c>
      <c r="AR132" s="31">
        <v>1.1397422553196099</v>
      </c>
      <c r="AS132" s="36">
        <v>2.7205664335664301</v>
      </c>
      <c r="AT132">
        <v>3.87</v>
      </c>
      <c r="AU132">
        <v>4.01</v>
      </c>
      <c r="AV132" s="6"/>
      <c r="AW132" s="6">
        <v>4</v>
      </c>
      <c r="AX132" s="6">
        <v>4.08</v>
      </c>
      <c r="AY132" s="6">
        <v>3.99</v>
      </c>
      <c r="AZ132" s="2">
        <v>0.91400000000000003</v>
      </c>
      <c r="BA132" s="2">
        <v>0.68184622395148697</v>
      </c>
      <c r="BB132" s="2">
        <v>0.998</v>
      </c>
      <c r="BC132">
        <v>71500</v>
      </c>
      <c r="BD132">
        <v>56992</v>
      </c>
      <c r="BE132">
        <v>0</v>
      </c>
      <c r="BF132">
        <v>26730</v>
      </c>
      <c r="BG132" s="9" t="s">
        <v>125</v>
      </c>
    </row>
    <row r="133" spans="3:59" ht="409.5" x14ac:dyDescent="0.25">
      <c r="C133" s="1">
        <v>45753</v>
      </c>
      <c r="D133" s="36">
        <v>259826.83440779499</v>
      </c>
      <c r="E133" s="33">
        <v>4.4733333333333301</v>
      </c>
      <c r="F133" s="33">
        <v>3.6667913333333302</v>
      </c>
      <c r="G133" s="2">
        <v>0.81969999999999998</v>
      </c>
      <c r="H133" s="2">
        <v>0.99</v>
      </c>
      <c r="I133" s="3">
        <v>0</v>
      </c>
      <c r="J133" s="3">
        <v>0</v>
      </c>
      <c r="K133" s="3">
        <v>41466.75</v>
      </c>
      <c r="L133" s="3">
        <v>43433.5</v>
      </c>
      <c r="M133" s="3">
        <v>37971</v>
      </c>
      <c r="N133" s="3">
        <v>122871.25</v>
      </c>
      <c r="O133" s="3">
        <v>205281.67</v>
      </c>
      <c r="P133" s="3">
        <v>82410.42</v>
      </c>
      <c r="Q133" s="3">
        <v>82410.42</v>
      </c>
      <c r="R133" s="3">
        <v>205281.67</v>
      </c>
      <c r="S133" s="3">
        <v>205281.67</v>
      </c>
      <c r="T133" s="3">
        <v>204871.10665999999</v>
      </c>
      <c r="U133" s="3">
        <v>0</v>
      </c>
      <c r="V133" s="3">
        <v>0</v>
      </c>
      <c r="W133" s="3">
        <v>0</v>
      </c>
      <c r="X133" s="3">
        <v>0</v>
      </c>
      <c r="Y133" s="3">
        <v>0</v>
      </c>
      <c r="Z133" s="3">
        <v>19810</v>
      </c>
      <c r="AA133" s="3">
        <v>16690</v>
      </c>
      <c r="AB133" s="3">
        <v>16610</v>
      </c>
      <c r="AC133" s="3">
        <v>19180</v>
      </c>
      <c r="AD133" s="3">
        <v>17170</v>
      </c>
      <c r="AE133" s="3">
        <v>89460</v>
      </c>
      <c r="AF133" s="3">
        <v>171870.42</v>
      </c>
      <c r="AG133" s="3">
        <v>1209.71</v>
      </c>
      <c r="AH133" s="40">
        <v>0</v>
      </c>
      <c r="AI133" s="40">
        <v>0</v>
      </c>
      <c r="AJ133" s="40">
        <v>0</v>
      </c>
      <c r="AK133" s="40">
        <v>0</v>
      </c>
      <c r="AL133" s="40">
        <v>0</v>
      </c>
      <c r="AM133" s="40">
        <v>0.97130000000000005</v>
      </c>
      <c r="AN133" s="40">
        <v>0.94430000000000003</v>
      </c>
      <c r="AO133" s="40">
        <v>0.93989999999999996</v>
      </c>
      <c r="AP133" s="40">
        <v>0.94030000000000002</v>
      </c>
      <c r="AQ133" s="40">
        <v>1</v>
      </c>
      <c r="AR133" s="31">
        <v>0.72807918858154397</v>
      </c>
      <c r="AS133" s="36">
        <v>2.8710723076923101</v>
      </c>
      <c r="AT133">
        <v>2.5499999999999998</v>
      </c>
      <c r="AU133">
        <v>2.33</v>
      </c>
      <c r="AV133" s="6"/>
      <c r="AW133" s="6">
        <v>2.19</v>
      </c>
      <c r="AX133" s="6">
        <v>2.64</v>
      </c>
      <c r="AY133" s="6">
        <v>2.4275000000000002</v>
      </c>
      <c r="AZ133" s="2">
        <v>0.98550000000000004</v>
      </c>
      <c r="BA133" s="2">
        <v>1.18272803612453</v>
      </c>
      <c r="BB133" s="2">
        <v>0.998</v>
      </c>
      <c r="BC133">
        <v>71500</v>
      </c>
      <c r="BD133">
        <v>56992</v>
      </c>
      <c r="BE133">
        <v>0</v>
      </c>
      <c r="BF133">
        <v>26730</v>
      </c>
      <c r="BG133" s="9" t="s">
        <v>125</v>
      </c>
    </row>
    <row r="134" spans="3:59" ht="409.5" x14ac:dyDescent="0.25">
      <c r="C134" s="1">
        <v>45754</v>
      </c>
      <c r="D134" s="36">
        <v>259826.83440779499</v>
      </c>
      <c r="E134" s="33">
        <v>4.4733333333333301</v>
      </c>
      <c r="F134" s="33">
        <v>3.6667913333333302</v>
      </c>
      <c r="G134" s="2">
        <v>0.81969999999999998</v>
      </c>
      <c r="H134" s="2">
        <v>0.99</v>
      </c>
      <c r="I134" s="3">
        <v>0</v>
      </c>
      <c r="J134" s="3">
        <v>0</v>
      </c>
      <c r="K134" s="3">
        <v>52837</v>
      </c>
      <c r="L134" s="3">
        <v>54306.5</v>
      </c>
      <c r="M134" s="3">
        <v>48004</v>
      </c>
      <c r="N134" s="3">
        <v>155147.5</v>
      </c>
      <c r="O134" s="3">
        <v>323610.83</v>
      </c>
      <c r="P134" s="3">
        <v>168463.33</v>
      </c>
      <c r="Q134" s="3">
        <v>168463.33</v>
      </c>
      <c r="R134" s="3">
        <v>323610.83</v>
      </c>
      <c r="S134" s="3">
        <v>323610.83</v>
      </c>
      <c r="T134" s="3">
        <v>322963.60833999998</v>
      </c>
      <c r="U134" s="3">
        <v>0</v>
      </c>
      <c r="V134" s="3">
        <v>0</v>
      </c>
      <c r="W134" s="3">
        <v>0</v>
      </c>
      <c r="X134" s="3">
        <v>0</v>
      </c>
      <c r="Y134" s="3">
        <v>0</v>
      </c>
      <c r="Z134" s="3">
        <v>38510</v>
      </c>
      <c r="AA134" s="3">
        <v>32100</v>
      </c>
      <c r="AB134" s="3">
        <v>31890</v>
      </c>
      <c r="AC134" s="3">
        <v>36830</v>
      </c>
      <c r="AD134" s="3">
        <v>32700</v>
      </c>
      <c r="AE134" s="3">
        <v>172030</v>
      </c>
      <c r="AF134" s="3">
        <v>340493.33</v>
      </c>
      <c r="AG134" s="3">
        <v>1369.53</v>
      </c>
      <c r="AH134" s="40">
        <v>0</v>
      </c>
      <c r="AI134" s="40">
        <v>0</v>
      </c>
      <c r="AJ134" s="40">
        <v>0</v>
      </c>
      <c r="AK134" s="40">
        <v>0</v>
      </c>
      <c r="AL134" s="40">
        <v>0</v>
      </c>
      <c r="AM134" s="40">
        <v>0.85509999999999997</v>
      </c>
      <c r="AN134" s="40">
        <v>0.82279999999999998</v>
      </c>
      <c r="AO134" s="40">
        <v>0.8175</v>
      </c>
      <c r="AP134" s="40">
        <v>0.81769999999999998</v>
      </c>
      <c r="AQ134" s="40">
        <v>0.83799999999999997</v>
      </c>
      <c r="AR134" s="31">
        <v>1.1088158043152501</v>
      </c>
      <c r="AS134" s="36">
        <v>4.5260255944055903</v>
      </c>
      <c r="AT134">
        <v>5.63</v>
      </c>
      <c r="AU134">
        <v>5.87</v>
      </c>
      <c r="AV134" s="6"/>
      <c r="AW134" s="6">
        <v>6.08</v>
      </c>
      <c r="AX134" s="6">
        <v>6.37</v>
      </c>
      <c r="AY134" s="6">
        <v>5.9874999999999998</v>
      </c>
      <c r="AZ134" s="2">
        <v>0.83020000000000005</v>
      </c>
      <c r="BA134" s="2">
        <v>0.755912416602187</v>
      </c>
      <c r="BB134" s="2">
        <v>0.998</v>
      </c>
      <c r="BC134">
        <v>71500</v>
      </c>
      <c r="BD134">
        <v>56992</v>
      </c>
      <c r="BE134">
        <v>0</v>
      </c>
      <c r="BF134">
        <v>26730</v>
      </c>
      <c r="BG134" s="9" t="s">
        <v>125</v>
      </c>
    </row>
    <row r="135" spans="3:59" ht="409.5" x14ac:dyDescent="0.25">
      <c r="C135" s="1">
        <v>45755</v>
      </c>
      <c r="D135" s="36">
        <v>259826.83440779499</v>
      </c>
      <c r="E135" s="33">
        <v>4.4733333333333301</v>
      </c>
      <c r="F135" s="33">
        <v>3.6667913333333302</v>
      </c>
      <c r="G135" s="2">
        <v>0.81969999999999998</v>
      </c>
      <c r="H135" s="2">
        <v>0.99</v>
      </c>
      <c r="I135" s="3">
        <v>0</v>
      </c>
      <c r="J135" s="3">
        <v>0</v>
      </c>
      <c r="K135" s="3">
        <v>34656.75</v>
      </c>
      <c r="L135" s="3">
        <v>40174</v>
      </c>
      <c r="M135" s="3">
        <v>33544</v>
      </c>
      <c r="N135" s="3">
        <v>108374.75</v>
      </c>
      <c r="O135" s="3">
        <v>200595.67</v>
      </c>
      <c r="P135" s="3">
        <v>92220.92</v>
      </c>
      <c r="Q135" s="3">
        <v>92220.92</v>
      </c>
      <c r="R135" s="3">
        <v>200595.67</v>
      </c>
      <c r="S135" s="3">
        <v>200595.67</v>
      </c>
      <c r="T135" s="3">
        <v>200194.47865999999</v>
      </c>
      <c r="U135" s="3">
        <v>0</v>
      </c>
      <c r="V135" s="3">
        <v>0</v>
      </c>
      <c r="W135" s="3">
        <v>0</v>
      </c>
      <c r="X135" s="3">
        <v>0</v>
      </c>
      <c r="Y135" s="3">
        <v>0</v>
      </c>
      <c r="Z135" s="3">
        <v>28090</v>
      </c>
      <c r="AA135" s="3">
        <v>23150</v>
      </c>
      <c r="AB135" s="3">
        <v>22280</v>
      </c>
      <c r="AC135" s="3">
        <v>23840</v>
      </c>
      <c r="AD135" s="3">
        <v>22630</v>
      </c>
      <c r="AE135" s="3">
        <v>119990</v>
      </c>
      <c r="AF135" s="3">
        <v>212210.92</v>
      </c>
      <c r="AG135" s="3">
        <v>1507.77</v>
      </c>
      <c r="AH135" s="40">
        <v>0</v>
      </c>
      <c r="AI135" s="40">
        <v>0</v>
      </c>
      <c r="AJ135" s="40">
        <v>0</v>
      </c>
      <c r="AK135" s="40">
        <v>0</v>
      </c>
      <c r="AL135" s="40">
        <v>0</v>
      </c>
      <c r="AM135" s="40">
        <v>0.98070000000000002</v>
      </c>
      <c r="AN135" s="40">
        <v>0.93330000000000002</v>
      </c>
      <c r="AO135" s="40">
        <v>0.89800000000000002</v>
      </c>
      <c r="AP135" s="40">
        <v>0.83220000000000005</v>
      </c>
      <c r="AQ135" s="40">
        <v>0.9123</v>
      </c>
      <c r="AR135" s="31">
        <v>1.1071767178240299</v>
      </c>
      <c r="AS135" s="36">
        <v>2.8055338461538502</v>
      </c>
      <c r="AT135">
        <v>3.58</v>
      </c>
      <c r="AU135">
        <v>4.17</v>
      </c>
      <c r="AV135" s="6"/>
      <c r="AW135" s="6">
        <v>4.42</v>
      </c>
      <c r="AX135" s="6">
        <v>4.5199999999999996</v>
      </c>
      <c r="AY135" s="6">
        <v>4.1725000000000003</v>
      </c>
      <c r="AZ135" s="2">
        <v>0.9113</v>
      </c>
      <c r="BA135" s="2">
        <v>0.67238678158270704</v>
      </c>
      <c r="BB135" s="2">
        <v>0.998</v>
      </c>
      <c r="BC135">
        <v>71500</v>
      </c>
      <c r="BD135">
        <v>56992</v>
      </c>
      <c r="BE135">
        <v>0</v>
      </c>
      <c r="BF135">
        <v>26730</v>
      </c>
      <c r="BG135" s="9" t="s">
        <v>125</v>
      </c>
    </row>
    <row r="136" spans="3:59" ht="409.5" x14ac:dyDescent="0.25">
      <c r="C136" s="1">
        <v>45756</v>
      </c>
      <c r="D136" s="36">
        <v>259826.83440779499</v>
      </c>
      <c r="E136" s="33">
        <v>4.4733333333333301</v>
      </c>
      <c r="F136" s="33">
        <v>3.6667913333333302</v>
      </c>
      <c r="G136" s="2">
        <v>0.81969999999999998</v>
      </c>
      <c r="H136" s="2">
        <v>0.99</v>
      </c>
      <c r="I136" s="3">
        <v>0</v>
      </c>
      <c r="J136" s="3">
        <v>0</v>
      </c>
      <c r="K136" s="3">
        <v>55866.75</v>
      </c>
      <c r="L136" s="3">
        <v>57951</v>
      </c>
      <c r="M136" s="3">
        <v>49821</v>
      </c>
      <c r="N136" s="3">
        <v>163638.75</v>
      </c>
      <c r="O136" s="3">
        <v>299580.5</v>
      </c>
      <c r="P136" s="3">
        <v>135941.75</v>
      </c>
      <c r="Q136" s="3">
        <v>135941.75</v>
      </c>
      <c r="R136" s="3">
        <v>299580.5</v>
      </c>
      <c r="S136" s="3">
        <v>299580.5</v>
      </c>
      <c r="T136" s="3">
        <v>298981.33899999998</v>
      </c>
      <c r="U136" s="3">
        <v>0</v>
      </c>
      <c r="V136" s="3">
        <v>0</v>
      </c>
      <c r="W136" s="3">
        <v>0</v>
      </c>
      <c r="X136" s="3">
        <v>0</v>
      </c>
      <c r="Y136" s="3">
        <v>0</v>
      </c>
      <c r="Z136" s="3">
        <v>35220</v>
      </c>
      <c r="AA136" s="3">
        <v>29960</v>
      </c>
      <c r="AB136" s="3">
        <v>29500</v>
      </c>
      <c r="AC136" s="3">
        <v>33770</v>
      </c>
      <c r="AD136" s="3">
        <v>30340</v>
      </c>
      <c r="AE136" s="3">
        <v>158790</v>
      </c>
      <c r="AF136" s="3">
        <v>294731.75</v>
      </c>
      <c r="AG136" s="3">
        <v>1525.68</v>
      </c>
      <c r="AH136" s="40">
        <v>0</v>
      </c>
      <c r="AI136" s="40">
        <v>0</v>
      </c>
      <c r="AJ136" s="40">
        <v>0</v>
      </c>
      <c r="AK136" s="40">
        <v>0</v>
      </c>
      <c r="AL136" s="40">
        <v>0</v>
      </c>
      <c r="AM136" s="40">
        <v>0.87529999999999997</v>
      </c>
      <c r="AN136" s="40">
        <v>0.85960000000000003</v>
      </c>
      <c r="AO136" s="40">
        <v>0.84630000000000005</v>
      </c>
      <c r="AP136" s="40">
        <v>0.83909999999999996</v>
      </c>
      <c r="AQ136" s="40">
        <v>0.87039999999999995</v>
      </c>
      <c r="AR136" s="31">
        <v>0.97036918211609402</v>
      </c>
      <c r="AS136" s="36">
        <v>4.1899370629370596</v>
      </c>
      <c r="AT136">
        <v>5.03</v>
      </c>
      <c r="AU136">
        <v>5.14</v>
      </c>
      <c r="AV136" s="6"/>
      <c r="AW136" s="6">
        <v>5.16</v>
      </c>
      <c r="AX136" s="6">
        <v>5.32</v>
      </c>
      <c r="AY136" s="6">
        <v>5.1624999999999996</v>
      </c>
      <c r="AZ136" s="2">
        <v>0.85809999999999997</v>
      </c>
      <c r="BA136" s="2">
        <v>0.81161008483042396</v>
      </c>
      <c r="BB136" s="2">
        <v>0.998</v>
      </c>
      <c r="BC136">
        <v>71500</v>
      </c>
      <c r="BD136">
        <v>56992</v>
      </c>
      <c r="BE136">
        <v>0</v>
      </c>
      <c r="BF136">
        <v>26730</v>
      </c>
      <c r="BG136" s="9" t="s">
        <v>125</v>
      </c>
    </row>
    <row r="137" spans="3:59" ht="409.5" x14ac:dyDescent="0.25">
      <c r="C137" s="1">
        <v>45757</v>
      </c>
      <c r="D137" s="36">
        <v>259826.83440779499</v>
      </c>
      <c r="E137" s="33">
        <v>4.4733333333333301</v>
      </c>
      <c r="F137" s="33">
        <v>3.6667913333333302</v>
      </c>
      <c r="G137" s="2">
        <v>0.81969999999999998</v>
      </c>
      <c r="H137" s="2">
        <v>0.99</v>
      </c>
      <c r="I137" s="3">
        <v>0</v>
      </c>
      <c r="J137" s="3">
        <v>0</v>
      </c>
      <c r="K137" s="3">
        <v>40376.25</v>
      </c>
      <c r="L137" s="3">
        <v>43984</v>
      </c>
      <c r="M137" s="3">
        <v>37192</v>
      </c>
      <c r="N137" s="3">
        <v>121552.25</v>
      </c>
      <c r="O137" s="3">
        <v>232787.33</v>
      </c>
      <c r="P137" s="3">
        <v>111235.08</v>
      </c>
      <c r="Q137" s="3">
        <v>111235.08</v>
      </c>
      <c r="R137" s="3">
        <v>232787.33</v>
      </c>
      <c r="S137" s="3">
        <v>232787.33</v>
      </c>
      <c r="T137" s="3">
        <v>232321.75534</v>
      </c>
      <c r="U137" s="3">
        <v>0</v>
      </c>
      <c r="V137" s="3">
        <v>0</v>
      </c>
      <c r="W137" s="3">
        <v>0</v>
      </c>
      <c r="X137" s="3">
        <v>0</v>
      </c>
      <c r="Y137" s="3">
        <v>0</v>
      </c>
      <c r="Z137" s="3">
        <v>31260</v>
      </c>
      <c r="AA137" s="3">
        <v>27250</v>
      </c>
      <c r="AB137" s="3">
        <v>26850</v>
      </c>
      <c r="AC137" s="3">
        <v>30880</v>
      </c>
      <c r="AD137" s="3">
        <v>27760</v>
      </c>
      <c r="AE137" s="3">
        <v>144000</v>
      </c>
      <c r="AF137" s="3">
        <v>255235.08</v>
      </c>
      <c r="AG137" s="3">
        <v>1404.41</v>
      </c>
      <c r="AH137" s="40">
        <v>0</v>
      </c>
      <c r="AI137" s="40">
        <v>0</v>
      </c>
      <c r="AJ137" s="40">
        <v>0</v>
      </c>
      <c r="AK137" s="40">
        <v>0</v>
      </c>
      <c r="AL137" s="40">
        <v>0</v>
      </c>
      <c r="AM137" s="40">
        <v>0.82099999999999995</v>
      </c>
      <c r="AN137" s="40">
        <v>0.82609999999999995</v>
      </c>
      <c r="AO137" s="40">
        <v>0.81389999999999996</v>
      </c>
      <c r="AP137" s="40">
        <v>0.81100000000000005</v>
      </c>
      <c r="AQ137" s="40">
        <v>0.84150000000000003</v>
      </c>
      <c r="AR137" s="31">
        <v>1.1846757258709699</v>
      </c>
      <c r="AS137" s="36">
        <v>3.25576685314685</v>
      </c>
      <c r="AT137">
        <v>4.76</v>
      </c>
      <c r="AU137">
        <v>4.71</v>
      </c>
      <c r="AW137">
        <v>4.63</v>
      </c>
      <c r="AX137">
        <v>4.75</v>
      </c>
      <c r="AY137" s="6">
        <v>4.7125000000000004</v>
      </c>
      <c r="AZ137" s="2">
        <v>0.82269999999999999</v>
      </c>
      <c r="BA137" s="2">
        <v>0.69087890782957095</v>
      </c>
      <c r="BB137" s="2">
        <v>0.998</v>
      </c>
      <c r="BC137">
        <v>71500</v>
      </c>
      <c r="BD137">
        <v>56992</v>
      </c>
      <c r="BE137">
        <v>0</v>
      </c>
      <c r="BF137">
        <v>26730</v>
      </c>
      <c r="BG137" s="9" t="s">
        <v>125</v>
      </c>
    </row>
    <row r="138" spans="3:59" ht="409.5" x14ac:dyDescent="0.25">
      <c r="C138" s="1">
        <v>45758</v>
      </c>
      <c r="D138" s="36">
        <v>259826.83440779499</v>
      </c>
      <c r="E138" s="33">
        <v>4.4733333333333301</v>
      </c>
      <c r="F138" s="33">
        <v>3.6667913333333302</v>
      </c>
      <c r="G138" s="2">
        <v>0.81969999999999998</v>
      </c>
      <c r="H138" s="2">
        <v>0.99</v>
      </c>
      <c r="I138" s="3">
        <v>10356.5</v>
      </c>
      <c r="J138" s="3">
        <v>10351</v>
      </c>
      <c r="K138" s="3">
        <v>27469.5</v>
      </c>
      <c r="L138" s="3">
        <v>32309</v>
      </c>
      <c r="M138" s="3">
        <v>26416</v>
      </c>
      <c r="N138" s="3">
        <v>106902</v>
      </c>
      <c r="O138" s="3">
        <v>125550.33</v>
      </c>
      <c r="P138" s="3">
        <v>18648.330000000002</v>
      </c>
      <c r="Q138" s="3">
        <v>18648.330000000002</v>
      </c>
      <c r="R138" s="3">
        <v>125550.33</v>
      </c>
      <c r="S138" s="3">
        <v>125550.33</v>
      </c>
      <c r="T138" s="3">
        <v>125299.22934000001</v>
      </c>
      <c r="U138" s="3">
        <v>0</v>
      </c>
      <c r="V138" s="3">
        <v>0</v>
      </c>
      <c r="W138" s="3">
        <v>0</v>
      </c>
      <c r="X138" s="3">
        <v>0</v>
      </c>
      <c r="Y138" s="3">
        <v>0</v>
      </c>
      <c r="Z138" s="3">
        <v>7100</v>
      </c>
      <c r="AA138" s="3">
        <v>6010</v>
      </c>
      <c r="AB138" s="3">
        <v>5980</v>
      </c>
      <c r="AC138" s="3">
        <v>6960</v>
      </c>
      <c r="AD138" s="3">
        <v>6200</v>
      </c>
      <c r="AE138" s="3">
        <v>32250</v>
      </c>
      <c r="AF138" s="3">
        <v>50898.33</v>
      </c>
      <c r="AG138" s="3">
        <v>1572.85</v>
      </c>
      <c r="AH138" s="40">
        <v>0</v>
      </c>
      <c r="AI138" s="40">
        <v>0</v>
      </c>
      <c r="AJ138" s="40">
        <v>0</v>
      </c>
      <c r="AK138" s="40">
        <v>0</v>
      </c>
      <c r="AL138" s="40">
        <v>0</v>
      </c>
      <c r="AM138" s="40">
        <v>0.99750000000000005</v>
      </c>
      <c r="AN138" s="40">
        <v>0.97409999999999997</v>
      </c>
      <c r="AO138" s="40">
        <v>0.96879999999999999</v>
      </c>
      <c r="AP138" s="40">
        <v>0.97809999999999997</v>
      </c>
      <c r="AQ138" s="40">
        <v>0.98270000000000002</v>
      </c>
      <c r="AR138" s="31">
        <v>0.30167817253185197</v>
      </c>
      <c r="AS138" s="36">
        <v>1.7559486713286701</v>
      </c>
      <c r="AT138">
        <v>0.89</v>
      </c>
      <c r="AU138">
        <v>0.91</v>
      </c>
      <c r="AW138">
        <v>0.9</v>
      </c>
      <c r="AX138">
        <v>0.91</v>
      </c>
      <c r="AY138" s="6">
        <v>0.90249999999999997</v>
      </c>
      <c r="AZ138" s="2">
        <v>0.98019999999999996</v>
      </c>
      <c r="BA138" s="2">
        <v>1.9456494973170899</v>
      </c>
      <c r="BB138" s="2">
        <v>0.998</v>
      </c>
      <c r="BC138">
        <v>71500</v>
      </c>
      <c r="BD138">
        <v>56992</v>
      </c>
      <c r="BE138">
        <v>4694</v>
      </c>
      <c r="BF138">
        <v>26730</v>
      </c>
      <c r="BG138" s="9" t="s">
        <v>125</v>
      </c>
    </row>
    <row r="139" spans="3:59" ht="409.5" x14ac:dyDescent="0.25">
      <c r="C139" s="1">
        <v>45759</v>
      </c>
      <c r="D139" s="36">
        <v>259826.83440779499</v>
      </c>
      <c r="E139" s="33">
        <v>4.4733333333333301</v>
      </c>
      <c r="F139" s="33">
        <v>3.6667913333333302</v>
      </c>
      <c r="G139" s="2">
        <v>0.81969999999999998</v>
      </c>
      <c r="H139" s="2">
        <v>0.99</v>
      </c>
      <c r="I139" s="3">
        <v>0</v>
      </c>
      <c r="J139" s="3">
        <v>0</v>
      </c>
      <c r="K139" s="3">
        <v>47261.25</v>
      </c>
      <c r="L139" s="3">
        <v>34692</v>
      </c>
      <c r="M139" s="3">
        <v>47026</v>
      </c>
      <c r="N139" s="3">
        <v>128979.25</v>
      </c>
      <c r="O139" s="3">
        <v>256818.17</v>
      </c>
      <c r="P139" s="3">
        <v>127838.92</v>
      </c>
      <c r="Q139" s="3">
        <v>127838.92</v>
      </c>
      <c r="R139" s="3">
        <v>256818.17</v>
      </c>
      <c r="S139" s="3">
        <v>256818.17</v>
      </c>
      <c r="T139" s="3">
        <v>256304.53365999999</v>
      </c>
      <c r="U139" s="3">
        <v>4270</v>
      </c>
      <c r="V139" s="3">
        <v>3700</v>
      </c>
      <c r="W139" s="3">
        <v>3670</v>
      </c>
      <c r="X139" s="3">
        <v>4390</v>
      </c>
      <c r="Y139" s="3">
        <v>4750</v>
      </c>
      <c r="Z139" s="3">
        <v>35560</v>
      </c>
      <c r="AA139" s="3">
        <v>29730</v>
      </c>
      <c r="AB139" s="3">
        <v>29850</v>
      </c>
      <c r="AC139" s="3">
        <v>35500</v>
      </c>
      <c r="AD139" s="3">
        <v>30640</v>
      </c>
      <c r="AE139" s="3">
        <v>182060</v>
      </c>
      <c r="AF139" s="3">
        <v>309898.92</v>
      </c>
      <c r="AG139" s="3">
        <v>1381.8</v>
      </c>
      <c r="AH139" s="40">
        <v>0.1227</v>
      </c>
      <c r="AI139" s="40">
        <v>0.10630000000000001</v>
      </c>
      <c r="AJ139" s="40">
        <v>0.1187</v>
      </c>
      <c r="AK139" s="40">
        <v>0.1096</v>
      </c>
      <c r="AL139" s="40">
        <v>0.11650000000000001</v>
      </c>
      <c r="AM139" s="40">
        <v>0.82</v>
      </c>
      <c r="AN139" s="40">
        <v>0.79879999999999995</v>
      </c>
      <c r="AO139" s="40">
        <v>0.80210000000000004</v>
      </c>
      <c r="AP139" s="40">
        <v>0.82640000000000002</v>
      </c>
      <c r="AQ139" s="40">
        <v>0.82650000000000001</v>
      </c>
      <c r="AR139" s="31">
        <v>1.4115448802811299</v>
      </c>
      <c r="AS139" s="36">
        <v>3.5918625174825198</v>
      </c>
      <c r="AT139">
        <v>5.37</v>
      </c>
      <c r="AU139">
        <v>3.35</v>
      </c>
      <c r="AW139">
        <v>5.25</v>
      </c>
      <c r="AX139">
        <v>5.15</v>
      </c>
      <c r="AY139" s="6">
        <v>4.78</v>
      </c>
      <c r="AZ139" s="2">
        <v>0.46550000000000002</v>
      </c>
      <c r="BA139" s="2">
        <v>0.75143567311349702</v>
      </c>
      <c r="BB139" s="2">
        <v>0.998</v>
      </c>
      <c r="BC139">
        <v>71500</v>
      </c>
      <c r="BD139">
        <v>56992</v>
      </c>
      <c r="BE139">
        <v>5834</v>
      </c>
      <c r="BF139">
        <v>24368</v>
      </c>
      <c r="BG139" s="9" t="s">
        <v>125</v>
      </c>
    </row>
    <row r="140" spans="3:59" ht="409.5" x14ac:dyDescent="0.25">
      <c r="C140" s="1">
        <v>45760</v>
      </c>
      <c r="D140" s="36">
        <v>259826.83440779499</v>
      </c>
      <c r="E140" s="33">
        <v>4.4733333333333301</v>
      </c>
      <c r="F140" s="33">
        <v>3.6667913333333302</v>
      </c>
      <c r="G140" s="2">
        <v>0.81969999999999998</v>
      </c>
      <c r="H140" s="2">
        <v>0.99</v>
      </c>
      <c r="I140" s="3">
        <v>0</v>
      </c>
      <c r="J140" s="3">
        <v>51189.5</v>
      </c>
      <c r="K140" s="3">
        <v>45504.75</v>
      </c>
      <c r="L140" s="3">
        <v>19122.5</v>
      </c>
      <c r="M140" s="3">
        <v>45159</v>
      </c>
      <c r="N140" s="3">
        <v>160975.75</v>
      </c>
      <c r="O140" s="3">
        <v>182276.5</v>
      </c>
      <c r="P140" s="3">
        <v>21300.75</v>
      </c>
      <c r="Q140" s="3">
        <v>21300.75</v>
      </c>
      <c r="R140" s="3">
        <v>182276.5</v>
      </c>
      <c r="S140" s="3">
        <v>182276.5</v>
      </c>
      <c r="T140" s="3">
        <v>181911.94699999999</v>
      </c>
      <c r="U140" s="3">
        <v>4110</v>
      </c>
      <c r="V140" s="3">
        <v>4000</v>
      </c>
      <c r="W140" s="3">
        <v>3670</v>
      </c>
      <c r="X140" s="3">
        <v>4680</v>
      </c>
      <c r="Y140" s="3">
        <v>4670</v>
      </c>
      <c r="Z140" s="3">
        <v>19140</v>
      </c>
      <c r="AA140" s="3">
        <v>16220</v>
      </c>
      <c r="AB140" s="3">
        <v>16160</v>
      </c>
      <c r="AC140" s="3">
        <v>18870</v>
      </c>
      <c r="AD140" s="3">
        <v>16600</v>
      </c>
      <c r="AE140" s="3">
        <v>108120</v>
      </c>
      <c r="AF140" s="3">
        <v>129420.75</v>
      </c>
      <c r="AG140" s="3">
        <v>1284.3</v>
      </c>
      <c r="AH140" s="40">
        <v>0.2455</v>
      </c>
      <c r="AI140" s="40">
        <v>0.2389</v>
      </c>
      <c r="AJ140" s="40">
        <v>0.24660000000000001</v>
      </c>
      <c r="AK140" s="40">
        <v>0.71419999999999995</v>
      </c>
      <c r="AL140" s="40">
        <v>0.68859999999999999</v>
      </c>
      <c r="AM140" s="40">
        <v>0.87319999999999998</v>
      </c>
      <c r="AN140" s="40">
        <v>0.85419999999999996</v>
      </c>
      <c r="AO140" s="40">
        <v>0.85109999999999997</v>
      </c>
      <c r="AP140" s="40">
        <v>0.8609</v>
      </c>
      <c r="AQ140" s="40">
        <v>0.87419999999999998</v>
      </c>
      <c r="AR140" s="31">
        <v>0.67165396030147395</v>
      </c>
      <c r="AS140" s="36">
        <v>2.5493216783216801</v>
      </c>
      <c r="AT140">
        <v>2.74</v>
      </c>
      <c r="AU140">
        <v>0.89</v>
      </c>
      <c r="AW140">
        <v>0.86</v>
      </c>
      <c r="AX140">
        <v>2.48</v>
      </c>
      <c r="AY140" s="6">
        <v>1.7424999999999999</v>
      </c>
      <c r="AZ140" s="2">
        <v>0.64470000000000005</v>
      </c>
      <c r="BA140" s="2">
        <v>1.46302535341273</v>
      </c>
      <c r="BB140" s="2">
        <v>0.998</v>
      </c>
      <c r="BC140">
        <v>71500</v>
      </c>
      <c r="BD140">
        <v>56992</v>
      </c>
      <c r="BE140">
        <v>10000</v>
      </c>
      <c r="BF140">
        <v>30030</v>
      </c>
      <c r="BG140" s="9" t="s">
        <v>125</v>
      </c>
    </row>
    <row r="141" spans="3:59" ht="409.5" x14ac:dyDescent="0.25">
      <c r="C141" s="1">
        <v>45761</v>
      </c>
      <c r="D141" s="36">
        <v>259826.83440779499</v>
      </c>
      <c r="E141" s="33">
        <v>4.4733333333333301</v>
      </c>
      <c r="F141" s="33">
        <v>3.6667913333333302</v>
      </c>
      <c r="G141" s="2">
        <v>0.81969999999999998</v>
      </c>
      <c r="H141" s="2">
        <v>0.99</v>
      </c>
      <c r="I141" s="3">
        <v>0</v>
      </c>
      <c r="J141" s="3">
        <v>65235</v>
      </c>
      <c r="K141" s="3">
        <v>35250.25</v>
      </c>
      <c r="L141" s="3">
        <v>43785</v>
      </c>
      <c r="M141" s="3">
        <v>34579</v>
      </c>
      <c r="N141" s="3">
        <v>178849.25</v>
      </c>
      <c r="O141" s="3">
        <v>210310.33</v>
      </c>
      <c r="P141" s="3">
        <v>31461.08</v>
      </c>
      <c r="Q141" s="3">
        <v>31461.08</v>
      </c>
      <c r="R141" s="3">
        <v>210310.33</v>
      </c>
      <c r="S141" s="3">
        <v>210310.33</v>
      </c>
      <c r="T141" s="3">
        <v>209889.70934</v>
      </c>
      <c r="U141" s="3">
        <v>17050</v>
      </c>
      <c r="V141" s="3">
        <v>16700</v>
      </c>
      <c r="W141" s="3">
        <v>15600</v>
      </c>
      <c r="X141" s="3">
        <v>19540</v>
      </c>
      <c r="Y141" s="3">
        <v>19760</v>
      </c>
      <c r="Z141" s="3">
        <v>31380</v>
      </c>
      <c r="AA141" s="3">
        <v>26320</v>
      </c>
      <c r="AB141" s="3">
        <v>26580</v>
      </c>
      <c r="AC141" s="3">
        <v>31700</v>
      </c>
      <c r="AD141" s="3">
        <v>26950</v>
      </c>
      <c r="AE141" s="3">
        <v>231580</v>
      </c>
      <c r="AF141" s="3">
        <v>263041.08</v>
      </c>
      <c r="AG141" s="3">
        <v>1585.62</v>
      </c>
      <c r="AH141" s="40">
        <v>0.52839999999999998</v>
      </c>
      <c r="AI141" s="40">
        <v>0.51759999999999995</v>
      </c>
      <c r="AJ141" s="40">
        <v>0.54390000000000005</v>
      </c>
      <c r="AK141" s="40">
        <v>0.54210000000000003</v>
      </c>
      <c r="AL141" s="40">
        <v>0.5292</v>
      </c>
      <c r="AM141" s="40">
        <v>0.80710000000000004</v>
      </c>
      <c r="AN141" s="40">
        <v>0.78149999999999997</v>
      </c>
      <c r="AO141" s="40">
        <v>0.78920000000000001</v>
      </c>
      <c r="AP141" s="40">
        <v>0.81530000000000002</v>
      </c>
      <c r="AQ141" s="40">
        <v>0.80020000000000002</v>
      </c>
      <c r="AR141" s="31">
        <v>1.2948334980437399</v>
      </c>
      <c r="AS141" s="36">
        <v>2.94140321678322</v>
      </c>
      <c r="AT141">
        <v>4.8600000000000003</v>
      </c>
      <c r="AU141">
        <v>4.9000000000000004</v>
      </c>
      <c r="AW141">
        <v>4.7300000000000004</v>
      </c>
      <c r="AX141">
        <v>4.78</v>
      </c>
      <c r="AY141" s="6">
        <v>4.8174999999999999</v>
      </c>
      <c r="AZ141" s="2">
        <v>0.66549999999999998</v>
      </c>
      <c r="BA141" s="2">
        <v>0.61056631381073501</v>
      </c>
      <c r="BB141" s="2">
        <v>0.998</v>
      </c>
      <c r="BC141">
        <v>71500</v>
      </c>
      <c r="BD141">
        <v>56992</v>
      </c>
      <c r="BE141">
        <v>10000</v>
      </c>
      <c r="BF141">
        <v>30030</v>
      </c>
      <c r="BG141" s="9" t="s">
        <v>126</v>
      </c>
    </row>
    <row r="142" spans="3:59" ht="409.5" x14ac:dyDescent="0.25">
      <c r="C142" s="1">
        <v>45762</v>
      </c>
      <c r="D142" s="36">
        <v>259826.83440779499</v>
      </c>
      <c r="E142" s="33">
        <v>4.4733333333333301</v>
      </c>
      <c r="F142" s="33">
        <v>3.6667913333333302</v>
      </c>
      <c r="G142" s="2">
        <v>0.81969999999999998</v>
      </c>
      <c r="H142" s="2">
        <v>0.99</v>
      </c>
      <c r="I142" s="3">
        <v>19340.5</v>
      </c>
      <c r="J142" s="3">
        <v>68117</v>
      </c>
      <c r="K142" s="3">
        <v>29715</v>
      </c>
      <c r="L142" s="3">
        <v>37489</v>
      </c>
      <c r="M142" s="3">
        <v>29216</v>
      </c>
      <c r="N142" s="3">
        <v>183877.5</v>
      </c>
      <c r="O142" s="3">
        <v>153261.17000000001</v>
      </c>
      <c r="P142" s="3">
        <v>-30616.33</v>
      </c>
      <c r="Q142" s="3">
        <v>0</v>
      </c>
      <c r="R142" s="3">
        <v>183877.5</v>
      </c>
      <c r="S142" s="3">
        <v>183877.5</v>
      </c>
      <c r="T142" s="3">
        <v>152954.64765999999</v>
      </c>
      <c r="U142" s="3">
        <v>11140</v>
      </c>
      <c r="V142" s="3">
        <v>10840</v>
      </c>
      <c r="W142" s="3">
        <v>10010</v>
      </c>
      <c r="X142" s="3">
        <v>12680</v>
      </c>
      <c r="Y142" s="3">
        <v>12950</v>
      </c>
      <c r="Z142" s="3">
        <v>13520</v>
      </c>
      <c r="AA142" s="3">
        <v>11410</v>
      </c>
      <c r="AB142" s="3">
        <v>11360</v>
      </c>
      <c r="AC142" s="3">
        <v>13230</v>
      </c>
      <c r="AD142" s="3">
        <v>11780</v>
      </c>
      <c r="AE142" s="3">
        <v>118920</v>
      </c>
      <c r="AF142" s="3">
        <v>118920</v>
      </c>
      <c r="AG142" s="3">
        <v>1327.91</v>
      </c>
      <c r="AH142" s="40">
        <v>0.94850000000000001</v>
      </c>
      <c r="AI142" s="40">
        <v>0.92300000000000004</v>
      </c>
      <c r="AJ142" s="40">
        <v>0.95840000000000003</v>
      </c>
      <c r="AK142" s="40">
        <v>0.97919999999999996</v>
      </c>
      <c r="AL142" s="40">
        <v>0.99350000000000005</v>
      </c>
      <c r="AM142" s="40">
        <v>1</v>
      </c>
      <c r="AN142" s="40">
        <v>0.9798</v>
      </c>
      <c r="AO142" s="40">
        <v>0.97609999999999997</v>
      </c>
      <c r="AP142" s="40">
        <v>0.98460000000000003</v>
      </c>
      <c r="AQ142" s="40">
        <v>1</v>
      </c>
      <c r="AR142" s="31">
        <v>0.64673491862789101</v>
      </c>
      <c r="AS142" s="36">
        <v>2.5717132867132899</v>
      </c>
      <c r="AT142">
        <v>1.68</v>
      </c>
      <c r="AU142">
        <v>1.71</v>
      </c>
      <c r="AW142">
        <v>1.7</v>
      </c>
      <c r="AX142">
        <v>1.74</v>
      </c>
      <c r="AY142" s="6">
        <v>1.7075</v>
      </c>
      <c r="AZ142" s="2">
        <v>0.97609999999999997</v>
      </c>
      <c r="BA142" s="2">
        <v>1.5061278399492199</v>
      </c>
      <c r="BB142" s="2">
        <v>0.998</v>
      </c>
      <c r="BC142">
        <v>71500</v>
      </c>
      <c r="BD142">
        <v>56992</v>
      </c>
      <c r="BE142">
        <v>20000</v>
      </c>
      <c r="BF142">
        <v>30030</v>
      </c>
      <c r="BG142" s="9" t="s">
        <v>126</v>
      </c>
    </row>
    <row r="143" spans="3:59" ht="345" x14ac:dyDescent="0.25">
      <c r="C143" s="1">
        <v>45763</v>
      </c>
      <c r="D143" s="36">
        <v>259826.83440779499</v>
      </c>
      <c r="E143" s="33">
        <v>4.4733333333333301</v>
      </c>
      <c r="F143" s="33">
        <v>3.6667913333333302</v>
      </c>
      <c r="G143" s="2">
        <v>0.81969999999999998</v>
      </c>
      <c r="H143" s="2">
        <v>0.99</v>
      </c>
      <c r="I143" s="3">
        <v>62562</v>
      </c>
      <c r="J143" s="3">
        <v>62394.5</v>
      </c>
      <c r="K143" s="3">
        <v>49835.75</v>
      </c>
      <c r="L143" s="3">
        <v>55116.5</v>
      </c>
      <c r="M143" s="3">
        <v>45778</v>
      </c>
      <c r="N143" s="3">
        <v>275686.75</v>
      </c>
      <c r="O143" s="3">
        <v>281526.67</v>
      </c>
      <c r="P143" s="3">
        <v>5839.9199999999801</v>
      </c>
      <c r="Q143" s="3">
        <v>5839.9199999999801</v>
      </c>
      <c r="R143" s="3">
        <v>281526.67</v>
      </c>
      <c r="S143" s="3">
        <v>281526.67</v>
      </c>
      <c r="T143" s="3">
        <v>280963.61666</v>
      </c>
      <c r="U143" s="3">
        <v>28930</v>
      </c>
      <c r="V143" s="3">
        <v>28160</v>
      </c>
      <c r="W143" s="3">
        <v>26670</v>
      </c>
      <c r="X143" s="3">
        <v>33510</v>
      </c>
      <c r="Y143" s="3">
        <v>34350</v>
      </c>
      <c r="Z143" s="3">
        <v>40740</v>
      </c>
      <c r="AA143" s="3">
        <v>34180</v>
      </c>
      <c r="AB143" s="3">
        <v>34410</v>
      </c>
      <c r="AC143" s="3">
        <v>40430</v>
      </c>
      <c r="AD143" s="3">
        <v>34650</v>
      </c>
      <c r="AE143" s="3">
        <v>336030</v>
      </c>
      <c r="AF143" s="3">
        <v>341869.92</v>
      </c>
      <c r="AG143" s="3">
        <v>1240.8499999999999</v>
      </c>
      <c r="AH143" s="40">
        <v>0.73260000000000003</v>
      </c>
      <c r="AI143" s="40">
        <v>0.71309999999999996</v>
      </c>
      <c r="AJ143" s="40">
        <v>0.75980000000000003</v>
      </c>
      <c r="AK143" s="40">
        <v>0.76349999999999996</v>
      </c>
      <c r="AL143" s="40">
        <v>0.76929999999999998</v>
      </c>
      <c r="AM143" s="40">
        <v>0.89190000000000003</v>
      </c>
      <c r="AN143" s="40">
        <v>0.86380000000000001</v>
      </c>
      <c r="AO143" s="40">
        <v>0.86960000000000004</v>
      </c>
      <c r="AP143" s="40">
        <v>0.8851</v>
      </c>
      <c r="AQ143" s="40">
        <v>0.87570000000000003</v>
      </c>
      <c r="AR143" s="31">
        <v>1.21888338848349</v>
      </c>
      <c r="AS143" s="36">
        <v>3.9374359440559399</v>
      </c>
      <c r="AT143">
        <v>5.71</v>
      </c>
      <c r="AU143">
        <v>6.86</v>
      </c>
      <c r="AW143">
        <v>5.76</v>
      </c>
      <c r="AX143">
        <v>5.85</v>
      </c>
      <c r="AY143" s="6">
        <v>6.0449999999999999</v>
      </c>
      <c r="AZ143" s="2">
        <v>0.81240000000000001</v>
      </c>
      <c r="BA143" s="2">
        <v>0.65135416775119004</v>
      </c>
      <c r="BB143" s="2">
        <v>0.998</v>
      </c>
      <c r="BC143">
        <v>71500</v>
      </c>
      <c r="BD143">
        <v>56992</v>
      </c>
      <c r="BE143">
        <v>20000</v>
      </c>
      <c r="BF143">
        <v>30030</v>
      </c>
      <c r="BG143" s="9" t="s">
        <v>122</v>
      </c>
    </row>
    <row r="144" spans="3:59" ht="345" x14ac:dyDescent="0.25">
      <c r="C144" s="1">
        <v>45764</v>
      </c>
      <c r="D144" s="36">
        <v>259826.83440779499</v>
      </c>
      <c r="E144" s="33">
        <v>4.4733333333333301</v>
      </c>
      <c r="F144" s="33">
        <v>3.6667913333333302</v>
      </c>
      <c r="G144" s="2">
        <v>0.81969999999999998</v>
      </c>
      <c r="H144" s="2">
        <v>0.99</v>
      </c>
      <c r="I144" s="3">
        <v>56840.5</v>
      </c>
      <c r="J144" s="3">
        <v>56610.5</v>
      </c>
      <c r="K144" s="3">
        <v>44337.25</v>
      </c>
      <c r="L144" s="3">
        <v>48980</v>
      </c>
      <c r="M144" s="3">
        <v>41205</v>
      </c>
      <c r="N144" s="3">
        <v>247973.25</v>
      </c>
      <c r="O144" s="3">
        <v>228080</v>
      </c>
      <c r="P144" s="3">
        <v>-19893.25</v>
      </c>
      <c r="Q144" s="3">
        <v>0</v>
      </c>
      <c r="R144" s="3">
        <v>247973.25</v>
      </c>
      <c r="S144" s="3">
        <v>247973.25</v>
      </c>
      <c r="T144" s="3">
        <v>227623.84</v>
      </c>
      <c r="U144" s="3">
        <v>23050</v>
      </c>
      <c r="V144" s="3">
        <v>22530</v>
      </c>
      <c r="W144" s="3">
        <v>21010</v>
      </c>
      <c r="X144" s="3">
        <v>26650</v>
      </c>
      <c r="Y144" s="3">
        <v>27130</v>
      </c>
      <c r="Z144" s="3">
        <v>30390</v>
      </c>
      <c r="AA144" s="3">
        <v>25760</v>
      </c>
      <c r="AB144" s="3">
        <v>25570</v>
      </c>
      <c r="AC144" s="3">
        <v>29460</v>
      </c>
      <c r="AD144" s="3">
        <v>26450</v>
      </c>
      <c r="AE144" s="3">
        <v>258000</v>
      </c>
      <c r="AF144" s="3">
        <v>258000</v>
      </c>
      <c r="AG144" s="3">
        <v>1364.86</v>
      </c>
      <c r="AH144" s="40">
        <v>0.83489999999999998</v>
      </c>
      <c r="AI144" s="40">
        <v>0.81610000000000005</v>
      </c>
      <c r="AJ144" s="40">
        <v>0.85619999999999996</v>
      </c>
      <c r="AK144" s="40">
        <v>0.85089999999999999</v>
      </c>
      <c r="AL144" s="40">
        <v>0.8417</v>
      </c>
      <c r="AM144" s="40">
        <v>0.90659999999999996</v>
      </c>
      <c r="AN144" s="40">
        <v>0.88719999999999999</v>
      </c>
      <c r="AO144" s="40">
        <v>0.88060000000000005</v>
      </c>
      <c r="AP144" s="40">
        <v>0.87890000000000001</v>
      </c>
      <c r="AQ144" s="40">
        <v>0.91090000000000004</v>
      </c>
      <c r="AR144" s="31">
        <v>1.0404348049638401</v>
      </c>
      <c r="AS144" s="36">
        <v>3.46815734265734</v>
      </c>
      <c r="AT144">
        <v>4.1900000000000004</v>
      </c>
      <c r="AU144">
        <v>4.2300000000000004</v>
      </c>
      <c r="AW144">
        <v>4.1100000000000003</v>
      </c>
      <c r="AX144">
        <v>4.09</v>
      </c>
      <c r="AY144" s="6">
        <v>4.1550000000000002</v>
      </c>
      <c r="AZ144" s="2">
        <v>0.86639999999999995</v>
      </c>
      <c r="BA144" s="2">
        <v>0.83469490798010604</v>
      </c>
      <c r="BB144" s="2">
        <v>0.998</v>
      </c>
      <c r="BC144">
        <v>71500</v>
      </c>
      <c r="BD144">
        <v>56992</v>
      </c>
      <c r="BE144">
        <v>20000</v>
      </c>
      <c r="BF144">
        <v>30030</v>
      </c>
      <c r="BG144" s="9" t="s">
        <v>122</v>
      </c>
    </row>
    <row r="145" spans="3:59" ht="345" x14ac:dyDescent="0.25">
      <c r="C145" s="1">
        <v>45765</v>
      </c>
      <c r="D145" s="36">
        <v>259826.83440779499</v>
      </c>
      <c r="E145" s="33">
        <v>4.4733333333333301</v>
      </c>
      <c r="F145" s="33">
        <v>3.6667913333333302</v>
      </c>
      <c r="G145" s="2">
        <v>0.81969999999999998</v>
      </c>
      <c r="H145" s="2">
        <v>0.99</v>
      </c>
      <c r="I145" s="3">
        <v>64536.5</v>
      </c>
      <c r="J145" s="3">
        <v>64499</v>
      </c>
      <c r="K145" s="3">
        <v>46563.75</v>
      </c>
      <c r="L145" s="3">
        <v>49757.5</v>
      </c>
      <c r="M145" s="3">
        <v>44247</v>
      </c>
      <c r="N145" s="3">
        <v>269603.75</v>
      </c>
      <c r="O145" s="3">
        <v>239824.17</v>
      </c>
      <c r="P145" s="3">
        <v>-29779.58</v>
      </c>
      <c r="Q145" s="3">
        <v>0</v>
      </c>
      <c r="R145" s="3">
        <v>269603.75</v>
      </c>
      <c r="S145" s="3">
        <v>269603.75</v>
      </c>
      <c r="T145" s="3">
        <v>239344.52166</v>
      </c>
      <c r="U145" s="3">
        <v>18970</v>
      </c>
      <c r="V145" s="3">
        <v>18390</v>
      </c>
      <c r="W145" s="3">
        <v>17120</v>
      </c>
      <c r="X145" s="3">
        <v>21600</v>
      </c>
      <c r="Y145" s="3">
        <v>22170</v>
      </c>
      <c r="Z145" s="3">
        <v>23810</v>
      </c>
      <c r="AA145" s="3">
        <v>20300</v>
      </c>
      <c r="AB145" s="3">
        <v>19910</v>
      </c>
      <c r="AC145" s="3">
        <v>22890</v>
      </c>
      <c r="AD145" s="3">
        <v>20430</v>
      </c>
      <c r="AE145" s="3">
        <v>205590</v>
      </c>
      <c r="AF145" s="3">
        <v>205590</v>
      </c>
      <c r="AG145" s="3">
        <v>1470.4</v>
      </c>
      <c r="AH145" s="40">
        <v>0.86209999999999998</v>
      </c>
      <c r="AI145" s="40">
        <v>0.8357</v>
      </c>
      <c r="AJ145" s="40">
        <v>0.87529999999999997</v>
      </c>
      <c r="AK145" s="40">
        <v>0.87760000000000005</v>
      </c>
      <c r="AL145" s="40">
        <v>0.88429999999999997</v>
      </c>
      <c r="AM145" s="40">
        <v>0.92430000000000001</v>
      </c>
      <c r="AN145" s="40">
        <v>0.90969999999999995</v>
      </c>
      <c r="AO145" s="40">
        <v>0.89219999999999999</v>
      </c>
      <c r="AP145" s="40">
        <v>0.88859999999999995</v>
      </c>
      <c r="AQ145" s="40">
        <v>0.91549999999999998</v>
      </c>
      <c r="AR145" s="31">
        <v>0.76256357710157996</v>
      </c>
      <c r="AS145" s="36">
        <v>3.7706818181818198</v>
      </c>
      <c r="AT145">
        <v>3.22</v>
      </c>
      <c r="AU145">
        <v>3.29</v>
      </c>
      <c r="AW145">
        <v>3.23</v>
      </c>
      <c r="AX145">
        <v>3.26</v>
      </c>
      <c r="AY145" s="6">
        <v>3.25</v>
      </c>
      <c r="AZ145" s="2">
        <v>0.88649999999999995</v>
      </c>
      <c r="BA145" s="2">
        <v>1.1602097902097901</v>
      </c>
      <c r="BB145" s="2">
        <v>0.998</v>
      </c>
      <c r="BC145">
        <v>71500</v>
      </c>
      <c r="BD145">
        <v>56992</v>
      </c>
      <c r="BE145">
        <v>20000</v>
      </c>
      <c r="BF145">
        <v>30030</v>
      </c>
      <c r="BG145" s="9" t="s">
        <v>122</v>
      </c>
    </row>
    <row r="146" spans="3:59" ht="345" x14ac:dyDescent="0.25">
      <c r="C146" s="1">
        <v>45766</v>
      </c>
      <c r="D146" s="36">
        <v>259826.83440779499</v>
      </c>
      <c r="E146" s="33">
        <v>4.4733333333333301</v>
      </c>
      <c r="F146" s="33">
        <v>3.6667913333333302</v>
      </c>
      <c r="G146" s="2">
        <v>0.81969999999999998</v>
      </c>
      <c r="H146" s="2">
        <v>0.99</v>
      </c>
      <c r="I146" s="3">
        <v>55477</v>
      </c>
      <c r="J146" s="3">
        <v>55555.5</v>
      </c>
      <c r="K146" s="3">
        <v>44622.25</v>
      </c>
      <c r="L146" s="3">
        <v>47937</v>
      </c>
      <c r="M146" s="3">
        <v>41549</v>
      </c>
      <c r="N146" s="3">
        <v>245140.75</v>
      </c>
      <c r="O146" s="3">
        <v>229026.83</v>
      </c>
      <c r="P146" s="3">
        <v>-16113.92</v>
      </c>
      <c r="Q146" s="3">
        <v>0</v>
      </c>
      <c r="R146" s="3">
        <v>245140.75</v>
      </c>
      <c r="S146" s="3">
        <v>245140.75</v>
      </c>
      <c r="T146" s="3">
        <v>228568.77634000001</v>
      </c>
      <c r="U146" s="3">
        <v>20460</v>
      </c>
      <c r="V146" s="3">
        <v>20280</v>
      </c>
      <c r="W146" s="3">
        <v>19180</v>
      </c>
      <c r="X146" s="3">
        <v>24300</v>
      </c>
      <c r="Y146" s="3">
        <v>15570</v>
      </c>
      <c r="Z146" s="3">
        <v>28420</v>
      </c>
      <c r="AA146" s="3">
        <v>22570</v>
      </c>
      <c r="AB146" s="3">
        <v>22390</v>
      </c>
      <c r="AC146" s="3">
        <v>24910</v>
      </c>
      <c r="AD146" s="3">
        <v>22140</v>
      </c>
      <c r="AE146" s="3">
        <v>220220</v>
      </c>
      <c r="AF146" s="3">
        <v>220220</v>
      </c>
      <c r="AG146" s="3">
        <v>1544.72</v>
      </c>
      <c r="AH146" s="40">
        <v>0.76160000000000005</v>
      </c>
      <c r="AI146" s="40">
        <v>0.75470000000000004</v>
      </c>
      <c r="AJ146" s="40">
        <v>0.80320000000000003</v>
      </c>
      <c r="AK146" s="40">
        <v>0.76470000000000005</v>
      </c>
      <c r="AL146" s="40">
        <v>0.49340000000000001</v>
      </c>
      <c r="AM146" s="40">
        <v>1</v>
      </c>
      <c r="AN146" s="40">
        <v>0.95509999999999995</v>
      </c>
      <c r="AO146" s="40">
        <v>0.94750000000000001</v>
      </c>
      <c r="AP146" s="40">
        <v>0.91310000000000002</v>
      </c>
      <c r="AQ146" s="40">
        <v>0.93689999999999996</v>
      </c>
      <c r="AR146" s="31">
        <v>0.89834105508773998</v>
      </c>
      <c r="AS146" s="36">
        <v>3.42854195804196</v>
      </c>
      <c r="AT146">
        <v>3.41</v>
      </c>
      <c r="AU146">
        <v>4.1399999999999997</v>
      </c>
      <c r="AW146">
        <v>4.17</v>
      </c>
      <c r="AX146">
        <v>3.98</v>
      </c>
      <c r="AY146" s="6">
        <v>3.9249999999999998</v>
      </c>
      <c r="AZ146" s="2">
        <v>0.83720000000000006</v>
      </c>
      <c r="BA146" s="2">
        <v>0.873513874660371</v>
      </c>
      <c r="BB146" s="2">
        <v>0.998</v>
      </c>
      <c r="BC146">
        <v>71500</v>
      </c>
      <c r="BD146">
        <v>56992</v>
      </c>
      <c r="BE146">
        <v>20000</v>
      </c>
      <c r="BF146">
        <v>30030</v>
      </c>
      <c r="BG146" s="9" t="s">
        <v>122</v>
      </c>
    </row>
    <row r="147" spans="3:59" ht="345" x14ac:dyDescent="0.25">
      <c r="C147" s="1">
        <v>45767</v>
      </c>
      <c r="D147" s="36">
        <v>259826.83440779499</v>
      </c>
      <c r="E147" s="33">
        <v>4.4733333333333301</v>
      </c>
      <c r="F147" s="33">
        <v>3.6667913333333302</v>
      </c>
      <c r="G147" s="2">
        <v>0.81969999999999998</v>
      </c>
      <c r="H147" s="2">
        <v>0.99</v>
      </c>
      <c r="I147" s="3">
        <v>62195</v>
      </c>
      <c r="J147" s="3">
        <v>61896.5</v>
      </c>
      <c r="K147" s="3">
        <v>50897.25</v>
      </c>
      <c r="L147" s="3">
        <v>54278</v>
      </c>
      <c r="M147" s="3">
        <v>46533</v>
      </c>
      <c r="N147" s="3">
        <v>275799.75</v>
      </c>
      <c r="O147" s="3">
        <v>278862.5</v>
      </c>
      <c r="P147" s="3">
        <v>3062.75</v>
      </c>
      <c r="Q147" s="3">
        <v>3062.75</v>
      </c>
      <c r="R147" s="3">
        <v>278862.5</v>
      </c>
      <c r="S147" s="3">
        <v>278862.5</v>
      </c>
      <c r="T147" s="3">
        <v>277747.05</v>
      </c>
      <c r="U147" s="3">
        <v>27810</v>
      </c>
      <c r="V147" s="3">
        <v>27880</v>
      </c>
      <c r="W147" s="3">
        <v>24660</v>
      </c>
      <c r="X147" s="3">
        <v>31420</v>
      </c>
      <c r="Y147" s="3">
        <v>30850</v>
      </c>
      <c r="Z147" s="3">
        <v>38810</v>
      </c>
      <c r="AA147" s="3">
        <v>31790</v>
      </c>
      <c r="AB147" s="3">
        <v>32730</v>
      </c>
      <c r="AC147" s="3">
        <v>37880</v>
      </c>
      <c r="AD147" s="3">
        <v>32350</v>
      </c>
      <c r="AE147" s="3">
        <v>316180</v>
      </c>
      <c r="AF147" s="3">
        <v>319242.75</v>
      </c>
      <c r="AG147" s="3">
        <v>1353.75</v>
      </c>
      <c r="AH147" s="40">
        <v>0.65810000000000002</v>
      </c>
      <c r="AI147" s="40">
        <v>0.65969999999999995</v>
      </c>
      <c r="AJ147" s="40">
        <v>0.65649999999999997</v>
      </c>
      <c r="AK147" s="40">
        <v>0.69889999999999997</v>
      </c>
      <c r="AL147" s="40">
        <v>0.73070000000000002</v>
      </c>
      <c r="AM147" s="40">
        <v>0.87560000000000004</v>
      </c>
      <c r="AN147" s="40">
        <v>0.82799999999999996</v>
      </c>
      <c r="AO147" s="40">
        <v>0.85240000000000005</v>
      </c>
      <c r="AP147" s="40">
        <v>0.8548</v>
      </c>
      <c r="AQ147" s="40">
        <v>0.84260000000000002</v>
      </c>
      <c r="AR147" s="31">
        <v>1.1464114815187501</v>
      </c>
      <c r="AS147" s="36">
        <v>3.9001748251748301</v>
      </c>
      <c r="AT147">
        <v>5.54</v>
      </c>
      <c r="AU147">
        <v>5.54</v>
      </c>
      <c r="AW147">
        <v>5.9</v>
      </c>
      <c r="AX147">
        <v>6.26</v>
      </c>
      <c r="AY147" s="6">
        <v>5.81</v>
      </c>
      <c r="AZ147" s="2">
        <v>0.76570000000000005</v>
      </c>
      <c r="BA147" s="2">
        <v>0.67128654478052097</v>
      </c>
      <c r="BB147" s="2">
        <v>0.996</v>
      </c>
      <c r="BC147">
        <v>71500</v>
      </c>
      <c r="BD147">
        <v>56992</v>
      </c>
      <c r="BE147">
        <v>20000</v>
      </c>
      <c r="BF147">
        <v>30030</v>
      </c>
      <c r="BG147" s="9" t="s">
        <v>122</v>
      </c>
    </row>
    <row r="148" spans="3:59" ht="345" x14ac:dyDescent="0.25">
      <c r="C148" s="1">
        <v>45768</v>
      </c>
      <c r="D148" s="36">
        <v>259826.83440779499</v>
      </c>
      <c r="E148" s="33">
        <v>4.4733333333333301</v>
      </c>
      <c r="F148" s="33">
        <v>3.6667913333333302</v>
      </c>
      <c r="G148" s="2">
        <v>0.81969999999999998</v>
      </c>
      <c r="H148" s="2">
        <v>0.99</v>
      </c>
      <c r="I148" s="3">
        <v>50466</v>
      </c>
      <c r="J148" s="3">
        <v>50291</v>
      </c>
      <c r="K148" s="3">
        <v>27847</v>
      </c>
      <c r="L148" s="3">
        <v>33462.5</v>
      </c>
      <c r="M148" s="3">
        <v>27166</v>
      </c>
      <c r="N148" s="3">
        <v>189232.5</v>
      </c>
      <c r="O148" s="3">
        <v>236743.33</v>
      </c>
      <c r="P148" s="3">
        <v>47510.83</v>
      </c>
      <c r="Q148" s="3">
        <v>47510.83</v>
      </c>
      <c r="R148" s="3">
        <v>236743.33</v>
      </c>
      <c r="S148" s="3">
        <v>236743.33</v>
      </c>
      <c r="T148" s="3">
        <v>235796.35668</v>
      </c>
      <c r="U148" s="3">
        <v>18340</v>
      </c>
      <c r="V148" s="3">
        <v>18430</v>
      </c>
      <c r="W148" s="3">
        <v>17020</v>
      </c>
      <c r="X148" s="3">
        <v>21010</v>
      </c>
      <c r="Y148" s="3">
        <v>21640</v>
      </c>
      <c r="Z148" s="3">
        <v>23760</v>
      </c>
      <c r="AA148" s="3">
        <v>19750</v>
      </c>
      <c r="AB148" s="3">
        <v>19600</v>
      </c>
      <c r="AC148" s="3">
        <v>23220</v>
      </c>
      <c r="AD148" s="3">
        <v>20290</v>
      </c>
      <c r="AE148" s="3">
        <v>203060</v>
      </c>
      <c r="AF148" s="3">
        <v>250570.83</v>
      </c>
      <c r="AG148" s="3">
        <v>1348.59</v>
      </c>
      <c r="AH148" s="40">
        <v>0.7611</v>
      </c>
      <c r="AI148" s="40">
        <v>0.76480000000000004</v>
      </c>
      <c r="AJ148" s="40">
        <v>0.79459999999999997</v>
      </c>
      <c r="AK148" s="40">
        <v>0.77890000000000004</v>
      </c>
      <c r="AL148" s="40">
        <v>0.83530000000000004</v>
      </c>
      <c r="AM148" s="40">
        <v>0.87870000000000004</v>
      </c>
      <c r="AN148" s="40">
        <v>0.84319999999999995</v>
      </c>
      <c r="AO148" s="40">
        <v>0.83679999999999999</v>
      </c>
      <c r="AP148" s="40">
        <v>0.85670000000000002</v>
      </c>
      <c r="AQ148" s="40">
        <v>0.86819999999999997</v>
      </c>
      <c r="AR148" s="31">
        <v>1.0730714861347801</v>
      </c>
      <c r="AS148" s="36">
        <v>3.3110955244755198</v>
      </c>
      <c r="AT148">
        <v>3.38</v>
      </c>
      <c r="AU148">
        <v>3.4</v>
      </c>
      <c r="AW148">
        <v>3.54</v>
      </c>
      <c r="AX148">
        <v>3.57</v>
      </c>
      <c r="AY148" s="6">
        <v>3.4725000000000001</v>
      </c>
      <c r="AZ148" s="2">
        <v>0.82179999999999997</v>
      </c>
      <c r="BA148" s="2">
        <v>0.95351922951058998</v>
      </c>
      <c r="BB148" s="2">
        <v>0.996</v>
      </c>
      <c r="BC148">
        <v>71500</v>
      </c>
      <c r="BD148">
        <v>56992</v>
      </c>
      <c r="BE148">
        <v>20000</v>
      </c>
      <c r="BF148">
        <v>30030</v>
      </c>
      <c r="BG148" s="9" t="s">
        <v>122</v>
      </c>
    </row>
    <row r="149" spans="3:59" ht="345" x14ac:dyDescent="0.25">
      <c r="C149" s="1">
        <v>45769</v>
      </c>
      <c r="D149" s="36">
        <v>259826.83440779499</v>
      </c>
      <c r="E149" s="33">
        <v>4.4733333333333301</v>
      </c>
      <c r="F149" s="33">
        <v>3.6667913333333302</v>
      </c>
      <c r="G149" s="2">
        <v>0.81969999999999998</v>
      </c>
      <c r="H149" s="2">
        <v>0.99</v>
      </c>
      <c r="I149" s="3">
        <v>61021</v>
      </c>
      <c r="J149" s="3">
        <v>60973</v>
      </c>
      <c r="K149" s="3">
        <v>42104</v>
      </c>
      <c r="L149" s="3">
        <v>47258</v>
      </c>
      <c r="M149" s="3">
        <v>40309</v>
      </c>
      <c r="N149" s="3">
        <v>251665</v>
      </c>
      <c r="O149" s="3">
        <v>241637.67</v>
      </c>
      <c r="P149" s="3">
        <v>-10027.33</v>
      </c>
      <c r="Q149" s="3">
        <v>0</v>
      </c>
      <c r="R149" s="3">
        <v>251665</v>
      </c>
      <c r="S149" s="3">
        <v>251665</v>
      </c>
      <c r="T149" s="3">
        <v>240671.11932</v>
      </c>
      <c r="U149" s="3">
        <v>21590</v>
      </c>
      <c r="V149" s="3">
        <v>24150</v>
      </c>
      <c r="W149" s="3">
        <v>22820</v>
      </c>
      <c r="X149" s="3">
        <v>27240</v>
      </c>
      <c r="Y149" s="3">
        <v>29400</v>
      </c>
      <c r="Z149" s="3">
        <v>24480</v>
      </c>
      <c r="AA149" s="3">
        <v>20890</v>
      </c>
      <c r="AB149" s="3">
        <v>20680</v>
      </c>
      <c r="AC149" s="3">
        <v>23880</v>
      </c>
      <c r="AD149" s="3">
        <v>19930</v>
      </c>
      <c r="AE149" s="3">
        <v>235060</v>
      </c>
      <c r="AF149" s="3">
        <v>235060</v>
      </c>
      <c r="AG149" s="3">
        <v>1397.18</v>
      </c>
      <c r="AH149" s="40">
        <v>0.7319</v>
      </c>
      <c r="AI149" s="40">
        <v>0.81869999999999998</v>
      </c>
      <c r="AJ149" s="40">
        <v>0.87029999999999996</v>
      </c>
      <c r="AK149" s="40">
        <v>0.82369999999999999</v>
      </c>
      <c r="AL149" s="40">
        <v>0.88290000000000002</v>
      </c>
      <c r="AM149" s="40">
        <v>0.70830000000000004</v>
      </c>
      <c r="AN149" s="40">
        <v>0.69779999999999998</v>
      </c>
      <c r="AO149" s="40">
        <v>0.69079999999999997</v>
      </c>
      <c r="AP149" s="40">
        <v>0.69099999999999995</v>
      </c>
      <c r="AQ149" s="40">
        <v>0.66569999999999996</v>
      </c>
      <c r="AR149" s="31">
        <v>0.93401943059225601</v>
      </c>
      <c r="AS149" s="36">
        <v>3.5197902097902101</v>
      </c>
      <c r="AT149">
        <v>4.32</v>
      </c>
      <c r="AU149">
        <v>4.37</v>
      </c>
      <c r="AW149">
        <v>4.34</v>
      </c>
      <c r="AX149">
        <v>4.37</v>
      </c>
      <c r="AY149" s="6">
        <v>4.3499999999999996</v>
      </c>
      <c r="AZ149" s="2">
        <v>0.7581</v>
      </c>
      <c r="BA149" s="2">
        <v>0.80914717466441599</v>
      </c>
      <c r="BB149" s="2">
        <v>0.996</v>
      </c>
      <c r="BC149">
        <v>71500</v>
      </c>
      <c r="BD149">
        <v>56992</v>
      </c>
      <c r="BE149">
        <v>20000</v>
      </c>
      <c r="BF149">
        <v>30030</v>
      </c>
      <c r="BG149" s="9" t="s">
        <v>122</v>
      </c>
    </row>
    <row r="150" spans="3:59" ht="345" x14ac:dyDescent="0.25">
      <c r="C150" s="1">
        <v>45770</v>
      </c>
      <c r="D150" s="36">
        <v>259826.83440779499</v>
      </c>
      <c r="E150" s="33">
        <v>4.4733333333333301</v>
      </c>
      <c r="F150" s="33">
        <v>3.6667913333333302</v>
      </c>
      <c r="G150" s="2">
        <v>0.81969999999999998</v>
      </c>
      <c r="H150" s="2">
        <v>0.99</v>
      </c>
      <c r="I150" s="3">
        <v>52365</v>
      </c>
      <c r="J150" s="3">
        <v>52343</v>
      </c>
      <c r="K150" s="3">
        <v>35698</v>
      </c>
      <c r="L150" s="3">
        <v>45642</v>
      </c>
      <c r="M150" s="3">
        <v>36596</v>
      </c>
      <c r="N150" s="3">
        <v>222644</v>
      </c>
      <c r="O150" s="3">
        <v>203155.5</v>
      </c>
      <c r="P150" s="3">
        <v>-19488.5</v>
      </c>
      <c r="Q150" s="3">
        <v>0</v>
      </c>
      <c r="R150" s="3">
        <v>222644</v>
      </c>
      <c r="S150" s="3">
        <v>222644</v>
      </c>
      <c r="T150" s="3">
        <v>202342.878</v>
      </c>
      <c r="U150" s="3">
        <v>19090</v>
      </c>
      <c r="V150" s="3">
        <v>19280</v>
      </c>
      <c r="W150" s="3">
        <v>17630</v>
      </c>
      <c r="X150" s="3">
        <v>21410</v>
      </c>
      <c r="Y150" s="3">
        <v>22510</v>
      </c>
      <c r="Z150" s="3">
        <v>24510</v>
      </c>
      <c r="AA150" s="3">
        <v>20580</v>
      </c>
      <c r="AB150" s="3">
        <v>20390</v>
      </c>
      <c r="AC150" s="3">
        <v>23760</v>
      </c>
      <c r="AD150" s="3">
        <v>19360</v>
      </c>
      <c r="AE150" s="3">
        <v>208520</v>
      </c>
      <c r="AF150" s="3">
        <v>208520</v>
      </c>
      <c r="AG150" s="3">
        <v>1489.3</v>
      </c>
      <c r="AH150" s="40">
        <v>0.82</v>
      </c>
      <c r="AI150" s="40">
        <v>0.82</v>
      </c>
      <c r="AJ150" s="40">
        <v>0.85</v>
      </c>
      <c r="AK150" s="40">
        <v>0.79</v>
      </c>
      <c r="AL150" s="40">
        <v>0.86</v>
      </c>
      <c r="AM150" s="40">
        <v>0.93</v>
      </c>
      <c r="AN150" s="40">
        <v>0.9</v>
      </c>
      <c r="AO150" s="40">
        <v>0.89</v>
      </c>
      <c r="AP150" s="40">
        <v>0.9</v>
      </c>
      <c r="AQ150" s="40">
        <v>0.85</v>
      </c>
      <c r="AR150" s="31">
        <v>0.93656240455615203</v>
      </c>
      <c r="AS150" s="36">
        <v>3.1139020979021002</v>
      </c>
      <c r="AT150">
        <v>3.3</v>
      </c>
      <c r="AU150">
        <v>3.45</v>
      </c>
      <c r="AW150">
        <v>3.54</v>
      </c>
      <c r="AX150">
        <v>3.47</v>
      </c>
      <c r="AY150" s="6">
        <v>3.44</v>
      </c>
      <c r="AZ150" s="2">
        <v>0.86009999999999998</v>
      </c>
      <c r="BA150" s="2">
        <v>0.90520409822735404</v>
      </c>
      <c r="BB150" s="2">
        <v>0.996</v>
      </c>
      <c r="BC150">
        <v>71500</v>
      </c>
      <c r="BD150">
        <v>56992</v>
      </c>
      <c r="BE150">
        <v>20000</v>
      </c>
      <c r="BF150">
        <v>26831</v>
      </c>
      <c r="BG150" s="9" t="s">
        <v>122</v>
      </c>
    </row>
    <row r="151" spans="3:59" ht="409.5" x14ac:dyDescent="0.25">
      <c r="C151" s="1">
        <v>45771</v>
      </c>
      <c r="D151" s="36">
        <v>259826.83440779499</v>
      </c>
      <c r="E151" s="33">
        <v>4.4733333333333301</v>
      </c>
      <c r="F151" s="33">
        <v>3.6667913333333302</v>
      </c>
      <c r="G151" s="2">
        <v>0.81969999999999998</v>
      </c>
      <c r="H151" s="2">
        <v>0.99</v>
      </c>
      <c r="I151" s="3">
        <v>28461.5</v>
      </c>
      <c r="J151" s="3">
        <v>28246.5</v>
      </c>
      <c r="K151" s="3">
        <v>24093.5</v>
      </c>
      <c r="L151" s="3">
        <v>30188.5</v>
      </c>
      <c r="M151" s="3">
        <v>25244</v>
      </c>
      <c r="N151" s="3">
        <v>136234</v>
      </c>
      <c r="O151" s="3">
        <v>111508.83</v>
      </c>
      <c r="P151" s="3">
        <v>-24725.17</v>
      </c>
      <c r="Q151" s="3">
        <v>0</v>
      </c>
      <c r="R151" s="3">
        <v>136234</v>
      </c>
      <c r="S151" s="3">
        <v>136234</v>
      </c>
      <c r="T151" s="3">
        <v>110728.26819</v>
      </c>
      <c r="U151" s="3">
        <v>13580</v>
      </c>
      <c r="V151" s="3">
        <v>13610</v>
      </c>
      <c r="W151" s="3">
        <v>12640</v>
      </c>
      <c r="X151" s="3">
        <v>15240</v>
      </c>
      <c r="Y151" s="3">
        <v>16380</v>
      </c>
      <c r="Z151" s="3">
        <v>17460</v>
      </c>
      <c r="AA151" s="3">
        <v>14110</v>
      </c>
      <c r="AB151" s="3">
        <v>14510</v>
      </c>
      <c r="AC151" s="3">
        <v>17880</v>
      </c>
      <c r="AD151" s="3">
        <v>13640</v>
      </c>
      <c r="AE151" s="3">
        <v>149050</v>
      </c>
      <c r="AF151" s="3">
        <v>149050</v>
      </c>
      <c r="AG151" s="3">
        <v>1449.55</v>
      </c>
      <c r="AH151" s="40">
        <v>0.84</v>
      </c>
      <c r="AI151" s="40">
        <v>0.84</v>
      </c>
      <c r="AJ151" s="40">
        <v>0.88</v>
      </c>
      <c r="AK151" s="40">
        <v>0.83</v>
      </c>
      <c r="AL151" s="40">
        <v>0.92</v>
      </c>
      <c r="AM151" s="40">
        <v>0.94</v>
      </c>
      <c r="AN151" s="40">
        <v>0.87</v>
      </c>
      <c r="AO151" s="40">
        <v>0.9</v>
      </c>
      <c r="AP151" s="40">
        <v>0.96</v>
      </c>
      <c r="AQ151" s="40">
        <v>0.84</v>
      </c>
      <c r="AR151" s="31">
        <v>1.09407343247647</v>
      </c>
      <c r="AS151" s="36">
        <v>1.9053706293706301</v>
      </c>
      <c r="AT151">
        <v>2.33</v>
      </c>
      <c r="AU151">
        <v>2.33</v>
      </c>
      <c r="AW151">
        <v>2.4</v>
      </c>
      <c r="AX151">
        <v>2.39</v>
      </c>
      <c r="AY151" s="6">
        <v>2.3624999999999998</v>
      </c>
      <c r="AZ151" s="2">
        <v>0.88360000000000005</v>
      </c>
      <c r="BA151" s="2">
        <v>0.80650608650608602</v>
      </c>
      <c r="BB151" s="2">
        <v>0.99299999999999999</v>
      </c>
      <c r="BC151">
        <v>71500</v>
      </c>
      <c r="BD151">
        <v>56992</v>
      </c>
      <c r="BE151">
        <v>12347</v>
      </c>
      <c r="BF151">
        <v>30030</v>
      </c>
      <c r="BG151" s="9" t="s">
        <v>127</v>
      </c>
    </row>
    <row r="152" spans="3:59" ht="409.5" x14ac:dyDescent="0.25">
      <c r="C152" s="1">
        <v>45772</v>
      </c>
      <c r="D152" s="36">
        <v>259826.83440779499</v>
      </c>
      <c r="E152" s="33">
        <v>4.4733333333333301</v>
      </c>
      <c r="F152" s="33">
        <v>3.6667913333333302</v>
      </c>
      <c r="G152" s="2">
        <v>0.81969999999999998</v>
      </c>
      <c r="H152" s="2">
        <v>0.99</v>
      </c>
      <c r="I152" s="3">
        <v>73143.5</v>
      </c>
      <c r="J152" s="3">
        <v>14.5</v>
      </c>
      <c r="K152" s="3">
        <v>36373.5</v>
      </c>
      <c r="L152" s="3">
        <v>41002.5</v>
      </c>
      <c r="M152" s="3">
        <v>36696</v>
      </c>
      <c r="N152" s="3">
        <v>187230</v>
      </c>
      <c r="O152" s="3">
        <v>195819.67</v>
      </c>
      <c r="P152" s="3">
        <v>8589.6700000000092</v>
      </c>
      <c r="Q152" s="3">
        <v>8589.6700000000092</v>
      </c>
      <c r="R152" s="3">
        <v>195819.67</v>
      </c>
      <c r="S152" s="3">
        <v>195819.67</v>
      </c>
      <c r="T152" s="3">
        <v>194448.93231</v>
      </c>
      <c r="U152" s="3">
        <v>13470</v>
      </c>
      <c r="V152" s="3">
        <v>13050</v>
      </c>
      <c r="W152" s="3">
        <v>12470</v>
      </c>
      <c r="X152" s="3">
        <v>15290</v>
      </c>
      <c r="Y152" s="3">
        <v>16000</v>
      </c>
      <c r="Z152" s="3">
        <v>26550</v>
      </c>
      <c r="AA152" s="3">
        <v>22210</v>
      </c>
      <c r="AB152" s="3">
        <v>22100</v>
      </c>
      <c r="AC152" s="3">
        <v>25670</v>
      </c>
      <c r="AD152" s="3">
        <v>21020</v>
      </c>
      <c r="AE152" s="3">
        <v>187830</v>
      </c>
      <c r="AF152" s="3">
        <v>196419.67</v>
      </c>
      <c r="AG152" s="3">
        <v>1548.92</v>
      </c>
      <c r="AH152" s="40">
        <v>0.72</v>
      </c>
      <c r="AI152" s="40">
        <v>0.7</v>
      </c>
      <c r="AJ152" s="40">
        <v>0.75</v>
      </c>
      <c r="AK152" s="40">
        <v>0.55000000000000004</v>
      </c>
      <c r="AL152" s="40">
        <v>0.57999999999999996</v>
      </c>
      <c r="AM152" s="40">
        <v>0.95</v>
      </c>
      <c r="AN152" s="40">
        <v>0.91</v>
      </c>
      <c r="AO152" s="40">
        <v>0.91</v>
      </c>
      <c r="AP152" s="40">
        <v>0.91</v>
      </c>
      <c r="AQ152" s="40">
        <v>0.86</v>
      </c>
      <c r="AR152" s="31">
        <v>1.0032046146450899</v>
      </c>
      <c r="AS152" s="36">
        <v>2.7387366433566398</v>
      </c>
      <c r="AT152">
        <v>3.51</v>
      </c>
      <c r="AU152">
        <v>3.61</v>
      </c>
      <c r="AW152">
        <v>3.61</v>
      </c>
      <c r="AX152">
        <v>2.78</v>
      </c>
      <c r="AY152" s="6">
        <v>3.3774999999999999</v>
      </c>
      <c r="AZ152" s="2">
        <v>0.78400000000000003</v>
      </c>
      <c r="BA152" s="2">
        <v>0.81087687442091605</v>
      </c>
      <c r="BB152" s="2">
        <v>0.99299999999999999</v>
      </c>
      <c r="BC152">
        <v>71500</v>
      </c>
      <c r="BD152">
        <v>56992</v>
      </c>
      <c r="BE152">
        <v>20000</v>
      </c>
      <c r="BF152">
        <v>30030</v>
      </c>
      <c r="BG152" s="9" t="s">
        <v>126</v>
      </c>
    </row>
    <row r="153" spans="3:59" ht="345" x14ac:dyDescent="0.25">
      <c r="C153" s="1">
        <v>45773</v>
      </c>
      <c r="D153" s="36">
        <v>259826.83440779499</v>
      </c>
      <c r="E153" s="33">
        <v>4.4733333333333301</v>
      </c>
      <c r="F153" s="33">
        <v>3.6667913333333302</v>
      </c>
      <c r="G153" s="2">
        <v>0.81969999999999998</v>
      </c>
      <c r="H153" s="2">
        <v>0.99</v>
      </c>
      <c r="I153" s="3">
        <v>64894.5</v>
      </c>
      <c r="J153" s="3">
        <v>58496</v>
      </c>
      <c r="K153" s="3">
        <v>51169</v>
      </c>
      <c r="L153" s="3">
        <v>54017</v>
      </c>
      <c r="M153" s="3">
        <v>48510</v>
      </c>
      <c r="N153" s="3">
        <v>277086.5</v>
      </c>
      <c r="O153" s="3">
        <v>296427.67</v>
      </c>
      <c r="P153" s="3">
        <v>19341.169999999998</v>
      </c>
      <c r="Q153" s="3">
        <v>19341.169999999998</v>
      </c>
      <c r="R153" s="3">
        <v>296427.67</v>
      </c>
      <c r="S153" s="3">
        <v>296427.67</v>
      </c>
      <c r="T153" s="3">
        <v>294352.67631000001</v>
      </c>
      <c r="U153" s="3">
        <v>22820</v>
      </c>
      <c r="V153" s="3">
        <v>23170</v>
      </c>
      <c r="W153" s="3">
        <v>21370</v>
      </c>
      <c r="X153" s="3">
        <v>26460</v>
      </c>
      <c r="Y153" s="3">
        <v>27330</v>
      </c>
      <c r="Z153" s="3">
        <v>35070</v>
      </c>
      <c r="AA153" s="3">
        <v>30010</v>
      </c>
      <c r="AB153" s="3">
        <v>29680</v>
      </c>
      <c r="AC153" s="3">
        <v>34070</v>
      </c>
      <c r="AD153" s="3">
        <v>28350</v>
      </c>
      <c r="AE153" s="3">
        <v>278330</v>
      </c>
      <c r="AF153" s="3">
        <v>297671.17</v>
      </c>
      <c r="AG153" s="3">
        <v>1545.69</v>
      </c>
      <c r="AH153" s="40">
        <v>0.6552</v>
      </c>
      <c r="AI153" s="40">
        <v>0.66520000000000001</v>
      </c>
      <c r="AJ153" s="40">
        <v>0.69020000000000004</v>
      </c>
      <c r="AK153" s="40">
        <v>0.69310000000000005</v>
      </c>
      <c r="AL153" s="40">
        <v>1</v>
      </c>
      <c r="AM153" s="40">
        <v>0.875</v>
      </c>
      <c r="AN153" s="40">
        <v>0.86439999999999995</v>
      </c>
      <c r="AO153" s="40">
        <v>0.85489999999999999</v>
      </c>
      <c r="AP153" s="40">
        <v>0.85</v>
      </c>
      <c r="AQ153" s="40">
        <v>0.8165</v>
      </c>
      <c r="AR153" s="31">
        <v>1.0044877682600899</v>
      </c>
      <c r="AS153" s="36">
        <v>4.1458415384615401</v>
      </c>
      <c r="AT153">
        <v>5.01</v>
      </c>
      <c r="AU153">
        <v>2.19</v>
      </c>
      <c r="AW153">
        <v>5.01</v>
      </c>
      <c r="AX153">
        <v>5.16</v>
      </c>
      <c r="AY153" s="6">
        <v>4.3425000000000002</v>
      </c>
      <c r="AZ153" s="2">
        <v>0.86019999999999996</v>
      </c>
      <c r="BA153" s="2">
        <v>0.95471307736592703</v>
      </c>
      <c r="BB153" s="2">
        <v>0.99299999999999999</v>
      </c>
      <c r="BC153">
        <v>71500</v>
      </c>
      <c r="BD153">
        <v>56992</v>
      </c>
      <c r="BE153">
        <v>20000</v>
      </c>
      <c r="BF153">
        <v>30030</v>
      </c>
      <c r="BG153" s="9" t="s">
        <v>122</v>
      </c>
    </row>
    <row r="154" spans="3:59" ht="345" x14ac:dyDescent="0.25">
      <c r="C154" s="1">
        <v>45774</v>
      </c>
      <c r="D154" s="36">
        <v>259826.83440779499</v>
      </c>
      <c r="E154" s="33">
        <v>4.4733333333333301</v>
      </c>
      <c r="F154" s="33">
        <v>3.6667913333333302</v>
      </c>
      <c r="G154" s="2">
        <v>0.81969999999999998</v>
      </c>
      <c r="H154" s="2">
        <v>0.99</v>
      </c>
      <c r="I154" s="3">
        <v>52900.2</v>
      </c>
      <c r="J154" s="3">
        <v>52811.98</v>
      </c>
      <c r="K154" s="3">
        <v>44471.5</v>
      </c>
      <c r="L154" s="3">
        <v>33583</v>
      </c>
      <c r="M154" s="3">
        <v>43506</v>
      </c>
      <c r="N154" s="3">
        <v>227272.68</v>
      </c>
      <c r="O154" s="3">
        <v>196012.5</v>
      </c>
      <c r="P154" s="3">
        <v>-31260.18</v>
      </c>
      <c r="Q154" s="3">
        <v>0</v>
      </c>
      <c r="R154" s="3">
        <v>227272.68</v>
      </c>
      <c r="S154" s="3">
        <v>227272.68</v>
      </c>
      <c r="T154" s="3">
        <v>194640.41250000001</v>
      </c>
      <c r="U154" s="3">
        <v>20360</v>
      </c>
      <c r="V154" s="3">
        <v>21250</v>
      </c>
      <c r="W154" s="3">
        <v>19840</v>
      </c>
      <c r="X154" s="3">
        <v>24600</v>
      </c>
      <c r="Y154" s="3">
        <v>26360</v>
      </c>
      <c r="Z154" s="3">
        <v>28700</v>
      </c>
      <c r="AA154" s="3">
        <v>23800</v>
      </c>
      <c r="AB154" s="3">
        <v>24150</v>
      </c>
      <c r="AC154" s="3">
        <v>28210</v>
      </c>
      <c r="AD154" s="3">
        <v>22990</v>
      </c>
      <c r="AE154" s="3">
        <v>240260</v>
      </c>
      <c r="AF154" s="3">
        <v>240260</v>
      </c>
      <c r="AG154" s="3">
        <v>1410.97</v>
      </c>
      <c r="AH154" s="40">
        <v>0.81079999999999997</v>
      </c>
      <c r="AI154" s="40">
        <v>0.84619999999999995</v>
      </c>
      <c r="AJ154" s="40">
        <v>0.88880000000000003</v>
      </c>
      <c r="AK154" s="40">
        <v>0.81940000000000002</v>
      </c>
      <c r="AL154" s="40">
        <v>0.86480000000000001</v>
      </c>
      <c r="AM154" s="40">
        <v>0.92220000000000002</v>
      </c>
      <c r="AN154" s="40">
        <v>0.88290000000000002</v>
      </c>
      <c r="AO154" s="40">
        <v>0.89590000000000003</v>
      </c>
      <c r="AP154" s="40">
        <v>0.90629999999999999</v>
      </c>
      <c r="AQ154" s="40">
        <v>0.8528</v>
      </c>
      <c r="AR154" s="31">
        <v>1.0571442198859999</v>
      </c>
      <c r="AS154" s="36">
        <v>3.1786388811188799</v>
      </c>
      <c r="AT154">
        <v>3.89</v>
      </c>
      <c r="AU154">
        <v>4</v>
      </c>
      <c r="AW154">
        <v>3.94</v>
      </c>
      <c r="AX154">
        <v>3.72</v>
      </c>
      <c r="AY154" s="6">
        <v>3.8875000000000002</v>
      </c>
      <c r="AZ154" s="2">
        <v>0.86899999999999999</v>
      </c>
      <c r="BA154" s="2">
        <v>0.81765630382479204</v>
      </c>
      <c r="BB154" s="2">
        <v>0.99299999999999999</v>
      </c>
      <c r="BC154">
        <v>71500</v>
      </c>
      <c r="BD154">
        <v>56992</v>
      </c>
      <c r="BE154">
        <v>20000</v>
      </c>
      <c r="BF154">
        <v>20000</v>
      </c>
      <c r="BG154" s="9" t="s">
        <v>122</v>
      </c>
    </row>
    <row r="155" spans="3:59" ht="409.5" x14ac:dyDescent="0.25">
      <c r="C155" s="1">
        <v>45775</v>
      </c>
      <c r="D155" s="36">
        <v>259826.83440779499</v>
      </c>
      <c r="E155" s="33">
        <v>4.4733333333333301</v>
      </c>
      <c r="F155" s="33">
        <v>3.6667913333333302</v>
      </c>
      <c r="G155" s="2">
        <v>0.81969999999999998</v>
      </c>
      <c r="H155" s="2">
        <v>0.99</v>
      </c>
      <c r="I155" s="3">
        <v>61856.33</v>
      </c>
      <c r="J155" s="3">
        <v>61944.55</v>
      </c>
      <c r="K155" s="3">
        <v>73899</v>
      </c>
      <c r="L155" s="3">
        <v>0</v>
      </c>
      <c r="M155" s="3">
        <v>54265</v>
      </c>
      <c r="N155" s="3">
        <v>251964.88</v>
      </c>
      <c r="O155" s="3">
        <v>280652.67</v>
      </c>
      <c r="P155" s="3">
        <v>28687.79</v>
      </c>
      <c r="Q155" s="3">
        <v>28687.79</v>
      </c>
      <c r="R155" s="3">
        <v>280652.67</v>
      </c>
      <c r="S155" s="3">
        <v>280652.67</v>
      </c>
      <c r="T155" s="3">
        <v>278688.10131</v>
      </c>
      <c r="U155" s="3">
        <v>22970</v>
      </c>
      <c r="V155" s="3">
        <v>23620</v>
      </c>
      <c r="W155" s="3">
        <v>21750</v>
      </c>
      <c r="X155" s="3">
        <v>26900</v>
      </c>
      <c r="Y155" s="3">
        <v>27920</v>
      </c>
      <c r="Z155" s="3">
        <v>28300</v>
      </c>
      <c r="AA155" s="3">
        <v>23340</v>
      </c>
      <c r="AB155" s="3">
        <v>23880</v>
      </c>
      <c r="AC155" s="3">
        <v>27760</v>
      </c>
      <c r="AD155" s="3">
        <v>23490</v>
      </c>
      <c r="AE155" s="3">
        <v>249930</v>
      </c>
      <c r="AF155" s="3">
        <v>278617.78999999998</v>
      </c>
      <c r="AG155" s="3">
        <v>1489.64</v>
      </c>
      <c r="AH155" s="40">
        <v>0.68889999999999996</v>
      </c>
      <c r="AI155" s="40">
        <v>0.70840000000000003</v>
      </c>
      <c r="AJ155" s="40">
        <v>0.73380000000000001</v>
      </c>
      <c r="AK155" s="40">
        <v>0.71460000000000001</v>
      </c>
      <c r="AL155" s="40">
        <v>0.73870000000000002</v>
      </c>
      <c r="AM155" s="40">
        <v>0.7117</v>
      </c>
      <c r="AN155" s="40">
        <v>0.67769999999999997</v>
      </c>
      <c r="AO155" s="40">
        <v>0.69330000000000003</v>
      </c>
      <c r="AP155" s="40">
        <v>0.69820000000000004</v>
      </c>
      <c r="AQ155" s="40">
        <v>0.68200000000000005</v>
      </c>
      <c r="AR155" s="31">
        <v>0.99192395384626597</v>
      </c>
      <c r="AS155" s="36">
        <v>3.9252121678321701</v>
      </c>
      <c r="AT155">
        <v>4.97</v>
      </c>
      <c r="AU155">
        <v>4.96</v>
      </c>
      <c r="AW155">
        <v>4.9400000000000004</v>
      </c>
      <c r="AX155">
        <v>4.9400000000000004</v>
      </c>
      <c r="AY155" s="6">
        <v>4.9524999999999997</v>
      </c>
      <c r="AZ155" s="2">
        <v>0.70469999999999999</v>
      </c>
      <c r="BA155" s="2">
        <v>0.79257186629624798</v>
      </c>
      <c r="BB155" s="2">
        <v>0.99299999999999999</v>
      </c>
      <c r="BC155">
        <v>71500</v>
      </c>
      <c r="BD155">
        <v>56992</v>
      </c>
      <c r="BE155">
        <v>20000</v>
      </c>
      <c r="BF155">
        <v>18333</v>
      </c>
      <c r="BG155" s="9" t="s">
        <v>128</v>
      </c>
    </row>
    <row r="156" spans="3:59" ht="409.5" x14ac:dyDescent="0.25">
      <c r="C156" s="1">
        <v>45776</v>
      </c>
      <c r="D156" s="36">
        <v>259826.83440779499</v>
      </c>
      <c r="E156" s="33">
        <v>4.4733333333333301</v>
      </c>
      <c r="F156" s="33">
        <v>3.6667913333333302</v>
      </c>
      <c r="G156" s="2">
        <v>0.81969999999999998</v>
      </c>
      <c r="H156" s="2">
        <v>0.99</v>
      </c>
      <c r="I156" s="3">
        <v>36706.559999999998</v>
      </c>
      <c r="J156" s="3">
        <v>36706.559999999998</v>
      </c>
      <c r="K156" s="3">
        <v>38193</v>
      </c>
      <c r="L156" s="3">
        <v>0</v>
      </c>
      <c r="M156" s="3">
        <v>38963</v>
      </c>
      <c r="N156" s="3">
        <v>150569.12</v>
      </c>
      <c r="O156" s="3">
        <v>149622.5</v>
      </c>
      <c r="P156" s="3">
        <v>-946.619999999995</v>
      </c>
      <c r="Q156" s="3">
        <v>0</v>
      </c>
      <c r="R156" s="3">
        <v>150569.12</v>
      </c>
      <c r="S156" s="3">
        <v>150569.12</v>
      </c>
      <c r="T156" s="3">
        <v>148575.14249999999</v>
      </c>
      <c r="U156" s="3">
        <v>11560</v>
      </c>
      <c r="V156" s="3">
        <v>12090</v>
      </c>
      <c r="W156" s="3">
        <v>11340</v>
      </c>
      <c r="X156" s="3">
        <v>13680</v>
      </c>
      <c r="Y156" s="3">
        <v>14760</v>
      </c>
      <c r="Z156" s="3">
        <v>14980</v>
      </c>
      <c r="AA156" s="3">
        <v>11830</v>
      </c>
      <c r="AB156" s="3">
        <v>12560</v>
      </c>
      <c r="AC156" s="3">
        <v>14660</v>
      </c>
      <c r="AD156" s="3">
        <v>11930</v>
      </c>
      <c r="AE156" s="3">
        <v>129390</v>
      </c>
      <c r="AF156" s="3">
        <v>129390</v>
      </c>
      <c r="AG156" s="3">
        <v>1527.77</v>
      </c>
      <c r="AH156" s="40">
        <v>0.80779999999999996</v>
      </c>
      <c r="AI156" s="40">
        <v>0.84489999999999998</v>
      </c>
      <c r="AJ156" s="40">
        <v>0.89149999999999996</v>
      </c>
      <c r="AK156" s="40">
        <v>0.81979999999999997</v>
      </c>
      <c r="AL156" s="40">
        <v>0.85329999999999995</v>
      </c>
      <c r="AM156" s="40">
        <v>0.84730000000000005</v>
      </c>
      <c r="AN156" s="40">
        <v>0.77239999999999998</v>
      </c>
      <c r="AO156" s="40">
        <v>0.82010000000000005</v>
      </c>
      <c r="AP156" s="40">
        <v>0.82920000000000005</v>
      </c>
      <c r="AQ156" s="40">
        <v>0.77900000000000003</v>
      </c>
      <c r="AR156" s="31">
        <v>0.85933955116427596</v>
      </c>
      <c r="AS156" s="36">
        <v>2.1058618181818201</v>
      </c>
      <c r="AT156">
        <v>2.21</v>
      </c>
      <c r="AU156">
        <v>2.27</v>
      </c>
      <c r="AW156">
        <v>2.19</v>
      </c>
      <c r="AX156">
        <v>2.12</v>
      </c>
      <c r="AY156" s="6">
        <v>2.1974999999999998</v>
      </c>
      <c r="AZ156" s="2">
        <v>0.82650000000000001</v>
      </c>
      <c r="BA156" s="2">
        <v>0.95829889337056595</v>
      </c>
      <c r="BB156" s="2">
        <v>0.99299999999999999</v>
      </c>
      <c r="BC156">
        <v>71500</v>
      </c>
      <c r="BD156">
        <v>56992</v>
      </c>
      <c r="BE156">
        <v>20000</v>
      </c>
      <c r="BF156">
        <v>20000</v>
      </c>
      <c r="BG156" s="9" t="s">
        <v>128</v>
      </c>
    </row>
    <row r="157" spans="3:59" ht="409.5" x14ac:dyDescent="0.25">
      <c r="C157" s="1">
        <v>45777</v>
      </c>
      <c r="D157" s="36">
        <v>259826.83440779499</v>
      </c>
      <c r="E157" s="33">
        <v>4.4733333333333301</v>
      </c>
      <c r="F157" s="33">
        <v>3.6667913333333302</v>
      </c>
      <c r="G157" s="2">
        <v>0.81969999999999998</v>
      </c>
      <c r="H157" s="2">
        <v>0.99</v>
      </c>
      <c r="I157" s="3">
        <v>66481.740000000005</v>
      </c>
      <c r="J157" s="3">
        <v>66367.23</v>
      </c>
      <c r="K157" s="3">
        <v>65312.53</v>
      </c>
      <c r="L157" s="3">
        <v>79342.05</v>
      </c>
      <c r="M157" s="3">
        <v>61723.12</v>
      </c>
      <c r="N157" s="3">
        <v>339226.67</v>
      </c>
      <c r="O157" s="3">
        <v>273077.33</v>
      </c>
      <c r="P157" s="3">
        <v>-66149.34</v>
      </c>
      <c r="Q157" s="3">
        <v>0</v>
      </c>
      <c r="R157" s="3">
        <v>339226.67</v>
      </c>
      <c r="S157" s="3">
        <v>339226.67</v>
      </c>
      <c r="T157" s="3">
        <v>271165.78869000002</v>
      </c>
      <c r="U157" s="3">
        <v>23790</v>
      </c>
      <c r="V157" s="3">
        <v>24370</v>
      </c>
      <c r="W157" s="3">
        <v>22350</v>
      </c>
      <c r="X157" s="3">
        <v>27460</v>
      </c>
      <c r="Y157" s="3">
        <v>28840</v>
      </c>
      <c r="Z157" s="3">
        <v>29360</v>
      </c>
      <c r="AA157" s="3">
        <v>23880</v>
      </c>
      <c r="AB157" s="3">
        <v>24580</v>
      </c>
      <c r="AC157" s="3">
        <v>28420</v>
      </c>
      <c r="AD157" s="3">
        <v>23980</v>
      </c>
      <c r="AE157" s="3">
        <v>257030</v>
      </c>
      <c r="AF157" s="3">
        <v>257030</v>
      </c>
      <c r="AG157" s="3">
        <v>1376.97</v>
      </c>
      <c r="AH157" s="40">
        <v>0.64080000000000004</v>
      </c>
      <c r="AI157" s="40">
        <v>0.65639999999999998</v>
      </c>
      <c r="AJ157" s="40">
        <v>0.67730000000000001</v>
      </c>
      <c r="AK157" s="40">
        <v>0.75390000000000001</v>
      </c>
      <c r="AL157" s="40">
        <v>0.75700000000000001</v>
      </c>
      <c r="AM157" s="40">
        <v>0.75829999999999997</v>
      </c>
      <c r="AN157" s="40">
        <v>0.71199999999999997</v>
      </c>
      <c r="AO157" s="40">
        <v>0.73280000000000001</v>
      </c>
      <c r="AP157" s="40">
        <v>0.73399999999999999</v>
      </c>
      <c r="AQ157" s="40">
        <v>0.71489999999999998</v>
      </c>
      <c r="AR157" s="31">
        <v>0.757693963154489</v>
      </c>
      <c r="AS157" s="36">
        <v>4.7444289510489499</v>
      </c>
      <c r="AT157">
        <v>4.84</v>
      </c>
      <c r="AU157">
        <v>5</v>
      </c>
      <c r="AW157">
        <v>4.78</v>
      </c>
      <c r="AX157">
        <v>5.5</v>
      </c>
      <c r="AY157" s="6">
        <v>5.03</v>
      </c>
      <c r="AZ157" s="2">
        <v>0.7137</v>
      </c>
      <c r="BA157" s="2">
        <v>0.94322643162007003</v>
      </c>
      <c r="BB157" s="2">
        <v>0.99299999999999999</v>
      </c>
      <c r="BC157">
        <v>71500</v>
      </c>
      <c r="BD157">
        <v>56992</v>
      </c>
      <c r="BE157">
        <v>14403</v>
      </c>
      <c r="BF157">
        <v>29375</v>
      </c>
      <c r="BG157" s="9" t="s">
        <v>129</v>
      </c>
    </row>
    <row r="158" spans="3:59" ht="409.5" x14ac:dyDescent="0.25">
      <c r="C158" s="1">
        <v>45778</v>
      </c>
      <c r="D158" s="36">
        <v>255977.841935484</v>
      </c>
      <c r="E158" s="33">
        <v>4.3290322580645197</v>
      </c>
      <c r="F158" s="33">
        <v>3.54850774193548</v>
      </c>
      <c r="G158" s="2">
        <v>0.81969999999999998</v>
      </c>
      <c r="H158" s="2">
        <v>0.99</v>
      </c>
      <c r="I158" s="3">
        <v>65947.820000000007</v>
      </c>
      <c r="J158" s="3">
        <v>15064.69</v>
      </c>
      <c r="K158" s="3">
        <v>38491.370000000003</v>
      </c>
      <c r="L158" s="3">
        <v>43945.86</v>
      </c>
      <c r="M158" s="3">
        <v>39208.17</v>
      </c>
      <c r="N158" s="3">
        <v>202657.91</v>
      </c>
      <c r="O158" s="3">
        <v>221405.33</v>
      </c>
      <c r="P158" s="3">
        <v>18747.419999999998</v>
      </c>
      <c r="Q158" s="3">
        <v>18747.419999999998</v>
      </c>
      <c r="R158" s="3">
        <v>221405.33</v>
      </c>
      <c r="S158" s="3">
        <v>221405.33</v>
      </c>
      <c r="T158" s="3">
        <v>219855.49269000001</v>
      </c>
      <c r="U158" s="3">
        <v>19450</v>
      </c>
      <c r="V158" s="3">
        <v>19770</v>
      </c>
      <c r="W158" s="3">
        <v>18310</v>
      </c>
      <c r="X158" s="3">
        <v>22990</v>
      </c>
      <c r="Y158" s="3">
        <v>23420</v>
      </c>
      <c r="Z158" s="3">
        <v>32750</v>
      </c>
      <c r="AA158" s="3">
        <v>25690</v>
      </c>
      <c r="AB158" s="3">
        <v>27330</v>
      </c>
      <c r="AC158" s="3">
        <v>31240</v>
      </c>
      <c r="AD158" s="3">
        <v>25820</v>
      </c>
      <c r="AE158" s="3">
        <v>246770</v>
      </c>
      <c r="AF158" s="3">
        <v>265517.42</v>
      </c>
      <c r="AG158" s="3">
        <v>1495.41</v>
      </c>
      <c r="AH158" s="40">
        <v>0.61819999999999997</v>
      </c>
      <c r="AI158" s="40">
        <v>0.62839999999999996</v>
      </c>
      <c r="AJ158" s="40">
        <v>0.65480000000000005</v>
      </c>
      <c r="AK158" s="40">
        <v>0.66020000000000001</v>
      </c>
      <c r="AL158" s="40">
        <v>0.67110000000000003</v>
      </c>
      <c r="AM158" s="40">
        <v>0.92820000000000003</v>
      </c>
      <c r="AN158" s="40">
        <v>0.8407</v>
      </c>
      <c r="AO158" s="40">
        <v>0.89429999999999998</v>
      </c>
      <c r="AP158" s="40">
        <v>0.88549999999999995</v>
      </c>
      <c r="AQ158" s="40">
        <v>0.8448</v>
      </c>
      <c r="AR158" s="31">
        <v>1.21766774363754</v>
      </c>
      <c r="AS158" s="36">
        <v>3.0965780419580402</v>
      </c>
      <c r="AT158">
        <v>4.41</v>
      </c>
      <c r="AU158">
        <v>4.58</v>
      </c>
      <c r="AW158">
        <v>4.57</v>
      </c>
      <c r="AX158">
        <v>4.66</v>
      </c>
      <c r="AY158" s="6">
        <v>4.5549999999999997</v>
      </c>
      <c r="AZ158" s="2">
        <v>0.76259999999999994</v>
      </c>
      <c r="BA158" s="2">
        <v>0.679819548179592</v>
      </c>
      <c r="BB158" s="2">
        <v>0.99299999999999999</v>
      </c>
      <c r="BC158">
        <v>71500</v>
      </c>
      <c r="BD158">
        <v>56992</v>
      </c>
      <c r="BE158">
        <v>20000</v>
      </c>
      <c r="BF158">
        <v>30030</v>
      </c>
      <c r="BG158" s="9" t="s">
        <v>130</v>
      </c>
    </row>
    <row r="159" spans="3:59" ht="345" x14ac:dyDescent="0.25">
      <c r="C159" s="1">
        <v>45779</v>
      </c>
      <c r="D159" s="36">
        <v>255977.841935484</v>
      </c>
      <c r="E159" s="33">
        <v>4.3290322580645197</v>
      </c>
      <c r="F159" s="33">
        <v>3.54850774193548</v>
      </c>
      <c r="G159" s="2">
        <v>0.81969999999999998</v>
      </c>
      <c r="H159" s="2">
        <v>0.99</v>
      </c>
      <c r="I159" s="3">
        <v>74489.81</v>
      </c>
      <c r="J159" s="3">
        <v>74206.02</v>
      </c>
      <c r="K159" s="3">
        <v>58436.36</v>
      </c>
      <c r="L159" s="3">
        <v>62479.71</v>
      </c>
      <c r="M159" s="3">
        <v>55284.56</v>
      </c>
      <c r="N159" s="3">
        <v>324896.46000000002</v>
      </c>
      <c r="O159" s="3">
        <v>230224.67</v>
      </c>
      <c r="P159" s="3">
        <v>-94671.79</v>
      </c>
      <c r="Q159" s="3">
        <v>0</v>
      </c>
      <c r="R159" s="3">
        <v>324896.46000000002</v>
      </c>
      <c r="S159" s="3">
        <v>324896.46000000002</v>
      </c>
      <c r="T159" s="3">
        <v>228613.09731000001</v>
      </c>
      <c r="U159" s="3">
        <v>16170</v>
      </c>
      <c r="V159" s="3">
        <v>16570</v>
      </c>
      <c r="W159" s="3">
        <v>15180</v>
      </c>
      <c r="X159" s="3">
        <v>19140</v>
      </c>
      <c r="Y159" s="3">
        <v>19380</v>
      </c>
      <c r="Z159" s="3">
        <v>21970</v>
      </c>
      <c r="AA159" s="3">
        <v>17080</v>
      </c>
      <c r="AB159" s="3">
        <v>18530</v>
      </c>
      <c r="AC159" s="3">
        <v>21810</v>
      </c>
      <c r="AD159" s="3">
        <v>17520</v>
      </c>
      <c r="AE159" s="3">
        <v>183350</v>
      </c>
      <c r="AF159" s="3">
        <v>183350</v>
      </c>
      <c r="AG159" s="3">
        <v>1657.68</v>
      </c>
      <c r="AH159" s="40">
        <v>0.76280000000000003</v>
      </c>
      <c r="AI159" s="40">
        <v>0.78200000000000003</v>
      </c>
      <c r="AJ159" s="40">
        <v>0.80589999999999995</v>
      </c>
      <c r="AK159" s="40">
        <v>0.82079999999999997</v>
      </c>
      <c r="AL159" s="40">
        <v>0.83640000000000003</v>
      </c>
      <c r="AM159" s="40">
        <v>0.91830000000000001</v>
      </c>
      <c r="AN159" s="40">
        <v>0.82450000000000001</v>
      </c>
      <c r="AO159" s="40">
        <v>0.89429999999999998</v>
      </c>
      <c r="AP159" s="40">
        <v>0.91200000000000003</v>
      </c>
      <c r="AQ159" s="40">
        <v>0.84530000000000005</v>
      </c>
      <c r="AR159" s="31">
        <v>0.56433363416763604</v>
      </c>
      <c r="AS159" s="36">
        <v>4.5440064335664303</v>
      </c>
      <c r="AT159">
        <v>2.99</v>
      </c>
      <c r="AU159">
        <v>3.04</v>
      </c>
      <c r="AW159">
        <v>3.06</v>
      </c>
      <c r="AX159">
        <v>3.14</v>
      </c>
      <c r="AY159" s="6">
        <v>3.0575000000000001</v>
      </c>
      <c r="AZ159" s="2">
        <v>0.84019999999999995</v>
      </c>
      <c r="BA159" s="2">
        <v>1.4861836250421701</v>
      </c>
      <c r="BB159" s="2">
        <v>0.99299999999999999</v>
      </c>
      <c r="BC159">
        <v>71500</v>
      </c>
      <c r="BD159">
        <v>56992</v>
      </c>
      <c r="BE159">
        <v>20000</v>
      </c>
      <c r="BF159">
        <v>30030</v>
      </c>
      <c r="BG159" s="9" t="s">
        <v>122</v>
      </c>
    </row>
    <row r="160" spans="3:59" ht="345" x14ac:dyDescent="0.25">
      <c r="C160" s="1">
        <v>45780</v>
      </c>
      <c r="D160" s="36">
        <v>255977.841935484</v>
      </c>
      <c r="E160" s="33">
        <v>4.3290322580645197</v>
      </c>
      <c r="F160" s="33">
        <v>3.54850774193548</v>
      </c>
      <c r="G160" s="2">
        <v>0.81969999999999998</v>
      </c>
      <c r="H160" s="2">
        <v>0.99</v>
      </c>
      <c r="I160" s="3">
        <v>47324.17</v>
      </c>
      <c r="J160" s="3">
        <v>47390.1</v>
      </c>
      <c r="K160" s="3">
        <v>35422.44</v>
      </c>
      <c r="L160" s="3">
        <v>39806.97</v>
      </c>
      <c r="M160" s="3">
        <v>34092.559999999998</v>
      </c>
      <c r="N160" s="3">
        <v>204036.24</v>
      </c>
      <c r="O160" s="3">
        <v>290889.83</v>
      </c>
      <c r="P160" s="3">
        <v>86853.59</v>
      </c>
      <c r="Q160" s="3">
        <v>86853.59</v>
      </c>
      <c r="R160" s="3">
        <v>290889.83</v>
      </c>
      <c r="S160" s="3">
        <v>290889.83</v>
      </c>
      <c r="T160" s="3">
        <v>288853.60119000002</v>
      </c>
      <c r="U160" s="3">
        <v>24670</v>
      </c>
      <c r="V160" s="3">
        <v>24850</v>
      </c>
      <c r="W160" s="3">
        <v>23340</v>
      </c>
      <c r="X160" s="3">
        <v>28990</v>
      </c>
      <c r="Y160" s="3">
        <v>29810</v>
      </c>
      <c r="Z160" s="3">
        <v>36310</v>
      </c>
      <c r="AA160" s="3">
        <v>28160</v>
      </c>
      <c r="AB160" s="3">
        <v>30960</v>
      </c>
      <c r="AC160" s="3">
        <v>36260</v>
      </c>
      <c r="AD160" s="3">
        <v>28860</v>
      </c>
      <c r="AE160" s="3">
        <v>292210</v>
      </c>
      <c r="AF160" s="3">
        <v>379063.59</v>
      </c>
      <c r="AG160" s="3">
        <v>1461.3</v>
      </c>
      <c r="AH160" s="40">
        <v>0.69089999999999996</v>
      </c>
      <c r="AI160" s="40">
        <v>0.69589999999999996</v>
      </c>
      <c r="AJ160" s="40">
        <v>0.73529999999999995</v>
      </c>
      <c r="AK160" s="40">
        <v>0.72740000000000005</v>
      </c>
      <c r="AL160" s="40">
        <v>0.748</v>
      </c>
      <c r="AM160" s="40">
        <v>0.88819999999999999</v>
      </c>
      <c r="AN160" s="40">
        <v>0.79520000000000002</v>
      </c>
      <c r="AO160" s="40">
        <v>0.87429999999999997</v>
      </c>
      <c r="AP160" s="40">
        <v>0.88700000000000001</v>
      </c>
      <c r="AQ160" s="40">
        <v>0.81499999999999995</v>
      </c>
      <c r="AR160" s="31">
        <v>1.43214754398532</v>
      </c>
      <c r="AS160" s="36">
        <v>4.0683892307692302</v>
      </c>
      <c r="AT160">
        <v>5.1100000000000003</v>
      </c>
      <c r="AU160">
        <v>5.23</v>
      </c>
      <c r="AW160">
        <v>5.23</v>
      </c>
      <c r="AX160">
        <v>5.29</v>
      </c>
      <c r="AY160" s="6">
        <v>5.2149999999999999</v>
      </c>
      <c r="AZ160" s="2">
        <v>0.78569999999999995</v>
      </c>
      <c r="BA160" s="2">
        <v>0.78013216313887501</v>
      </c>
      <c r="BB160" s="2">
        <v>0.99299999999999999</v>
      </c>
      <c r="BC160">
        <v>71500</v>
      </c>
      <c r="BD160">
        <v>56992</v>
      </c>
      <c r="BE160">
        <v>20000</v>
      </c>
      <c r="BF160">
        <v>30030</v>
      </c>
      <c r="BG160" s="9" t="s">
        <v>122</v>
      </c>
    </row>
    <row r="161" spans="3:59" ht="345" x14ac:dyDescent="0.25">
      <c r="C161" s="1">
        <v>45781</v>
      </c>
      <c r="D161" s="36">
        <v>255977.841935484</v>
      </c>
      <c r="E161" s="33">
        <v>4.3290322580645197</v>
      </c>
      <c r="F161" s="33">
        <v>3.54850774193548</v>
      </c>
      <c r="G161" s="2">
        <v>0.81969999999999998</v>
      </c>
      <c r="H161" s="2">
        <v>0.99</v>
      </c>
      <c r="I161" s="3">
        <v>52922.7</v>
      </c>
      <c r="J161" s="3">
        <v>52543.44</v>
      </c>
      <c r="K161" s="3">
        <v>46180</v>
      </c>
      <c r="L161" s="3">
        <v>49936.5</v>
      </c>
      <c r="M161" s="3">
        <v>43884</v>
      </c>
      <c r="N161" s="3">
        <v>245466.64</v>
      </c>
      <c r="O161" s="3">
        <v>260631.5</v>
      </c>
      <c r="P161" s="3">
        <v>15164.86</v>
      </c>
      <c r="Q161" s="3">
        <v>15164.86</v>
      </c>
      <c r="R161" s="3">
        <v>260631.5</v>
      </c>
      <c r="S161" s="3">
        <v>260631.5</v>
      </c>
      <c r="T161" s="3">
        <v>258807.07949999999</v>
      </c>
      <c r="U161" s="3">
        <v>27520</v>
      </c>
      <c r="V161" s="3">
        <v>27820</v>
      </c>
      <c r="W161" s="3">
        <v>25530</v>
      </c>
      <c r="X161" s="3">
        <v>32090</v>
      </c>
      <c r="Y161" s="3">
        <v>32670</v>
      </c>
      <c r="Z161" s="3">
        <v>39500</v>
      </c>
      <c r="AA161" s="3">
        <v>31520</v>
      </c>
      <c r="AB161" s="3">
        <v>33470</v>
      </c>
      <c r="AC161" s="3">
        <v>40520</v>
      </c>
      <c r="AD161" s="3">
        <v>31320</v>
      </c>
      <c r="AE161" s="3">
        <v>321960</v>
      </c>
      <c r="AF161" s="3">
        <v>337124.86</v>
      </c>
      <c r="AG161" s="3">
        <v>1560.12</v>
      </c>
      <c r="AH161" s="40">
        <v>0.68</v>
      </c>
      <c r="AI161" s="40">
        <v>0.69</v>
      </c>
      <c r="AJ161" s="40">
        <v>0.71</v>
      </c>
      <c r="AK161" s="40">
        <v>0.74</v>
      </c>
      <c r="AL161" s="40">
        <v>0.74</v>
      </c>
      <c r="AM161" s="40">
        <v>0.86</v>
      </c>
      <c r="AN161" s="40">
        <v>0.8</v>
      </c>
      <c r="AO161" s="40">
        <v>0.84</v>
      </c>
      <c r="AP161" s="40">
        <v>0.89</v>
      </c>
      <c r="AQ161" s="40">
        <v>0.8</v>
      </c>
      <c r="AR161" s="31">
        <v>1.3116242598179499</v>
      </c>
      <c r="AS161" s="36">
        <v>3.6451958041957999</v>
      </c>
      <c r="AT161">
        <v>5.72</v>
      </c>
      <c r="AU161">
        <v>5.82</v>
      </c>
      <c r="AW161">
        <v>5.72</v>
      </c>
      <c r="AX161">
        <v>6.01</v>
      </c>
      <c r="AY161" s="6">
        <v>5.8174999999999999</v>
      </c>
      <c r="AZ161" s="2">
        <v>0.77229999999999999</v>
      </c>
      <c r="BA161" s="2">
        <v>0.62659145753258405</v>
      </c>
      <c r="BB161" s="2">
        <v>0.99299999999999999</v>
      </c>
      <c r="BC161">
        <v>71500</v>
      </c>
      <c r="BD161">
        <v>56992</v>
      </c>
      <c r="BE161">
        <v>11972</v>
      </c>
      <c r="BF161">
        <v>30030</v>
      </c>
      <c r="BG161" s="9" t="s">
        <v>122</v>
      </c>
    </row>
    <row r="162" spans="3:59" ht="409.5" x14ac:dyDescent="0.25">
      <c r="C162" s="1">
        <v>45782</v>
      </c>
      <c r="D162" s="36">
        <v>255977.841935484</v>
      </c>
      <c r="E162" s="33">
        <v>4.3290322580645197</v>
      </c>
      <c r="F162" s="33">
        <v>3.54850774193548</v>
      </c>
      <c r="G162" s="2">
        <v>0.81969999999999998</v>
      </c>
      <c r="H162" s="2">
        <v>0.99</v>
      </c>
      <c r="I162" s="3">
        <v>63466.91</v>
      </c>
      <c r="J162" s="3">
        <v>17996.34</v>
      </c>
      <c r="K162" s="3">
        <v>26886.5</v>
      </c>
      <c r="L162" s="3">
        <v>30862</v>
      </c>
      <c r="M162" s="3">
        <v>27328</v>
      </c>
      <c r="N162" s="3">
        <v>166539.75</v>
      </c>
      <c r="O162" s="3">
        <v>293867.83</v>
      </c>
      <c r="P162" s="3">
        <v>127328.08</v>
      </c>
      <c r="Q162" s="3">
        <v>127328.08</v>
      </c>
      <c r="R162" s="3">
        <v>293867.83</v>
      </c>
      <c r="S162" s="3">
        <v>293867.83</v>
      </c>
      <c r="T162" s="3">
        <v>270681.65821299999</v>
      </c>
      <c r="U162" s="3">
        <v>9730</v>
      </c>
      <c r="V162" s="3">
        <v>9930</v>
      </c>
      <c r="W162" s="3">
        <v>9120</v>
      </c>
      <c r="X162" s="3">
        <v>11620</v>
      </c>
      <c r="Y162" s="3">
        <v>11610</v>
      </c>
      <c r="Z162" s="3">
        <v>31380</v>
      </c>
      <c r="AA162" s="3">
        <v>26180</v>
      </c>
      <c r="AB162" s="3">
        <v>26600</v>
      </c>
      <c r="AC162" s="3">
        <v>30610</v>
      </c>
      <c r="AD162" s="3">
        <v>25860</v>
      </c>
      <c r="AE162" s="3">
        <v>192640</v>
      </c>
      <c r="AF162" s="3">
        <v>319968.08</v>
      </c>
      <c r="AG162" s="3">
        <v>1505.84</v>
      </c>
      <c r="AH162" s="40">
        <v>0.32469999999999999</v>
      </c>
      <c r="AI162" s="40">
        <v>0.33129999999999998</v>
      </c>
      <c r="AJ162" s="40">
        <v>0.34229999999999999</v>
      </c>
      <c r="AK162" s="40">
        <v>0.34660000000000002</v>
      </c>
      <c r="AL162" s="40">
        <v>0.34010000000000001</v>
      </c>
      <c r="AM162" s="40">
        <v>0.8659</v>
      </c>
      <c r="AN162" s="40">
        <v>0.80210000000000004</v>
      </c>
      <c r="AO162" s="40">
        <v>0.84730000000000005</v>
      </c>
      <c r="AP162" s="40">
        <v>0.84460000000000002</v>
      </c>
      <c r="AQ162" s="40">
        <v>0.82379999999999998</v>
      </c>
      <c r="AR162" s="31">
        <v>1.15672084292188</v>
      </c>
      <c r="AS162" s="36">
        <v>4.1100395804195804</v>
      </c>
      <c r="AT162">
        <v>4.53</v>
      </c>
      <c r="AU162">
        <v>4.4800000000000004</v>
      </c>
      <c r="AW162">
        <v>4.4000000000000004</v>
      </c>
      <c r="AX162">
        <v>4.4400000000000004</v>
      </c>
      <c r="AY162" s="6">
        <v>4.4625000000000004</v>
      </c>
      <c r="AZ162" s="2">
        <v>0.58689999999999998</v>
      </c>
      <c r="BA162" s="2">
        <v>0.92101727292315505</v>
      </c>
      <c r="BB162" s="2">
        <v>0.92110000000000003</v>
      </c>
      <c r="BC162">
        <v>71500</v>
      </c>
      <c r="BD162">
        <v>56992</v>
      </c>
      <c r="BE162">
        <v>20000</v>
      </c>
      <c r="BF162">
        <v>30030</v>
      </c>
      <c r="BG162" s="9" t="s">
        <v>129</v>
      </c>
    </row>
    <row r="163" spans="3:59" ht="345" x14ac:dyDescent="0.25">
      <c r="C163" s="1">
        <v>45783</v>
      </c>
      <c r="D163" s="36">
        <v>255977.841935484</v>
      </c>
      <c r="E163" s="33">
        <v>4.3290322580645197</v>
      </c>
      <c r="F163" s="33">
        <v>3.54850774193548</v>
      </c>
      <c r="G163" s="2">
        <v>0.81969999999999998</v>
      </c>
      <c r="H163" s="2">
        <v>0.99</v>
      </c>
      <c r="I163" s="3">
        <v>60546.5</v>
      </c>
      <c r="J163" s="3">
        <v>60345.5</v>
      </c>
      <c r="K163" s="3">
        <v>49327.5</v>
      </c>
      <c r="L163" s="3">
        <v>54500</v>
      </c>
      <c r="M163" s="3">
        <v>47177</v>
      </c>
      <c r="N163" s="3">
        <v>271896.5</v>
      </c>
      <c r="O163" s="3">
        <v>283572.17</v>
      </c>
      <c r="P163" s="3">
        <v>11675.67</v>
      </c>
      <c r="Q163" s="3">
        <v>11675.67</v>
      </c>
      <c r="R163" s="3">
        <v>283572.17</v>
      </c>
      <c r="S163" s="3">
        <v>283572.17</v>
      </c>
      <c r="T163" s="3">
        <v>281303.59263999999</v>
      </c>
      <c r="U163" s="3">
        <v>21760</v>
      </c>
      <c r="V163" s="3">
        <v>21570</v>
      </c>
      <c r="W163" s="3">
        <v>20960</v>
      </c>
      <c r="X163" s="3">
        <v>25950</v>
      </c>
      <c r="Y163" s="3">
        <v>26930</v>
      </c>
      <c r="Z163" s="3">
        <v>33010</v>
      </c>
      <c r="AA163" s="3">
        <v>25670</v>
      </c>
      <c r="AB163" s="3">
        <v>27460</v>
      </c>
      <c r="AC163" s="3">
        <v>31330</v>
      </c>
      <c r="AD163" s="3">
        <v>25110</v>
      </c>
      <c r="AE163" s="3">
        <v>259750</v>
      </c>
      <c r="AF163" s="3">
        <v>271425.67</v>
      </c>
      <c r="AG163" s="3">
        <v>1350.33</v>
      </c>
      <c r="AH163" s="40">
        <v>0.6744</v>
      </c>
      <c r="AI163" s="40">
        <v>0.66849999999999998</v>
      </c>
      <c r="AJ163" s="40">
        <v>0.73080000000000001</v>
      </c>
      <c r="AK163" s="40">
        <v>0.70069999999999999</v>
      </c>
      <c r="AL163" s="40">
        <v>0.72719999999999996</v>
      </c>
      <c r="AM163" s="40">
        <v>0.90890000000000004</v>
      </c>
      <c r="AN163" s="40">
        <v>0.81589999999999996</v>
      </c>
      <c r="AO163" s="40">
        <v>0.87280000000000002</v>
      </c>
      <c r="AP163" s="40">
        <v>0.86260000000000003</v>
      </c>
      <c r="AQ163" s="40">
        <v>0.79981000000000002</v>
      </c>
      <c r="AR163" s="31">
        <v>0.95532675117186105</v>
      </c>
      <c r="AS163" s="36">
        <v>3.96604433566434</v>
      </c>
      <c r="AT163">
        <v>4.54</v>
      </c>
      <c r="AU163">
        <v>4.8600000000000003</v>
      </c>
      <c r="AW163">
        <v>4.8600000000000003</v>
      </c>
      <c r="AX163">
        <v>4.78</v>
      </c>
      <c r="AY163" s="6">
        <v>4.76</v>
      </c>
      <c r="AZ163" s="2">
        <v>0.77600000000000002</v>
      </c>
      <c r="BA163" s="2">
        <v>0.83320259152612097</v>
      </c>
      <c r="BB163" s="2">
        <v>0.99199999999999999</v>
      </c>
      <c r="BC163">
        <v>71500</v>
      </c>
      <c r="BD163">
        <v>56992</v>
      </c>
      <c r="BE163">
        <v>20000</v>
      </c>
      <c r="BF163">
        <v>30030</v>
      </c>
      <c r="BG163" s="9" t="s">
        <v>122</v>
      </c>
    </row>
    <row r="164" spans="3:59" ht="345" x14ac:dyDescent="0.25">
      <c r="C164" s="1">
        <v>45784</v>
      </c>
      <c r="D164" s="36">
        <v>255977.841935484</v>
      </c>
      <c r="E164" s="33">
        <v>4.3290322580645197</v>
      </c>
      <c r="F164" s="33">
        <v>3.54850774193548</v>
      </c>
      <c r="G164" s="2">
        <v>0.81969999999999998</v>
      </c>
      <c r="H164" s="2">
        <v>0.99</v>
      </c>
      <c r="I164" s="3">
        <v>75633</v>
      </c>
      <c r="J164" s="3">
        <v>75310</v>
      </c>
      <c r="K164" s="3">
        <v>50542.5</v>
      </c>
      <c r="L164" s="3">
        <v>58005.5</v>
      </c>
      <c r="M164" s="3">
        <v>52094</v>
      </c>
      <c r="N164" s="3">
        <v>311585</v>
      </c>
      <c r="O164" s="3">
        <v>307515.5</v>
      </c>
      <c r="P164" s="3">
        <v>-4069.5</v>
      </c>
      <c r="Q164" s="3">
        <v>0</v>
      </c>
      <c r="R164" s="3">
        <v>311585</v>
      </c>
      <c r="S164" s="3">
        <v>311585</v>
      </c>
      <c r="T164" s="3">
        <v>305362.89150000003</v>
      </c>
      <c r="U164" s="3">
        <v>28550</v>
      </c>
      <c r="V164" s="3">
        <v>28560</v>
      </c>
      <c r="W164" s="3">
        <v>26800</v>
      </c>
      <c r="X164" s="3">
        <v>33070</v>
      </c>
      <c r="Y164" s="3">
        <v>34400</v>
      </c>
      <c r="Z164" s="3">
        <v>38130</v>
      </c>
      <c r="AA164" s="3">
        <v>29500</v>
      </c>
      <c r="AB164" s="3">
        <v>31610</v>
      </c>
      <c r="AC164" s="3">
        <v>37240</v>
      </c>
      <c r="AD164" s="3">
        <v>30100</v>
      </c>
      <c r="AE164" s="3">
        <v>317960</v>
      </c>
      <c r="AF164" s="3">
        <v>317960</v>
      </c>
      <c r="AG164" s="3">
        <v>1671.12</v>
      </c>
      <c r="AH164" s="40">
        <v>0.78600000000000003</v>
      </c>
      <c r="AI164" s="40">
        <v>0.79</v>
      </c>
      <c r="AJ164" s="40">
        <v>0.83</v>
      </c>
      <c r="AK164" s="40">
        <v>0.84</v>
      </c>
      <c r="AL164" s="40">
        <v>0.83</v>
      </c>
      <c r="AM164" s="40">
        <v>0.93</v>
      </c>
      <c r="AN164" s="40">
        <v>0.83</v>
      </c>
      <c r="AO164" s="40">
        <v>0.89</v>
      </c>
      <c r="AP164" s="40">
        <v>0.91</v>
      </c>
      <c r="AQ164" s="40">
        <v>0.85</v>
      </c>
      <c r="AR164" s="31">
        <v>1.0204599066065401</v>
      </c>
      <c r="AS164" s="36">
        <v>4.3578321678321696</v>
      </c>
      <c r="AT164">
        <v>5.14</v>
      </c>
      <c r="AU164">
        <v>5.41</v>
      </c>
      <c r="AW164">
        <v>5.18</v>
      </c>
      <c r="AX164">
        <v>5.38</v>
      </c>
      <c r="AY164" s="6">
        <v>5.2774999999999999</v>
      </c>
      <c r="AZ164" s="2">
        <v>0.84689999999999999</v>
      </c>
      <c r="BA164" s="2">
        <v>0.82573797590377396</v>
      </c>
      <c r="BB164" s="2">
        <v>0.99299999999999999</v>
      </c>
      <c r="BC164">
        <v>71500</v>
      </c>
      <c r="BD164">
        <v>56992</v>
      </c>
      <c r="BE164">
        <v>20000</v>
      </c>
      <c r="BF164">
        <v>29194</v>
      </c>
      <c r="BG164" s="9" t="s">
        <v>122</v>
      </c>
    </row>
    <row r="165" spans="3:59" ht="345" x14ac:dyDescent="0.25">
      <c r="C165" s="1">
        <v>45785</v>
      </c>
      <c r="D165" s="36">
        <v>255977.841935484</v>
      </c>
      <c r="E165" s="33">
        <v>4.3290322580645197</v>
      </c>
      <c r="F165" s="33">
        <v>3.54850774193548</v>
      </c>
      <c r="G165" s="2">
        <v>0.81969999999999998</v>
      </c>
      <c r="H165" s="2">
        <v>0.99</v>
      </c>
      <c r="I165" s="3">
        <v>55402</v>
      </c>
      <c r="J165" s="3">
        <v>55233.5</v>
      </c>
      <c r="K165" s="3">
        <v>44386.5</v>
      </c>
      <c r="L165" s="3">
        <v>50820.5</v>
      </c>
      <c r="M165" s="3">
        <v>46098</v>
      </c>
      <c r="N165" s="3">
        <v>251940.5</v>
      </c>
      <c r="O165" s="3">
        <v>258155.17</v>
      </c>
      <c r="P165" s="3">
        <v>6214.6700000000101</v>
      </c>
      <c r="Q165" s="3">
        <v>6214.6700000000101</v>
      </c>
      <c r="R165" s="3">
        <v>258155.17</v>
      </c>
      <c r="S165" s="3">
        <v>258155.17</v>
      </c>
      <c r="T165" s="3">
        <v>256348.08381000001</v>
      </c>
      <c r="U165" s="3">
        <v>27710</v>
      </c>
      <c r="V165" s="3">
        <v>27870</v>
      </c>
      <c r="W165" s="3">
        <v>25420</v>
      </c>
      <c r="X165" s="3">
        <v>32070</v>
      </c>
      <c r="Y165" s="3">
        <v>32440</v>
      </c>
      <c r="Z165" s="3">
        <v>36070</v>
      </c>
      <c r="AA165" s="3">
        <v>29240</v>
      </c>
      <c r="AB165" s="3">
        <v>30730</v>
      </c>
      <c r="AC165" s="3">
        <v>36470</v>
      </c>
      <c r="AD165" s="3">
        <v>29790</v>
      </c>
      <c r="AE165" s="3">
        <v>307810</v>
      </c>
      <c r="AF165" s="3">
        <v>314024.67</v>
      </c>
      <c r="AG165" s="3">
        <v>1413.77</v>
      </c>
      <c r="AH165" s="40">
        <v>0.69</v>
      </c>
      <c r="AI165" s="40">
        <v>0.7</v>
      </c>
      <c r="AJ165" s="40">
        <v>0.72</v>
      </c>
      <c r="AK165" s="40">
        <v>0.74</v>
      </c>
      <c r="AL165" s="40">
        <v>0.76</v>
      </c>
      <c r="AM165" s="40">
        <v>0.8</v>
      </c>
      <c r="AN165" s="40">
        <v>0.74</v>
      </c>
      <c r="AO165" s="40">
        <v>0.78</v>
      </c>
      <c r="AP165" s="40">
        <v>0.8</v>
      </c>
      <c r="AQ165" s="40">
        <v>0.76</v>
      </c>
      <c r="AR165" s="31">
        <v>1.22175672430594</v>
      </c>
      <c r="AS165" s="36">
        <v>3.6105618181818202</v>
      </c>
      <c r="AT165">
        <v>5.67</v>
      </c>
      <c r="AU165">
        <v>5.61</v>
      </c>
      <c r="AW165">
        <v>5.69</v>
      </c>
      <c r="AX165">
        <v>5.91</v>
      </c>
      <c r="AY165" s="6">
        <v>5.72</v>
      </c>
      <c r="AZ165" s="2">
        <v>0.74919999999999998</v>
      </c>
      <c r="BA165" s="2">
        <v>0.63121710108073703</v>
      </c>
      <c r="BB165" s="2">
        <v>0.99299999999999999</v>
      </c>
      <c r="BC165">
        <v>71500</v>
      </c>
      <c r="BD165">
        <v>56992</v>
      </c>
      <c r="BE165">
        <v>20000</v>
      </c>
      <c r="BF165">
        <v>30030</v>
      </c>
      <c r="BG165" s="9" t="s">
        <v>122</v>
      </c>
    </row>
    <row r="166" spans="3:59" ht="409.5" x14ac:dyDescent="0.25">
      <c r="C166" s="1">
        <v>45786</v>
      </c>
      <c r="D166" s="36">
        <v>255977.841935484</v>
      </c>
      <c r="E166" s="33">
        <v>4.3290322580645197</v>
      </c>
      <c r="F166" s="33">
        <v>3.54850774193548</v>
      </c>
      <c r="G166" s="2">
        <v>0.81969999999999998</v>
      </c>
      <c r="H166" s="2">
        <v>0.99</v>
      </c>
      <c r="I166" s="3">
        <v>63059.5</v>
      </c>
      <c r="J166" s="3">
        <v>62944</v>
      </c>
      <c r="K166" s="3">
        <v>46890.5</v>
      </c>
      <c r="L166" s="3">
        <v>52242.5</v>
      </c>
      <c r="M166" s="3">
        <v>47479</v>
      </c>
      <c r="N166" s="3">
        <v>272615.5</v>
      </c>
      <c r="O166" s="3">
        <v>263029.5</v>
      </c>
      <c r="P166" s="3">
        <v>-9586</v>
      </c>
      <c r="Q166" s="3">
        <v>0</v>
      </c>
      <c r="R166" s="3">
        <v>272615.5</v>
      </c>
      <c r="S166" s="3">
        <v>272615.5</v>
      </c>
      <c r="T166" s="3">
        <v>261188.2935</v>
      </c>
      <c r="U166" s="3">
        <v>20180</v>
      </c>
      <c r="V166" s="3">
        <v>20810</v>
      </c>
      <c r="W166" s="3">
        <v>18920</v>
      </c>
      <c r="X166" s="3">
        <v>23830</v>
      </c>
      <c r="Y166" s="3">
        <v>24090</v>
      </c>
      <c r="Z166" s="3">
        <v>26900</v>
      </c>
      <c r="AA166" s="3">
        <v>22890</v>
      </c>
      <c r="AB166" s="3">
        <v>22910</v>
      </c>
      <c r="AC166" s="3">
        <v>25940</v>
      </c>
      <c r="AD166" s="3">
        <v>21980</v>
      </c>
      <c r="AE166" s="3">
        <v>228450</v>
      </c>
      <c r="AF166" s="3">
        <v>228450</v>
      </c>
      <c r="AG166" s="3">
        <v>1391.53</v>
      </c>
      <c r="AH166" s="40">
        <v>0.78</v>
      </c>
      <c r="AI166" s="40">
        <v>0.8</v>
      </c>
      <c r="AJ166" s="40">
        <v>0.82</v>
      </c>
      <c r="AK166" s="40">
        <v>0.85</v>
      </c>
      <c r="AL166" s="40">
        <v>0.84</v>
      </c>
      <c r="AM166" s="40">
        <v>0.87</v>
      </c>
      <c r="AN166" s="40">
        <v>0.86</v>
      </c>
      <c r="AO166" s="40">
        <v>0.86</v>
      </c>
      <c r="AP166" s="40">
        <v>0.84</v>
      </c>
      <c r="AQ166" s="40">
        <v>0.82</v>
      </c>
      <c r="AR166" s="31">
        <v>0.83799343764386103</v>
      </c>
      <c r="AS166" s="36">
        <v>3.8128041958041998</v>
      </c>
      <c r="AT166">
        <v>3.85</v>
      </c>
      <c r="AU166">
        <v>3.75</v>
      </c>
      <c r="AW166">
        <v>3.67</v>
      </c>
      <c r="AX166">
        <v>3.84</v>
      </c>
      <c r="AY166" s="6">
        <v>3.7774999999999999</v>
      </c>
      <c r="AZ166" s="2">
        <v>0.85540000000000005</v>
      </c>
      <c r="BA166" s="2">
        <v>1.00934591550078</v>
      </c>
      <c r="BB166" s="2">
        <v>0.99299999999999999</v>
      </c>
      <c r="BC166">
        <v>71500</v>
      </c>
      <c r="BD166">
        <v>56992</v>
      </c>
      <c r="BE166">
        <v>20000</v>
      </c>
      <c r="BF166">
        <v>30030</v>
      </c>
      <c r="BG166" s="9" t="s">
        <v>131</v>
      </c>
    </row>
    <row r="167" spans="3:59" ht="409.5" x14ac:dyDescent="0.25">
      <c r="C167" s="1">
        <v>45787</v>
      </c>
      <c r="D167" s="36">
        <v>255977.841935484</v>
      </c>
      <c r="E167" s="33">
        <v>4.3290322580645197</v>
      </c>
      <c r="F167" s="33">
        <v>3.54850774193548</v>
      </c>
      <c r="G167" s="2">
        <v>0.81969999999999998</v>
      </c>
      <c r="H167" s="2">
        <v>0.99</v>
      </c>
      <c r="I167" s="3">
        <v>58986.5</v>
      </c>
      <c r="J167" s="3">
        <v>58887.5</v>
      </c>
      <c r="K167" s="3">
        <v>39883.5</v>
      </c>
      <c r="L167" s="3">
        <v>44754.5</v>
      </c>
      <c r="M167" s="3">
        <v>42516</v>
      </c>
      <c r="N167" s="3">
        <v>245028</v>
      </c>
      <c r="O167" s="3">
        <v>229739.5</v>
      </c>
      <c r="P167" s="3">
        <v>-15288.5</v>
      </c>
      <c r="Q167" s="3">
        <v>0</v>
      </c>
      <c r="R167" s="3">
        <v>245028</v>
      </c>
      <c r="S167" s="3">
        <v>245028</v>
      </c>
      <c r="T167" s="3">
        <v>228131.3235</v>
      </c>
      <c r="U167" s="3">
        <v>20030</v>
      </c>
      <c r="V167" s="3">
        <v>20860</v>
      </c>
      <c r="W167" s="3">
        <v>19080</v>
      </c>
      <c r="X167" s="3">
        <v>24400</v>
      </c>
      <c r="Y167" s="3">
        <v>24320</v>
      </c>
      <c r="Z167" s="3">
        <v>28630</v>
      </c>
      <c r="AA167" s="3">
        <v>21310</v>
      </c>
      <c r="AB167" s="3">
        <v>23700</v>
      </c>
      <c r="AC167" s="3">
        <v>25750</v>
      </c>
      <c r="AD167" s="3">
        <v>22440</v>
      </c>
      <c r="AE167" s="3">
        <v>230520</v>
      </c>
      <c r="AF167" s="3">
        <v>230520</v>
      </c>
      <c r="AG167" s="3">
        <v>1550.5</v>
      </c>
      <c r="AH167" s="40">
        <v>0.75309999999999999</v>
      </c>
      <c r="AI167" s="40">
        <v>0.78</v>
      </c>
      <c r="AJ167" s="40">
        <v>0.81</v>
      </c>
      <c r="AK167" s="40">
        <v>0.82</v>
      </c>
      <c r="AL167" s="40">
        <v>0.84</v>
      </c>
      <c r="AM167" s="40">
        <v>0.97</v>
      </c>
      <c r="AN167" s="40">
        <v>0.84</v>
      </c>
      <c r="AO167" s="40">
        <v>0.93</v>
      </c>
      <c r="AP167" s="40">
        <v>0.87</v>
      </c>
      <c r="AQ167" s="40">
        <v>0.88</v>
      </c>
      <c r="AR167" s="31">
        <v>0.94079044027621295</v>
      </c>
      <c r="AS167" s="36">
        <v>3.42696503496503</v>
      </c>
      <c r="AT167">
        <v>3.68</v>
      </c>
      <c r="AU167">
        <v>3.8</v>
      </c>
      <c r="AW167">
        <v>3.92</v>
      </c>
      <c r="AX167">
        <v>3.94</v>
      </c>
      <c r="AY167" s="6">
        <v>3.835</v>
      </c>
      <c r="AZ167" s="2">
        <v>0.84930000000000005</v>
      </c>
      <c r="BA167" s="2">
        <v>0.89360235592308601</v>
      </c>
      <c r="BB167" s="2">
        <v>0.99299999999999999</v>
      </c>
      <c r="BC167">
        <v>71500</v>
      </c>
      <c r="BD167">
        <v>56992</v>
      </c>
      <c r="BE167">
        <v>20000</v>
      </c>
      <c r="BF167">
        <v>30030</v>
      </c>
      <c r="BG167" s="9" t="s">
        <v>131</v>
      </c>
    </row>
    <row r="168" spans="3:59" ht="409.5" x14ac:dyDescent="0.25">
      <c r="C168" s="1">
        <v>45788</v>
      </c>
      <c r="D168" s="36">
        <v>255977.841935484</v>
      </c>
      <c r="E168" s="33">
        <v>4.3290322580645197</v>
      </c>
      <c r="F168" s="33">
        <v>3.54850774193548</v>
      </c>
      <c r="G168" s="2">
        <v>0.81969999999999998</v>
      </c>
      <c r="H168" s="2">
        <v>0.99</v>
      </c>
      <c r="I168" s="3">
        <v>31197.5</v>
      </c>
      <c r="J168" s="3">
        <v>31043</v>
      </c>
      <c r="K168" s="3">
        <v>19124</v>
      </c>
      <c r="L168" s="3">
        <v>25877.5</v>
      </c>
      <c r="M168" s="3">
        <v>24169</v>
      </c>
      <c r="N168" s="3">
        <v>131411</v>
      </c>
      <c r="O168" s="3">
        <v>133222.5</v>
      </c>
      <c r="P168" s="3">
        <v>1811.5</v>
      </c>
      <c r="Q168" s="3">
        <v>1811.5</v>
      </c>
      <c r="R168" s="3">
        <v>133222.5</v>
      </c>
      <c r="S168" s="3">
        <v>133222.5</v>
      </c>
      <c r="T168" s="3">
        <v>132289.9425</v>
      </c>
      <c r="U168" s="3">
        <v>19520</v>
      </c>
      <c r="V168" s="3">
        <v>19660</v>
      </c>
      <c r="W168" s="3">
        <v>17710</v>
      </c>
      <c r="X168" s="3">
        <v>22270</v>
      </c>
      <c r="Y168" s="3">
        <v>21820</v>
      </c>
      <c r="Z168" s="3">
        <v>24810</v>
      </c>
      <c r="AA168" s="3">
        <v>18000</v>
      </c>
      <c r="AB168" s="3">
        <v>19820</v>
      </c>
      <c r="AC168" s="3">
        <v>21810</v>
      </c>
      <c r="AD168" s="3">
        <v>18370</v>
      </c>
      <c r="AE168" s="3">
        <v>203790</v>
      </c>
      <c r="AF168" s="3">
        <v>205601.5</v>
      </c>
      <c r="AG168" s="3">
        <v>1536.71</v>
      </c>
      <c r="AH168" s="40">
        <v>0.74</v>
      </c>
      <c r="AI168" s="40">
        <v>0.74</v>
      </c>
      <c r="AJ168" s="40">
        <v>0.75</v>
      </c>
      <c r="AK168" s="40">
        <v>0.77</v>
      </c>
      <c r="AL168" s="40">
        <v>0.83</v>
      </c>
      <c r="AM168" s="40">
        <v>0.97</v>
      </c>
      <c r="AN168" s="40">
        <v>0.81</v>
      </c>
      <c r="AO168" s="40">
        <v>0.9</v>
      </c>
      <c r="AP168" s="40">
        <v>0.85</v>
      </c>
      <c r="AQ168" s="40">
        <v>0.83</v>
      </c>
      <c r="AR168" s="31">
        <v>1.5507834199572299</v>
      </c>
      <c r="AS168" s="36">
        <v>1.8632517482517501</v>
      </c>
      <c r="AT168">
        <v>3.19</v>
      </c>
      <c r="AU168">
        <v>3.46</v>
      </c>
      <c r="AW168">
        <v>3.78</v>
      </c>
      <c r="AX168">
        <v>3.93</v>
      </c>
      <c r="AY168" s="6">
        <v>3.59</v>
      </c>
      <c r="AZ168" s="2">
        <v>0.81969999999999998</v>
      </c>
      <c r="BA168" s="2">
        <v>0.51901162903948395</v>
      </c>
      <c r="BB168" s="2">
        <v>0.99299999999999999</v>
      </c>
      <c r="BC168">
        <v>71500</v>
      </c>
      <c r="BD168">
        <v>56992</v>
      </c>
      <c r="BE168">
        <v>20000</v>
      </c>
      <c r="BF168">
        <v>30030</v>
      </c>
      <c r="BG168" s="9" t="s">
        <v>131</v>
      </c>
    </row>
    <row r="169" spans="3:59" ht="409.5" x14ac:dyDescent="0.25">
      <c r="C169" s="1">
        <v>45789</v>
      </c>
      <c r="D169" s="36">
        <v>255977.841935484</v>
      </c>
      <c r="E169" s="33">
        <v>4.3290322580645197</v>
      </c>
      <c r="F169" s="33">
        <v>3.54850774193548</v>
      </c>
      <c r="G169" s="2">
        <v>0.81969999999999998</v>
      </c>
      <c r="H169" s="2">
        <v>0.99</v>
      </c>
      <c r="I169" s="3">
        <v>52837.5</v>
      </c>
      <c r="J169" s="3">
        <v>52836.5</v>
      </c>
      <c r="K169" s="3">
        <v>33253.5</v>
      </c>
      <c r="L169" s="3">
        <v>39286.5</v>
      </c>
      <c r="M169" s="3">
        <v>36285</v>
      </c>
      <c r="N169" s="3">
        <v>178214</v>
      </c>
      <c r="O169" s="3">
        <v>197312.67</v>
      </c>
      <c r="P169" s="3">
        <v>19098.669999999998</v>
      </c>
      <c r="Q169" s="3">
        <v>19098.669999999998</v>
      </c>
      <c r="R169" s="3">
        <v>197312.67</v>
      </c>
      <c r="S169" s="3">
        <v>197312.67</v>
      </c>
      <c r="T169" s="3">
        <v>195931.48131</v>
      </c>
      <c r="U169" s="3">
        <v>16180</v>
      </c>
      <c r="V169" s="3">
        <v>17260</v>
      </c>
      <c r="W169" s="3">
        <v>15540</v>
      </c>
      <c r="X169" s="3">
        <v>19660</v>
      </c>
      <c r="Y169" s="3">
        <v>19860</v>
      </c>
      <c r="Z169" s="3">
        <v>20640</v>
      </c>
      <c r="AA169" s="3">
        <v>16340</v>
      </c>
      <c r="AB169" s="3">
        <v>17190</v>
      </c>
      <c r="AC169" s="3">
        <v>18160</v>
      </c>
      <c r="AD169" s="3">
        <v>16990</v>
      </c>
      <c r="AE169" s="3">
        <v>177820</v>
      </c>
      <c r="AF169" s="3">
        <v>196918.67</v>
      </c>
      <c r="AG169" s="3">
        <v>1514.3</v>
      </c>
      <c r="AH169" s="40">
        <v>0.85</v>
      </c>
      <c r="AI169" s="40">
        <v>0.91</v>
      </c>
      <c r="AJ169" s="40">
        <v>0.92</v>
      </c>
      <c r="AK169" s="40">
        <v>0.94</v>
      </c>
      <c r="AL169" s="40">
        <v>0.95</v>
      </c>
      <c r="AM169" s="40">
        <v>0.96</v>
      </c>
      <c r="AN169" s="40">
        <v>0.88</v>
      </c>
      <c r="AO169" s="40">
        <v>0.92</v>
      </c>
      <c r="AP169" s="40">
        <v>0.84</v>
      </c>
      <c r="AQ169" s="40">
        <v>0.91</v>
      </c>
      <c r="AR169" s="31">
        <v>0.997789174812304</v>
      </c>
      <c r="AS169" s="36">
        <v>2.75961776223776</v>
      </c>
      <c r="AT169">
        <v>2.69</v>
      </c>
      <c r="AU169">
        <v>2.75</v>
      </c>
      <c r="AW169">
        <v>2.74</v>
      </c>
      <c r="AX169">
        <v>2.82</v>
      </c>
      <c r="AY169" s="6">
        <v>2.75</v>
      </c>
      <c r="AZ169" s="2">
        <v>0.90769999999999995</v>
      </c>
      <c r="BA169" s="2">
        <v>1.0034973680864601</v>
      </c>
      <c r="BB169" s="2">
        <v>0.99299999999999999</v>
      </c>
      <c r="BC169">
        <v>71500</v>
      </c>
      <c r="BD169">
        <v>56992</v>
      </c>
      <c r="BE169">
        <v>20000</v>
      </c>
      <c r="BF169">
        <v>30030</v>
      </c>
      <c r="BG169" s="9" t="s">
        <v>131</v>
      </c>
    </row>
    <row r="170" spans="3:59" ht="409.5" x14ac:dyDescent="0.25">
      <c r="C170" s="1">
        <v>45790</v>
      </c>
      <c r="D170" s="36">
        <v>255977.841935484</v>
      </c>
      <c r="E170" s="33">
        <v>4.3290322580645197</v>
      </c>
      <c r="F170" s="33">
        <v>3.54850774193548</v>
      </c>
      <c r="G170" s="2">
        <v>0.81969999999999998</v>
      </c>
      <c r="H170" s="2">
        <v>0.99</v>
      </c>
      <c r="I170" s="3">
        <v>63059.5</v>
      </c>
      <c r="J170" s="3">
        <v>62944</v>
      </c>
      <c r="K170" s="3">
        <v>46890.5</v>
      </c>
      <c r="L170" s="3">
        <v>52242.5</v>
      </c>
      <c r="M170" s="3">
        <v>47479</v>
      </c>
      <c r="N170" s="3">
        <v>272615.5</v>
      </c>
      <c r="O170" s="3">
        <v>241544.5</v>
      </c>
      <c r="P170" s="3">
        <v>-31071</v>
      </c>
      <c r="Q170" s="3">
        <v>0</v>
      </c>
      <c r="R170" s="3">
        <v>272615.5</v>
      </c>
      <c r="S170" s="3">
        <v>272615.5</v>
      </c>
      <c r="T170" s="3">
        <v>239129.05499999999</v>
      </c>
      <c r="U170" s="3">
        <v>23480</v>
      </c>
      <c r="V170" s="3">
        <v>23590</v>
      </c>
      <c r="W170" s="3">
        <v>22360</v>
      </c>
      <c r="X170" s="3">
        <v>27130</v>
      </c>
      <c r="Y170" s="3">
        <v>28170</v>
      </c>
      <c r="Z170" s="3">
        <v>33860</v>
      </c>
      <c r="AA170" s="3">
        <v>26200</v>
      </c>
      <c r="AB170" s="3">
        <v>27150</v>
      </c>
      <c r="AC170" s="3">
        <v>30000</v>
      </c>
      <c r="AD170" s="3">
        <v>27390</v>
      </c>
      <c r="AE170" s="3">
        <v>269330</v>
      </c>
      <c r="AF170" s="3">
        <v>269330</v>
      </c>
      <c r="AG170" s="3">
        <v>1375.27</v>
      </c>
      <c r="AH170" s="40">
        <v>0.72</v>
      </c>
      <c r="AI170" s="40">
        <v>0.72</v>
      </c>
      <c r="AJ170" s="40">
        <v>0.77</v>
      </c>
      <c r="AK170" s="40">
        <v>0.73</v>
      </c>
      <c r="AL170" s="40">
        <v>0.76</v>
      </c>
      <c r="AM170" s="40">
        <v>0.92</v>
      </c>
      <c r="AN170" s="40">
        <v>0.82</v>
      </c>
      <c r="AO170" s="40">
        <v>0.85</v>
      </c>
      <c r="AP170" s="40">
        <v>0.82</v>
      </c>
      <c r="AQ170" s="40">
        <v>0.86</v>
      </c>
      <c r="AR170" s="31">
        <v>0.98794822744854904</v>
      </c>
      <c r="AS170" s="36">
        <v>3.8128041958041998</v>
      </c>
      <c r="AT170">
        <v>4.59</v>
      </c>
      <c r="AU170">
        <v>4.8899999999999997</v>
      </c>
      <c r="AW170">
        <v>4.88</v>
      </c>
      <c r="AX170">
        <v>4.83</v>
      </c>
      <c r="AY170" s="6">
        <v>4.7975000000000003</v>
      </c>
      <c r="AZ170" s="2">
        <v>0.79779999999999995</v>
      </c>
      <c r="BA170" s="2">
        <v>0.79474813878148998</v>
      </c>
      <c r="BB170" s="2">
        <v>0.99</v>
      </c>
      <c r="BC170">
        <v>71500</v>
      </c>
      <c r="BD170">
        <v>56992</v>
      </c>
      <c r="BE170">
        <v>12500</v>
      </c>
      <c r="BF170">
        <v>30030</v>
      </c>
      <c r="BG170" s="9" t="s">
        <v>131</v>
      </c>
    </row>
    <row r="171" spans="3:59" ht="409.5" x14ac:dyDescent="0.25">
      <c r="C171" s="1">
        <v>45791</v>
      </c>
      <c r="D171" s="36">
        <v>255977.841935484</v>
      </c>
      <c r="E171" s="33">
        <v>4.3290322580645197</v>
      </c>
      <c r="F171" s="33">
        <v>3.54850774193548</v>
      </c>
      <c r="G171" s="2">
        <v>0.81969999999999998</v>
      </c>
      <c r="H171" s="2">
        <v>0.99</v>
      </c>
      <c r="I171" s="3">
        <v>72762.5</v>
      </c>
      <c r="J171" s="3">
        <v>38663</v>
      </c>
      <c r="K171" s="3">
        <v>54089</v>
      </c>
      <c r="L171" s="3">
        <v>58861.5</v>
      </c>
      <c r="M171" s="3">
        <v>51276</v>
      </c>
      <c r="N171" s="3">
        <v>275652</v>
      </c>
      <c r="O171" s="3">
        <v>299564.33</v>
      </c>
      <c r="P171" s="3">
        <v>23912.33</v>
      </c>
      <c r="Q171" s="3">
        <v>23912.33</v>
      </c>
      <c r="R171" s="3">
        <v>299564.33</v>
      </c>
      <c r="S171" s="3">
        <v>299564.33</v>
      </c>
      <c r="T171" s="3">
        <v>296568.68670000002</v>
      </c>
      <c r="U171" s="3">
        <v>15320</v>
      </c>
      <c r="V171" s="3">
        <v>16080</v>
      </c>
      <c r="W171" s="3">
        <v>14310</v>
      </c>
      <c r="X171" s="3">
        <v>17960</v>
      </c>
      <c r="Y171" s="3">
        <v>18140</v>
      </c>
      <c r="Z171" s="3">
        <v>30170</v>
      </c>
      <c r="AA171" s="3">
        <v>23600</v>
      </c>
      <c r="AB171" s="3">
        <v>24780</v>
      </c>
      <c r="AC171" s="3">
        <v>25680</v>
      </c>
      <c r="AD171" s="3">
        <v>24400</v>
      </c>
      <c r="AE171" s="3">
        <v>210440</v>
      </c>
      <c r="AF171" s="3">
        <v>234352.33</v>
      </c>
      <c r="AG171" s="3">
        <v>1448.9</v>
      </c>
      <c r="AH171" s="40">
        <v>0.51</v>
      </c>
      <c r="AI171" s="40">
        <v>0.53</v>
      </c>
      <c r="AJ171" s="40">
        <v>0.53</v>
      </c>
      <c r="AK171" s="40">
        <v>0.53</v>
      </c>
      <c r="AL171" s="40">
        <v>0.54</v>
      </c>
      <c r="AM171" s="40">
        <v>0.96</v>
      </c>
      <c r="AN171" s="40">
        <v>0.86</v>
      </c>
      <c r="AO171" s="40">
        <v>0.91</v>
      </c>
      <c r="AP171" s="40">
        <v>0.81</v>
      </c>
      <c r="AQ171" s="40">
        <v>0.89</v>
      </c>
      <c r="AR171" s="31">
        <v>0.76342634916488905</v>
      </c>
      <c r="AS171" s="36">
        <v>4.1897109090909099</v>
      </c>
      <c r="AT171">
        <v>3.94</v>
      </c>
      <c r="AU171">
        <v>4.43</v>
      </c>
      <c r="AW171">
        <v>4.41</v>
      </c>
      <c r="AX171">
        <v>4.47</v>
      </c>
      <c r="AY171" s="6">
        <v>4.3125</v>
      </c>
      <c r="AZ171" s="2">
        <v>0.70830000000000004</v>
      </c>
      <c r="BA171" s="2">
        <v>0.97152716732542799</v>
      </c>
      <c r="BB171" s="2">
        <v>0.99</v>
      </c>
      <c r="BC171">
        <v>71500</v>
      </c>
      <c r="BD171">
        <v>56992</v>
      </c>
      <c r="BE171">
        <v>20000</v>
      </c>
      <c r="BF171">
        <v>30030</v>
      </c>
      <c r="BG171" s="9" t="s">
        <v>131</v>
      </c>
    </row>
    <row r="172" spans="3:59" ht="409.5" x14ac:dyDescent="0.25">
      <c r="C172" s="1">
        <v>45792</v>
      </c>
      <c r="D172" s="36">
        <v>255977.841935484</v>
      </c>
      <c r="E172" s="33">
        <v>4.3290322580645197</v>
      </c>
      <c r="F172" s="33">
        <v>3.54850774193548</v>
      </c>
      <c r="G172" s="2">
        <v>0.81969999999999998</v>
      </c>
      <c r="H172" s="2">
        <v>0.99</v>
      </c>
      <c r="I172" s="3">
        <v>52050.5</v>
      </c>
      <c r="J172" s="3">
        <v>51992</v>
      </c>
      <c r="K172" s="3">
        <v>38625.5</v>
      </c>
      <c r="L172" s="3">
        <v>43934.5</v>
      </c>
      <c r="M172" s="3">
        <v>38894</v>
      </c>
      <c r="N172" s="3">
        <v>225496.5</v>
      </c>
      <c r="O172" s="3">
        <v>234631.67</v>
      </c>
      <c r="P172" s="3">
        <v>9135.1700000000092</v>
      </c>
      <c r="Q172" s="3">
        <v>9135.1700000000092</v>
      </c>
      <c r="R172" s="3">
        <v>234631.67</v>
      </c>
      <c r="S172" s="3">
        <v>234631.67</v>
      </c>
      <c r="T172" s="3">
        <v>232285.35329999999</v>
      </c>
      <c r="U172" s="3">
        <v>20570</v>
      </c>
      <c r="V172" s="3">
        <v>20910</v>
      </c>
      <c r="W172" s="3">
        <v>18360</v>
      </c>
      <c r="X172" s="3">
        <v>22750</v>
      </c>
      <c r="Y172" s="3">
        <v>22800</v>
      </c>
      <c r="Z172" s="3">
        <v>27170</v>
      </c>
      <c r="AA172" s="3">
        <v>21260</v>
      </c>
      <c r="AB172" s="3">
        <v>22840</v>
      </c>
      <c r="AC172" s="3">
        <v>26170</v>
      </c>
      <c r="AD172" s="3">
        <v>23160</v>
      </c>
      <c r="AE172" s="3">
        <v>225990</v>
      </c>
      <c r="AF172" s="3">
        <v>235125.17</v>
      </c>
      <c r="AG172" s="3">
        <v>1564.33</v>
      </c>
      <c r="AH172" s="40">
        <v>0.65400000000000003</v>
      </c>
      <c r="AI172" s="40">
        <v>0.66</v>
      </c>
      <c r="AJ172" s="40">
        <v>0.66</v>
      </c>
      <c r="AK172" s="40">
        <v>0.7</v>
      </c>
      <c r="AL172" s="40">
        <v>0.74</v>
      </c>
      <c r="AM172" s="40">
        <v>0.86</v>
      </c>
      <c r="AN172" s="40">
        <v>0.78</v>
      </c>
      <c r="AO172" s="40">
        <v>0.84</v>
      </c>
      <c r="AP172" s="40">
        <v>0.83</v>
      </c>
      <c r="AQ172" s="40">
        <v>0.85</v>
      </c>
      <c r="AR172" s="31">
        <v>1.00218850403443</v>
      </c>
      <c r="AS172" s="36">
        <v>3.28156181818182</v>
      </c>
      <c r="AT172">
        <v>3.94</v>
      </c>
      <c r="AU172">
        <v>4.0599999999999996</v>
      </c>
      <c r="AW172">
        <v>4.28</v>
      </c>
      <c r="AX172">
        <v>4.66</v>
      </c>
      <c r="AY172" s="6">
        <v>4.2350000000000003</v>
      </c>
      <c r="AZ172" s="2">
        <v>0.75649999999999995</v>
      </c>
      <c r="BA172" s="2">
        <v>0.77486701728023999</v>
      </c>
      <c r="BB172" s="2">
        <v>0.99</v>
      </c>
      <c r="BC172">
        <v>71500</v>
      </c>
      <c r="BD172">
        <v>56992</v>
      </c>
      <c r="BE172">
        <v>20000</v>
      </c>
      <c r="BF172">
        <v>30030</v>
      </c>
      <c r="BG172" s="9" t="s">
        <v>131</v>
      </c>
    </row>
    <row r="173" spans="3:59" ht="409.5" x14ac:dyDescent="0.25">
      <c r="C173" s="1">
        <v>45793</v>
      </c>
      <c r="D173" s="36">
        <v>255977.841935484</v>
      </c>
      <c r="E173" s="33">
        <v>4.3290322580645197</v>
      </c>
      <c r="F173" s="33">
        <v>3.54850774193548</v>
      </c>
      <c r="G173" s="2">
        <v>0.81969999999999998</v>
      </c>
      <c r="H173" s="2">
        <v>0.99</v>
      </c>
      <c r="I173" s="3">
        <v>52050.5</v>
      </c>
      <c r="J173" s="3">
        <v>51992</v>
      </c>
      <c r="K173" s="3">
        <v>38625.5</v>
      </c>
      <c r="L173" s="3">
        <v>43934.5</v>
      </c>
      <c r="M173" s="3">
        <v>38894</v>
      </c>
      <c r="N173" s="3">
        <v>225496.5</v>
      </c>
      <c r="O173" s="3">
        <v>300168.83</v>
      </c>
      <c r="P173" s="3">
        <v>74672.33</v>
      </c>
      <c r="Q173" s="3">
        <v>74672.33</v>
      </c>
      <c r="R173" s="3">
        <v>300168.83</v>
      </c>
      <c r="S173" s="3">
        <v>300168.83</v>
      </c>
      <c r="T173" s="3">
        <v>297767.47936</v>
      </c>
      <c r="U173" s="3">
        <v>30110</v>
      </c>
      <c r="V173" s="3">
        <v>29900</v>
      </c>
      <c r="W173" s="3">
        <v>31900</v>
      </c>
      <c r="X173" s="3">
        <v>33860</v>
      </c>
      <c r="Y173" s="3">
        <v>35440</v>
      </c>
      <c r="Z173" s="3">
        <v>43020</v>
      </c>
      <c r="AA173" s="3">
        <v>33870</v>
      </c>
      <c r="AB173" s="3">
        <v>36640</v>
      </c>
      <c r="AC173" s="3">
        <v>38860</v>
      </c>
      <c r="AD173" s="3">
        <v>35330</v>
      </c>
      <c r="AE173" s="3">
        <v>348930</v>
      </c>
      <c r="AF173" s="3">
        <v>423602.33</v>
      </c>
      <c r="AG173" s="3">
        <v>1584.59</v>
      </c>
      <c r="AH173" s="40">
        <v>0.69479999999999997</v>
      </c>
      <c r="AI173" s="40">
        <v>0.69</v>
      </c>
      <c r="AJ173" s="40">
        <v>0.83</v>
      </c>
      <c r="AK173" s="40">
        <v>0.72</v>
      </c>
      <c r="AL173" s="40">
        <v>0.74</v>
      </c>
      <c r="AM173" s="40">
        <v>0.88</v>
      </c>
      <c r="AN173" s="40">
        <v>0.8</v>
      </c>
      <c r="AO173" s="40">
        <v>0.87</v>
      </c>
      <c r="AP173" s="40">
        <v>0.8</v>
      </c>
      <c r="AQ173" s="40">
        <v>0.84</v>
      </c>
      <c r="AR173" s="31">
        <v>1.5473854361375901</v>
      </c>
      <c r="AS173" s="36">
        <v>4.1981654545454496</v>
      </c>
      <c r="AT173">
        <v>6.1</v>
      </c>
      <c r="AU173">
        <v>6.29</v>
      </c>
      <c r="AW173">
        <v>6.2</v>
      </c>
      <c r="AX173">
        <v>6.42</v>
      </c>
      <c r="AY173" s="6">
        <v>6.2525000000000004</v>
      </c>
      <c r="AZ173" s="2">
        <v>0.78500000000000003</v>
      </c>
      <c r="BA173" s="2">
        <v>0.67143789756824601</v>
      </c>
      <c r="BB173" s="2">
        <v>0.99199999999999999</v>
      </c>
      <c r="BC173">
        <v>71500</v>
      </c>
      <c r="BD173">
        <v>56992</v>
      </c>
      <c r="BE173">
        <v>20000</v>
      </c>
      <c r="BF173">
        <v>30030</v>
      </c>
      <c r="BG173" s="9" t="s">
        <v>131</v>
      </c>
    </row>
    <row r="174" spans="3:59" ht="409.5" x14ac:dyDescent="0.25">
      <c r="C174" s="1">
        <v>45794</v>
      </c>
      <c r="D174" s="36">
        <v>255977.841935484</v>
      </c>
      <c r="E174" s="33">
        <v>4.3290322580645197</v>
      </c>
      <c r="F174" s="33">
        <v>3.54850774193548</v>
      </c>
      <c r="G174" s="2">
        <v>0.81969999999999998</v>
      </c>
      <c r="H174" s="2">
        <v>0.99</v>
      </c>
      <c r="I174" s="3">
        <v>63249</v>
      </c>
      <c r="J174" s="3">
        <v>62990.5</v>
      </c>
      <c r="K174" s="3">
        <v>53593.5</v>
      </c>
      <c r="L174" s="3">
        <v>60054</v>
      </c>
      <c r="M174" s="3">
        <v>49868</v>
      </c>
      <c r="N174" s="3">
        <v>289755</v>
      </c>
      <c r="O174" s="3">
        <v>269583.67</v>
      </c>
      <c r="P174" s="3">
        <v>-20171.330000000002</v>
      </c>
      <c r="Q174" s="3">
        <v>0</v>
      </c>
      <c r="R174" s="3">
        <v>289755</v>
      </c>
      <c r="S174" s="3">
        <v>289755</v>
      </c>
      <c r="T174" s="3">
        <v>267427.00063999998</v>
      </c>
      <c r="U174" s="3">
        <v>16030</v>
      </c>
      <c r="V174" s="3">
        <v>23670</v>
      </c>
      <c r="W174" s="3">
        <v>20680</v>
      </c>
      <c r="X174" s="3">
        <v>25660</v>
      </c>
      <c r="Y174" s="3">
        <v>26230</v>
      </c>
      <c r="Z174" s="3">
        <v>27870</v>
      </c>
      <c r="AA174" s="3">
        <v>22250</v>
      </c>
      <c r="AB174" s="3">
        <v>23180</v>
      </c>
      <c r="AC174" s="3">
        <v>25990</v>
      </c>
      <c r="AD174" s="3">
        <v>23780</v>
      </c>
      <c r="AE174" s="3">
        <v>235340</v>
      </c>
      <c r="AF174" s="3">
        <v>235340</v>
      </c>
      <c r="AG174" s="3">
        <v>1596.68</v>
      </c>
      <c r="AH174" s="40">
        <v>0.62</v>
      </c>
      <c r="AI174" s="40">
        <v>0.91</v>
      </c>
      <c r="AJ174" s="40">
        <v>0.9</v>
      </c>
      <c r="AK174" s="40">
        <v>0.89</v>
      </c>
      <c r="AL174" s="40">
        <v>0.9</v>
      </c>
      <c r="AM174" s="40">
        <v>0.93</v>
      </c>
      <c r="AN174" s="40">
        <v>0.85</v>
      </c>
      <c r="AO174" s="40">
        <v>0.89</v>
      </c>
      <c r="AP174" s="40">
        <v>0.86</v>
      </c>
      <c r="AQ174" s="40">
        <v>0.91</v>
      </c>
      <c r="AR174" s="31">
        <v>0.81220341322841705</v>
      </c>
      <c r="AS174" s="36">
        <v>4.0525174825174801</v>
      </c>
      <c r="AT174">
        <v>3.76</v>
      </c>
      <c r="AU174">
        <v>3.83</v>
      </c>
      <c r="AW174">
        <v>3.8</v>
      </c>
      <c r="AX174">
        <v>3.85</v>
      </c>
      <c r="AY174" s="6">
        <v>3.81</v>
      </c>
      <c r="AZ174" s="2">
        <v>0.86539999999999995</v>
      </c>
      <c r="BA174" s="2">
        <v>1.06365288255052</v>
      </c>
      <c r="BB174" s="2">
        <v>0.99199999999999999</v>
      </c>
      <c r="BC174">
        <v>71500</v>
      </c>
      <c r="BD174">
        <v>56992</v>
      </c>
      <c r="BE174">
        <v>20000</v>
      </c>
      <c r="BF174">
        <v>30030</v>
      </c>
      <c r="BG174" s="9" t="s">
        <v>131</v>
      </c>
    </row>
    <row r="175" spans="3:59" ht="409.5" x14ac:dyDescent="0.25">
      <c r="C175" s="1">
        <v>45795</v>
      </c>
      <c r="D175" s="36">
        <v>255977.841935484</v>
      </c>
      <c r="E175" s="33">
        <v>4.3290322580645197</v>
      </c>
      <c r="F175" s="33">
        <v>3.54850774193548</v>
      </c>
      <c r="G175" s="2">
        <v>0.81969999999999998</v>
      </c>
      <c r="H175" s="2">
        <v>0.99</v>
      </c>
      <c r="I175" s="3">
        <v>43697.5</v>
      </c>
      <c r="J175" s="3">
        <v>43577</v>
      </c>
      <c r="K175" s="3">
        <v>31690</v>
      </c>
      <c r="L175" s="3">
        <v>37429.5</v>
      </c>
      <c r="M175" s="3">
        <v>32271</v>
      </c>
      <c r="N175" s="3">
        <v>188665</v>
      </c>
      <c r="O175" s="3">
        <v>194947.5</v>
      </c>
      <c r="P175" s="3">
        <v>6282.5</v>
      </c>
      <c r="Q175" s="3">
        <v>6282.5</v>
      </c>
      <c r="R175" s="3">
        <v>194947.5</v>
      </c>
      <c r="S175" s="3">
        <v>194947.5</v>
      </c>
      <c r="T175" s="3">
        <v>193387.92</v>
      </c>
      <c r="U175" s="3">
        <v>20480</v>
      </c>
      <c r="V175" s="3">
        <v>20450</v>
      </c>
      <c r="W175" s="3">
        <v>18530</v>
      </c>
      <c r="X175" s="3">
        <v>22310</v>
      </c>
      <c r="Y175" s="3">
        <v>23550</v>
      </c>
      <c r="Z175" s="3">
        <v>26690</v>
      </c>
      <c r="AA175" s="3">
        <v>20500</v>
      </c>
      <c r="AB175" s="3">
        <v>22270</v>
      </c>
      <c r="AC175" s="3">
        <v>26720</v>
      </c>
      <c r="AD175" s="3">
        <v>21620</v>
      </c>
      <c r="AE175" s="3">
        <v>223120</v>
      </c>
      <c r="AF175" s="3">
        <v>229402.5</v>
      </c>
      <c r="AG175" s="3">
        <v>1482.31</v>
      </c>
      <c r="AH175" s="40">
        <v>0.73</v>
      </c>
      <c r="AI175" s="40">
        <v>0.73</v>
      </c>
      <c r="AJ175" s="40">
        <v>0.75</v>
      </c>
      <c r="AK175" s="40">
        <v>0.73</v>
      </c>
      <c r="AL175" s="40">
        <v>0.75</v>
      </c>
      <c r="AM175" s="40">
        <v>0.92</v>
      </c>
      <c r="AN175" s="40">
        <v>0.81</v>
      </c>
      <c r="AO175" s="40">
        <v>0.88</v>
      </c>
      <c r="AP175" s="40">
        <v>0.92</v>
      </c>
      <c r="AQ175" s="40">
        <v>0.86</v>
      </c>
      <c r="AR175" s="31">
        <v>1.1826252882092601</v>
      </c>
      <c r="AS175" s="36">
        <v>2.72653846153846</v>
      </c>
      <c r="AT175">
        <v>3.64</v>
      </c>
      <c r="AU175">
        <v>4.13</v>
      </c>
      <c r="AW175">
        <v>4.0199999999999996</v>
      </c>
      <c r="AX175">
        <v>4.1399999999999997</v>
      </c>
      <c r="AY175" s="6">
        <v>3.9824999999999999</v>
      </c>
      <c r="AZ175" s="2">
        <v>0.80740000000000001</v>
      </c>
      <c r="BA175" s="2">
        <v>0.68462987107054896</v>
      </c>
      <c r="BB175" s="2">
        <v>0.99199999999999999</v>
      </c>
      <c r="BC175">
        <v>71500</v>
      </c>
      <c r="BD175">
        <v>56992</v>
      </c>
      <c r="BE175">
        <v>20000</v>
      </c>
      <c r="BF175">
        <v>30030</v>
      </c>
      <c r="BG175" s="9" t="s">
        <v>132</v>
      </c>
    </row>
    <row r="176" spans="3:59" ht="409.5" x14ac:dyDescent="0.25">
      <c r="C176" s="1">
        <v>45796</v>
      </c>
      <c r="D176" s="36">
        <v>255977.841935484</v>
      </c>
      <c r="E176" s="33">
        <v>4.3290322580645197</v>
      </c>
      <c r="F176" s="33">
        <v>3.54850774193548</v>
      </c>
      <c r="G176" s="2">
        <v>0.81969999999999998</v>
      </c>
      <c r="H176" s="2">
        <v>0.99</v>
      </c>
      <c r="I176" s="3">
        <v>37478</v>
      </c>
      <c r="J176" s="3">
        <v>37490</v>
      </c>
      <c r="K176" s="3">
        <v>28170</v>
      </c>
      <c r="L176" s="3">
        <v>34696.5</v>
      </c>
      <c r="M176" s="3">
        <v>30296</v>
      </c>
      <c r="N176" s="3">
        <v>168130.5</v>
      </c>
      <c r="O176" s="3">
        <v>158027.67000000001</v>
      </c>
      <c r="P176" s="3">
        <v>-10102.83</v>
      </c>
      <c r="Q176" s="3">
        <v>0</v>
      </c>
      <c r="R176" s="3">
        <v>168130.5</v>
      </c>
      <c r="S176" s="3">
        <v>168130.5</v>
      </c>
      <c r="T176" s="3">
        <v>156763.44863999999</v>
      </c>
      <c r="U176" s="3">
        <v>18860</v>
      </c>
      <c r="V176" s="3">
        <v>19220</v>
      </c>
      <c r="W176" s="3">
        <v>15450</v>
      </c>
      <c r="X176" s="3">
        <v>17330</v>
      </c>
      <c r="Y176" s="3">
        <v>17990</v>
      </c>
      <c r="Z176" s="3">
        <v>23350</v>
      </c>
      <c r="AA176" s="3">
        <v>18810</v>
      </c>
      <c r="AB176" s="3">
        <v>19750</v>
      </c>
      <c r="AC176" s="3">
        <v>22720</v>
      </c>
      <c r="AD176" s="3">
        <v>19060</v>
      </c>
      <c r="AE176" s="3">
        <v>192540</v>
      </c>
      <c r="AF176" s="3">
        <v>192540</v>
      </c>
      <c r="AG176" s="3">
        <v>1552.73</v>
      </c>
      <c r="AH176" s="40">
        <v>0.81</v>
      </c>
      <c r="AI176" s="40">
        <v>0.82</v>
      </c>
      <c r="AJ176" s="40">
        <v>0.74</v>
      </c>
      <c r="AK176" s="40">
        <v>0.66</v>
      </c>
      <c r="AL176" s="40">
        <v>0.69</v>
      </c>
      <c r="AM176" s="40">
        <v>0.9</v>
      </c>
      <c r="AN176" s="40">
        <v>0.84</v>
      </c>
      <c r="AO176" s="40">
        <v>0.88</v>
      </c>
      <c r="AP176" s="40">
        <v>0.88</v>
      </c>
      <c r="AQ176" s="40">
        <v>0.85</v>
      </c>
      <c r="AR176" s="31">
        <v>1.1451818676563701</v>
      </c>
      <c r="AS176" s="36">
        <v>2.3514755244755201</v>
      </c>
      <c r="AT176">
        <v>3.23</v>
      </c>
      <c r="AU176">
        <v>3.4</v>
      </c>
      <c r="AW176">
        <v>3.43</v>
      </c>
      <c r="AX176">
        <v>3.46</v>
      </c>
      <c r="AY176" s="6">
        <v>3.38</v>
      </c>
      <c r="AZ176" s="2">
        <v>0.80889999999999995</v>
      </c>
      <c r="BA176" s="2">
        <v>0.69570281789216704</v>
      </c>
      <c r="BB176" s="2">
        <v>0.99199999999999999</v>
      </c>
      <c r="BC176">
        <v>71500</v>
      </c>
      <c r="BD176">
        <v>56992</v>
      </c>
      <c r="BE176">
        <v>7806</v>
      </c>
      <c r="BF176">
        <v>30030</v>
      </c>
      <c r="BG176" s="9" t="s">
        <v>132</v>
      </c>
    </row>
    <row r="177" spans="3:59" ht="409.5" x14ac:dyDescent="0.25">
      <c r="C177" s="1">
        <v>45797</v>
      </c>
      <c r="D177" s="36">
        <v>255977.841935484</v>
      </c>
      <c r="E177" s="33">
        <v>4.3290322580645197</v>
      </c>
      <c r="F177" s="33">
        <v>3.54850774193548</v>
      </c>
      <c r="G177" s="2">
        <v>0.81969999999999998</v>
      </c>
      <c r="H177" s="2">
        <v>0.99</v>
      </c>
      <c r="I177" s="3">
        <v>14364.5</v>
      </c>
      <c r="J177" s="3">
        <v>14307</v>
      </c>
      <c r="K177" s="3">
        <v>30161.5</v>
      </c>
      <c r="L177" s="3">
        <v>37637</v>
      </c>
      <c r="M177" s="3">
        <v>32779</v>
      </c>
      <c r="N177" s="3">
        <v>129249</v>
      </c>
      <c r="O177" s="3">
        <v>181338.83</v>
      </c>
      <c r="P177" s="3">
        <v>52089.83</v>
      </c>
      <c r="Q177" s="3">
        <v>52089.83</v>
      </c>
      <c r="R177" s="3">
        <v>181338.83</v>
      </c>
      <c r="S177" s="3">
        <v>181338.83</v>
      </c>
      <c r="T177" s="3">
        <v>179888.11936000001</v>
      </c>
      <c r="U177" s="3">
        <v>3990</v>
      </c>
      <c r="V177" s="3">
        <v>4170</v>
      </c>
      <c r="W177" s="3">
        <v>3730</v>
      </c>
      <c r="X177" s="3">
        <v>4510</v>
      </c>
      <c r="Y177" s="3">
        <v>4780</v>
      </c>
      <c r="Z177" s="3">
        <v>19420</v>
      </c>
      <c r="AA177" s="3">
        <v>15340</v>
      </c>
      <c r="AB177" s="3">
        <v>16080</v>
      </c>
      <c r="AC177" s="3">
        <v>18460</v>
      </c>
      <c r="AD177" s="3">
        <v>16080</v>
      </c>
      <c r="AE177" s="3">
        <v>106560</v>
      </c>
      <c r="AF177" s="3">
        <v>158649.82999999999</v>
      </c>
      <c r="AG177" s="3">
        <v>1405.73</v>
      </c>
      <c r="AH177" s="40">
        <v>0.23</v>
      </c>
      <c r="AI177" s="40">
        <v>0.24</v>
      </c>
      <c r="AJ177" s="40">
        <v>0.25</v>
      </c>
      <c r="AK177" s="40">
        <v>0.23</v>
      </c>
      <c r="AL177" s="40">
        <v>0.24</v>
      </c>
      <c r="AM177" s="40">
        <v>0.97</v>
      </c>
      <c r="AN177" s="40">
        <v>0.88</v>
      </c>
      <c r="AO177" s="40">
        <v>0.92</v>
      </c>
      <c r="AP177" s="40">
        <v>0.92</v>
      </c>
      <c r="AQ177" s="40">
        <v>0.92</v>
      </c>
      <c r="AR177" s="31">
        <v>0.82445512150964395</v>
      </c>
      <c r="AS177" s="36">
        <v>2.5362074125874101</v>
      </c>
      <c r="AT177">
        <v>2.5099999999999998</v>
      </c>
      <c r="AU177">
        <v>2.56</v>
      </c>
      <c r="AW177">
        <v>2.56</v>
      </c>
      <c r="AX177">
        <v>2.5299999999999998</v>
      </c>
      <c r="AY177" s="6">
        <v>2.54</v>
      </c>
      <c r="AZ177" s="2">
        <v>0.58160000000000001</v>
      </c>
      <c r="BA177" s="2">
        <v>0.998506855349375</v>
      </c>
      <c r="BB177" s="2">
        <v>0.99199999999999999</v>
      </c>
      <c r="BC177">
        <v>71500</v>
      </c>
      <c r="BD177">
        <v>56992</v>
      </c>
      <c r="BE177">
        <v>20000</v>
      </c>
      <c r="BF177">
        <v>30030</v>
      </c>
      <c r="BG177" s="9" t="s">
        <v>132</v>
      </c>
    </row>
    <row r="178" spans="3:59" ht="409.5" x14ac:dyDescent="0.25">
      <c r="C178" s="1">
        <v>45798</v>
      </c>
      <c r="D178" s="36">
        <v>255977.841935484</v>
      </c>
      <c r="E178" s="33">
        <v>4.3290322580645197</v>
      </c>
      <c r="F178" s="33">
        <v>3.54850774193548</v>
      </c>
      <c r="G178" s="2">
        <v>0.81969999999999998</v>
      </c>
      <c r="H178" s="2">
        <v>0.99</v>
      </c>
      <c r="I178" s="3">
        <v>40469.5</v>
      </c>
      <c r="J178" s="3">
        <v>40488</v>
      </c>
      <c r="K178" s="3">
        <v>26074.5</v>
      </c>
      <c r="L178" s="3">
        <v>33322</v>
      </c>
      <c r="M178" s="3">
        <v>28285</v>
      </c>
      <c r="N178" s="3">
        <v>168639</v>
      </c>
      <c r="O178" s="3">
        <v>155066.5</v>
      </c>
      <c r="P178" s="3">
        <v>-13572.5</v>
      </c>
      <c r="Q178" s="3">
        <v>0</v>
      </c>
      <c r="R178" s="3">
        <v>168639</v>
      </c>
      <c r="S178" s="3">
        <v>168639</v>
      </c>
      <c r="T178" s="3">
        <v>153825.96799999999</v>
      </c>
      <c r="U178" s="3">
        <v>10000</v>
      </c>
      <c r="V178" s="3">
        <v>15280</v>
      </c>
      <c r="W178" s="3">
        <v>13400</v>
      </c>
      <c r="X178" s="3">
        <v>16280</v>
      </c>
      <c r="Y178" s="3">
        <v>13400</v>
      </c>
      <c r="Z178" s="3">
        <v>16280</v>
      </c>
      <c r="AA178" s="3">
        <v>16910</v>
      </c>
      <c r="AB178" s="3">
        <v>17860</v>
      </c>
      <c r="AC178" s="3">
        <v>13910</v>
      </c>
      <c r="AD178" s="3">
        <v>14760</v>
      </c>
      <c r="AE178" s="3">
        <v>148080</v>
      </c>
      <c r="AF178" s="3">
        <v>148080</v>
      </c>
      <c r="AG178" s="3">
        <v>1654.23</v>
      </c>
      <c r="AH178" s="40">
        <v>0.62</v>
      </c>
      <c r="AI178" s="40">
        <v>0.94</v>
      </c>
      <c r="AJ178" s="40">
        <v>0.93</v>
      </c>
      <c r="AK178" s="40">
        <v>0.91</v>
      </c>
      <c r="AL178" s="40">
        <v>0.94</v>
      </c>
      <c r="AM178" s="40">
        <v>0.99</v>
      </c>
      <c r="AN178" s="40">
        <v>0.89</v>
      </c>
      <c r="AO178" s="40">
        <v>0.95</v>
      </c>
      <c r="AP178" s="40">
        <v>0.95</v>
      </c>
      <c r="AQ178" s="40">
        <v>0.94</v>
      </c>
      <c r="AR178" s="31">
        <v>0.87808869834379899</v>
      </c>
      <c r="AS178" s="36">
        <v>2.35858741258741</v>
      </c>
      <c r="AT178">
        <v>2.25</v>
      </c>
      <c r="AU178">
        <v>2.35</v>
      </c>
      <c r="AW178">
        <v>2.36</v>
      </c>
      <c r="AX178">
        <v>2.4</v>
      </c>
      <c r="AY178" s="6">
        <v>2.34</v>
      </c>
      <c r="AZ178" s="2">
        <v>0.90559999999999996</v>
      </c>
      <c r="BA178" s="2">
        <v>1.00794333871257</v>
      </c>
      <c r="BB178" s="2">
        <v>0.99199999999999999</v>
      </c>
      <c r="BC178">
        <v>71500</v>
      </c>
      <c r="BD178">
        <v>56992</v>
      </c>
      <c r="BE178">
        <v>20000</v>
      </c>
      <c r="BF178">
        <v>30030</v>
      </c>
      <c r="BG178" s="9" t="s">
        <v>132</v>
      </c>
    </row>
    <row r="179" spans="3:59" ht="409.5" x14ac:dyDescent="0.25">
      <c r="C179" s="1">
        <v>45799</v>
      </c>
      <c r="D179" s="36">
        <v>255977.841935484</v>
      </c>
      <c r="E179" s="33">
        <v>4.3290322580645197</v>
      </c>
      <c r="F179" s="33">
        <v>3.54850774193548</v>
      </c>
      <c r="G179" s="2">
        <v>0.81969999999999998</v>
      </c>
      <c r="H179" s="2">
        <v>0.99</v>
      </c>
      <c r="I179" s="3">
        <v>51495.5</v>
      </c>
      <c r="J179" s="3">
        <v>51392</v>
      </c>
      <c r="K179" s="3">
        <v>44152</v>
      </c>
      <c r="L179" s="3">
        <v>48884</v>
      </c>
      <c r="M179" s="3">
        <v>42939</v>
      </c>
      <c r="N179" s="3">
        <v>238862.5</v>
      </c>
      <c r="O179" s="3">
        <v>256432.17</v>
      </c>
      <c r="P179" s="3">
        <v>17569.669999999998</v>
      </c>
      <c r="Q179" s="3">
        <v>17569.669999999998</v>
      </c>
      <c r="R179" s="3">
        <v>256432.17</v>
      </c>
      <c r="S179" s="3">
        <v>256432.17</v>
      </c>
      <c r="T179" s="3">
        <v>254380.71264000001</v>
      </c>
      <c r="U179" s="3">
        <v>25110</v>
      </c>
      <c r="V179" s="3">
        <v>26200</v>
      </c>
      <c r="W179" s="3">
        <v>18720</v>
      </c>
      <c r="X179" s="3">
        <v>20010</v>
      </c>
      <c r="Y179" s="3">
        <v>20500</v>
      </c>
      <c r="Z179" s="3">
        <v>32050</v>
      </c>
      <c r="AA179" s="3">
        <v>24810</v>
      </c>
      <c r="AB179" s="3">
        <v>26350</v>
      </c>
      <c r="AC179" s="3">
        <v>31480</v>
      </c>
      <c r="AD179" s="3">
        <v>23900</v>
      </c>
      <c r="AE179" s="3">
        <v>249130</v>
      </c>
      <c r="AF179" s="3">
        <v>266699.67</v>
      </c>
      <c r="AG179" s="3">
        <v>1444.74</v>
      </c>
      <c r="AH179" s="40">
        <v>0.75</v>
      </c>
      <c r="AI179" s="40">
        <v>0.78</v>
      </c>
      <c r="AJ179" s="40">
        <v>0.63</v>
      </c>
      <c r="AK179" s="40">
        <v>0.55000000000000004</v>
      </c>
      <c r="AL179" s="40">
        <v>0.57999999999999996</v>
      </c>
      <c r="AM179" s="40">
        <v>0.9</v>
      </c>
      <c r="AN179" s="40">
        <v>0.8</v>
      </c>
      <c r="AO179" s="40">
        <v>0.85</v>
      </c>
      <c r="AP179" s="40">
        <v>0.88</v>
      </c>
      <c r="AQ179" s="40">
        <v>0.77</v>
      </c>
      <c r="AR179" s="31">
        <v>1.0429849808990499</v>
      </c>
      <c r="AS179" s="36">
        <v>3.58646391608392</v>
      </c>
      <c r="AT179">
        <v>4.46</v>
      </c>
      <c r="AU179">
        <v>4.6100000000000003</v>
      </c>
      <c r="AW179">
        <v>4.75</v>
      </c>
      <c r="AX179">
        <v>4.95</v>
      </c>
      <c r="AY179" s="6">
        <v>4.6924999999999999</v>
      </c>
      <c r="AZ179" s="2">
        <v>0.75109999999999999</v>
      </c>
      <c r="BA179" s="2">
        <v>0.76429705190919905</v>
      </c>
      <c r="BB179" s="2">
        <v>0.99199999999999999</v>
      </c>
      <c r="BC179">
        <v>71500</v>
      </c>
      <c r="BD179">
        <v>56992</v>
      </c>
      <c r="BE179">
        <v>20000</v>
      </c>
      <c r="BF179">
        <v>30030</v>
      </c>
      <c r="BG179" s="9" t="s">
        <v>132</v>
      </c>
    </row>
    <row r="180" spans="3:59" ht="409.5" x14ac:dyDescent="0.25">
      <c r="C180" s="1">
        <v>45800</v>
      </c>
      <c r="D180" s="36">
        <v>255977.841935484</v>
      </c>
      <c r="E180" s="33">
        <v>4.3290322580645197</v>
      </c>
      <c r="F180" s="33">
        <v>3.54850774193548</v>
      </c>
      <c r="G180" s="2">
        <v>0.81969999999999998</v>
      </c>
      <c r="H180" s="2">
        <v>0.99</v>
      </c>
      <c r="I180" s="3">
        <v>65388</v>
      </c>
      <c r="J180" s="3">
        <v>65222.5</v>
      </c>
      <c r="K180" s="3">
        <v>51541.5</v>
      </c>
      <c r="L180" s="3">
        <v>56163.5</v>
      </c>
      <c r="M180" s="3">
        <v>48752</v>
      </c>
      <c r="N180" s="3">
        <v>287067.5</v>
      </c>
      <c r="O180" s="3">
        <v>294097.17</v>
      </c>
      <c r="P180" s="3">
        <v>7029.6699999999801</v>
      </c>
      <c r="Q180" s="3">
        <v>7029.6699999999801</v>
      </c>
      <c r="R180" s="3">
        <v>294097.17</v>
      </c>
      <c r="S180" s="3">
        <v>294097.17</v>
      </c>
      <c r="T180" s="3">
        <v>291744.39263999998</v>
      </c>
      <c r="U180" s="3">
        <v>25700</v>
      </c>
      <c r="V180" s="3">
        <v>27370</v>
      </c>
      <c r="W180" s="3">
        <v>21810</v>
      </c>
      <c r="X180" s="3">
        <v>24010</v>
      </c>
      <c r="Y180" s="3">
        <v>24580</v>
      </c>
      <c r="Z180" s="3">
        <v>33120</v>
      </c>
      <c r="AA180" s="3">
        <v>25890</v>
      </c>
      <c r="AB180" s="3">
        <v>27540</v>
      </c>
      <c r="AC180" s="3">
        <v>30120</v>
      </c>
      <c r="AD180" s="3">
        <v>26580</v>
      </c>
      <c r="AE180" s="3">
        <v>266720</v>
      </c>
      <c r="AF180" s="3">
        <v>273749.67</v>
      </c>
      <c r="AG180" s="3">
        <v>1453.24</v>
      </c>
      <c r="AH180" s="40">
        <v>0.82779999999999998</v>
      </c>
      <c r="AI180" s="40">
        <v>0.88139999999999996</v>
      </c>
      <c r="AJ180" s="40">
        <v>0.7903</v>
      </c>
      <c r="AK180" s="40">
        <v>0.86499999999999999</v>
      </c>
      <c r="AL180" s="40">
        <v>0.70599999999999996</v>
      </c>
      <c r="AM180" s="40">
        <v>0.9627</v>
      </c>
      <c r="AN180" s="40">
        <v>0.86880000000000002</v>
      </c>
      <c r="AO180" s="40">
        <v>0.92420000000000002</v>
      </c>
      <c r="AP180" s="40">
        <v>0.87560000000000004</v>
      </c>
      <c r="AQ180" s="40">
        <v>0.8921</v>
      </c>
      <c r="AR180" s="31">
        <v>0.92911945796720297</v>
      </c>
      <c r="AS180" s="36">
        <v>4.1132471328671301</v>
      </c>
      <c r="AT180">
        <v>4.3</v>
      </c>
      <c r="AU180">
        <v>4.57</v>
      </c>
      <c r="AW180">
        <v>4.5999999999999996</v>
      </c>
      <c r="AX180">
        <v>4.5999999999999996</v>
      </c>
      <c r="AY180" s="6">
        <v>4.5175000000000001</v>
      </c>
      <c r="AZ180" s="2">
        <v>0.84140000000000004</v>
      </c>
      <c r="BA180" s="2">
        <v>0.91051403051845803</v>
      </c>
      <c r="BB180" s="2">
        <v>0.99199999999999999</v>
      </c>
      <c r="BC180">
        <v>71500</v>
      </c>
      <c r="BD180">
        <v>56992</v>
      </c>
      <c r="BE180">
        <v>20000</v>
      </c>
      <c r="BF180">
        <v>30030</v>
      </c>
      <c r="BG180" s="9" t="s">
        <v>132</v>
      </c>
    </row>
    <row r="181" spans="3:59" ht="409.5" x14ac:dyDescent="0.25">
      <c r="C181" s="1">
        <v>45801</v>
      </c>
      <c r="D181" s="36">
        <v>255977.841935484</v>
      </c>
      <c r="E181" s="33">
        <v>4.3290322580645197</v>
      </c>
      <c r="F181" s="33">
        <v>3.54850774193548</v>
      </c>
      <c r="G181" s="2">
        <v>0.81969999999999998</v>
      </c>
      <c r="H181" s="2">
        <v>0.99</v>
      </c>
      <c r="I181" s="3">
        <v>59719</v>
      </c>
      <c r="J181" s="3">
        <v>59617</v>
      </c>
      <c r="K181" s="3">
        <v>48723</v>
      </c>
      <c r="L181" s="3">
        <v>52848.5</v>
      </c>
      <c r="M181" s="3">
        <v>38404</v>
      </c>
      <c r="N181" s="3">
        <v>259311.5</v>
      </c>
      <c r="O181" s="3">
        <v>276428.83</v>
      </c>
      <c r="P181" s="3">
        <v>17117.330000000002</v>
      </c>
      <c r="Q181" s="3">
        <v>17117.330000000002</v>
      </c>
      <c r="R181" s="3">
        <v>276428.83</v>
      </c>
      <c r="S181" s="3">
        <v>276428.83</v>
      </c>
      <c r="T181" s="3">
        <v>274217.39935999998</v>
      </c>
      <c r="U181" s="3">
        <v>23990</v>
      </c>
      <c r="V181" s="3">
        <v>24760</v>
      </c>
      <c r="W181" s="3">
        <v>19400</v>
      </c>
      <c r="X181" s="3">
        <v>21030</v>
      </c>
      <c r="Y181" s="3">
        <v>21920</v>
      </c>
      <c r="Z181" s="3">
        <v>29810</v>
      </c>
      <c r="AA181" s="3">
        <v>23560</v>
      </c>
      <c r="AB181" s="3">
        <v>25670</v>
      </c>
      <c r="AC181" s="3">
        <v>29810</v>
      </c>
      <c r="AD181" s="3">
        <v>24580</v>
      </c>
      <c r="AE181" s="3">
        <v>244530</v>
      </c>
      <c r="AF181" s="3">
        <v>261647.33</v>
      </c>
      <c r="AG181" s="3">
        <v>1575.97</v>
      </c>
      <c r="AH181" s="40">
        <v>0.80589999999999995</v>
      </c>
      <c r="AI181" s="40">
        <v>0.83169999999999999</v>
      </c>
      <c r="AJ181" s="40">
        <v>0.73299999999999998</v>
      </c>
      <c r="AK181" s="40">
        <v>0.65080000000000005</v>
      </c>
      <c r="AL181" s="40">
        <v>0.66749999999999998</v>
      </c>
      <c r="AM181" s="40">
        <v>0.88919999999999999</v>
      </c>
      <c r="AN181" s="40">
        <v>0.81130000000000002</v>
      </c>
      <c r="AO181" s="40">
        <v>0.88419999999999999</v>
      </c>
      <c r="AP181" s="40">
        <v>0.88929999999999998</v>
      </c>
      <c r="AQ181" s="40">
        <v>0.84660000000000002</v>
      </c>
      <c r="AR181" s="31">
        <v>0.94299712893566201</v>
      </c>
      <c r="AS181" s="36">
        <v>3.8661374825174799</v>
      </c>
      <c r="AT181">
        <v>4.1900000000000004</v>
      </c>
      <c r="AU181">
        <v>4.3099999999999996</v>
      </c>
      <c r="AW181">
        <v>4.24</v>
      </c>
      <c r="AX181">
        <v>4.41</v>
      </c>
      <c r="AY181" s="6">
        <v>4.2874999999999996</v>
      </c>
      <c r="AZ181" s="2">
        <v>0.80089999999999995</v>
      </c>
      <c r="BA181" s="2">
        <v>0.90172302799241599</v>
      </c>
      <c r="BB181" s="2">
        <v>0.99199999999999999</v>
      </c>
      <c r="BC181">
        <v>71500</v>
      </c>
      <c r="BD181">
        <v>56992</v>
      </c>
      <c r="BE181">
        <v>20000</v>
      </c>
      <c r="BF181">
        <v>30030</v>
      </c>
      <c r="BG181" s="9" t="s">
        <v>132</v>
      </c>
    </row>
    <row r="182" spans="3:59" ht="409.5" x14ac:dyDescent="0.25">
      <c r="C182" s="1">
        <v>45802</v>
      </c>
      <c r="D182" s="36">
        <v>255977.841935484</v>
      </c>
      <c r="E182" s="33">
        <v>4.3290322580645197</v>
      </c>
      <c r="F182" s="33">
        <v>3.54850774193548</v>
      </c>
      <c r="G182" s="2">
        <v>0.81969999999999998</v>
      </c>
      <c r="H182" s="2">
        <v>0.99</v>
      </c>
      <c r="I182" s="3">
        <v>66150</v>
      </c>
      <c r="J182" s="3">
        <v>66098.5</v>
      </c>
      <c r="K182" s="3">
        <v>58730.5</v>
      </c>
      <c r="L182" s="3">
        <v>62174.5</v>
      </c>
      <c r="M182" s="3">
        <v>65920</v>
      </c>
      <c r="N182" s="3">
        <v>319073.5</v>
      </c>
      <c r="O182" s="3">
        <v>338642.83</v>
      </c>
      <c r="P182" s="3">
        <v>19569.330000000002</v>
      </c>
      <c r="Q182" s="3">
        <v>19569.330000000002</v>
      </c>
      <c r="R182" s="3">
        <v>338642.83</v>
      </c>
      <c r="S182" s="3">
        <v>338642.83</v>
      </c>
      <c r="T182" s="3">
        <v>335933.68735999998</v>
      </c>
      <c r="U182" s="3">
        <v>30870</v>
      </c>
      <c r="V182" s="3">
        <v>32370</v>
      </c>
      <c r="W182" s="3">
        <v>23210</v>
      </c>
      <c r="X182" s="3">
        <v>24500</v>
      </c>
      <c r="Y182" s="3">
        <v>25300</v>
      </c>
      <c r="Z182" s="3">
        <v>40900</v>
      </c>
      <c r="AA182" s="3">
        <v>31410</v>
      </c>
      <c r="AB182" s="3">
        <v>34520</v>
      </c>
      <c r="AC182" s="3">
        <v>39970</v>
      </c>
      <c r="AD182" s="3">
        <v>33300</v>
      </c>
      <c r="AE182" s="3">
        <v>316350</v>
      </c>
      <c r="AF182" s="3">
        <v>335919.33</v>
      </c>
      <c r="AG182" s="3">
        <v>1480.56</v>
      </c>
      <c r="AH182" s="40">
        <v>0.77380000000000004</v>
      </c>
      <c r="AI182" s="40">
        <v>0.81140000000000001</v>
      </c>
      <c r="AJ182" s="40">
        <v>0.65449999999999997</v>
      </c>
      <c r="AK182" s="40">
        <v>0.55059999999999998</v>
      </c>
      <c r="AL182" s="40">
        <v>0.58660000000000001</v>
      </c>
      <c r="AM182" s="40">
        <v>0.90329999999999999</v>
      </c>
      <c r="AN182" s="40">
        <v>0.80079999999999996</v>
      </c>
      <c r="AO182" s="40">
        <v>0.88009999999999999</v>
      </c>
      <c r="AP182" s="40">
        <v>0.88270000000000004</v>
      </c>
      <c r="AQ182" s="40">
        <v>0.84899999999999998</v>
      </c>
      <c r="AR182" s="31">
        <v>0.99146434912332104</v>
      </c>
      <c r="AS182" s="36">
        <v>4.7362633566433603</v>
      </c>
      <c r="AT182">
        <v>5.66</v>
      </c>
      <c r="AU182">
        <v>5.66</v>
      </c>
      <c r="AW182">
        <v>5.84</v>
      </c>
      <c r="AX182">
        <v>5.91</v>
      </c>
      <c r="AY182" s="6">
        <v>5.7675000000000001</v>
      </c>
      <c r="AZ182" s="2">
        <v>0.76929999999999998</v>
      </c>
      <c r="BA182" s="2">
        <v>0.82119867475394104</v>
      </c>
      <c r="BB182" s="2">
        <v>0.99199999999999999</v>
      </c>
      <c r="BC182">
        <v>71500</v>
      </c>
      <c r="BD182">
        <v>56992</v>
      </c>
      <c r="BE182">
        <v>22000</v>
      </c>
      <c r="BF182">
        <v>30030</v>
      </c>
      <c r="BG182" s="9" t="s">
        <v>132</v>
      </c>
    </row>
    <row r="183" spans="3:59" ht="409.5" x14ac:dyDescent="0.25">
      <c r="C183" s="1">
        <v>45803</v>
      </c>
      <c r="D183" s="36">
        <v>255977.841935484</v>
      </c>
      <c r="E183" s="33">
        <v>4.3290322580645197</v>
      </c>
      <c r="F183" s="33">
        <v>3.54850774193548</v>
      </c>
      <c r="G183" s="2">
        <v>0.81969999999999998</v>
      </c>
      <c r="H183" s="2">
        <v>0.99</v>
      </c>
      <c r="I183" s="3">
        <v>48120</v>
      </c>
      <c r="J183" s="3">
        <v>47894</v>
      </c>
      <c r="K183" s="3">
        <v>38229.5</v>
      </c>
      <c r="L183" s="3">
        <v>43882</v>
      </c>
      <c r="M183" s="3">
        <v>38631</v>
      </c>
      <c r="N183" s="3">
        <v>216756.5</v>
      </c>
      <c r="O183" s="3">
        <v>230750.33</v>
      </c>
      <c r="P183" s="3">
        <v>13993.83</v>
      </c>
      <c r="Q183" s="3">
        <v>13993.83</v>
      </c>
      <c r="R183" s="3">
        <v>230750.33</v>
      </c>
      <c r="S183" s="3">
        <v>230750.33</v>
      </c>
      <c r="T183" s="3">
        <v>228904.32736</v>
      </c>
      <c r="U183" s="3">
        <v>29560</v>
      </c>
      <c r="V183" s="3">
        <v>29560</v>
      </c>
      <c r="W183" s="3">
        <v>24710</v>
      </c>
      <c r="X183" s="3">
        <v>25980</v>
      </c>
      <c r="Y183" s="3">
        <v>27530</v>
      </c>
      <c r="Z183" s="3">
        <v>35220</v>
      </c>
      <c r="AA183" s="3">
        <v>28720</v>
      </c>
      <c r="AB183" s="3">
        <v>29940</v>
      </c>
      <c r="AC183" s="3">
        <v>36210</v>
      </c>
      <c r="AD183" s="3">
        <v>29140</v>
      </c>
      <c r="AE183" s="3">
        <v>296570</v>
      </c>
      <c r="AF183" s="3">
        <v>310563.83</v>
      </c>
      <c r="AG183" s="3">
        <v>1569.21</v>
      </c>
      <c r="AH183" s="40">
        <v>0.80049999999999999</v>
      </c>
      <c r="AI183" s="40">
        <v>0.80049999999999999</v>
      </c>
      <c r="AJ183" s="40">
        <v>0.753</v>
      </c>
      <c r="AK183" s="40">
        <v>0.67120000000000002</v>
      </c>
      <c r="AL183" s="40">
        <v>0.69620000000000004</v>
      </c>
      <c r="AM183" s="40">
        <v>0.85150000000000003</v>
      </c>
      <c r="AN183" s="40">
        <v>0.80159999999999998</v>
      </c>
      <c r="AO183" s="40">
        <v>0.83560000000000001</v>
      </c>
      <c r="AP183" s="40">
        <v>0.87560000000000004</v>
      </c>
      <c r="AQ183" s="40">
        <v>0.81330000000000002</v>
      </c>
      <c r="AR183" s="31">
        <v>1.3682173314295101</v>
      </c>
      <c r="AS183" s="36">
        <v>3.2272773426573398</v>
      </c>
      <c r="AT183">
        <v>5.17</v>
      </c>
      <c r="AU183">
        <v>5.19</v>
      </c>
      <c r="AW183">
        <v>5.08</v>
      </c>
      <c r="AX183">
        <v>5.47</v>
      </c>
      <c r="AY183" s="6">
        <v>5.2275</v>
      </c>
      <c r="AZ183" s="2">
        <v>0.78990000000000005</v>
      </c>
      <c r="BA183" s="2">
        <v>0.61736534531943399</v>
      </c>
      <c r="BB183" s="2">
        <v>0.99199999999999999</v>
      </c>
      <c r="BC183">
        <v>71500</v>
      </c>
      <c r="BD183">
        <v>56992</v>
      </c>
      <c r="BE183">
        <v>22000</v>
      </c>
      <c r="BF183">
        <v>30030</v>
      </c>
      <c r="BG183" s="9" t="s">
        <v>133</v>
      </c>
    </row>
    <row r="184" spans="3:59" ht="409.5" x14ac:dyDescent="0.25">
      <c r="C184" s="1">
        <v>45804</v>
      </c>
      <c r="D184" s="36">
        <v>255977.841935484</v>
      </c>
      <c r="E184" s="33">
        <v>4.3290322580645197</v>
      </c>
      <c r="F184" s="33">
        <v>3.54850774193548</v>
      </c>
      <c r="G184" s="2">
        <v>0.81969999999999998</v>
      </c>
      <c r="H184" s="2">
        <v>0.99</v>
      </c>
      <c r="I184" s="3">
        <v>26437.5</v>
      </c>
      <c r="J184" s="3">
        <v>26526</v>
      </c>
      <c r="K184" s="3">
        <v>16267.5</v>
      </c>
      <c r="L184" s="3">
        <v>23097.5</v>
      </c>
      <c r="M184" s="3">
        <v>19197</v>
      </c>
      <c r="N184" s="3">
        <v>111525.5</v>
      </c>
      <c r="O184" s="3">
        <v>102893.17</v>
      </c>
      <c r="P184" s="3">
        <v>-8632.33</v>
      </c>
      <c r="Q184" s="3">
        <v>0</v>
      </c>
      <c r="R184" s="3">
        <v>111525.5</v>
      </c>
      <c r="S184" s="3">
        <v>111525.5</v>
      </c>
      <c r="T184" s="3">
        <v>102070.02464</v>
      </c>
      <c r="U184" s="3">
        <v>5310</v>
      </c>
      <c r="V184" s="3">
        <v>5590</v>
      </c>
      <c r="W184" s="3">
        <v>5000</v>
      </c>
      <c r="X184" s="3">
        <v>6190</v>
      </c>
      <c r="Y184" s="3">
        <v>6530</v>
      </c>
      <c r="Z184" s="3">
        <v>6570</v>
      </c>
      <c r="AA184" s="3">
        <v>5300</v>
      </c>
      <c r="AB184" s="3">
        <v>5710</v>
      </c>
      <c r="AC184" s="3">
        <v>6400</v>
      </c>
      <c r="AD184" s="3">
        <v>5530</v>
      </c>
      <c r="AE184" s="3">
        <v>58130</v>
      </c>
      <c r="AF184" s="3">
        <v>58130</v>
      </c>
      <c r="AG184" s="3">
        <v>1568.59</v>
      </c>
      <c r="AH184" s="40">
        <v>0.89359999999999995</v>
      </c>
      <c r="AI184" s="40">
        <v>0.94059999999999999</v>
      </c>
      <c r="AJ184" s="40">
        <v>0.94769999999999999</v>
      </c>
      <c r="AK184" s="40">
        <v>0.93400000000000005</v>
      </c>
      <c r="AL184" s="40">
        <v>0.98550000000000004</v>
      </c>
      <c r="AM184" s="40">
        <v>0.95550000000000002</v>
      </c>
      <c r="AN184" s="40">
        <v>0.88949999999999996</v>
      </c>
      <c r="AO184" s="40">
        <v>0.95789999999999997</v>
      </c>
      <c r="AP184" s="40">
        <v>0.93020000000000003</v>
      </c>
      <c r="AQ184" s="40">
        <v>0.9284</v>
      </c>
      <c r="AR184" s="31">
        <v>0.52122608730738695</v>
      </c>
      <c r="AS184" s="36">
        <v>1.5597972027972</v>
      </c>
      <c r="AT184">
        <v>0.86</v>
      </c>
      <c r="AU184">
        <v>0.87</v>
      </c>
      <c r="AW184">
        <v>0.87</v>
      </c>
      <c r="AX184">
        <v>0.88</v>
      </c>
      <c r="AY184" s="6">
        <v>0.87</v>
      </c>
      <c r="AZ184" s="2">
        <v>0.93630000000000002</v>
      </c>
      <c r="BA184" s="2">
        <v>1.7928703480427599</v>
      </c>
      <c r="BB184" s="2">
        <v>0.99199999999999999</v>
      </c>
      <c r="BC184">
        <v>71500</v>
      </c>
      <c r="BD184">
        <v>56992</v>
      </c>
      <c r="BE184">
        <v>22000</v>
      </c>
      <c r="BF184">
        <v>30030</v>
      </c>
      <c r="BG184" s="9" t="s">
        <v>133</v>
      </c>
    </row>
    <row r="185" spans="3:59" ht="409.5" x14ac:dyDescent="0.25">
      <c r="C185" s="1">
        <v>45805</v>
      </c>
      <c r="D185" s="36">
        <v>255977.841935484</v>
      </c>
      <c r="E185" s="33">
        <v>4.3290322580645197</v>
      </c>
      <c r="F185" s="33">
        <v>3.54850774193548</v>
      </c>
      <c r="G185" s="2">
        <v>0.81969999999999998</v>
      </c>
      <c r="H185" s="2">
        <v>0.99</v>
      </c>
      <c r="I185" s="3">
        <v>77997.5</v>
      </c>
      <c r="J185" s="3">
        <v>77868</v>
      </c>
      <c r="K185" s="3">
        <v>50743</v>
      </c>
      <c r="L185" s="3">
        <v>58481.5</v>
      </c>
      <c r="M185" s="3">
        <v>45593</v>
      </c>
      <c r="N185" s="3">
        <v>310683</v>
      </c>
      <c r="O185" s="3">
        <v>366832</v>
      </c>
      <c r="P185" s="3">
        <v>56149</v>
      </c>
      <c r="Q185" s="3">
        <v>56149</v>
      </c>
      <c r="R185" s="3">
        <v>366832</v>
      </c>
      <c r="S185" s="3">
        <v>366832</v>
      </c>
      <c r="T185" s="3">
        <v>363897.34399999998</v>
      </c>
      <c r="U185" s="3">
        <v>29230</v>
      </c>
      <c r="V185" s="3">
        <v>30820</v>
      </c>
      <c r="W185" s="3">
        <v>25430</v>
      </c>
      <c r="X185" s="3">
        <v>28350</v>
      </c>
      <c r="Y185" s="3">
        <v>28940</v>
      </c>
      <c r="Z185" s="3">
        <v>39140</v>
      </c>
      <c r="AA185" s="3">
        <v>31260</v>
      </c>
      <c r="AB185" s="3">
        <v>33070</v>
      </c>
      <c r="AC185" s="3">
        <v>36940</v>
      </c>
      <c r="AD185" s="3">
        <v>32280</v>
      </c>
      <c r="AE185" s="3">
        <v>315460</v>
      </c>
      <c r="AF185" s="3">
        <v>371609</v>
      </c>
      <c r="AG185" s="3">
        <v>1314.15</v>
      </c>
      <c r="AH185" s="40">
        <v>0.71579999999999999</v>
      </c>
      <c r="AI185" s="40">
        <v>0.75470000000000004</v>
      </c>
      <c r="AJ185" s="40">
        <v>0.70040000000000002</v>
      </c>
      <c r="AK185" s="40">
        <v>0.67030000000000001</v>
      </c>
      <c r="AL185" s="40">
        <v>0.67449999999999999</v>
      </c>
      <c r="AM185" s="40">
        <v>0.88319999999999999</v>
      </c>
      <c r="AN185" s="40">
        <v>0.81430000000000002</v>
      </c>
      <c r="AO185" s="40">
        <v>0.86150000000000004</v>
      </c>
      <c r="AP185" s="40">
        <v>0.83350000000000002</v>
      </c>
      <c r="AQ185" s="40">
        <v>0.84079999999999999</v>
      </c>
      <c r="AR185" s="31">
        <v>1.0153758010576699</v>
      </c>
      <c r="AS185" s="36">
        <v>5.1305174825174804</v>
      </c>
      <c r="AT185">
        <v>5.54</v>
      </c>
      <c r="AU185">
        <v>5.64</v>
      </c>
      <c r="AW185">
        <v>5.55</v>
      </c>
      <c r="AX185">
        <v>6.05</v>
      </c>
      <c r="AY185" s="6">
        <v>5.6950000000000003</v>
      </c>
      <c r="AZ185" s="2">
        <v>0.77490000000000003</v>
      </c>
      <c r="BA185" s="2">
        <v>0.90088103292668698</v>
      </c>
      <c r="BB185" s="2">
        <v>0.99199999999999999</v>
      </c>
      <c r="BC185">
        <v>71500</v>
      </c>
      <c r="BD185">
        <v>56992</v>
      </c>
      <c r="BE185">
        <v>22000</v>
      </c>
      <c r="BF185">
        <v>22730</v>
      </c>
      <c r="BG185" s="9" t="s">
        <v>133</v>
      </c>
    </row>
    <row r="186" spans="3:59" ht="409.5" x14ac:dyDescent="0.25">
      <c r="C186" s="1">
        <v>45806</v>
      </c>
      <c r="D186" s="36">
        <v>255977.841935484</v>
      </c>
      <c r="E186" s="33">
        <v>4.3290322580645197</v>
      </c>
      <c r="F186" s="33">
        <v>3.54850774193548</v>
      </c>
      <c r="G186" s="2">
        <v>0.81969999999999998</v>
      </c>
      <c r="H186" s="2">
        <v>0.99</v>
      </c>
      <c r="I186" s="3">
        <v>64419</v>
      </c>
      <c r="J186" s="3">
        <v>64295</v>
      </c>
      <c r="K186" s="3">
        <v>44201</v>
      </c>
      <c r="L186" s="3">
        <v>54168.5</v>
      </c>
      <c r="M186" s="3">
        <v>47298</v>
      </c>
      <c r="N186" s="3">
        <v>274381.5</v>
      </c>
      <c r="O186" s="3">
        <v>301348.5</v>
      </c>
      <c r="P186" s="3">
        <v>26967</v>
      </c>
      <c r="Q186" s="3">
        <v>26967</v>
      </c>
      <c r="R186" s="3">
        <v>301348.5</v>
      </c>
      <c r="S186" s="3">
        <v>301348.5</v>
      </c>
      <c r="T186" s="3">
        <v>298937.712</v>
      </c>
      <c r="U186" s="3">
        <v>27670</v>
      </c>
      <c r="V186" s="3">
        <v>28150</v>
      </c>
      <c r="W186" s="3">
        <v>24280</v>
      </c>
      <c r="X186" s="3">
        <v>26160</v>
      </c>
      <c r="Y186" s="3">
        <v>27480</v>
      </c>
      <c r="Z186" s="3">
        <v>24200</v>
      </c>
      <c r="AA186" s="3">
        <v>19560</v>
      </c>
      <c r="AB186" s="3">
        <v>20460</v>
      </c>
      <c r="AC186" s="3">
        <v>23700</v>
      </c>
      <c r="AD186" s="3">
        <v>19750</v>
      </c>
      <c r="AE186" s="3">
        <v>241410</v>
      </c>
      <c r="AF186" s="3">
        <v>268377</v>
      </c>
      <c r="AG186" s="3">
        <v>1614.16</v>
      </c>
      <c r="AH186" s="40">
        <v>0.74660000000000004</v>
      </c>
      <c r="AI186" s="40">
        <v>0.75949999999999995</v>
      </c>
      <c r="AJ186" s="40">
        <v>0.73719999999999997</v>
      </c>
      <c r="AK186" s="40">
        <v>0.68389999999999995</v>
      </c>
      <c r="AL186" s="40">
        <v>0.71689999999999998</v>
      </c>
      <c r="AM186" s="40">
        <v>0.62250000000000005</v>
      </c>
      <c r="AN186" s="40">
        <v>0.5806</v>
      </c>
      <c r="AO186" s="40">
        <v>0.60740000000000005</v>
      </c>
      <c r="AP186" s="40">
        <v>0.60960000000000003</v>
      </c>
      <c r="AQ186" s="40">
        <v>0.58640000000000003</v>
      </c>
      <c r="AR186" s="31">
        <v>0.87983337069007905</v>
      </c>
      <c r="AS186" s="36">
        <v>4.2146643356643398</v>
      </c>
      <c r="AT186">
        <v>4.8600000000000003</v>
      </c>
      <c r="AU186">
        <v>5.03</v>
      </c>
      <c r="AW186">
        <v>5.0199999999999996</v>
      </c>
      <c r="AX186">
        <v>5.49</v>
      </c>
      <c r="AY186" s="6">
        <v>5.0999999999999996</v>
      </c>
      <c r="AZ186" s="2">
        <v>0.66510000000000002</v>
      </c>
      <c r="BA186" s="2">
        <v>0.82640477169888904</v>
      </c>
      <c r="BB186" s="2">
        <v>0.99199999999999999</v>
      </c>
      <c r="BC186">
        <v>71500</v>
      </c>
      <c r="BD186">
        <v>56992</v>
      </c>
      <c r="BE186">
        <v>22000</v>
      </c>
      <c r="BF186">
        <v>30030</v>
      </c>
      <c r="BG186" s="9" t="s">
        <v>134</v>
      </c>
    </row>
    <row r="187" spans="3:59" ht="409.5" x14ac:dyDescent="0.25">
      <c r="C187" s="1">
        <v>45807</v>
      </c>
      <c r="D187" s="36">
        <v>255977.841935484</v>
      </c>
      <c r="E187" s="33">
        <v>4.3290322580645197</v>
      </c>
      <c r="F187" s="33">
        <v>3.54850774193548</v>
      </c>
      <c r="G187" s="2">
        <v>0.81969999999999998</v>
      </c>
      <c r="H187" s="2">
        <v>0.99</v>
      </c>
      <c r="I187" s="3">
        <v>63229.5</v>
      </c>
      <c r="J187" s="3">
        <v>63054.5</v>
      </c>
      <c r="K187" s="3">
        <v>47839.5</v>
      </c>
      <c r="L187" s="3">
        <v>52513.5</v>
      </c>
      <c r="M187" s="3">
        <v>43902</v>
      </c>
      <c r="N187" s="3">
        <v>270539</v>
      </c>
      <c r="O187" s="3">
        <v>292809.83</v>
      </c>
      <c r="P187" s="3">
        <v>22270.83</v>
      </c>
      <c r="Q187" s="3">
        <v>22270.83</v>
      </c>
      <c r="R187" s="3">
        <v>292809.83</v>
      </c>
      <c r="S187" s="3">
        <v>292809.83</v>
      </c>
      <c r="T187" s="3">
        <v>291345.78084999998</v>
      </c>
      <c r="U187" s="3">
        <v>29150</v>
      </c>
      <c r="V187" s="3">
        <v>29530</v>
      </c>
      <c r="W187" s="3">
        <v>24540</v>
      </c>
      <c r="X187" s="3">
        <v>25820</v>
      </c>
      <c r="Y187" s="3">
        <v>27380</v>
      </c>
      <c r="Z187" s="3">
        <v>36900</v>
      </c>
      <c r="AA187" s="3">
        <v>29280</v>
      </c>
      <c r="AB187" s="3">
        <v>31480</v>
      </c>
      <c r="AC187" s="3">
        <v>36710</v>
      </c>
      <c r="AD187" s="3">
        <v>30060</v>
      </c>
      <c r="AE187" s="3">
        <v>300850</v>
      </c>
      <c r="AF187" s="3">
        <v>323120.83</v>
      </c>
      <c r="AG187" s="3">
        <v>1345.33</v>
      </c>
      <c r="AH187" s="40">
        <v>0.77390000000000003</v>
      </c>
      <c r="AI187" s="40">
        <v>0.78390000000000004</v>
      </c>
      <c r="AJ187" s="40">
        <v>0.7329</v>
      </c>
      <c r="AK187" s="40">
        <v>0.65910000000000002</v>
      </c>
      <c r="AL187" s="40">
        <v>0.67789999999999995</v>
      </c>
      <c r="AM187" s="40">
        <v>0.87350000000000005</v>
      </c>
      <c r="AN187" s="40">
        <v>0.80030000000000001</v>
      </c>
      <c r="AO187" s="40">
        <v>0.86040000000000005</v>
      </c>
      <c r="AP187" s="40">
        <v>0.86899999999999999</v>
      </c>
      <c r="AQ187" s="40">
        <v>0.82150000000000001</v>
      </c>
      <c r="AR187" s="31">
        <v>1.1120392993246799</v>
      </c>
      <c r="AS187" s="36">
        <v>4.0952423776223803</v>
      </c>
      <c r="AT187">
        <v>5.28</v>
      </c>
      <c r="AU187">
        <v>5.3</v>
      </c>
      <c r="AW187">
        <v>5.14</v>
      </c>
      <c r="AX187">
        <v>5.58</v>
      </c>
      <c r="AY187" s="6">
        <v>5.3250000000000002</v>
      </c>
      <c r="AZ187" s="2">
        <v>0.78520000000000001</v>
      </c>
      <c r="BA187" s="2">
        <v>0.76905960143143204</v>
      </c>
      <c r="BB187" s="2">
        <v>0.995</v>
      </c>
      <c r="BC187">
        <v>71500</v>
      </c>
      <c r="BD187">
        <v>56992</v>
      </c>
      <c r="BE187">
        <v>22000</v>
      </c>
      <c r="BF187">
        <v>30030</v>
      </c>
      <c r="BG187" s="9" t="s">
        <v>133</v>
      </c>
    </row>
    <row r="188" spans="3:59" ht="409.5" x14ac:dyDescent="0.25">
      <c r="C188" s="1">
        <v>45808</v>
      </c>
      <c r="D188" s="36">
        <v>255977.841935484</v>
      </c>
      <c r="E188" s="33">
        <v>4.3290322580645197</v>
      </c>
      <c r="F188" s="33">
        <v>3.54850774193548</v>
      </c>
      <c r="G188" s="2">
        <v>0.81969999999999998</v>
      </c>
      <c r="H188" s="2">
        <v>0.99</v>
      </c>
      <c r="I188" s="3">
        <v>43605.27</v>
      </c>
      <c r="J188" s="3">
        <v>43480.480000000003</v>
      </c>
      <c r="K188" s="3">
        <v>33776.19</v>
      </c>
      <c r="L188" s="3">
        <v>38703.1</v>
      </c>
      <c r="M188" s="3">
        <v>30149</v>
      </c>
      <c r="N188" s="3">
        <v>189714.04</v>
      </c>
      <c r="O188" s="3">
        <v>191400.5</v>
      </c>
      <c r="P188" s="3">
        <v>1686.45999999999</v>
      </c>
      <c r="Q188" s="3">
        <v>1686.45999999999</v>
      </c>
      <c r="R188" s="3">
        <v>191400.5</v>
      </c>
      <c r="S188" s="3">
        <v>191400.5</v>
      </c>
      <c r="T188" s="3">
        <v>190443.4975</v>
      </c>
      <c r="U188" s="3">
        <v>21660</v>
      </c>
      <c r="V188" s="3">
        <v>22880</v>
      </c>
      <c r="W188" s="3">
        <v>19600</v>
      </c>
      <c r="X188" s="3">
        <v>22490</v>
      </c>
      <c r="Y188" s="3">
        <v>23410</v>
      </c>
      <c r="Z188" s="3">
        <v>27780</v>
      </c>
      <c r="AA188" s="3">
        <v>21540</v>
      </c>
      <c r="AB188" s="3">
        <v>23250</v>
      </c>
      <c r="AC188" s="3">
        <v>26570</v>
      </c>
      <c r="AD188" s="3">
        <v>23660</v>
      </c>
      <c r="AE188" s="3">
        <v>232840</v>
      </c>
      <c r="AF188" s="3">
        <v>234526.46</v>
      </c>
      <c r="AG188" s="3">
        <v>1515.67</v>
      </c>
      <c r="AH188" s="40">
        <v>0.79039999999999999</v>
      </c>
      <c r="AI188" s="40">
        <v>0.83479999999999999</v>
      </c>
      <c r="AJ188" s="40">
        <v>0.80479999999999996</v>
      </c>
      <c r="AK188" s="40">
        <v>0.75490000000000002</v>
      </c>
      <c r="AL188" s="40">
        <v>0.79790000000000005</v>
      </c>
      <c r="AM188" s="40">
        <v>0.92579999999999996</v>
      </c>
      <c r="AN188" s="40">
        <v>0.82869999999999999</v>
      </c>
      <c r="AO188" s="40">
        <v>0.89470000000000005</v>
      </c>
      <c r="AP188" s="40">
        <v>0.88570000000000004</v>
      </c>
      <c r="AQ188" s="40">
        <v>0.91059999999999997</v>
      </c>
      <c r="AR188" s="31">
        <v>1.22732086671076</v>
      </c>
      <c r="AS188" s="36">
        <v>2.6769300699300702</v>
      </c>
      <c r="AT188">
        <v>3.75</v>
      </c>
      <c r="AU188">
        <v>3.85</v>
      </c>
      <c r="AW188">
        <v>3.91</v>
      </c>
      <c r="AX188">
        <v>4.0599999999999996</v>
      </c>
      <c r="AY188" s="6">
        <v>3.8925000000000001</v>
      </c>
      <c r="AZ188" s="2">
        <v>0.84279999999999999</v>
      </c>
      <c r="BA188" s="2">
        <v>0.68771485418884304</v>
      </c>
      <c r="BB188" s="2">
        <v>0.995</v>
      </c>
      <c r="BC188">
        <v>71500</v>
      </c>
      <c r="BD188">
        <v>56992</v>
      </c>
      <c r="BE188">
        <v>22000</v>
      </c>
      <c r="BF188">
        <v>30030</v>
      </c>
      <c r="BG188" s="9" t="s">
        <v>133</v>
      </c>
    </row>
    <row r="189" spans="3:59" ht="409.5" x14ac:dyDescent="0.25">
      <c r="C189" s="1">
        <v>45809</v>
      </c>
      <c r="D189" s="36">
        <v>236808</v>
      </c>
      <c r="E189" s="33">
        <v>4.1399999999999997</v>
      </c>
      <c r="F189" s="33">
        <v>3.3935580000000001</v>
      </c>
      <c r="G189" s="2">
        <v>0.81969999999999998</v>
      </c>
      <c r="H189" s="2">
        <v>0.99</v>
      </c>
      <c r="I189" s="3">
        <v>39013.379999999997</v>
      </c>
      <c r="J189" s="3">
        <v>38964.089999999997</v>
      </c>
      <c r="K189" s="3">
        <v>26556.080000000002</v>
      </c>
      <c r="L189" s="3">
        <v>31273.58</v>
      </c>
      <c r="M189" s="3">
        <v>24358</v>
      </c>
      <c r="N189" s="3">
        <v>160165.13</v>
      </c>
      <c r="O189" s="3">
        <v>141126.67000000001</v>
      </c>
      <c r="P189" s="3">
        <v>-19038.46</v>
      </c>
      <c r="Q189" s="3">
        <v>0</v>
      </c>
      <c r="R189" s="3">
        <v>160165.13</v>
      </c>
      <c r="S189" s="3">
        <v>160165.13</v>
      </c>
      <c r="T189" s="3">
        <v>140421.03664999999</v>
      </c>
      <c r="U189" s="3">
        <v>12280</v>
      </c>
      <c r="V189" s="3">
        <v>12980</v>
      </c>
      <c r="W189" s="3">
        <v>11600</v>
      </c>
      <c r="X189" s="3">
        <v>14180</v>
      </c>
      <c r="Y189" s="3">
        <v>14950</v>
      </c>
      <c r="Z189" s="3">
        <v>14570</v>
      </c>
      <c r="AA189" s="3">
        <v>12030</v>
      </c>
      <c r="AB189" s="3">
        <v>12780</v>
      </c>
      <c r="AC189" s="3">
        <v>14250</v>
      </c>
      <c r="AD189" s="3">
        <v>13110</v>
      </c>
      <c r="AE189" s="3">
        <v>132730</v>
      </c>
      <c r="AF189" s="3">
        <v>132730</v>
      </c>
      <c r="AG189" s="3">
        <v>1409.04</v>
      </c>
      <c r="AH189" s="40">
        <v>0.90080000000000005</v>
      </c>
      <c r="AI189" s="40">
        <v>0.95179999999999998</v>
      </c>
      <c r="AJ189" s="40">
        <v>0.95679999999999998</v>
      </c>
      <c r="AK189" s="40">
        <v>0.92100000000000004</v>
      </c>
      <c r="AL189" s="40">
        <v>0.98099999999999998</v>
      </c>
      <c r="AM189" s="40">
        <v>0.94389999999999996</v>
      </c>
      <c r="AN189" s="40">
        <v>0.89959999999999996</v>
      </c>
      <c r="AO189" s="40">
        <v>0.95569999999999999</v>
      </c>
      <c r="AP189" s="40">
        <v>0.92320000000000002</v>
      </c>
      <c r="AQ189" s="40">
        <v>0.98040000000000005</v>
      </c>
      <c r="AR189" s="31">
        <v>0.82870722235233096</v>
      </c>
      <c r="AS189" s="36">
        <v>2.2400717482517498</v>
      </c>
      <c r="AT189">
        <v>1.93</v>
      </c>
      <c r="AU189">
        <v>2</v>
      </c>
      <c r="AW189">
        <v>2.02</v>
      </c>
      <c r="AY189" s="6">
        <v>1.9833333333333301</v>
      </c>
      <c r="AZ189" s="2">
        <v>0.94140000000000001</v>
      </c>
      <c r="BA189" s="2">
        <v>1.129447940295</v>
      </c>
      <c r="BB189" s="2">
        <v>0.995</v>
      </c>
      <c r="BC189">
        <v>71500</v>
      </c>
      <c r="BD189">
        <v>56992</v>
      </c>
      <c r="BE189">
        <v>22000</v>
      </c>
      <c r="BF189">
        <v>30030</v>
      </c>
      <c r="BG189" s="9" t="s">
        <v>74</v>
      </c>
    </row>
    <row r="190" spans="3:59" ht="409.5" x14ac:dyDescent="0.25">
      <c r="C190" s="1">
        <v>45810</v>
      </c>
      <c r="D190" s="36">
        <v>236808</v>
      </c>
      <c r="E190" s="33">
        <v>4.1399999999999997</v>
      </c>
      <c r="F190" s="33">
        <v>3.3935580000000001</v>
      </c>
      <c r="G190" s="2">
        <v>0.81969999999999998</v>
      </c>
      <c r="H190" s="2">
        <v>0.99</v>
      </c>
      <c r="I190" s="3">
        <v>31831.25</v>
      </c>
      <c r="J190" s="3">
        <v>31808.12</v>
      </c>
      <c r="K190" s="3">
        <v>20110</v>
      </c>
      <c r="L190" s="3">
        <v>27072.98</v>
      </c>
      <c r="M190" s="3">
        <v>24930</v>
      </c>
      <c r="N190" s="3">
        <v>135752.35</v>
      </c>
      <c r="O190" s="3">
        <v>122100.67</v>
      </c>
      <c r="P190" s="3">
        <v>-13651.68</v>
      </c>
      <c r="Q190" s="3">
        <v>0</v>
      </c>
      <c r="R190" s="3">
        <v>135752.35</v>
      </c>
      <c r="S190" s="3">
        <v>135752.35</v>
      </c>
      <c r="T190" s="3">
        <v>121490.16665</v>
      </c>
      <c r="U190" s="3">
        <v>13570</v>
      </c>
      <c r="V190" s="3">
        <v>14380</v>
      </c>
      <c r="W190" s="3">
        <v>12900</v>
      </c>
      <c r="X190" s="3">
        <v>15740</v>
      </c>
      <c r="Y190" s="3">
        <v>16690</v>
      </c>
      <c r="Z190" s="3">
        <v>17010</v>
      </c>
      <c r="AA190" s="3">
        <v>13440</v>
      </c>
      <c r="AB190" s="3">
        <v>14470</v>
      </c>
      <c r="AC190" s="3">
        <v>16210</v>
      </c>
      <c r="AD190" s="3">
        <v>14930</v>
      </c>
      <c r="AE190" s="3">
        <v>149340</v>
      </c>
      <c r="AF190" s="3">
        <v>149340</v>
      </c>
      <c r="AG190" s="3">
        <v>1607</v>
      </c>
      <c r="AH190" s="40">
        <v>0.88170000000000004</v>
      </c>
      <c r="AI190" s="40">
        <v>0.93440000000000001</v>
      </c>
      <c r="AJ190" s="40">
        <v>0.94330000000000003</v>
      </c>
      <c r="AK190" s="40">
        <v>0.90620000000000001</v>
      </c>
      <c r="AL190" s="40">
        <v>0.96930000000000005</v>
      </c>
      <c r="AM190" s="40">
        <v>0.96630000000000005</v>
      </c>
      <c r="AN190" s="40">
        <v>0.88149999999999995</v>
      </c>
      <c r="AO190" s="40">
        <v>0.94940000000000002</v>
      </c>
      <c r="AP190" s="40">
        <v>0.92110000000000003</v>
      </c>
      <c r="AQ190" s="40">
        <v>0.97909999999999997</v>
      </c>
      <c r="AR190" s="31">
        <v>1.10009145329713</v>
      </c>
      <c r="AS190" s="36">
        <v>1.8986342657342701</v>
      </c>
      <c r="AT190">
        <v>2.2000000000000002</v>
      </c>
      <c r="AU190">
        <v>2.2599999999999998</v>
      </c>
      <c r="AW190">
        <v>2.2799999999999998</v>
      </c>
      <c r="AY190" s="6">
        <v>2.2466666666666701</v>
      </c>
      <c r="AZ190" s="2">
        <v>0.93320000000000003</v>
      </c>
      <c r="BA190" s="2">
        <v>0.84508943578676499</v>
      </c>
      <c r="BB190" s="2">
        <v>0.995</v>
      </c>
      <c r="BC190">
        <v>71500</v>
      </c>
      <c r="BD190">
        <v>56992</v>
      </c>
      <c r="BE190">
        <v>22000</v>
      </c>
      <c r="BF190">
        <v>23479</v>
      </c>
      <c r="BG190" s="9" t="s">
        <v>74</v>
      </c>
    </row>
    <row r="191" spans="3:59" ht="409.5" x14ac:dyDescent="0.25">
      <c r="C191" s="1">
        <v>45811</v>
      </c>
      <c r="D191" s="36">
        <v>236808</v>
      </c>
      <c r="E191" s="33">
        <v>4.1399999999999997</v>
      </c>
      <c r="F191" s="33">
        <v>3.3935580000000001</v>
      </c>
      <c r="G191" s="2">
        <v>0.81969999999999998</v>
      </c>
      <c r="H191" s="2">
        <v>0.99</v>
      </c>
      <c r="I191" s="3">
        <v>52073.99</v>
      </c>
      <c r="J191" s="3">
        <v>52000.160000000003</v>
      </c>
      <c r="K191" s="3">
        <v>31935.83</v>
      </c>
      <c r="L191" s="3">
        <v>42771.519999999997</v>
      </c>
      <c r="M191" s="3">
        <v>31956</v>
      </c>
      <c r="N191" s="3">
        <v>210737.5</v>
      </c>
      <c r="O191" s="3">
        <v>211702</v>
      </c>
      <c r="P191" s="3">
        <v>964.50000000002899</v>
      </c>
      <c r="Q191" s="3">
        <v>964.50000000002899</v>
      </c>
      <c r="R191" s="3">
        <v>211702</v>
      </c>
      <c r="S191" s="3">
        <v>211702</v>
      </c>
      <c r="T191" s="3">
        <v>210643.49</v>
      </c>
      <c r="U191" s="3">
        <v>14870</v>
      </c>
      <c r="V191" s="3">
        <v>16100</v>
      </c>
      <c r="W191" s="3">
        <v>15300</v>
      </c>
      <c r="X191" s="3">
        <v>19040</v>
      </c>
      <c r="Y191" s="3">
        <v>19750</v>
      </c>
      <c r="Z191" s="3">
        <v>18160</v>
      </c>
      <c r="AA191" s="3">
        <v>13400</v>
      </c>
      <c r="AB191" s="3">
        <v>15330</v>
      </c>
      <c r="AC191" s="3">
        <v>16700</v>
      </c>
      <c r="AD191" s="3">
        <v>15720</v>
      </c>
      <c r="AE191" s="3">
        <v>164370</v>
      </c>
      <c r="AF191" s="3">
        <v>165334.5</v>
      </c>
      <c r="AG191" s="3">
        <v>1451.27</v>
      </c>
      <c r="AH191" s="40">
        <v>0.79820000000000002</v>
      </c>
      <c r="AI191" s="40">
        <v>0.86419999999999997</v>
      </c>
      <c r="AJ191" s="40">
        <v>0.92390000000000005</v>
      </c>
      <c r="AK191" s="40">
        <v>0.90529999999999999</v>
      </c>
      <c r="AL191" s="40">
        <v>0.97440000000000004</v>
      </c>
      <c r="AM191" s="40">
        <v>0.87639999999999996</v>
      </c>
      <c r="AN191" s="40">
        <v>0.74660000000000004</v>
      </c>
      <c r="AO191" s="40">
        <v>0.85409999999999997</v>
      </c>
      <c r="AP191" s="40">
        <v>0.80600000000000005</v>
      </c>
      <c r="AQ191" s="40">
        <v>0.87580000000000002</v>
      </c>
      <c r="AR191" s="31">
        <v>0.77997508749036104</v>
      </c>
      <c r="AS191" s="36">
        <v>2.9608671328671301</v>
      </c>
      <c r="AT191">
        <v>2.59</v>
      </c>
      <c r="AU191">
        <v>2.66</v>
      </c>
      <c r="AW191">
        <v>2.76</v>
      </c>
      <c r="AY191" s="6">
        <v>2.67</v>
      </c>
      <c r="AZ191" s="2">
        <v>0.86250000000000004</v>
      </c>
      <c r="BA191" s="2">
        <v>1.10893900107383</v>
      </c>
      <c r="BB191" s="2">
        <v>0.995</v>
      </c>
      <c r="BC191">
        <v>71500</v>
      </c>
      <c r="BD191">
        <v>56992</v>
      </c>
      <c r="BE191">
        <v>22000</v>
      </c>
      <c r="BF191">
        <v>30030</v>
      </c>
      <c r="BG191" s="9" t="s">
        <v>76</v>
      </c>
    </row>
    <row r="192" spans="3:59" ht="409.5" x14ac:dyDescent="0.25">
      <c r="C192" s="1">
        <v>45812</v>
      </c>
      <c r="D192" s="36">
        <v>236808</v>
      </c>
      <c r="E192" s="33">
        <v>4.1399999999999997</v>
      </c>
      <c r="F192" s="33">
        <v>3.3935580000000001</v>
      </c>
      <c r="G192" s="2">
        <v>0.81969999999999998</v>
      </c>
      <c r="H192" s="2">
        <v>0.99</v>
      </c>
      <c r="I192" s="3">
        <v>51783.95</v>
      </c>
      <c r="J192" s="3">
        <v>51675.72</v>
      </c>
      <c r="K192" s="3">
        <v>42545.15</v>
      </c>
      <c r="L192" s="3">
        <v>47996.83</v>
      </c>
      <c r="M192" s="3">
        <v>45333</v>
      </c>
      <c r="N192" s="3">
        <v>239334.65</v>
      </c>
      <c r="O192" s="3">
        <v>241930.5</v>
      </c>
      <c r="P192" s="3">
        <v>2595.8499999999799</v>
      </c>
      <c r="Q192" s="3">
        <v>2595.8499999999799</v>
      </c>
      <c r="R192" s="3">
        <v>241930.5</v>
      </c>
      <c r="S192" s="3">
        <v>241930.5</v>
      </c>
      <c r="T192" s="3">
        <v>241204.70850000001</v>
      </c>
      <c r="U192" s="3">
        <v>14960</v>
      </c>
      <c r="V192" s="3">
        <v>16350</v>
      </c>
      <c r="W192" s="3">
        <v>21860</v>
      </c>
      <c r="X192" s="3">
        <v>25860</v>
      </c>
      <c r="Y192" s="3">
        <v>27060</v>
      </c>
      <c r="Z192" s="3">
        <v>30490</v>
      </c>
      <c r="AA192" s="3">
        <v>23060</v>
      </c>
      <c r="AB192" s="3">
        <v>25700</v>
      </c>
      <c r="AC192" s="3">
        <v>28660</v>
      </c>
      <c r="AD192" s="3">
        <v>26490</v>
      </c>
      <c r="AE192" s="3">
        <v>240490</v>
      </c>
      <c r="AF192" s="3">
        <v>243085.85</v>
      </c>
      <c r="AG192" s="3">
        <v>1306.8399999999999</v>
      </c>
      <c r="AH192" s="40">
        <v>0.51549999999999996</v>
      </c>
      <c r="AI192" s="40">
        <v>0.56320000000000003</v>
      </c>
      <c r="AJ192" s="40">
        <v>0.84719999999999995</v>
      </c>
      <c r="AK192" s="40">
        <v>0.7893</v>
      </c>
      <c r="AL192" s="40">
        <v>0.85150000000000003</v>
      </c>
      <c r="AM192" s="40">
        <v>0.94579999999999997</v>
      </c>
      <c r="AN192" s="40">
        <v>0.82579999999999998</v>
      </c>
      <c r="AO192" s="40">
        <v>0.92030000000000001</v>
      </c>
      <c r="AP192" s="40">
        <v>0.8891</v>
      </c>
      <c r="AQ192" s="40">
        <v>0.94830000000000003</v>
      </c>
      <c r="AR192" s="31">
        <v>1.0048273411309201</v>
      </c>
      <c r="AS192" s="36">
        <v>3.3836433566433599</v>
      </c>
      <c r="AT192">
        <v>4.03</v>
      </c>
      <c r="AU192">
        <v>4.17</v>
      </c>
      <c r="AW192">
        <v>4.3</v>
      </c>
      <c r="AY192" s="6">
        <v>4.1666666666666696</v>
      </c>
      <c r="AZ192" s="2">
        <v>0.80959999999999999</v>
      </c>
      <c r="BA192" s="2">
        <v>0.81207440559440602</v>
      </c>
      <c r="BB192" s="2">
        <v>0.997</v>
      </c>
      <c r="BC192">
        <v>71500</v>
      </c>
      <c r="BD192">
        <v>56992</v>
      </c>
      <c r="BE192">
        <v>22000</v>
      </c>
      <c r="BF192">
        <v>30030</v>
      </c>
      <c r="BG192" s="9" t="s">
        <v>74</v>
      </c>
    </row>
    <row r="193" spans="3:59" ht="409.5" x14ac:dyDescent="0.25">
      <c r="C193" s="1">
        <v>45813</v>
      </c>
      <c r="D193" s="36">
        <v>236808</v>
      </c>
      <c r="E193" s="33">
        <v>4.1399999999999997</v>
      </c>
      <c r="F193" s="33">
        <v>3.3935580000000001</v>
      </c>
      <c r="G193" s="2">
        <v>0.81969999999999998</v>
      </c>
      <c r="H193" s="2">
        <v>0.99</v>
      </c>
      <c r="I193" s="3">
        <v>45046.44</v>
      </c>
      <c r="J193" s="3">
        <v>44970.97</v>
      </c>
      <c r="K193" s="3">
        <v>36431.410000000003</v>
      </c>
      <c r="L193" s="3">
        <v>42218.59</v>
      </c>
      <c r="M193" s="3">
        <v>36308</v>
      </c>
      <c r="N193" s="3">
        <v>204975.41</v>
      </c>
      <c r="O193" s="3">
        <v>213613.33</v>
      </c>
      <c r="P193" s="3">
        <v>8637.9199999999801</v>
      </c>
      <c r="Q193" s="3">
        <v>8637.9199999999801</v>
      </c>
      <c r="R193" s="3">
        <v>213613.33</v>
      </c>
      <c r="S193" s="3">
        <v>213613.33</v>
      </c>
      <c r="T193" s="3">
        <v>212972.49001000001</v>
      </c>
      <c r="U193" s="3">
        <v>16620</v>
      </c>
      <c r="V193" s="3">
        <v>17200</v>
      </c>
      <c r="W193" s="3">
        <v>19680</v>
      </c>
      <c r="X193" s="3">
        <v>23590</v>
      </c>
      <c r="Y193" s="3">
        <v>24940</v>
      </c>
      <c r="Z193" s="3">
        <v>28030</v>
      </c>
      <c r="AA193" s="3">
        <v>22160</v>
      </c>
      <c r="AB193" s="3">
        <v>24020</v>
      </c>
      <c r="AC193" s="3">
        <v>28010</v>
      </c>
      <c r="AD193" s="3">
        <v>24650</v>
      </c>
      <c r="AE193" s="3">
        <v>228900</v>
      </c>
      <c r="AF193" s="3">
        <v>237537.92000000001</v>
      </c>
      <c r="AG193" s="3">
        <v>1620.98</v>
      </c>
      <c r="AH193" s="40">
        <v>0.61260000000000003</v>
      </c>
      <c r="AI193" s="40">
        <v>0.63380000000000003</v>
      </c>
      <c r="AJ193" s="40">
        <v>0.81579999999999997</v>
      </c>
      <c r="AK193" s="40">
        <v>0.77</v>
      </c>
      <c r="AL193" s="40">
        <v>0.8266</v>
      </c>
      <c r="AM193" s="40">
        <v>0.86950000000000005</v>
      </c>
      <c r="AN193" s="40">
        <v>0.79330000000000001</v>
      </c>
      <c r="AO193" s="40">
        <v>0.86009999999999998</v>
      </c>
      <c r="AP193" s="40">
        <v>0.86870000000000003</v>
      </c>
      <c r="AQ193" s="40">
        <v>0.88249999999999995</v>
      </c>
      <c r="AR193" s="31">
        <v>1.11671931769767</v>
      </c>
      <c r="AS193" s="36">
        <v>2.9875990209790202</v>
      </c>
      <c r="AT193">
        <v>4.03</v>
      </c>
      <c r="AU193">
        <v>3.96</v>
      </c>
      <c r="AW193">
        <v>4.0199999999999996</v>
      </c>
      <c r="AY193" s="6">
        <v>4.0033333333333303</v>
      </c>
      <c r="AZ193" s="2">
        <v>0.79330000000000001</v>
      </c>
      <c r="BA193" s="2">
        <v>0.74627785703056304</v>
      </c>
      <c r="BB193" s="2">
        <v>0.997</v>
      </c>
      <c r="BC193">
        <v>71500</v>
      </c>
      <c r="BD193">
        <v>56992</v>
      </c>
      <c r="BE193">
        <v>22000</v>
      </c>
      <c r="BF193">
        <v>30030</v>
      </c>
      <c r="BG193" s="9" t="s">
        <v>74</v>
      </c>
    </row>
    <row r="194" spans="3:59" ht="409.5" x14ac:dyDescent="0.25">
      <c r="C194" s="1">
        <v>45814</v>
      </c>
      <c r="D194" s="36">
        <v>236808</v>
      </c>
      <c r="E194" s="33">
        <v>4.1399999999999997</v>
      </c>
      <c r="F194" s="33">
        <v>3.3935580000000001</v>
      </c>
      <c r="G194" s="2">
        <v>0.81969999999999998</v>
      </c>
      <c r="H194" s="2">
        <v>0.99</v>
      </c>
      <c r="I194" s="3">
        <v>55827.17</v>
      </c>
      <c r="J194" s="3">
        <v>55683.82</v>
      </c>
      <c r="K194" s="3">
        <v>45847</v>
      </c>
      <c r="L194" s="3">
        <v>50443</v>
      </c>
      <c r="M194" s="3">
        <v>46782</v>
      </c>
      <c r="N194" s="3">
        <v>254582.99</v>
      </c>
      <c r="O194" s="3">
        <v>262683.67</v>
      </c>
      <c r="P194" s="3">
        <v>8100.6799999999903</v>
      </c>
      <c r="Q194" s="3">
        <v>8100.6799999999903</v>
      </c>
      <c r="R194" s="3">
        <v>262683.67</v>
      </c>
      <c r="S194" s="3">
        <v>262683.67</v>
      </c>
      <c r="T194" s="3">
        <v>261895.61898999999</v>
      </c>
      <c r="U194" s="3">
        <v>17490</v>
      </c>
      <c r="V194" s="3">
        <v>18420</v>
      </c>
      <c r="W194" s="3">
        <v>21900</v>
      </c>
      <c r="X194" s="3">
        <v>26380</v>
      </c>
      <c r="Y194" s="3">
        <v>27720</v>
      </c>
      <c r="Z194" s="3">
        <v>30850</v>
      </c>
      <c r="AA194" s="3">
        <v>24360</v>
      </c>
      <c r="AB194" s="3">
        <v>26090</v>
      </c>
      <c r="AC194" s="3">
        <v>29330</v>
      </c>
      <c r="AD194" s="3">
        <v>26600</v>
      </c>
      <c r="AE194" s="3">
        <v>249140</v>
      </c>
      <c r="AF194" s="3">
        <v>257240.68</v>
      </c>
      <c r="AG194" s="3">
        <v>1494.55</v>
      </c>
      <c r="AH194" s="40">
        <v>0.6038</v>
      </c>
      <c r="AI194" s="40">
        <v>0.63600000000000001</v>
      </c>
      <c r="AJ194" s="40">
        <v>0.85070000000000001</v>
      </c>
      <c r="AK194" s="40">
        <v>0.80700000000000005</v>
      </c>
      <c r="AL194" s="40">
        <v>0.84389999999999998</v>
      </c>
      <c r="AM194" s="40">
        <v>0.91820000000000002</v>
      </c>
      <c r="AN194" s="40">
        <v>0.83689999999999998</v>
      </c>
      <c r="AO194" s="40">
        <v>0.8962</v>
      </c>
      <c r="AP194" s="40">
        <v>0.873</v>
      </c>
      <c r="AQ194" s="40">
        <v>0.91379999999999995</v>
      </c>
      <c r="AR194" s="31">
        <v>0.97861997771335796</v>
      </c>
      <c r="AS194" s="36">
        <v>3.6738974825174799</v>
      </c>
      <c r="AT194">
        <v>4.2</v>
      </c>
      <c r="AU194">
        <v>4.3099999999999996</v>
      </c>
      <c r="AW194">
        <v>4.29</v>
      </c>
      <c r="AY194" s="6">
        <v>4.2666666666666702</v>
      </c>
      <c r="AZ194" s="2">
        <v>0.81799999999999995</v>
      </c>
      <c r="BA194" s="2">
        <v>0.86106972246503499</v>
      </c>
      <c r="BB194" s="2">
        <v>0.997</v>
      </c>
      <c r="BC194">
        <v>71500</v>
      </c>
      <c r="BD194">
        <v>56992</v>
      </c>
      <c r="BE194">
        <v>22000</v>
      </c>
      <c r="BF194">
        <v>30030</v>
      </c>
      <c r="BG194" s="9" t="s">
        <v>74</v>
      </c>
    </row>
    <row r="195" spans="3:59" ht="409.5" x14ac:dyDescent="0.25">
      <c r="C195" s="1">
        <v>45815</v>
      </c>
      <c r="D195" s="36">
        <v>236808</v>
      </c>
      <c r="E195" s="33">
        <v>4.1399999999999997</v>
      </c>
      <c r="F195" s="33">
        <v>3.3935580000000001</v>
      </c>
      <c r="G195" s="2">
        <v>0.81969999999999998</v>
      </c>
      <c r="H195" s="2">
        <v>0.99</v>
      </c>
      <c r="I195" s="3">
        <v>53759.72</v>
      </c>
      <c r="J195" s="3">
        <v>53631.54</v>
      </c>
      <c r="K195" s="3">
        <v>40427.379999999997</v>
      </c>
      <c r="L195" s="3">
        <v>45302.39</v>
      </c>
      <c r="M195" s="3">
        <v>42362</v>
      </c>
      <c r="N195" s="3">
        <v>235483.03</v>
      </c>
      <c r="O195" s="3">
        <v>229655.83</v>
      </c>
      <c r="P195" s="3">
        <v>-5827.2000000000398</v>
      </c>
      <c r="Q195" s="3">
        <v>0</v>
      </c>
      <c r="R195" s="3">
        <v>235483.03</v>
      </c>
      <c r="S195" s="3">
        <v>235483.03</v>
      </c>
      <c r="T195" s="3">
        <v>228966.86251000001</v>
      </c>
      <c r="U195" s="3">
        <v>16240</v>
      </c>
      <c r="V195" s="3">
        <v>17120</v>
      </c>
      <c r="W195" s="3">
        <v>19830</v>
      </c>
      <c r="X195" s="3">
        <v>24140</v>
      </c>
      <c r="Y195" s="3">
        <v>25410</v>
      </c>
      <c r="Z195" s="3">
        <v>26650</v>
      </c>
      <c r="AA195" s="3">
        <v>20740</v>
      </c>
      <c r="AB195" s="3">
        <v>22380</v>
      </c>
      <c r="AC195" s="3">
        <v>25430</v>
      </c>
      <c r="AD195" s="3">
        <v>23180</v>
      </c>
      <c r="AE195" s="3">
        <v>221120</v>
      </c>
      <c r="AF195" s="3">
        <v>221120</v>
      </c>
      <c r="AG195" s="3">
        <v>1340.3</v>
      </c>
      <c r="AH195" s="40">
        <v>0.66279999999999994</v>
      </c>
      <c r="AI195" s="40">
        <v>0.69869999999999999</v>
      </c>
      <c r="AJ195" s="40">
        <v>0.91049999999999998</v>
      </c>
      <c r="AK195" s="40">
        <v>0.87270000000000003</v>
      </c>
      <c r="AL195" s="40">
        <v>0.93669999999999998</v>
      </c>
      <c r="AM195" s="40">
        <v>0.94910000000000005</v>
      </c>
      <c r="AN195" s="40">
        <v>0.85260000000000002</v>
      </c>
      <c r="AO195" s="40">
        <v>0.92010000000000003</v>
      </c>
      <c r="AP195" s="40">
        <v>0.90559999999999996</v>
      </c>
      <c r="AQ195" s="40">
        <v>0.95299999999999996</v>
      </c>
      <c r="AR195" s="31">
        <v>0.93900609313545902</v>
      </c>
      <c r="AS195" s="36">
        <v>3.2934689510489501</v>
      </c>
      <c r="AT195">
        <v>3.51</v>
      </c>
      <c r="AU195">
        <v>3.56</v>
      </c>
      <c r="AW195">
        <v>3.63</v>
      </c>
      <c r="AY195" s="6">
        <v>3.56666666666667</v>
      </c>
      <c r="AZ195" s="2">
        <v>0.86619999999999997</v>
      </c>
      <c r="BA195" s="2">
        <v>0.92340250963989301</v>
      </c>
      <c r="BB195" s="2">
        <v>0.997</v>
      </c>
      <c r="BC195">
        <v>71500</v>
      </c>
      <c r="BD195">
        <v>56992</v>
      </c>
      <c r="BE195">
        <v>22000</v>
      </c>
      <c r="BF195">
        <v>30030</v>
      </c>
      <c r="BG195" s="9" t="s">
        <v>74</v>
      </c>
    </row>
    <row r="196" spans="3:59" ht="409.5" x14ac:dyDescent="0.25">
      <c r="C196" s="1">
        <v>45816</v>
      </c>
      <c r="D196" s="36">
        <v>236808</v>
      </c>
      <c r="E196" s="33">
        <v>4.1399999999999997</v>
      </c>
      <c r="F196" s="33">
        <v>3.3935580000000001</v>
      </c>
      <c r="G196" s="2">
        <v>0.81969999999999998</v>
      </c>
      <c r="H196" s="2">
        <v>0.99</v>
      </c>
      <c r="I196" s="3">
        <v>64388.62</v>
      </c>
      <c r="J196" s="3">
        <v>37330.57</v>
      </c>
      <c r="K196" s="3">
        <v>35193.620000000003</v>
      </c>
      <c r="L196" s="3">
        <v>53508.13</v>
      </c>
      <c r="M196" s="3">
        <v>34527</v>
      </c>
      <c r="N196" s="3">
        <v>224947.94</v>
      </c>
      <c r="O196" s="3">
        <v>255739.33</v>
      </c>
      <c r="P196" s="3">
        <v>30791.39</v>
      </c>
      <c r="Q196" s="3">
        <v>30791.39</v>
      </c>
      <c r="R196" s="3">
        <v>255739.33</v>
      </c>
      <c r="S196" s="3">
        <v>255739.33</v>
      </c>
      <c r="T196" s="3">
        <v>254972.11201000001</v>
      </c>
      <c r="U196" s="3">
        <v>17080</v>
      </c>
      <c r="V196" s="3">
        <v>17910</v>
      </c>
      <c r="W196" s="3">
        <v>20430</v>
      </c>
      <c r="X196" s="3">
        <v>23830</v>
      </c>
      <c r="Y196" s="3">
        <v>24140</v>
      </c>
      <c r="Z196" s="3">
        <v>27840</v>
      </c>
      <c r="AA196" s="3">
        <v>21050</v>
      </c>
      <c r="AB196" s="3">
        <v>23380</v>
      </c>
      <c r="AC196" s="3">
        <v>26150</v>
      </c>
      <c r="AD196" s="3">
        <v>23770</v>
      </c>
      <c r="AE196" s="3">
        <v>225580</v>
      </c>
      <c r="AF196" s="3">
        <v>256371.39</v>
      </c>
      <c r="AG196" s="3">
        <v>1370.92</v>
      </c>
      <c r="AH196" s="40">
        <v>0.628</v>
      </c>
      <c r="AI196" s="40">
        <v>0.65839999999999999</v>
      </c>
      <c r="AJ196" s="40">
        <v>0.84470000000000001</v>
      </c>
      <c r="AK196" s="40">
        <v>0.8085</v>
      </c>
      <c r="AL196" s="40">
        <v>0.80610000000000004</v>
      </c>
      <c r="AM196" s="40">
        <v>0.9355</v>
      </c>
      <c r="AN196" s="40">
        <v>0.81640000000000001</v>
      </c>
      <c r="AO196" s="40">
        <v>0.90700000000000003</v>
      </c>
      <c r="AP196" s="40">
        <v>0.87880000000000003</v>
      </c>
      <c r="AQ196" s="40">
        <v>0.92190000000000005</v>
      </c>
      <c r="AR196" s="31">
        <v>1.0028098056821499</v>
      </c>
      <c r="AS196" s="36">
        <v>3.5767738461538499</v>
      </c>
      <c r="AT196">
        <v>3.72</v>
      </c>
      <c r="AU196">
        <v>3.93</v>
      </c>
      <c r="AW196">
        <v>4.03</v>
      </c>
      <c r="AY196" s="6">
        <v>3.89333333333333</v>
      </c>
      <c r="AZ196" s="2">
        <v>0.82050000000000001</v>
      </c>
      <c r="BA196" s="2">
        <v>0.91869191253951499</v>
      </c>
      <c r="BB196" s="2">
        <v>0.997</v>
      </c>
      <c r="BC196">
        <v>71500</v>
      </c>
      <c r="BD196">
        <v>56992</v>
      </c>
      <c r="BE196">
        <v>10000</v>
      </c>
      <c r="BF196">
        <v>17929</v>
      </c>
      <c r="BG196" s="9" t="s">
        <v>74</v>
      </c>
    </row>
    <row r="197" spans="3:59" ht="409.5" x14ac:dyDescent="0.25">
      <c r="C197" s="1">
        <v>45817</v>
      </c>
      <c r="D197" s="36">
        <v>236808</v>
      </c>
      <c r="E197" s="33">
        <v>4.1399999999999997</v>
      </c>
      <c r="F197" s="33">
        <v>3.3935580000000001</v>
      </c>
      <c r="G197" s="2">
        <v>0.81969999999999998</v>
      </c>
      <c r="H197" s="2">
        <v>0.99</v>
      </c>
      <c r="I197" s="3">
        <v>77672.83</v>
      </c>
      <c r="J197" s="3">
        <v>18954.28</v>
      </c>
      <c r="K197" s="3">
        <v>32198.16</v>
      </c>
      <c r="L197" s="3">
        <v>38041.4</v>
      </c>
      <c r="M197" s="3">
        <v>36996</v>
      </c>
      <c r="N197" s="3">
        <v>203862.67</v>
      </c>
      <c r="O197" s="3">
        <v>318762</v>
      </c>
      <c r="P197" s="3">
        <v>114899.33</v>
      </c>
      <c r="Q197" s="3">
        <v>114899.33</v>
      </c>
      <c r="R197" s="3">
        <v>318762</v>
      </c>
      <c r="S197" s="3">
        <v>318762</v>
      </c>
      <c r="T197" s="3">
        <v>317805.71399999998</v>
      </c>
      <c r="U197" s="3">
        <v>16800</v>
      </c>
      <c r="V197" s="3">
        <v>16620</v>
      </c>
      <c r="W197" s="3">
        <v>15170</v>
      </c>
      <c r="X197" s="3">
        <v>18800</v>
      </c>
      <c r="Y197" s="3">
        <v>19260</v>
      </c>
      <c r="Z197" s="3">
        <v>7740</v>
      </c>
      <c r="AA197" s="3">
        <v>21050</v>
      </c>
      <c r="AB197" s="3">
        <v>6810</v>
      </c>
      <c r="AC197" s="3">
        <v>26150</v>
      </c>
      <c r="AD197" s="3">
        <v>7490</v>
      </c>
      <c r="AE197" s="3">
        <v>155890</v>
      </c>
      <c r="AF197" s="3">
        <v>270789.33</v>
      </c>
      <c r="AG197" s="3">
        <v>1499.07</v>
      </c>
      <c r="AH197" s="40">
        <v>0.45090000000000002</v>
      </c>
      <c r="AI197" s="40">
        <v>0.4461</v>
      </c>
      <c r="AJ197" s="40">
        <v>0.45800000000000002</v>
      </c>
      <c r="AK197" s="40">
        <v>0.44700000000000001</v>
      </c>
      <c r="AL197" s="40">
        <v>0.46810000000000002</v>
      </c>
      <c r="AM197" s="40">
        <v>0.25990000000000002</v>
      </c>
      <c r="AN197" s="40">
        <v>0.81640000000000001</v>
      </c>
      <c r="AO197" s="40">
        <v>0.26400000000000001</v>
      </c>
      <c r="AP197" s="40">
        <v>0.87880000000000003</v>
      </c>
      <c r="AQ197" s="40">
        <v>0.29049999999999998</v>
      </c>
      <c r="AR197" s="31">
        <v>0.76468143971625602</v>
      </c>
      <c r="AS197" s="36">
        <v>4.4582097902097901</v>
      </c>
      <c r="AT197">
        <v>3.72</v>
      </c>
      <c r="AU197">
        <v>5.4</v>
      </c>
      <c r="AW197">
        <v>5.52</v>
      </c>
      <c r="AY197" s="6">
        <v>4.88</v>
      </c>
      <c r="AZ197" s="2">
        <v>0.47799999999999998</v>
      </c>
      <c r="BA197" s="2">
        <v>0.913567579961023</v>
      </c>
      <c r="BB197" s="2">
        <v>0.997</v>
      </c>
      <c r="BC197">
        <v>71500</v>
      </c>
      <c r="BD197">
        <v>56992</v>
      </c>
      <c r="BE197">
        <v>22000</v>
      </c>
      <c r="BF197">
        <v>30030</v>
      </c>
      <c r="BG197" s="9" t="s">
        <v>75</v>
      </c>
    </row>
    <row r="198" spans="3:59" ht="409.5" x14ac:dyDescent="0.25">
      <c r="C198" s="1">
        <v>45818</v>
      </c>
      <c r="D198" s="36">
        <v>236808</v>
      </c>
      <c r="E198" s="33">
        <v>4.1399999999999997</v>
      </c>
      <c r="F198" s="33">
        <v>3.3935580000000001</v>
      </c>
      <c r="G198" s="2">
        <v>0.81969999999999998</v>
      </c>
      <c r="H198" s="2">
        <v>0.99</v>
      </c>
      <c r="I198" s="3">
        <v>61019.360000000001</v>
      </c>
      <c r="J198" s="3">
        <v>60969.67</v>
      </c>
      <c r="K198" s="3">
        <v>44345.78</v>
      </c>
      <c r="L198" s="3">
        <v>50692.3</v>
      </c>
      <c r="M198" s="3">
        <v>47311.1</v>
      </c>
      <c r="N198" s="3">
        <v>264338.21000000002</v>
      </c>
      <c r="O198" s="3">
        <v>241283.17</v>
      </c>
      <c r="P198" s="3">
        <v>-23055.039999999899</v>
      </c>
      <c r="Q198" s="3">
        <v>0</v>
      </c>
      <c r="R198" s="3">
        <v>264338.21000000002</v>
      </c>
      <c r="S198" s="3">
        <v>264338.21000000002</v>
      </c>
      <c r="T198" s="3">
        <v>240559.32049000001</v>
      </c>
      <c r="U198" s="3">
        <v>23290</v>
      </c>
      <c r="V198" s="3">
        <v>23170</v>
      </c>
      <c r="W198" s="3">
        <v>20290</v>
      </c>
      <c r="X198" s="3">
        <v>25130</v>
      </c>
      <c r="Y198" s="3">
        <v>26060</v>
      </c>
      <c r="Z198" s="3">
        <v>30490</v>
      </c>
      <c r="AA198" s="3">
        <v>23480</v>
      </c>
      <c r="AB198" s="3">
        <v>25580</v>
      </c>
      <c r="AC198" s="3">
        <v>29510</v>
      </c>
      <c r="AD198" s="3">
        <v>25570</v>
      </c>
      <c r="AE198" s="3">
        <v>252570</v>
      </c>
      <c r="AF198" s="3">
        <v>252570</v>
      </c>
      <c r="AG198" s="3">
        <v>1402.66</v>
      </c>
      <c r="AH198" s="40">
        <v>0.79320000000000002</v>
      </c>
      <c r="AI198" s="40">
        <v>0.78910000000000002</v>
      </c>
      <c r="AJ198" s="40">
        <v>0.77739999999999998</v>
      </c>
      <c r="AK198" s="40">
        <v>0.7581</v>
      </c>
      <c r="AL198" s="40">
        <v>0.80089999999999995</v>
      </c>
      <c r="AM198" s="40">
        <v>0.90310000000000001</v>
      </c>
      <c r="AN198" s="40">
        <v>0.80289999999999995</v>
      </c>
      <c r="AO198" s="40">
        <v>0.87470000000000003</v>
      </c>
      <c r="AP198" s="40">
        <v>0.87409999999999999</v>
      </c>
      <c r="AQ198" s="40">
        <v>0.87429999999999997</v>
      </c>
      <c r="AR198" s="31">
        <v>0.95548048085821602</v>
      </c>
      <c r="AS198" s="36">
        <v>3.6970379020978998</v>
      </c>
      <c r="AT198">
        <v>4.22</v>
      </c>
      <c r="AU198">
        <v>4.2699999999999996</v>
      </c>
      <c r="AW198">
        <v>4.3499999999999996</v>
      </c>
      <c r="AY198" s="6">
        <v>4.28</v>
      </c>
      <c r="AZ198" s="2">
        <v>0.82479999999999998</v>
      </c>
      <c r="BA198" s="2">
        <v>0.86379390235932296</v>
      </c>
      <c r="BB198" s="2">
        <v>0.997</v>
      </c>
      <c r="BC198">
        <v>71500</v>
      </c>
      <c r="BD198">
        <v>56992</v>
      </c>
      <c r="BE198">
        <v>22000</v>
      </c>
      <c r="BF198">
        <v>30030</v>
      </c>
      <c r="BG198" s="9" t="s">
        <v>74</v>
      </c>
    </row>
    <row r="199" spans="3:59" ht="409.5" x14ac:dyDescent="0.25">
      <c r="C199" s="1">
        <v>45819</v>
      </c>
      <c r="D199" s="36">
        <v>236808</v>
      </c>
      <c r="E199" s="33">
        <v>4.1399999999999997</v>
      </c>
      <c r="F199" s="33">
        <v>3.3935580000000001</v>
      </c>
      <c r="G199" s="2">
        <v>0.81969999999999998</v>
      </c>
      <c r="H199" s="2">
        <v>0.99</v>
      </c>
      <c r="I199" s="3">
        <v>50308.65</v>
      </c>
      <c r="J199" s="3">
        <v>50166.09</v>
      </c>
      <c r="K199" s="3">
        <v>35166.39</v>
      </c>
      <c r="L199" s="3">
        <v>41400.129999999997</v>
      </c>
      <c r="M199" s="3">
        <v>38286.81</v>
      </c>
      <c r="N199" s="3">
        <v>215328.07</v>
      </c>
      <c r="O199" s="3">
        <v>231067</v>
      </c>
      <c r="P199" s="3">
        <v>15738.93</v>
      </c>
      <c r="Q199" s="3">
        <v>15738.93</v>
      </c>
      <c r="R199" s="3">
        <v>231067</v>
      </c>
      <c r="S199" s="3">
        <v>231067</v>
      </c>
      <c r="T199" s="3">
        <v>230373.799</v>
      </c>
      <c r="U199" s="3">
        <v>26380</v>
      </c>
      <c r="V199" s="3">
        <v>26690</v>
      </c>
      <c r="W199" s="3">
        <v>22770</v>
      </c>
      <c r="X199" s="3">
        <v>28540</v>
      </c>
      <c r="Y199" s="3">
        <v>29700</v>
      </c>
      <c r="Z199" s="3">
        <v>31380</v>
      </c>
      <c r="AA199" s="3">
        <v>25020</v>
      </c>
      <c r="AB199" s="3">
        <v>26600</v>
      </c>
      <c r="AC199" s="3">
        <v>30150</v>
      </c>
      <c r="AD199" s="3">
        <v>27180</v>
      </c>
      <c r="AE199" s="3">
        <v>274410</v>
      </c>
      <c r="AF199" s="3">
        <v>290148.93</v>
      </c>
      <c r="AG199" s="3">
        <v>1322.32</v>
      </c>
      <c r="AH199" s="40">
        <v>0.86070000000000002</v>
      </c>
      <c r="AI199" s="40">
        <v>0.87090000000000001</v>
      </c>
      <c r="AJ199" s="40">
        <v>0.83579999999999999</v>
      </c>
      <c r="AK199" s="40">
        <v>0.82509999999999994</v>
      </c>
      <c r="AL199" s="40">
        <v>0.87590000000000001</v>
      </c>
      <c r="AM199" s="40">
        <v>0.90159999999999996</v>
      </c>
      <c r="AN199" s="40">
        <v>0.82989999999999997</v>
      </c>
      <c r="AO199" s="40">
        <v>0.88229999999999997</v>
      </c>
      <c r="AP199" s="40">
        <v>0.86629999999999996</v>
      </c>
      <c r="AQ199" s="40">
        <v>0.90169999999999995</v>
      </c>
      <c r="AR199" s="31">
        <v>1.27438099454474</v>
      </c>
      <c r="AS199" s="36">
        <v>3.2317062937062899</v>
      </c>
      <c r="AT199">
        <v>4.3499999999999996</v>
      </c>
      <c r="AU199">
        <v>4.45</v>
      </c>
      <c r="AW199">
        <v>4.54</v>
      </c>
      <c r="AY199" s="6">
        <v>4.4466666666666699</v>
      </c>
      <c r="AZ199" s="2">
        <v>0.86499999999999999</v>
      </c>
      <c r="BA199" s="2">
        <v>0.72677053081850695</v>
      </c>
      <c r="BB199" s="2">
        <v>0.997</v>
      </c>
      <c r="BC199">
        <v>71500</v>
      </c>
      <c r="BD199">
        <v>56992</v>
      </c>
      <c r="BE199">
        <v>22000</v>
      </c>
      <c r="BF199">
        <v>30030</v>
      </c>
      <c r="BG199" s="9" t="s">
        <v>74</v>
      </c>
    </row>
    <row r="200" spans="3:59" ht="409.5" x14ac:dyDescent="0.25">
      <c r="C200" s="1">
        <v>45820</v>
      </c>
      <c r="D200" s="36">
        <v>236808</v>
      </c>
      <c r="E200" s="33">
        <v>4.1399999999999997</v>
      </c>
      <c r="F200" s="33">
        <v>3.3935580000000001</v>
      </c>
      <c r="G200" s="2">
        <v>0.81969999999999998</v>
      </c>
      <c r="H200" s="2">
        <v>0.99</v>
      </c>
      <c r="I200" s="3">
        <v>56566.51</v>
      </c>
      <c r="J200" s="3">
        <v>56453.35</v>
      </c>
      <c r="K200" s="3">
        <v>40042.93</v>
      </c>
      <c r="L200" s="3">
        <v>45126.21</v>
      </c>
      <c r="M200" s="3">
        <v>41460.31</v>
      </c>
      <c r="N200" s="3">
        <v>239649.31</v>
      </c>
      <c r="O200" s="3">
        <v>224489.33</v>
      </c>
      <c r="P200" s="3">
        <v>-15159.98</v>
      </c>
      <c r="Q200" s="3">
        <v>0</v>
      </c>
      <c r="R200" s="3">
        <v>239649.31</v>
      </c>
      <c r="S200" s="3">
        <v>239649.31</v>
      </c>
      <c r="T200" s="3">
        <v>223815.86201000001</v>
      </c>
      <c r="U200" s="3">
        <v>17020</v>
      </c>
      <c r="V200" s="3">
        <v>17040</v>
      </c>
      <c r="W200" s="3">
        <v>15190</v>
      </c>
      <c r="X200" s="3">
        <v>18990</v>
      </c>
      <c r="Y200" s="3">
        <v>19820</v>
      </c>
      <c r="Z200" s="3">
        <v>21050</v>
      </c>
      <c r="AA200" s="3">
        <v>16640</v>
      </c>
      <c r="AB200" s="3">
        <v>17720</v>
      </c>
      <c r="AC200" s="3">
        <v>19660</v>
      </c>
      <c r="AD200" s="3">
        <v>18170</v>
      </c>
      <c r="AE200" s="3">
        <v>181300</v>
      </c>
      <c r="AF200" s="3">
        <v>181300</v>
      </c>
      <c r="AG200" s="3">
        <v>1619.5</v>
      </c>
      <c r="AH200" s="40">
        <v>0.87870000000000004</v>
      </c>
      <c r="AI200" s="40">
        <v>0.87970000000000004</v>
      </c>
      <c r="AJ200" s="40">
        <v>0.8821</v>
      </c>
      <c r="AK200" s="40">
        <v>0.86819999999999997</v>
      </c>
      <c r="AL200" s="40">
        <v>0.9224</v>
      </c>
      <c r="AM200" s="40">
        <v>0.93959999999999999</v>
      </c>
      <c r="AN200" s="40">
        <v>0.85740000000000005</v>
      </c>
      <c r="AO200" s="40">
        <v>0.9133</v>
      </c>
      <c r="AP200" s="40">
        <v>0.87780000000000002</v>
      </c>
      <c r="AQ200" s="40">
        <v>0.93630000000000002</v>
      </c>
      <c r="AR200" s="31">
        <v>0.75652210306802004</v>
      </c>
      <c r="AS200" s="36">
        <v>3.3517386013985999</v>
      </c>
      <c r="AT200">
        <v>2.8</v>
      </c>
      <c r="AU200">
        <v>2.82</v>
      </c>
      <c r="AW200">
        <v>2.87</v>
      </c>
      <c r="AY200" s="6">
        <v>2.83</v>
      </c>
      <c r="AZ200" s="2">
        <v>0.89549999999999996</v>
      </c>
      <c r="BA200" s="2">
        <v>1.18435992982283</v>
      </c>
      <c r="BB200" s="2">
        <v>0.997</v>
      </c>
      <c r="BC200">
        <v>71500</v>
      </c>
      <c r="BD200">
        <v>56992</v>
      </c>
      <c r="BE200">
        <v>22000</v>
      </c>
      <c r="BF200">
        <v>30030</v>
      </c>
      <c r="BG200" s="9" t="s">
        <v>74</v>
      </c>
    </row>
    <row r="201" spans="3:59" ht="409.5" x14ac:dyDescent="0.25">
      <c r="C201" s="1">
        <v>45821</v>
      </c>
      <c r="D201" s="36">
        <v>236808</v>
      </c>
      <c r="E201" s="33">
        <v>4.1399999999999997</v>
      </c>
      <c r="F201" s="33">
        <v>3.3935580000000001</v>
      </c>
      <c r="G201" s="2">
        <v>0.81969999999999998</v>
      </c>
      <c r="H201" s="2">
        <v>0.99</v>
      </c>
      <c r="I201" s="3">
        <v>62099.28</v>
      </c>
      <c r="J201" s="3">
        <v>61931.68</v>
      </c>
      <c r="K201" s="3">
        <v>49429.67</v>
      </c>
      <c r="L201" s="3">
        <v>50263.5</v>
      </c>
      <c r="M201" s="3">
        <v>49619.02</v>
      </c>
      <c r="N201" s="3">
        <v>273343.15000000002</v>
      </c>
      <c r="O201" s="3">
        <v>292875</v>
      </c>
      <c r="P201" s="3">
        <v>19531.849999999999</v>
      </c>
      <c r="Q201" s="3">
        <v>19531.849999999999</v>
      </c>
      <c r="R201" s="3">
        <v>292875</v>
      </c>
      <c r="S201" s="3">
        <v>292875</v>
      </c>
      <c r="T201" s="3">
        <v>291996.375</v>
      </c>
      <c r="U201" s="3">
        <v>28090</v>
      </c>
      <c r="V201" s="3">
        <v>27670</v>
      </c>
      <c r="W201" s="3">
        <v>24150</v>
      </c>
      <c r="X201" s="3">
        <v>30380</v>
      </c>
      <c r="Y201" s="3">
        <v>29880</v>
      </c>
      <c r="Z201" s="3">
        <v>37250</v>
      </c>
      <c r="AA201" s="3">
        <v>29430</v>
      </c>
      <c r="AB201" s="3">
        <v>31780</v>
      </c>
      <c r="AC201" s="3">
        <v>35310</v>
      </c>
      <c r="AD201" s="3">
        <v>32640</v>
      </c>
      <c r="AE201" s="3">
        <v>306580</v>
      </c>
      <c r="AF201" s="3">
        <v>326111.84999999998</v>
      </c>
      <c r="AG201" s="3">
        <v>1442.99</v>
      </c>
      <c r="AH201" s="40">
        <v>0.79569999999999996</v>
      </c>
      <c r="AI201" s="40">
        <v>0.78369999999999995</v>
      </c>
      <c r="AJ201" s="40">
        <v>0.76970000000000005</v>
      </c>
      <c r="AK201" s="40">
        <v>0.76229999999999998</v>
      </c>
      <c r="AL201" s="40">
        <v>0.75560000000000005</v>
      </c>
      <c r="AM201" s="40">
        <v>0.90580000000000005</v>
      </c>
      <c r="AN201" s="40">
        <v>0.82609999999999995</v>
      </c>
      <c r="AO201" s="40">
        <v>0.8921</v>
      </c>
      <c r="AP201" s="40">
        <v>0.85860000000000003</v>
      </c>
      <c r="AQ201" s="40">
        <v>0.91639999999999999</v>
      </c>
      <c r="AR201" s="31">
        <v>1.12159386470815</v>
      </c>
      <c r="AS201" s="36">
        <v>4.0961538461538503</v>
      </c>
      <c r="AT201">
        <v>5.14</v>
      </c>
      <c r="AU201">
        <v>5.19</v>
      </c>
      <c r="AW201">
        <v>5.23</v>
      </c>
      <c r="AY201" s="6">
        <v>5.1866666666666701</v>
      </c>
      <c r="AZ201" s="2">
        <v>0.8266</v>
      </c>
      <c r="BA201" s="2">
        <v>0.78974688550523997</v>
      </c>
      <c r="BB201" s="2">
        <v>0.997</v>
      </c>
      <c r="BC201">
        <v>71500</v>
      </c>
      <c r="BD201">
        <v>56992</v>
      </c>
      <c r="BE201">
        <v>22000</v>
      </c>
      <c r="BF201">
        <v>27495</v>
      </c>
      <c r="BG201" s="9" t="s">
        <v>74</v>
      </c>
    </row>
    <row r="202" spans="3:59" ht="409.5" x14ac:dyDescent="0.25">
      <c r="C202" s="1">
        <v>45822</v>
      </c>
      <c r="D202" s="36">
        <v>236808</v>
      </c>
      <c r="E202" s="33">
        <v>4.1399999999999997</v>
      </c>
      <c r="F202" s="33">
        <v>3.3935580000000001</v>
      </c>
      <c r="G202" s="2">
        <v>0.81969999999999998</v>
      </c>
      <c r="H202" s="2">
        <v>0.99</v>
      </c>
      <c r="I202" s="3">
        <v>33127.69</v>
      </c>
      <c r="J202" s="3">
        <v>33155.040000000001</v>
      </c>
      <c r="K202" s="3">
        <v>23352.12</v>
      </c>
      <c r="L202" s="3">
        <v>24656.5</v>
      </c>
      <c r="M202" s="3">
        <v>26573.4</v>
      </c>
      <c r="N202" s="3">
        <v>140864.75</v>
      </c>
      <c r="O202" s="3">
        <v>123842</v>
      </c>
      <c r="P202" s="3">
        <v>-17022.75</v>
      </c>
      <c r="Q202" s="3">
        <v>0</v>
      </c>
      <c r="R202" s="3">
        <v>140864.75</v>
      </c>
      <c r="S202" s="3">
        <v>140864.75</v>
      </c>
      <c r="T202" s="3">
        <v>123470.474</v>
      </c>
      <c r="U202" s="3">
        <v>13840</v>
      </c>
      <c r="V202" s="3">
        <v>13770</v>
      </c>
      <c r="W202" s="3">
        <v>11990</v>
      </c>
      <c r="X202" s="3">
        <v>14610</v>
      </c>
      <c r="Y202" s="3">
        <v>15440</v>
      </c>
      <c r="Z202" s="3">
        <v>17080</v>
      </c>
      <c r="AA202" s="3">
        <v>13480</v>
      </c>
      <c r="AB202" s="3">
        <v>14400</v>
      </c>
      <c r="AC202" s="3">
        <v>15660</v>
      </c>
      <c r="AD202" s="3">
        <v>14690</v>
      </c>
      <c r="AE202" s="3">
        <v>144960</v>
      </c>
      <c r="AF202" s="3">
        <v>144960</v>
      </c>
      <c r="AG202" s="3">
        <v>1454.83</v>
      </c>
      <c r="AH202" s="40">
        <v>0.90720000000000001</v>
      </c>
      <c r="AI202" s="40">
        <v>0.90269999999999995</v>
      </c>
      <c r="AJ202" s="40">
        <v>0.8841</v>
      </c>
      <c r="AK202" s="40">
        <v>0.84830000000000005</v>
      </c>
      <c r="AL202" s="40">
        <v>0.87319999999999998</v>
      </c>
      <c r="AM202" s="40">
        <v>0.95309999999999995</v>
      </c>
      <c r="AN202" s="40">
        <v>0.86819999999999997</v>
      </c>
      <c r="AO202" s="40">
        <v>0.92730000000000001</v>
      </c>
      <c r="AP202" s="40">
        <v>0.87390000000000001</v>
      </c>
      <c r="AQ202" s="40">
        <v>0.94610000000000005</v>
      </c>
      <c r="AR202" s="31">
        <v>1.02907221288505</v>
      </c>
      <c r="AS202" s="36">
        <v>1.97013636363636</v>
      </c>
      <c r="AT202">
        <v>2.2400000000000002</v>
      </c>
      <c r="AU202">
        <v>2.3199999999999998</v>
      </c>
      <c r="AW202">
        <v>2.2599999999999998</v>
      </c>
      <c r="AY202" s="6">
        <v>2.2733333333333299</v>
      </c>
      <c r="AZ202" s="2">
        <v>0.89839999999999998</v>
      </c>
      <c r="BA202" s="2">
        <v>0.86662889896027695</v>
      </c>
      <c r="BB202" s="2">
        <v>0.997</v>
      </c>
      <c r="BC202">
        <v>71500</v>
      </c>
      <c r="BD202">
        <v>56992</v>
      </c>
      <c r="BE202">
        <v>15164</v>
      </c>
      <c r="BF202">
        <v>30030</v>
      </c>
      <c r="BG202" s="9" t="s">
        <v>74</v>
      </c>
    </row>
    <row r="203" spans="3:59" ht="409.5" x14ac:dyDescent="0.25">
      <c r="C203" s="1">
        <v>45823</v>
      </c>
      <c r="D203" s="36">
        <v>236808</v>
      </c>
      <c r="E203" s="33">
        <v>4.1399999999999997</v>
      </c>
      <c r="F203" s="33">
        <v>3.3935580000000001</v>
      </c>
      <c r="G203" s="2">
        <v>0.81969999999999998</v>
      </c>
      <c r="H203" s="2">
        <v>0.99</v>
      </c>
      <c r="I203" s="3">
        <v>14364.66</v>
      </c>
      <c r="J203" s="3">
        <v>84765.77</v>
      </c>
      <c r="K203" s="3">
        <v>56930.26</v>
      </c>
      <c r="L203" s="3">
        <v>60042</v>
      </c>
      <c r="M203" s="3">
        <v>53586.66</v>
      </c>
      <c r="N203" s="3">
        <v>269689.34999999998</v>
      </c>
      <c r="O203" s="3">
        <v>332228.83</v>
      </c>
      <c r="P203" s="3">
        <v>62539.48</v>
      </c>
      <c r="Q203" s="3">
        <v>62539.48</v>
      </c>
      <c r="R203" s="3">
        <v>332228.83</v>
      </c>
      <c r="S203" s="3">
        <v>332228.83</v>
      </c>
      <c r="T203" s="3">
        <v>331232.14351000002</v>
      </c>
      <c r="U203" s="3">
        <v>18600</v>
      </c>
      <c r="V203" s="3">
        <v>18420</v>
      </c>
      <c r="W203" s="3">
        <v>16570</v>
      </c>
      <c r="X203" s="3">
        <v>20380</v>
      </c>
      <c r="Y203" s="3">
        <v>21170</v>
      </c>
      <c r="Z203" s="3">
        <v>29860</v>
      </c>
      <c r="AA203" s="3">
        <v>29010</v>
      </c>
      <c r="AB203" s="3">
        <v>30720</v>
      </c>
      <c r="AC203" s="3">
        <v>35060</v>
      </c>
      <c r="AD203" s="3">
        <v>32380</v>
      </c>
      <c r="AE203" s="3">
        <v>252170</v>
      </c>
      <c r="AF203" s="3">
        <v>314709.48</v>
      </c>
      <c r="AG203" s="3">
        <v>1310.76</v>
      </c>
      <c r="AH203" s="40">
        <v>0.5413</v>
      </c>
      <c r="AI203" s="40">
        <v>0.53600000000000003</v>
      </c>
      <c r="AJ203" s="40">
        <v>0.54249999999999998</v>
      </c>
      <c r="AK203" s="40">
        <v>0.52559999999999996</v>
      </c>
      <c r="AL203" s="40">
        <v>0.54379999999999995</v>
      </c>
      <c r="AM203" s="40">
        <v>0.72629999999999995</v>
      </c>
      <c r="AN203" s="40">
        <v>0.8145</v>
      </c>
      <c r="AO203" s="40">
        <v>0.86250000000000004</v>
      </c>
      <c r="AP203" s="40">
        <v>0.85260000000000002</v>
      </c>
      <c r="AQ203" s="40">
        <v>0.90910000000000002</v>
      </c>
      <c r="AR203" s="31">
        <v>0.93503877702252602</v>
      </c>
      <c r="AS203" s="36">
        <v>4.6465570629370596</v>
      </c>
      <c r="AT203">
        <v>5.14</v>
      </c>
      <c r="AU203">
        <v>5.1100000000000003</v>
      </c>
      <c r="AW203">
        <v>5.09</v>
      </c>
      <c r="AY203" s="6">
        <v>5.1133333333333297</v>
      </c>
      <c r="AZ203" s="2">
        <v>0.68540000000000001</v>
      </c>
      <c r="BA203" s="2">
        <v>0.90871389757569698</v>
      </c>
      <c r="BB203" s="2">
        <v>0.997</v>
      </c>
      <c r="BC203">
        <v>71500</v>
      </c>
      <c r="BD203">
        <v>56992</v>
      </c>
      <c r="BE203">
        <v>10000</v>
      </c>
      <c r="BF203">
        <v>30030</v>
      </c>
      <c r="BG203" s="9" t="s">
        <v>73</v>
      </c>
    </row>
    <row r="204" spans="3:59" ht="409.5" x14ac:dyDescent="0.25">
      <c r="C204" s="1">
        <v>45824</v>
      </c>
      <c r="D204" s="36">
        <v>236808</v>
      </c>
      <c r="E204" s="33">
        <v>4.1399999999999997</v>
      </c>
      <c r="F204" s="33">
        <v>3.3935580000000001</v>
      </c>
      <c r="G204" s="2">
        <v>0.81969999999999998</v>
      </c>
      <c r="H204" s="2">
        <v>0.99</v>
      </c>
      <c r="I204" s="3">
        <v>0</v>
      </c>
      <c r="J204" s="3">
        <v>72780.539999999994</v>
      </c>
      <c r="K204" s="3">
        <v>40781.75</v>
      </c>
      <c r="L204" s="3">
        <v>46534</v>
      </c>
      <c r="M204" s="3">
        <v>41946.55</v>
      </c>
      <c r="N204" s="3">
        <v>202042.84</v>
      </c>
      <c r="O204" s="3">
        <v>231811</v>
      </c>
      <c r="P204" s="3">
        <v>29768.16</v>
      </c>
      <c r="Q204" s="3">
        <v>29768.16</v>
      </c>
      <c r="R204" s="3">
        <v>231811</v>
      </c>
      <c r="S204" s="3">
        <v>231811</v>
      </c>
      <c r="T204" s="3">
        <v>231811</v>
      </c>
      <c r="U204" s="3">
        <v>16060</v>
      </c>
      <c r="V204" s="3">
        <v>15830</v>
      </c>
      <c r="W204" s="3">
        <v>14190</v>
      </c>
      <c r="X204" s="3">
        <v>17510</v>
      </c>
      <c r="Y204" s="3">
        <v>18010</v>
      </c>
      <c r="Z204" s="3">
        <v>25850</v>
      </c>
      <c r="AA204" s="3">
        <v>23620</v>
      </c>
      <c r="AB204" s="3">
        <v>24440</v>
      </c>
      <c r="AC204" s="3">
        <v>28110</v>
      </c>
      <c r="AD204" s="3">
        <v>25080</v>
      </c>
      <c r="AE204" s="3">
        <v>208700</v>
      </c>
      <c r="AF204" s="3">
        <v>238468.16</v>
      </c>
      <c r="AG204" s="3">
        <v>1528.95</v>
      </c>
      <c r="AH204" s="40">
        <v>0.58750000000000002</v>
      </c>
      <c r="AI204" s="40">
        <v>0.57909999999999995</v>
      </c>
      <c r="AJ204" s="40">
        <v>0.58379999999999999</v>
      </c>
      <c r="AK204" s="40">
        <v>0.5675</v>
      </c>
      <c r="AL204" s="40">
        <v>0.59389999999999998</v>
      </c>
      <c r="AM204" s="40">
        <v>0.8327</v>
      </c>
      <c r="AN204" s="40">
        <v>0.87829999999999997</v>
      </c>
      <c r="AO204" s="40">
        <v>0.90910000000000002</v>
      </c>
      <c r="AP204" s="40">
        <v>0.90559999999999996</v>
      </c>
      <c r="AQ204" s="40">
        <v>0.93289999999999995</v>
      </c>
      <c r="AR204" s="31">
        <v>1.03294924977297</v>
      </c>
      <c r="AS204" s="36">
        <v>3.2421118881118902</v>
      </c>
      <c r="AT204">
        <v>3.88</v>
      </c>
      <c r="AU204">
        <v>3.98</v>
      </c>
      <c r="AW204">
        <v>4.05</v>
      </c>
      <c r="AY204" s="6">
        <v>3.97</v>
      </c>
      <c r="AZ204" s="2">
        <v>0.73699999999999999</v>
      </c>
      <c r="BA204" s="2">
        <v>0.816652868542037</v>
      </c>
      <c r="BB204" s="2">
        <v>1</v>
      </c>
      <c r="BC204">
        <v>71500</v>
      </c>
      <c r="BD204">
        <v>56992</v>
      </c>
      <c r="BE204">
        <v>9597</v>
      </c>
      <c r="BF204">
        <v>30030</v>
      </c>
      <c r="BG204" s="9" t="s">
        <v>73</v>
      </c>
    </row>
    <row r="205" spans="3:59" ht="409.5" x14ac:dyDescent="0.25">
      <c r="C205" s="1">
        <v>45825</v>
      </c>
      <c r="D205" s="36">
        <v>236808</v>
      </c>
      <c r="E205" s="33">
        <v>4.1399999999999997</v>
      </c>
      <c r="F205" s="33">
        <v>3.3935580000000001</v>
      </c>
      <c r="G205" s="2">
        <v>0.81969999999999998</v>
      </c>
      <c r="H205" s="2">
        <v>0.99</v>
      </c>
      <c r="I205" s="3">
        <v>0</v>
      </c>
      <c r="J205" s="3">
        <v>72100.39</v>
      </c>
      <c r="K205" s="3">
        <v>40733.360000000001</v>
      </c>
      <c r="L205" s="3">
        <v>47085.5</v>
      </c>
      <c r="M205" s="3">
        <v>41366.03</v>
      </c>
      <c r="N205" s="3">
        <v>201285.28</v>
      </c>
      <c r="O205" s="3">
        <v>231263</v>
      </c>
      <c r="P205" s="3">
        <v>29977.72</v>
      </c>
      <c r="Q205" s="3">
        <v>29977.72</v>
      </c>
      <c r="R205" s="3">
        <v>231263</v>
      </c>
      <c r="S205" s="3">
        <v>231263</v>
      </c>
      <c r="T205" s="3">
        <v>231263</v>
      </c>
      <c r="U205" s="3">
        <v>14660</v>
      </c>
      <c r="V205" s="3">
        <v>14620</v>
      </c>
      <c r="W205" s="3">
        <v>13260</v>
      </c>
      <c r="X205" s="3">
        <v>16660</v>
      </c>
      <c r="Y205" s="3">
        <v>16880</v>
      </c>
      <c r="Z205" s="3">
        <v>30310</v>
      </c>
      <c r="AA205" s="3">
        <v>25970</v>
      </c>
      <c r="AB205" s="3">
        <v>26560</v>
      </c>
      <c r="AC205" s="3">
        <v>29970</v>
      </c>
      <c r="AD205" s="3">
        <v>27950</v>
      </c>
      <c r="AE205" s="3">
        <v>216840</v>
      </c>
      <c r="AF205" s="3">
        <v>246817.72</v>
      </c>
      <c r="AG205" s="3">
        <v>1596.14</v>
      </c>
      <c r="AH205" s="40">
        <v>0.50049999999999994</v>
      </c>
      <c r="AI205" s="40">
        <v>0.49890000000000001</v>
      </c>
      <c r="AJ205" s="40">
        <v>0.5091</v>
      </c>
      <c r="AK205" s="40">
        <v>0.50370000000000004</v>
      </c>
      <c r="AL205" s="40">
        <v>0.50339999999999996</v>
      </c>
      <c r="AM205" s="40">
        <v>0.88119999999999998</v>
      </c>
      <c r="AN205" s="40">
        <v>0.87139999999999995</v>
      </c>
      <c r="AO205" s="40">
        <v>0.89119999999999999</v>
      </c>
      <c r="AP205" s="40">
        <v>0.87109999999999999</v>
      </c>
      <c r="AQ205" s="40">
        <v>0.93799999999999994</v>
      </c>
      <c r="AR205" s="31">
        <v>1.0772769871696499</v>
      </c>
      <c r="AS205" s="36">
        <v>3.2344475524475498</v>
      </c>
      <c r="AT205">
        <v>4.3</v>
      </c>
      <c r="AU205">
        <v>4.4000000000000004</v>
      </c>
      <c r="AW205">
        <v>4.34</v>
      </c>
      <c r="AY205" s="6">
        <v>4.3466666666666702</v>
      </c>
      <c r="AZ205" s="2">
        <v>0.69679999999999997</v>
      </c>
      <c r="BA205" s="2">
        <v>0.74412136942811802</v>
      </c>
      <c r="BB205" s="2">
        <v>1</v>
      </c>
      <c r="BC205">
        <v>71500</v>
      </c>
      <c r="BD205">
        <v>56992</v>
      </c>
      <c r="BE205">
        <v>13717</v>
      </c>
      <c r="BF205">
        <v>30030</v>
      </c>
      <c r="BG205" s="9" t="s">
        <v>73</v>
      </c>
    </row>
    <row r="206" spans="3:59" ht="409.5" x14ac:dyDescent="0.25">
      <c r="C206" s="1">
        <v>45826</v>
      </c>
      <c r="D206" s="36">
        <v>236808</v>
      </c>
      <c r="E206" s="33">
        <v>4.1399999999999997</v>
      </c>
      <c r="F206" s="33">
        <v>3.3935580000000001</v>
      </c>
      <c r="G206" s="2">
        <v>0.81969999999999998</v>
      </c>
      <c r="H206" s="2">
        <v>0.99</v>
      </c>
      <c r="I206" s="3">
        <v>20925.759999999998</v>
      </c>
      <c r="J206" s="3">
        <v>57968.51</v>
      </c>
      <c r="K206" s="3">
        <v>38990.47</v>
      </c>
      <c r="L206" s="3">
        <v>43894.5</v>
      </c>
      <c r="M206" s="3">
        <v>39858.089999999997</v>
      </c>
      <c r="N206" s="3">
        <v>201637.33</v>
      </c>
      <c r="O206" s="3">
        <v>236668</v>
      </c>
      <c r="P206" s="3">
        <v>35030.67</v>
      </c>
      <c r="Q206" s="3">
        <v>35030.67</v>
      </c>
      <c r="R206" s="3">
        <v>236668</v>
      </c>
      <c r="S206" s="3">
        <v>236668</v>
      </c>
      <c r="T206" s="3">
        <v>236668</v>
      </c>
      <c r="U206" s="3">
        <v>17510</v>
      </c>
      <c r="V206" s="3">
        <v>18310</v>
      </c>
      <c r="W206" s="3">
        <v>16270</v>
      </c>
      <c r="X206" s="3">
        <v>20140</v>
      </c>
      <c r="Y206" s="3">
        <v>20940</v>
      </c>
      <c r="Z206" s="3">
        <v>30650</v>
      </c>
      <c r="AA206" s="3">
        <v>27230</v>
      </c>
      <c r="AB206" s="3">
        <v>25760</v>
      </c>
      <c r="AC206" s="3">
        <v>28840</v>
      </c>
      <c r="AD206" s="3">
        <v>26400</v>
      </c>
      <c r="AE206" s="3">
        <v>232050</v>
      </c>
      <c r="AF206" s="3">
        <v>267080.67</v>
      </c>
      <c r="AG206" s="3">
        <v>1425.85</v>
      </c>
      <c r="AH206" s="40">
        <v>0.61470000000000002</v>
      </c>
      <c r="AI206" s="40">
        <v>0.64290000000000003</v>
      </c>
      <c r="AJ206" s="40">
        <v>0.64270000000000005</v>
      </c>
      <c r="AK206" s="40">
        <v>0.62629999999999997</v>
      </c>
      <c r="AL206" s="40">
        <v>0.61209999999999998</v>
      </c>
      <c r="AM206" s="40">
        <v>0.90349999999999997</v>
      </c>
      <c r="AN206" s="40">
        <v>0.92649999999999999</v>
      </c>
      <c r="AO206" s="40">
        <v>0.87670000000000003</v>
      </c>
      <c r="AP206" s="40">
        <v>0.85009999999999997</v>
      </c>
      <c r="AQ206" s="40">
        <v>0.89839999999999998</v>
      </c>
      <c r="AR206" s="31">
        <v>1.1508285692932001</v>
      </c>
      <c r="AS206" s="36">
        <v>3.31004195804196</v>
      </c>
      <c r="AT206">
        <v>4.24</v>
      </c>
      <c r="AU206">
        <v>4.49</v>
      </c>
      <c r="AW206">
        <v>4.22</v>
      </c>
      <c r="AY206" s="6">
        <v>4.31666666666667</v>
      </c>
      <c r="AZ206" s="2">
        <v>0.75939999999999996</v>
      </c>
      <c r="BA206" s="2">
        <v>0.76680508680508697</v>
      </c>
      <c r="BB206" s="2">
        <v>1</v>
      </c>
      <c r="BC206">
        <v>71500</v>
      </c>
      <c r="BD206">
        <v>56992</v>
      </c>
      <c r="BE206">
        <v>22000</v>
      </c>
      <c r="BF206">
        <v>30030</v>
      </c>
      <c r="BG206" s="9" t="s">
        <v>73</v>
      </c>
    </row>
    <row r="207" spans="3:59" ht="409.5" x14ac:dyDescent="0.25">
      <c r="C207" s="1">
        <v>45827</v>
      </c>
      <c r="D207" s="36">
        <v>236808</v>
      </c>
      <c r="E207" s="33">
        <v>4.1399999999999997</v>
      </c>
      <c r="F207" s="33">
        <v>3.3935580000000001</v>
      </c>
      <c r="G207" s="2">
        <v>0.81969999999999998</v>
      </c>
      <c r="H207" s="2">
        <v>0.99</v>
      </c>
      <c r="I207" s="3">
        <v>32619.78</v>
      </c>
      <c r="J207" s="3">
        <v>32624.04</v>
      </c>
      <c r="K207" s="3">
        <v>20927.5</v>
      </c>
      <c r="L207" s="3">
        <v>27328.5</v>
      </c>
      <c r="M207" s="3">
        <v>25555.56</v>
      </c>
      <c r="N207" s="3">
        <v>139055.38</v>
      </c>
      <c r="O207" s="3">
        <v>121976.67</v>
      </c>
      <c r="P207" s="3">
        <v>-17078.71</v>
      </c>
      <c r="Q207" s="3">
        <v>0</v>
      </c>
      <c r="R207" s="3">
        <v>139055.38</v>
      </c>
      <c r="S207" s="3">
        <v>139055.38</v>
      </c>
      <c r="T207" s="3">
        <v>121976.67</v>
      </c>
      <c r="U207" s="3">
        <v>11570</v>
      </c>
      <c r="V207" s="3">
        <v>11570</v>
      </c>
      <c r="W207" s="3">
        <v>10240</v>
      </c>
      <c r="X207" s="3">
        <v>12670</v>
      </c>
      <c r="Y207" s="3">
        <v>13340</v>
      </c>
      <c r="Z207" s="3">
        <v>13170</v>
      </c>
      <c r="AA207" s="3">
        <v>11760</v>
      </c>
      <c r="AB207" s="3">
        <v>11550</v>
      </c>
      <c r="AC207" s="3">
        <v>12680</v>
      </c>
      <c r="AD207" s="3">
        <v>11970</v>
      </c>
      <c r="AE207" s="3">
        <v>120520</v>
      </c>
      <c r="AF207" s="3">
        <v>120520</v>
      </c>
      <c r="AG207" s="3">
        <v>1392.97</v>
      </c>
      <c r="AH207" s="40">
        <v>0.93159999999999998</v>
      </c>
      <c r="AI207" s="40">
        <v>0.93159999999999998</v>
      </c>
      <c r="AJ207" s="40">
        <v>0.92759999999999998</v>
      </c>
      <c r="AK207" s="40">
        <v>0.90359999999999996</v>
      </c>
      <c r="AL207" s="40">
        <v>0.95109999999999995</v>
      </c>
      <c r="AM207" s="40">
        <v>0.9405</v>
      </c>
      <c r="AN207" s="40">
        <v>0.9698</v>
      </c>
      <c r="AO207" s="40">
        <v>0.95209999999999995</v>
      </c>
      <c r="AP207" s="40">
        <v>0.90549999999999997</v>
      </c>
      <c r="AQ207" s="40">
        <v>0.98660000000000003</v>
      </c>
      <c r="AR207" s="31">
        <v>0.86670504945583504</v>
      </c>
      <c r="AS207" s="36">
        <v>1.94483048951049</v>
      </c>
      <c r="AT207">
        <v>1.75</v>
      </c>
      <c r="AU207">
        <v>1.84</v>
      </c>
      <c r="AW207">
        <v>1.84</v>
      </c>
      <c r="AY207" s="6">
        <v>1.81</v>
      </c>
      <c r="AZ207" s="2">
        <v>0.94</v>
      </c>
      <c r="BA207" s="2">
        <v>1.07449198315497</v>
      </c>
      <c r="BB207" s="2">
        <v>1</v>
      </c>
      <c r="BC207">
        <v>71500</v>
      </c>
      <c r="BD207">
        <v>56992</v>
      </c>
      <c r="BE207">
        <v>22000</v>
      </c>
      <c r="BF207">
        <v>30030</v>
      </c>
      <c r="BG207" s="9" t="s">
        <v>72</v>
      </c>
    </row>
    <row r="208" spans="3:59" ht="409.5" x14ac:dyDescent="0.25">
      <c r="C208" s="1">
        <v>45828</v>
      </c>
      <c r="D208" s="36">
        <v>236808</v>
      </c>
      <c r="E208" s="33">
        <v>4.1399999999999997</v>
      </c>
      <c r="F208" s="33">
        <v>3.3935580000000001</v>
      </c>
      <c r="G208" s="2">
        <v>0.81969999999999998</v>
      </c>
      <c r="H208" s="2">
        <v>0.99</v>
      </c>
      <c r="I208" s="3">
        <v>56417</v>
      </c>
      <c r="J208" s="3">
        <v>56360</v>
      </c>
      <c r="K208" s="3">
        <v>39968.5</v>
      </c>
      <c r="L208" s="3">
        <v>44774</v>
      </c>
      <c r="M208" s="3">
        <v>40778</v>
      </c>
      <c r="N208" s="3">
        <v>238297.5</v>
      </c>
      <c r="O208" s="3">
        <v>218482.5</v>
      </c>
      <c r="P208" s="3">
        <v>-19815</v>
      </c>
      <c r="Q208" s="3">
        <v>0</v>
      </c>
      <c r="R208" s="3">
        <v>238297.5</v>
      </c>
      <c r="S208" s="3">
        <v>238297.5</v>
      </c>
      <c r="T208" s="3">
        <v>218482.5</v>
      </c>
      <c r="U208" s="3">
        <v>17480</v>
      </c>
      <c r="V208" s="3">
        <v>17350</v>
      </c>
      <c r="W208" s="3">
        <v>15360</v>
      </c>
      <c r="X208" s="3">
        <v>18790</v>
      </c>
      <c r="Y208" s="3">
        <v>19980</v>
      </c>
      <c r="Z208" s="3">
        <v>20650</v>
      </c>
      <c r="AA208" s="3">
        <v>17460</v>
      </c>
      <c r="AB208" s="3">
        <v>17460</v>
      </c>
      <c r="AC208" s="3">
        <v>19770</v>
      </c>
      <c r="AD208" s="3">
        <v>18030</v>
      </c>
      <c r="AE208" s="3">
        <v>182330</v>
      </c>
      <c r="AF208" s="3">
        <v>182330</v>
      </c>
      <c r="AG208" s="3">
        <v>1308.26</v>
      </c>
      <c r="AH208" s="40">
        <v>0.95</v>
      </c>
      <c r="AI208" s="40">
        <v>0.94</v>
      </c>
      <c r="AJ208" s="40">
        <v>0.93</v>
      </c>
      <c r="AK208" s="40">
        <v>0.9</v>
      </c>
      <c r="AL208" s="40">
        <v>0.96</v>
      </c>
      <c r="AM208" s="40">
        <v>0.97</v>
      </c>
      <c r="AN208" s="40">
        <v>0.94</v>
      </c>
      <c r="AO208" s="40">
        <v>0.94</v>
      </c>
      <c r="AP208" s="40">
        <v>0.93</v>
      </c>
      <c r="AQ208" s="40">
        <v>0.97</v>
      </c>
      <c r="AR208" s="31">
        <v>0.76513601695359801</v>
      </c>
      <c r="AS208" s="36">
        <v>3.3328321678321702</v>
      </c>
      <c r="AT208">
        <v>2.67</v>
      </c>
      <c r="AU208">
        <v>2.74</v>
      </c>
      <c r="AW208">
        <v>2.74</v>
      </c>
      <c r="AY208" s="6">
        <v>2.7166666666666699</v>
      </c>
      <c r="AZ208" s="2">
        <v>0.94279999999999997</v>
      </c>
      <c r="BA208" s="2">
        <v>1.22680938693209</v>
      </c>
      <c r="BB208" s="2">
        <v>1</v>
      </c>
      <c r="BC208">
        <v>71500</v>
      </c>
      <c r="BD208">
        <v>56992</v>
      </c>
      <c r="BE208">
        <v>22000</v>
      </c>
      <c r="BF208">
        <v>30030</v>
      </c>
      <c r="BG208" s="9" t="s">
        <v>72</v>
      </c>
    </row>
    <row r="209" spans="3:59" ht="409.5" x14ac:dyDescent="0.25">
      <c r="C209" s="1">
        <v>45829</v>
      </c>
      <c r="D209" s="36">
        <v>236808</v>
      </c>
      <c r="E209" s="33">
        <v>4.1399999999999997</v>
      </c>
      <c r="F209" s="33">
        <v>3.3935580000000001</v>
      </c>
      <c r="G209" s="2">
        <v>0.81969999999999998</v>
      </c>
      <c r="H209" s="2">
        <v>0.99</v>
      </c>
      <c r="I209" s="3">
        <v>62249.5</v>
      </c>
      <c r="J209" s="3">
        <v>62073</v>
      </c>
      <c r="K209" s="3">
        <v>45598.5</v>
      </c>
      <c r="L209" s="3">
        <v>50191</v>
      </c>
      <c r="M209" s="3">
        <v>45519</v>
      </c>
      <c r="N209" s="3">
        <v>265631</v>
      </c>
      <c r="O209" s="3">
        <v>256677.83</v>
      </c>
      <c r="P209" s="3">
        <v>-8953.1700000000092</v>
      </c>
      <c r="Q209" s="3">
        <v>0</v>
      </c>
      <c r="R209" s="3">
        <v>265631</v>
      </c>
      <c r="S209" s="3">
        <v>265631</v>
      </c>
      <c r="T209" s="3">
        <v>256677.83</v>
      </c>
      <c r="U209" s="3">
        <v>28500</v>
      </c>
      <c r="V209" s="3">
        <v>28420</v>
      </c>
      <c r="W209" s="3">
        <v>24570</v>
      </c>
      <c r="X209" s="3">
        <v>30100</v>
      </c>
      <c r="Y209" s="3">
        <v>31490</v>
      </c>
      <c r="Z209" s="3">
        <v>34890</v>
      </c>
      <c r="AA209" s="3">
        <v>29520</v>
      </c>
      <c r="AB209" s="3">
        <v>29420</v>
      </c>
      <c r="AC209" s="3">
        <v>33750</v>
      </c>
      <c r="AD209" s="3">
        <v>30960</v>
      </c>
      <c r="AE209" s="3">
        <v>301620</v>
      </c>
      <c r="AF209" s="3">
        <v>301620</v>
      </c>
      <c r="AG209" s="3">
        <v>1687.59</v>
      </c>
      <c r="AH209" s="40">
        <v>0.88</v>
      </c>
      <c r="AI209" s="40">
        <v>0.87</v>
      </c>
      <c r="AJ209" s="40">
        <v>0.85</v>
      </c>
      <c r="AK209" s="40">
        <v>0.82</v>
      </c>
      <c r="AL209" s="40">
        <v>0.87</v>
      </c>
      <c r="AM209" s="40">
        <v>0.93</v>
      </c>
      <c r="AN209" s="40">
        <v>0.91</v>
      </c>
      <c r="AO209" s="40">
        <v>0.9</v>
      </c>
      <c r="AP209" s="40">
        <v>0.9</v>
      </c>
      <c r="AQ209" s="40">
        <v>0.95</v>
      </c>
      <c r="AR209" s="31">
        <v>1.1354849396343001</v>
      </c>
      <c r="AS209" s="36">
        <v>3.71511888111888</v>
      </c>
      <c r="AT209">
        <v>4.7</v>
      </c>
      <c r="AU209">
        <v>4.7699999999999996</v>
      </c>
      <c r="AW209">
        <v>4.82</v>
      </c>
      <c r="AY209" s="6">
        <v>4.7633333333333301</v>
      </c>
      <c r="AZ209" s="2">
        <v>0.8871</v>
      </c>
      <c r="BA209" s="2">
        <v>0.77994098274014301</v>
      </c>
      <c r="BB209" s="2">
        <v>1</v>
      </c>
      <c r="BC209">
        <v>71500</v>
      </c>
      <c r="BD209">
        <v>56992</v>
      </c>
      <c r="BE209">
        <v>22000</v>
      </c>
      <c r="BF209">
        <v>30030</v>
      </c>
      <c r="BG209" s="9" t="s">
        <v>72</v>
      </c>
    </row>
    <row r="210" spans="3:59" ht="409.5" x14ac:dyDescent="0.25">
      <c r="C210" s="1">
        <v>45830</v>
      </c>
      <c r="D210" s="36">
        <v>236808</v>
      </c>
      <c r="E210" s="33">
        <v>4.1399999999999997</v>
      </c>
      <c r="F210" s="33">
        <v>3.3935580000000001</v>
      </c>
      <c r="G210" s="2">
        <v>0.81969999999999998</v>
      </c>
      <c r="H210" s="2">
        <v>0.99</v>
      </c>
      <c r="I210" s="3">
        <v>69586</v>
      </c>
      <c r="J210" s="3">
        <v>69490</v>
      </c>
      <c r="K210" s="3">
        <v>50931</v>
      </c>
      <c r="L210" s="3">
        <v>54771.5</v>
      </c>
      <c r="M210" s="3">
        <v>49372</v>
      </c>
      <c r="N210" s="3">
        <v>294150.5</v>
      </c>
      <c r="O210" s="3">
        <v>281081.5</v>
      </c>
      <c r="P210" s="3">
        <v>-13069</v>
      </c>
      <c r="Q210" s="3">
        <v>0</v>
      </c>
      <c r="R210" s="3">
        <v>294150.5</v>
      </c>
      <c r="S210" s="3">
        <v>294150.5</v>
      </c>
      <c r="T210" s="3">
        <v>281081.5</v>
      </c>
      <c r="U210" s="3">
        <v>23960</v>
      </c>
      <c r="V210" s="3">
        <v>23860</v>
      </c>
      <c r="W210" s="3">
        <v>20880</v>
      </c>
      <c r="X210" s="3">
        <v>25650</v>
      </c>
      <c r="Y210" s="3">
        <v>26740</v>
      </c>
      <c r="Z210" s="3">
        <v>28590</v>
      </c>
      <c r="AA210" s="3">
        <v>24720</v>
      </c>
      <c r="AB210" s="3">
        <v>24110</v>
      </c>
      <c r="AC210" s="3">
        <v>27050</v>
      </c>
      <c r="AD210" s="3">
        <v>25010</v>
      </c>
      <c r="AE210" s="3">
        <v>250570</v>
      </c>
      <c r="AF210" s="3">
        <v>250570</v>
      </c>
      <c r="AG210" s="3">
        <v>1545.43</v>
      </c>
      <c r="AH210" s="40">
        <v>0.9</v>
      </c>
      <c r="AI210" s="40">
        <v>0.9</v>
      </c>
      <c r="AJ210" s="40">
        <v>0.89</v>
      </c>
      <c r="AK210" s="40">
        <v>0.86</v>
      </c>
      <c r="AL210" s="40">
        <v>0.88</v>
      </c>
      <c r="AM210" s="40">
        <v>0.93</v>
      </c>
      <c r="AN210" s="40">
        <v>0.93</v>
      </c>
      <c r="AO210" s="40">
        <v>0.91</v>
      </c>
      <c r="AP210" s="40">
        <v>0.88</v>
      </c>
      <c r="AQ210" s="40">
        <v>0.94</v>
      </c>
      <c r="AR210" s="31">
        <v>0.85184284915374997</v>
      </c>
      <c r="AS210" s="36">
        <v>4.1139930069930104</v>
      </c>
      <c r="AT210">
        <v>3.84</v>
      </c>
      <c r="AU210">
        <v>3.97</v>
      </c>
      <c r="AW210">
        <v>3.93</v>
      </c>
      <c r="AY210" s="6">
        <v>3.91333333333333</v>
      </c>
      <c r="AZ210" s="2">
        <v>0.90139999999999998</v>
      </c>
      <c r="BA210" s="2">
        <v>1.05127589616516</v>
      </c>
      <c r="BB210" s="2">
        <v>1</v>
      </c>
      <c r="BC210">
        <v>71500</v>
      </c>
      <c r="BD210">
        <v>56992</v>
      </c>
      <c r="BE210">
        <v>18744</v>
      </c>
      <c r="BF210">
        <v>30030</v>
      </c>
      <c r="BG210" s="9" t="s">
        <v>72</v>
      </c>
    </row>
    <row r="211" spans="3:59" ht="409.5" x14ac:dyDescent="0.25">
      <c r="C211" s="1">
        <v>45831</v>
      </c>
      <c r="D211" s="36">
        <v>236808</v>
      </c>
      <c r="E211" s="33">
        <v>4.1399999999999997</v>
      </c>
      <c r="F211" s="33">
        <v>3.3935580000000001</v>
      </c>
      <c r="G211" s="2">
        <v>0.81969999999999998</v>
      </c>
      <c r="H211" s="2">
        <v>0.99</v>
      </c>
      <c r="I211" s="3">
        <v>54538</v>
      </c>
      <c r="J211" s="3">
        <v>40217</v>
      </c>
      <c r="K211" s="3">
        <v>40217</v>
      </c>
      <c r="L211" s="3">
        <v>36841</v>
      </c>
      <c r="M211" s="3">
        <v>38491</v>
      </c>
      <c r="N211" s="3">
        <v>210304</v>
      </c>
      <c r="O211" s="3">
        <v>212586.17</v>
      </c>
      <c r="P211" s="3">
        <v>2282.1700000000101</v>
      </c>
      <c r="Q211" s="3">
        <v>2282.1700000000101</v>
      </c>
      <c r="R211" s="3">
        <v>212586.17</v>
      </c>
      <c r="S211" s="3">
        <v>212586.17</v>
      </c>
      <c r="T211" s="3">
        <v>212586.17</v>
      </c>
      <c r="U211" s="3">
        <v>24880</v>
      </c>
      <c r="V211" s="3">
        <v>23970</v>
      </c>
      <c r="W211" s="3">
        <v>20630</v>
      </c>
      <c r="X211" s="3">
        <v>24470</v>
      </c>
      <c r="Y211" s="3">
        <v>26540</v>
      </c>
      <c r="Z211" s="3">
        <v>30980</v>
      </c>
      <c r="AA211" s="3">
        <v>25490</v>
      </c>
      <c r="AB211" s="3">
        <v>26520</v>
      </c>
      <c r="AC211" s="3">
        <v>30220</v>
      </c>
      <c r="AD211" s="3">
        <v>27080</v>
      </c>
      <c r="AE211" s="3">
        <v>260780</v>
      </c>
      <c r="AF211" s="3">
        <v>263062.17</v>
      </c>
      <c r="AG211" s="3">
        <v>1461.9</v>
      </c>
      <c r="AH211" s="40">
        <v>0.84</v>
      </c>
      <c r="AI211" s="40">
        <v>0.81</v>
      </c>
      <c r="AJ211" s="40">
        <v>0.78</v>
      </c>
      <c r="AK211" s="40">
        <v>0.73</v>
      </c>
      <c r="AL211" s="40">
        <v>0.8</v>
      </c>
      <c r="AM211" s="40">
        <v>0.94</v>
      </c>
      <c r="AN211" s="40">
        <v>0.89</v>
      </c>
      <c r="AO211" s="40">
        <v>0.93</v>
      </c>
      <c r="AP211" s="40">
        <v>0.91</v>
      </c>
      <c r="AQ211" s="40">
        <v>0.95</v>
      </c>
      <c r="AR211" s="31">
        <v>1.2400144552647601</v>
      </c>
      <c r="AS211" s="36">
        <v>2.9732331468531501</v>
      </c>
      <c r="AT211">
        <v>4.13</v>
      </c>
      <c r="AU211">
        <v>4.34</v>
      </c>
      <c r="AW211">
        <v>4.3899999999999997</v>
      </c>
      <c r="AY211" s="6">
        <v>4.2866666666666697</v>
      </c>
      <c r="AZ211" s="2">
        <v>0.85819999999999996</v>
      </c>
      <c r="BA211" s="2">
        <v>0.69360026753961401</v>
      </c>
      <c r="BB211" s="2">
        <v>1</v>
      </c>
      <c r="BC211">
        <v>71500</v>
      </c>
      <c r="BD211">
        <v>56992</v>
      </c>
      <c r="BE211">
        <v>10000</v>
      </c>
      <c r="BF211">
        <v>30030</v>
      </c>
      <c r="BG211" s="9" t="s">
        <v>71</v>
      </c>
    </row>
    <row r="212" spans="3:59" ht="409.5" x14ac:dyDescent="0.25">
      <c r="C212" s="1">
        <v>45832</v>
      </c>
      <c r="D212" s="36">
        <v>236808</v>
      </c>
      <c r="E212" s="33">
        <v>4.1399999999999997</v>
      </c>
      <c r="F212" s="33">
        <v>3.3935580000000001</v>
      </c>
      <c r="G212" s="2">
        <v>0.81969999999999998</v>
      </c>
      <c r="H212" s="2">
        <v>0.99</v>
      </c>
      <c r="I212" s="3">
        <v>86021</v>
      </c>
      <c r="J212" s="3">
        <v>0</v>
      </c>
      <c r="K212" s="3">
        <v>34732.5</v>
      </c>
      <c r="L212" s="3">
        <v>41672.5</v>
      </c>
      <c r="M212" s="3">
        <v>37502</v>
      </c>
      <c r="N212" s="3">
        <v>199928</v>
      </c>
      <c r="O212" s="3">
        <v>201664.17</v>
      </c>
      <c r="P212" s="3">
        <v>1736.1700000000101</v>
      </c>
      <c r="Q212" s="3">
        <v>1736.1700000000101</v>
      </c>
      <c r="R212" s="3">
        <v>201664.17</v>
      </c>
      <c r="S212" s="3">
        <v>201664.17</v>
      </c>
      <c r="T212" s="3">
        <v>201664.17</v>
      </c>
      <c r="U212" s="3">
        <v>14650</v>
      </c>
      <c r="V212" s="3">
        <v>14550</v>
      </c>
      <c r="W212" s="3">
        <v>13220</v>
      </c>
      <c r="X212" s="3">
        <v>16350</v>
      </c>
      <c r="Y212" s="3">
        <v>16960</v>
      </c>
      <c r="Z212" s="3">
        <v>19660</v>
      </c>
      <c r="AA212" s="3">
        <v>16830</v>
      </c>
      <c r="AB212" s="3">
        <v>16780</v>
      </c>
      <c r="AC212" s="3">
        <v>19120</v>
      </c>
      <c r="AD212" s="3">
        <v>17480</v>
      </c>
      <c r="AE212" s="3">
        <v>165600</v>
      </c>
      <c r="AF212" s="3">
        <v>167336.17000000001</v>
      </c>
      <c r="AG212" s="3">
        <v>1341.94</v>
      </c>
      <c r="AH212" s="40">
        <v>0.85</v>
      </c>
      <c r="AI212" s="40">
        <v>0.84</v>
      </c>
      <c r="AJ212" s="40">
        <v>0.86</v>
      </c>
      <c r="AK212" s="40">
        <v>0.84</v>
      </c>
      <c r="AL212" s="40">
        <v>0.86</v>
      </c>
      <c r="AM212" s="40">
        <v>0.96</v>
      </c>
      <c r="AN212" s="40">
        <v>0.95</v>
      </c>
      <c r="AO212" s="40">
        <v>0.94</v>
      </c>
      <c r="AP212" s="40">
        <v>0.93</v>
      </c>
      <c r="AQ212" s="40">
        <v>0.98</v>
      </c>
      <c r="AR212" s="31">
        <v>0.82829818734744498</v>
      </c>
      <c r="AS212" s="36">
        <v>2.8204779020978998</v>
      </c>
      <c r="AT212">
        <v>2.57</v>
      </c>
      <c r="AU212">
        <v>2.6</v>
      </c>
      <c r="AW212">
        <v>2.56</v>
      </c>
      <c r="AY212" s="6">
        <v>2.5766666666666702</v>
      </c>
      <c r="AZ212" s="2">
        <v>0.9</v>
      </c>
      <c r="BA212" s="2">
        <v>1.0946227304390299</v>
      </c>
      <c r="BB212" s="2">
        <v>1</v>
      </c>
      <c r="BC212">
        <v>71500</v>
      </c>
      <c r="BD212">
        <v>56992</v>
      </c>
      <c r="BE212">
        <v>10000</v>
      </c>
      <c r="BF212">
        <v>27338</v>
      </c>
      <c r="BG212" s="9" t="s">
        <v>71</v>
      </c>
    </row>
    <row r="213" spans="3:59" ht="409.5" x14ac:dyDescent="0.25">
      <c r="C213" s="1">
        <v>45833</v>
      </c>
      <c r="D213" s="36">
        <v>236808</v>
      </c>
      <c r="E213" s="33">
        <v>4.1399999999999997</v>
      </c>
      <c r="F213" s="33">
        <v>3.3935580000000001</v>
      </c>
      <c r="G213" s="2">
        <v>0.81969999999999998</v>
      </c>
      <c r="H213" s="2">
        <v>0.99</v>
      </c>
      <c r="I213" s="3">
        <v>73676</v>
      </c>
      <c r="J213" s="3">
        <v>11475</v>
      </c>
      <c r="K213" s="3">
        <v>27997.5</v>
      </c>
      <c r="L213" s="3">
        <v>59929.5</v>
      </c>
      <c r="M213" s="3">
        <v>54202</v>
      </c>
      <c r="N213" s="3">
        <v>227280</v>
      </c>
      <c r="O213" s="3">
        <v>277065.83</v>
      </c>
      <c r="P213" s="3">
        <v>49785.83</v>
      </c>
      <c r="Q213" s="3">
        <v>49785.83</v>
      </c>
      <c r="R213" s="3">
        <v>277065.83</v>
      </c>
      <c r="S213" s="3">
        <v>277065.83</v>
      </c>
      <c r="T213" s="3">
        <v>277065.83</v>
      </c>
      <c r="U213" s="3">
        <v>17110</v>
      </c>
      <c r="V213" s="3">
        <v>16870</v>
      </c>
      <c r="W213" s="3">
        <v>15370</v>
      </c>
      <c r="X213" s="3">
        <v>19210</v>
      </c>
      <c r="Y213" s="3">
        <v>19610</v>
      </c>
      <c r="Z213" s="3">
        <v>34920</v>
      </c>
      <c r="AA213" s="3">
        <v>29440</v>
      </c>
      <c r="AB213" s="3">
        <v>29820</v>
      </c>
      <c r="AC213" s="3">
        <v>35330</v>
      </c>
      <c r="AD213" s="3">
        <v>30170</v>
      </c>
      <c r="AE213" s="3">
        <v>247850</v>
      </c>
      <c r="AF213" s="3">
        <v>297635.83</v>
      </c>
      <c r="AG213" s="3">
        <v>1361.92</v>
      </c>
      <c r="AH213" s="40">
        <v>0.51</v>
      </c>
      <c r="AI213" s="40">
        <v>0.5</v>
      </c>
      <c r="AJ213" s="40">
        <v>0.52</v>
      </c>
      <c r="AK213" s="40">
        <v>0.51</v>
      </c>
      <c r="AL213" s="40">
        <v>0.52</v>
      </c>
      <c r="AM213" s="40">
        <v>0.89</v>
      </c>
      <c r="AN213" s="40">
        <v>0.87</v>
      </c>
      <c r="AO213" s="40">
        <v>0.88</v>
      </c>
      <c r="AP213" s="40">
        <v>0.9</v>
      </c>
      <c r="AQ213" s="40">
        <v>0.89</v>
      </c>
      <c r="AR213" s="31">
        <v>1.09050510383668</v>
      </c>
      <c r="AS213" s="36">
        <v>3.87504657342657</v>
      </c>
      <c r="AT213">
        <v>4.91</v>
      </c>
      <c r="AU213">
        <v>4.9800000000000004</v>
      </c>
      <c r="AW213">
        <v>4.97</v>
      </c>
      <c r="AY213" s="6">
        <v>4.9533333333333296</v>
      </c>
      <c r="AZ213" s="2">
        <v>0.69689999999999996</v>
      </c>
      <c r="BA213" s="2">
        <v>0.78231088292595696</v>
      </c>
      <c r="BB213" s="2">
        <v>1</v>
      </c>
      <c r="BC213">
        <v>71500</v>
      </c>
      <c r="BD213">
        <v>56992</v>
      </c>
      <c r="BE213">
        <v>18317</v>
      </c>
      <c r="BF213">
        <v>25000</v>
      </c>
      <c r="BG213" s="9" t="s">
        <v>70</v>
      </c>
    </row>
    <row r="214" spans="3:59" ht="409.5" x14ac:dyDescent="0.25">
      <c r="C214" s="1">
        <v>45834</v>
      </c>
      <c r="D214" s="36">
        <v>236808</v>
      </c>
      <c r="E214" s="33">
        <v>4.1399999999999997</v>
      </c>
      <c r="F214" s="33">
        <v>3.3935580000000001</v>
      </c>
      <c r="G214" s="2">
        <v>0.81969999999999998</v>
      </c>
      <c r="H214" s="2">
        <v>0.99</v>
      </c>
      <c r="I214" s="3">
        <v>75976</v>
      </c>
      <c r="J214" s="3">
        <v>75877</v>
      </c>
      <c r="K214" s="3">
        <v>0</v>
      </c>
      <c r="L214" s="3">
        <v>83405</v>
      </c>
      <c r="M214" s="3">
        <v>76258</v>
      </c>
      <c r="N214" s="3">
        <v>311516</v>
      </c>
      <c r="O214" s="3">
        <v>300419.17</v>
      </c>
      <c r="P214" s="3">
        <v>-11096.83</v>
      </c>
      <c r="Q214" s="3">
        <v>0</v>
      </c>
      <c r="R214" s="3">
        <v>311516</v>
      </c>
      <c r="S214" s="3">
        <v>311516</v>
      </c>
      <c r="T214" s="3">
        <v>300419.17</v>
      </c>
      <c r="U214" s="3">
        <v>28600</v>
      </c>
      <c r="V214" s="3">
        <v>28630</v>
      </c>
      <c r="W214" s="3">
        <v>25350</v>
      </c>
      <c r="X214" s="3">
        <v>31190</v>
      </c>
      <c r="Y214" s="3">
        <v>32410</v>
      </c>
      <c r="Z214" s="3">
        <v>34260</v>
      </c>
      <c r="AA214" s="3">
        <v>29430</v>
      </c>
      <c r="AB214" s="3">
        <v>28780</v>
      </c>
      <c r="AC214" s="3">
        <v>31540</v>
      </c>
      <c r="AD214" s="3">
        <v>29660</v>
      </c>
      <c r="AE214" s="3">
        <v>299850</v>
      </c>
      <c r="AF214" s="3">
        <v>299850</v>
      </c>
      <c r="AG214" s="3">
        <v>1350.5</v>
      </c>
      <c r="AH214" s="40">
        <v>0.89</v>
      </c>
      <c r="AI214" s="40">
        <v>0.89</v>
      </c>
      <c r="AJ214" s="40">
        <v>0.89</v>
      </c>
      <c r="AK214" s="40">
        <v>0.86</v>
      </c>
      <c r="AL214" s="40">
        <v>0.88</v>
      </c>
      <c r="AM214" s="40">
        <v>0.93</v>
      </c>
      <c r="AN214" s="40">
        <v>0.92</v>
      </c>
      <c r="AO214" s="40">
        <v>0.9</v>
      </c>
      <c r="AP214" s="40">
        <v>0.85</v>
      </c>
      <c r="AQ214" s="40">
        <v>0.92</v>
      </c>
      <c r="AR214" s="31">
        <v>0.96255088021160995</v>
      </c>
      <c r="AS214" s="36">
        <v>4.35686713286713</v>
      </c>
      <c r="AT214">
        <v>4.6100000000000003</v>
      </c>
      <c r="AU214">
        <v>4.83</v>
      </c>
      <c r="AV214">
        <v>4.93</v>
      </c>
      <c r="AW214">
        <v>4.7300000000000004</v>
      </c>
      <c r="AY214" s="6">
        <v>4.7750000000000004</v>
      </c>
      <c r="AZ214" s="2">
        <v>0.89</v>
      </c>
      <c r="BA214" s="2">
        <v>0.912432907406729</v>
      </c>
      <c r="BB214" s="2">
        <v>1</v>
      </c>
      <c r="BC214">
        <v>71500</v>
      </c>
      <c r="BD214">
        <v>56992</v>
      </c>
      <c r="BE214">
        <v>22000</v>
      </c>
      <c r="BF214">
        <v>25000</v>
      </c>
      <c r="BG214" s="9" t="s">
        <v>69</v>
      </c>
    </row>
    <row r="215" spans="3:59" ht="315" x14ac:dyDescent="0.25">
      <c r="C215" s="1">
        <v>45835</v>
      </c>
      <c r="D215" s="36">
        <v>236808</v>
      </c>
      <c r="E215" s="33">
        <v>4.1399999999999997</v>
      </c>
      <c r="F215" s="33">
        <v>3.3935580000000001</v>
      </c>
      <c r="G215" s="2">
        <v>0.81969999999999998</v>
      </c>
      <c r="H215" s="2">
        <v>0.99</v>
      </c>
      <c r="I215" s="3">
        <v>72264</v>
      </c>
      <c r="J215" s="3">
        <v>72018</v>
      </c>
      <c r="K215" s="3">
        <v>0</v>
      </c>
      <c r="L215" s="3">
        <v>81406</v>
      </c>
      <c r="M215" s="3">
        <v>74203</v>
      </c>
      <c r="N215" s="3">
        <v>299891</v>
      </c>
      <c r="O215" s="3">
        <v>309808.5</v>
      </c>
      <c r="P215" s="3">
        <v>9917.5</v>
      </c>
      <c r="Q215" s="3">
        <v>9917.5</v>
      </c>
      <c r="R215" s="3">
        <v>309808.5</v>
      </c>
      <c r="S215" s="3">
        <v>309808.5</v>
      </c>
      <c r="T215" s="3">
        <v>309808.5</v>
      </c>
      <c r="U215" s="3">
        <v>30360</v>
      </c>
      <c r="V215" s="3">
        <v>29860</v>
      </c>
      <c r="W215" s="3">
        <v>26020</v>
      </c>
      <c r="X215" s="3">
        <v>31740</v>
      </c>
      <c r="Y215" s="3">
        <v>32320</v>
      </c>
      <c r="Z215" s="3">
        <v>35630</v>
      </c>
      <c r="AA215" s="3">
        <v>30200</v>
      </c>
      <c r="AB215" s="3">
        <v>29930</v>
      </c>
      <c r="AC215" s="3">
        <v>33560</v>
      </c>
      <c r="AD215" s="3">
        <v>30300</v>
      </c>
      <c r="AE215" s="3">
        <v>309920</v>
      </c>
      <c r="AF215" s="3">
        <v>319837.5</v>
      </c>
      <c r="AG215" s="3">
        <v>1556.16</v>
      </c>
      <c r="AH215" s="40">
        <v>0.82820000000000005</v>
      </c>
      <c r="AI215" s="40">
        <v>0.81469999999999998</v>
      </c>
      <c r="AJ215" s="40">
        <v>0.79879999999999995</v>
      </c>
      <c r="AK215" s="40">
        <v>0.76700000000000002</v>
      </c>
      <c r="AL215" s="40">
        <v>0.80020000000000002</v>
      </c>
      <c r="AM215" s="40">
        <v>0.86809999999999998</v>
      </c>
      <c r="AN215" s="40">
        <v>0.84950000000000003</v>
      </c>
      <c r="AO215" s="40">
        <v>0.84189999999999998</v>
      </c>
      <c r="AP215" s="40">
        <v>0.81769999999999998</v>
      </c>
      <c r="AQ215" s="40">
        <v>0.85229999999999995</v>
      </c>
      <c r="AR215" s="31">
        <v>1.03344215064807</v>
      </c>
      <c r="AS215" s="36">
        <v>4.3329860139860097</v>
      </c>
      <c r="AT215">
        <v>5.13</v>
      </c>
      <c r="AU215">
        <v>5.3</v>
      </c>
      <c r="AV215">
        <v>5.59</v>
      </c>
      <c r="AW215">
        <v>5.43</v>
      </c>
      <c r="AY215" s="6">
        <v>5.3624999999999998</v>
      </c>
      <c r="AZ215" s="2">
        <v>0.82379999999999998</v>
      </c>
      <c r="BA215" s="2">
        <v>0.80801603990415205</v>
      </c>
      <c r="BB215" s="2">
        <v>1</v>
      </c>
      <c r="BC215">
        <v>71500</v>
      </c>
      <c r="BD215">
        <v>56992</v>
      </c>
      <c r="BE215">
        <v>22000</v>
      </c>
      <c r="BF215">
        <v>25000</v>
      </c>
      <c r="BG215" s="9" t="s">
        <v>68</v>
      </c>
    </row>
    <row r="216" spans="3:59" ht="315" x14ac:dyDescent="0.25">
      <c r="C216" s="1">
        <v>45836</v>
      </c>
      <c r="D216" s="36">
        <v>236808</v>
      </c>
      <c r="E216" s="33">
        <v>4.1399999999999997</v>
      </c>
      <c r="F216" s="33">
        <v>3.3935580000000001</v>
      </c>
      <c r="G216" s="2">
        <v>0.81969999999999998</v>
      </c>
      <c r="H216" s="2">
        <v>0.99</v>
      </c>
      <c r="I216" s="3">
        <v>61685</v>
      </c>
      <c r="J216" s="3">
        <v>61577</v>
      </c>
      <c r="K216" s="3">
        <v>0</v>
      </c>
      <c r="L216" s="3">
        <v>70367</v>
      </c>
      <c r="M216" s="3">
        <v>63559</v>
      </c>
      <c r="N216" s="3">
        <v>257188</v>
      </c>
      <c r="O216" s="3">
        <v>264190.67</v>
      </c>
      <c r="P216" s="3">
        <v>7002.6699999999801</v>
      </c>
      <c r="Q216" s="3">
        <v>7002.6699999999801</v>
      </c>
      <c r="R216" s="3">
        <v>264190.67</v>
      </c>
      <c r="S216" s="3">
        <v>264190.67</v>
      </c>
      <c r="T216" s="3">
        <v>264190.67</v>
      </c>
      <c r="U216" s="3">
        <v>23170</v>
      </c>
      <c r="V216" s="3">
        <v>22560</v>
      </c>
      <c r="W216" s="3">
        <v>20130</v>
      </c>
      <c r="X216" s="3">
        <v>24230</v>
      </c>
      <c r="Y216" s="3">
        <v>25970</v>
      </c>
      <c r="Z216" s="3">
        <v>27970</v>
      </c>
      <c r="AA216" s="3">
        <v>24220</v>
      </c>
      <c r="AB216" s="3">
        <v>24080</v>
      </c>
      <c r="AC216" s="3">
        <v>28040</v>
      </c>
      <c r="AD216" s="3">
        <v>24880</v>
      </c>
      <c r="AE216" s="3">
        <v>245250</v>
      </c>
      <c r="AF216" s="3">
        <v>252252.67</v>
      </c>
      <c r="AG216" s="3">
        <v>1305.4000000000001</v>
      </c>
      <c r="AH216" s="40">
        <v>0.8669</v>
      </c>
      <c r="AI216" s="40">
        <v>0.84389999999999998</v>
      </c>
      <c r="AJ216" s="40">
        <v>0.84719999999999995</v>
      </c>
      <c r="AK216" s="40">
        <v>0.80310000000000004</v>
      </c>
      <c r="AL216" s="40">
        <v>0.83520000000000005</v>
      </c>
      <c r="AM216" s="40">
        <v>0.86750000000000005</v>
      </c>
      <c r="AN216" s="40">
        <v>0.86729999999999996</v>
      </c>
      <c r="AO216" s="40">
        <v>0.86219999999999997</v>
      </c>
      <c r="AP216" s="40">
        <v>0.86960000000000004</v>
      </c>
      <c r="AQ216" s="40">
        <v>0.89080000000000004</v>
      </c>
      <c r="AR216" s="31">
        <v>0.95358259327806905</v>
      </c>
      <c r="AS216" s="36">
        <v>3.6949744055944098</v>
      </c>
      <c r="AT216">
        <v>4.03</v>
      </c>
      <c r="AU216">
        <v>4.08</v>
      </c>
      <c r="AV216">
        <v>4.2300000000000004</v>
      </c>
      <c r="AW216">
        <v>3.96</v>
      </c>
      <c r="AY216" s="6">
        <v>4.0750000000000002</v>
      </c>
      <c r="AZ216" s="2">
        <v>0.85540000000000005</v>
      </c>
      <c r="BA216" s="2">
        <v>0.90674218542193996</v>
      </c>
      <c r="BB216" s="2">
        <v>1</v>
      </c>
      <c r="BC216">
        <v>71500</v>
      </c>
      <c r="BD216">
        <v>56992</v>
      </c>
      <c r="BE216">
        <v>22000</v>
      </c>
      <c r="BF216">
        <v>25000</v>
      </c>
      <c r="BG216" s="9" t="s">
        <v>68</v>
      </c>
    </row>
    <row r="217" spans="3:59" ht="315" x14ac:dyDescent="0.25">
      <c r="C217" s="1">
        <v>45837</v>
      </c>
      <c r="D217" s="36">
        <v>236808</v>
      </c>
      <c r="E217" s="33">
        <v>4.1399999999999997</v>
      </c>
      <c r="F217" s="33">
        <v>3.3935580000000001</v>
      </c>
      <c r="G217" s="2">
        <v>0.81969999999999998</v>
      </c>
      <c r="H217" s="2">
        <v>0.99</v>
      </c>
      <c r="I217" s="3">
        <v>55263</v>
      </c>
      <c r="J217" s="3">
        <v>55091</v>
      </c>
      <c r="K217" s="3">
        <v>0</v>
      </c>
      <c r="L217" s="3">
        <v>61985</v>
      </c>
      <c r="M217" s="3">
        <v>56054</v>
      </c>
      <c r="N217" s="3">
        <v>228393</v>
      </c>
      <c r="O217" s="3">
        <v>256854.83</v>
      </c>
      <c r="P217" s="3">
        <v>28461.83</v>
      </c>
      <c r="Q217" s="3">
        <v>28461.83</v>
      </c>
      <c r="R217" s="3">
        <v>256854.83</v>
      </c>
      <c r="S217" s="3">
        <v>256854.83</v>
      </c>
      <c r="T217" s="3">
        <v>256854.83</v>
      </c>
      <c r="U217" s="3">
        <v>25580</v>
      </c>
      <c r="V217" s="3">
        <v>25320</v>
      </c>
      <c r="W217" s="3">
        <v>21970</v>
      </c>
      <c r="X217" s="3">
        <v>26670</v>
      </c>
      <c r="Y217" s="3">
        <v>27760</v>
      </c>
      <c r="Z217" s="3">
        <v>30830</v>
      </c>
      <c r="AA217" s="3">
        <v>25930</v>
      </c>
      <c r="AB217" s="3">
        <v>25980</v>
      </c>
      <c r="AC217" s="3">
        <v>29550</v>
      </c>
      <c r="AD217" s="3">
        <v>26260</v>
      </c>
      <c r="AE217" s="3">
        <v>265850</v>
      </c>
      <c r="AF217" s="3">
        <v>294311.83</v>
      </c>
      <c r="AG217" s="3">
        <v>1387.93</v>
      </c>
      <c r="AH217" s="40">
        <v>0.7994</v>
      </c>
      <c r="AI217" s="40">
        <v>0.7913</v>
      </c>
      <c r="AJ217" s="40">
        <v>0.77249999999999996</v>
      </c>
      <c r="AK217" s="40">
        <v>0.73829999999999996</v>
      </c>
      <c r="AL217" s="40">
        <v>0.77500000000000002</v>
      </c>
      <c r="AM217" s="40">
        <v>0.83420000000000005</v>
      </c>
      <c r="AN217" s="40">
        <v>0.80979999999999996</v>
      </c>
      <c r="AO217" s="40">
        <v>0.81140000000000001</v>
      </c>
      <c r="AP217" s="40">
        <v>0.7994</v>
      </c>
      <c r="AQ217" s="40">
        <v>0.82010000000000005</v>
      </c>
      <c r="AR217" s="31">
        <v>1.16400239937301</v>
      </c>
      <c r="AS217" s="36">
        <v>3.5923752447552402</v>
      </c>
      <c r="AT217">
        <v>4.62</v>
      </c>
      <c r="AU217">
        <v>4.7</v>
      </c>
      <c r="AV217">
        <v>4.9800000000000004</v>
      </c>
      <c r="AW217">
        <v>4.74</v>
      </c>
      <c r="AY217" s="6">
        <v>4.76</v>
      </c>
      <c r="AZ217" s="2">
        <v>0.79510000000000003</v>
      </c>
      <c r="BA217" s="2">
        <v>0.75470068167127002</v>
      </c>
      <c r="BB217" s="2">
        <v>1</v>
      </c>
      <c r="BC217">
        <v>71500</v>
      </c>
      <c r="BD217">
        <v>56992</v>
      </c>
      <c r="BE217">
        <v>22000</v>
      </c>
      <c r="BF217">
        <v>25000</v>
      </c>
      <c r="BG217" s="9" t="s">
        <v>68</v>
      </c>
    </row>
    <row r="218" spans="3:59" ht="315" x14ac:dyDescent="0.25">
      <c r="C218" s="1">
        <v>45838</v>
      </c>
      <c r="D218" s="36">
        <v>236808</v>
      </c>
      <c r="E218" s="33">
        <v>4.1399999999999997</v>
      </c>
      <c r="F218" s="33">
        <v>3.3935580000000001</v>
      </c>
      <c r="G218" s="2">
        <v>0.81969999999999998</v>
      </c>
      <c r="H218" s="2">
        <v>0.99</v>
      </c>
      <c r="I218" s="3">
        <v>42671</v>
      </c>
      <c r="J218" s="3">
        <v>42681</v>
      </c>
      <c r="K218" s="3">
        <v>0</v>
      </c>
      <c r="L218" s="3">
        <v>46974</v>
      </c>
      <c r="M218" s="3">
        <v>42738</v>
      </c>
      <c r="N218" s="3">
        <v>175064</v>
      </c>
      <c r="O218" s="3">
        <v>158399.32999999999</v>
      </c>
      <c r="P218" s="3">
        <v>-16664.669999999998</v>
      </c>
      <c r="Q218" s="3">
        <v>0</v>
      </c>
      <c r="R218" s="3">
        <v>175064</v>
      </c>
      <c r="S218" s="3">
        <v>175064</v>
      </c>
      <c r="T218" s="3">
        <v>158399.32999999999</v>
      </c>
      <c r="U218" s="3">
        <v>13140</v>
      </c>
      <c r="V218" s="3">
        <v>13110</v>
      </c>
      <c r="W218" s="3">
        <v>11550</v>
      </c>
      <c r="X218" s="3">
        <v>14230</v>
      </c>
      <c r="Y218" s="3">
        <v>14880</v>
      </c>
      <c r="Z218" s="3">
        <v>15380</v>
      </c>
      <c r="AA218" s="3">
        <v>12910</v>
      </c>
      <c r="AB218" s="3">
        <v>13040</v>
      </c>
      <c r="AC218" s="3">
        <v>14760</v>
      </c>
      <c r="AD218" s="3">
        <v>13390</v>
      </c>
      <c r="AE218" s="3">
        <v>136390</v>
      </c>
      <c r="AF218" s="3">
        <v>136390</v>
      </c>
      <c r="AG218" s="3">
        <v>1403.43</v>
      </c>
      <c r="AH218" s="40">
        <v>0.97819999999999996</v>
      </c>
      <c r="AI218" s="40">
        <v>0.97619999999999996</v>
      </c>
      <c r="AJ218" s="40">
        <v>0.96740000000000004</v>
      </c>
      <c r="AK218" s="40">
        <v>0.9385</v>
      </c>
      <c r="AL218" s="40">
        <v>0.98150000000000004</v>
      </c>
      <c r="AM218" s="40">
        <v>1.0016</v>
      </c>
      <c r="AN218" s="40">
        <v>0.97019999999999995</v>
      </c>
      <c r="AO218" s="40">
        <v>0.98029999999999995</v>
      </c>
      <c r="AP218" s="40">
        <v>0.96099999999999997</v>
      </c>
      <c r="AQ218" s="40">
        <v>1</v>
      </c>
      <c r="AR218" s="31">
        <v>0.779086505506558</v>
      </c>
      <c r="AS218" s="36">
        <v>2.4484475524475502</v>
      </c>
      <c r="AT218">
        <v>1.92</v>
      </c>
      <c r="AU218">
        <v>1.99</v>
      </c>
      <c r="AV218">
        <v>2.0299999999999998</v>
      </c>
      <c r="AW218">
        <v>1.99</v>
      </c>
      <c r="AY218" s="6">
        <v>1.9824999999999999</v>
      </c>
      <c r="AZ218" s="2">
        <v>0.97609999999999997</v>
      </c>
      <c r="BA218" s="2">
        <v>1.23503029127241</v>
      </c>
      <c r="BB218" s="2">
        <v>1</v>
      </c>
      <c r="BC218">
        <v>71500</v>
      </c>
      <c r="BD218">
        <v>56992</v>
      </c>
      <c r="BE218">
        <v>22000</v>
      </c>
      <c r="BF218">
        <v>25398</v>
      </c>
      <c r="BG218" s="9" t="s">
        <v>68</v>
      </c>
    </row>
    <row r="219" spans="3:59" ht="315" x14ac:dyDescent="0.25">
      <c r="C219" s="1">
        <v>45839</v>
      </c>
      <c r="D219" s="36">
        <v>249932.632258064</v>
      </c>
      <c r="E219" s="33">
        <v>4.2064516129032299</v>
      </c>
      <c r="F219" s="33">
        <v>3.4480283870967701</v>
      </c>
      <c r="G219" s="2">
        <v>0.81969999999999998</v>
      </c>
      <c r="H219" s="2">
        <v>0.99</v>
      </c>
      <c r="I219" s="3">
        <v>71620</v>
      </c>
      <c r="J219" s="3">
        <v>71534</v>
      </c>
      <c r="K219" s="3">
        <v>8520.5</v>
      </c>
      <c r="L219" s="3">
        <v>84962</v>
      </c>
      <c r="M219" s="3">
        <v>75244</v>
      </c>
      <c r="N219" s="3">
        <v>311880.5</v>
      </c>
      <c r="O219" s="3">
        <v>337684</v>
      </c>
      <c r="P219" s="3">
        <v>25803.5</v>
      </c>
      <c r="Q219" s="3">
        <v>25803.5</v>
      </c>
      <c r="R219" s="3">
        <v>337684</v>
      </c>
      <c r="S219" s="3">
        <v>337684</v>
      </c>
      <c r="T219" s="3">
        <v>337684</v>
      </c>
      <c r="U219" s="3">
        <v>31570</v>
      </c>
      <c r="V219" s="3">
        <v>31100</v>
      </c>
      <c r="W219" s="3">
        <v>27530</v>
      </c>
      <c r="X219" s="3">
        <v>33500</v>
      </c>
      <c r="Y219" s="3">
        <v>34860</v>
      </c>
      <c r="Z219" s="3">
        <v>39940</v>
      </c>
      <c r="AA219" s="3">
        <v>33510</v>
      </c>
      <c r="AB219" s="3">
        <v>33880</v>
      </c>
      <c r="AC219" s="3">
        <v>38510</v>
      </c>
      <c r="AD219" s="3">
        <v>34070</v>
      </c>
      <c r="AE219" s="3">
        <v>338470</v>
      </c>
      <c r="AF219" s="3">
        <v>364273.5</v>
      </c>
      <c r="AG219" s="3">
        <v>1734.85</v>
      </c>
      <c r="AH219" s="40">
        <v>0.77190000000000003</v>
      </c>
      <c r="AI219" s="40">
        <v>0.76029999999999998</v>
      </c>
      <c r="AJ219" s="40">
        <v>0.75700000000000001</v>
      </c>
      <c r="AK219" s="40">
        <v>0.72550000000000003</v>
      </c>
      <c r="AL219" s="40">
        <v>0.755</v>
      </c>
      <c r="AM219" s="40">
        <v>0.84470000000000001</v>
      </c>
      <c r="AN219" s="40">
        <v>0.81820000000000004</v>
      </c>
      <c r="AO219" s="40">
        <v>0.82709999999999995</v>
      </c>
      <c r="AP219" s="40">
        <v>0.81459999999999999</v>
      </c>
      <c r="AQ219" s="40">
        <v>0.83189999999999997</v>
      </c>
      <c r="AR219" s="31">
        <v>1.0852554103254299</v>
      </c>
      <c r="AS219" s="36">
        <v>4.7228531468531498</v>
      </c>
      <c r="AT219">
        <v>5.91</v>
      </c>
      <c r="AU219">
        <v>6.06</v>
      </c>
      <c r="AV219">
        <v>6.53</v>
      </c>
      <c r="AW219">
        <v>6.06</v>
      </c>
      <c r="AY219" s="6">
        <v>6.14</v>
      </c>
      <c r="AZ219" s="2">
        <v>0.79059999999999997</v>
      </c>
      <c r="BA219" s="2">
        <v>0.76919432359171802</v>
      </c>
      <c r="BB219" s="2">
        <v>1</v>
      </c>
      <c r="BC219">
        <v>71500</v>
      </c>
      <c r="BD219">
        <v>56992</v>
      </c>
      <c r="BE219">
        <v>22000</v>
      </c>
      <c r="BF219">
        <v>30030</v>
      </c>
      <c r="BG219" s="9" t="s">
        <v>68</v>
      </c>
    </row>
    <row r="220" spans="3:59" ht="315" x14ac:dyDescent="0.25">
      <c r="C220" s="1">
        <v>45840</v>
      </c>
      <c r="D220" s="36">
        <v>249932.632258064</v>
      </c>
      <c r="E220" s="33">
        <v>4.2064516129032299</v>
      </c>
      <c r="F220" s="33">
        <v>3.4480283870967701</v>
      </c>
      <c r="G220" s="2">
        <v>0.81969999999999998</v>
      </c>
      <c r="H220" s="2">
        <v>0.99</v>
      </c>
      <c r="I220" s="3">
        <v>77630</v>
      </c>
      <c r="J220" s="3">
        <v>77272</v>
      </c>
      <c r="K220" s="3">
        <v>61397</v>
      </c>
      <c r="L220" s="3">
        <v>66252</v>
      </c>
      <c r="M220" s="3">
        <v>60005</v>
      </c>
      <c r="N220" s="3">
        <v>342556</v>
      </c>
      <c r="O220" s="3">
        <v>338254.83</v>
      </c>
      <c r="P220" s="3">
        <v>-4301.1699999999801</v>
      </c>
      <c r="Q220" s="3">
        <v>0</v>
      </c>
      <c r="R220" s="3">
        <v>342556</v>
      </c>
      <c r="S220" s="3">
        <v>342556</v>
      </c>
      <c r="T220" s="3">
        <v>338254.83</v>
      </c>
      <c r="U220" s="3">
        <v>27930</v>
      </c>
      <c r="V220" s="3">
        <v>28360</v>
      </c>
      <c r="W220" s="3">
        <v>24440</v>
      </c>
      <c r="X220" s="3">
        <v>30350</v>
      </c>
      <c r="Y220" s="3">
        <v>31200</v>
      </c>
      <c r="Z220" s="3">
        <v>36150</v>
      </c>
      <c r="AA220" s="3">
        <v>31350</v>
      </c>
      <c r="AB220" s="3">
        <v>31240</v>
      </c>
      <c r="AC220" s="3">
        <v>35780</v>
      </c>
      <c r="AD220" s="3">
        <v>32240</v>
      </c>
      <c r="AE220" s="3">
        <v>309040</v>
      </c>
      <c r="AF220" s="3">
        <v>309040</v>
      </c>
      <c r="AG220" s="3">
        <v>1536.77</v>
      </c>
      <c r="AH220" s="40">
        <v>0.80200000000000005</v>
      </c>
      <c r="AI220" s="40">
        <v>0.81430000000000002</v>
      </c>
      <c r="AJ220" s="40">
        <v>0.78939999999999999</v>
      </c>
      <c r="AK220" s="40">
        <v>0.77180000000000004</v>
      </c>
      <c r="AL220" s="40">
        <v>0.79349999999999998</v>
      </c>
      <c r="AM220" s="40">
        <v>0.82020000000000004</v>
      </c>
      <c r="AN220" s="40">
        <v>0.89059999999999995</v>
      </c>
      <c r="AO220" s="40">
        <v>0.81799999999999995</v>
      </c>
      <c r="AP220" s="40">
        <v>0.88039999999999996</v>
      </c>
      <c r="AQ220" s="40">
        <v>0.84419999999999995</v>
      </c>
      <c r="AR220" s="31">
        <v>0.90215906304370697</v>
      </c>
      <c r="AS220" s="36">
        <v>4.79099300699301</v>
      </c>
      <c r="AT220">
        <v>5.08</v>
      </c>
      <c r="AU220">
        <v>5.16</v>
      </c>
      <c r="AV220">
        <v>5.51</v>
      </c>
      <c r="AW220">
        <v>5.16</v>
      </c>
      <c r="AY220" s="6">
        <v>5.2275</v>
      </c>
      <c r="AZ220" s="2">
        <v>0.82240000000000002</v>
      </c>
      <c r="BA220" s="2">
        <v>0.91649794490540504</v>
      </c>
      <c r="BB220" s="2">
        <v>1</v>
      </c>
      <c r="BC220">
        <v>71500</v>
      </c>
      <c r="BD220">
        <v>56992</v>
      </c>
      <c r="BE220">
        <v>22000</v>
      </c>
      <c r="BF220">
        <v>30030</v>
      </c>
      <c r="BG220" s="9" t="s">
        <v>68</v>
      </c>
    </row>
    <row r="221" spans="3:59" ht="315" x14ac:dyDescent="0.25">
      <c r="C221" s="1">
        <v>45841</v>
      </c>
      <c r="D221" s="36">
        <v>249932.632258064</v>
      </c>
      <c r="E221" s="33">
        <v>4.2064516129032299</v>
      </c>
      <c r="F221" s="33">
        <v>3.4480283870967701</v>
      </c>
      <c r="G221" s="2">
        <v>0.81969999999999998</v>
      </c>
      <c r="H221" s="2">
        <v>0.99</v>
      </c>
      <c r="I221" s="3">
        <v>61978</v>
      </c>
      <c r="J221" s="3">
        <v>61944</v>
      </c>
      <c r="K221" s="3">
        <v>50505</v>
      </c>
      <c r="L221" s="3">
        <v>56494.5</v>
      </c>
      <c r="M221" s="3">
        <v>53509</v>
      </c>
      <c r="N221" s="3">
        <v>284430.5</v>
      </c>
      <c r="O221" s="3">
        <v>300251.83</v>
      </c>
      <c r="P221" s="3">
        <v>15821.33</v>
      </c>
      <c r="Q221" s="3">
        <v>15821.33</v>
      </c>
      <c r="R221" s="3">
        <v>300251.83</v>
      </c>
      <c r="S221" s="3">
        <v>300251.83</v>
      </c>
      <c r="T221" s="3">
        <v>300251.83</v>
      </c>
      <c r="U221" s="3">
        <v>28730</v>
      </c>
      <c r="V221" s="3">
        <v>28250</v>
      </c>
      <c r="W221" s="3">
        <v>25130</v>
      </c>
      <c r="X221" s="3">
        <v>30310</v>
      </c>
      <c r="Y221" s="3">
        <v>31740</v>
      </c>
      <c r="Z221" s="3">
        <v>37740</v>
      </c>
      <c r="AA221" s="3">
        <v>31640</v>
      </c>
      <c r="AB221" s="3">
        <v>32680</v>
      </c>
      <c r="AC221" s="3">
        <v>37990</v>
      </c>
      <c r="AD221" s="3">
        <v>33290</v>
      </c>
      <c r="AE221" s="3">
        <v>317500</v>
      </c>
      <c r="AF221" s="3">
        <v>333321.33</v>
      </c>
      <c r="AG221" s="3">
        <v>1709.69</v>
      </c>
      <c r="AH221" s="40">
        <v>0.79259999999999997</v>
      </c>
      <c r="AI221" s="40">
        <v>0.77939999999999998</v>
      </c>
      <c r="AJ221" s="40">
        <v>0.77980000000000005</v>
      </c>
      <c r="AK221" s="40">
        <v>0.74070000000000003</v>
      </c>
      <c r="AL221" s="40">
        <v>0.79039999999999999</v>
      </c>
      <c r="AM221" s="40">
        <v>0.81069999999999998</v>
      </c>
      <c r="AN221" s="40">
        <v>0.86140000000000005</v>
      </c>
      <c r="AO221" s="40">
        <v>0.81020000000000003</v>
      </c>
      <c r="AP221" s="40">
        <v>0.89600000000000002</v>
      </c>
      <c r="AQ221" s="40">
        <v>0.82540000000000002</v>
      </c>
      <c r="AR221" s="31">
        <v>1.11626566067985</v>
      </c>
      <c r="AS221" s="36">
        <v>4.1993262937062896</v>
      </c>
      <c r="AT221">
        <v>5.3</v>
      </c>
      <c r="AU221">
        <v>5.27</v>
      </c>
      <c r="AV221">
        <v>5.82</v>
      </c>
      <c r="AW221">
        <v>5.37</v>
      </c>
      <c r="AY221" s="6">
        <v>5.44</v>
      </c>
      <c r="AZ221" s="2">
        <v>0.80869999999999997</v>
      </c>
      <c r="BA221" s="2">
        <v>0.77193498046071596</v>
      </c>
      <c r="BB221" s="2">
        <v>1</v>
      </c>
      <c r="BC221">
        <v>71500</v>
      </c>
      <c r="BD221">
        <v>56992</v>
      </c>
      <c r="BE221">
        <v>21236</v>
      </c>
      <c r="BF221">
        <v>30030</v>
      </c>
      <c r="BG221" s="9" t="s">
        <v>68</v>
      </c>
    </row>
    <row r="222" spans="3:59" ht="315" x14ac:dyDescent="0.25">
      <c r="C222" s="1">
        <v>45842</v>
      </c>
      <c r="D222" s="36">
        <v>249932.632258064</v>
      </c>
      <c r="E222" s="33">
        <v>4.2064516129032299</v>
      </c>
      <c r="F222" s="33">
        <v>3.4480283870967701</v>
      </c>
      <c r="G222" s="2">
        <v>0.81969999999999998</v>
      </c>
      <c r="H222" s="2">
        <v>0.99</v>
      </c>
      <c r="I222" s="3">
        <v>41174</v>
      </c>
      <c r="J222" s="3">
        <v>41018</v>
      </c>
      <c r="K222" s="3">
        <v>32039.5</v>
      </c>
      <c r="L222" s="3">
        <v>37060.5</v>
      </c>
      <c r="M222" s="3">
        <v>36210</v>
      </c>
      <c r="N222" s="3">
        <v>187502</v>
      </c>
      <c r="O222" s="3">
        <v>203243.33</v>
      </c>
      <c r="P222" s="3">
        <v>15741.33</v>
      </c>
      <c r="Q222" s="3">
        <v>15741.33</v>
      </c>
      <c r="R222" s="3">
        <v>203243.33</v>
      </c>
      <c r="S222" s="3">
        <v>203243.33</v>
      </c>
      <c r="T222" s="3">
        <v>202227.11335</v>
      </c>
      <c r="U222" s="3">
        <v>16800</v>
      </c>
      <c r="V222" s="3">
        <v>12240</v>
      </c>
      <c r="W222" s="3">
        <v>13810</v>
      </c>
      <c r="X222" s="3">
        <v>17720</v>
      </c>
      <c r="Y222" s="3">
        <v>19120</v>
      </c>
      <c r="Z222" s="3">
        <v>24580</v>
      </c>
      <c r="AA222" s="3">
        <v>20610</v>
      </c>
      <c r="AB222" s="3">
        <v>21220</v>
      </c>
      <c r="AC222" s="3">
        <v>23950</v>
      </c>
      <c r="AD222" s="3">
        <v>21720</v>
      </c>
      <c r="AE222" s="3">
        <v>191770</v>
      </c>
      <c r="AF222" s="3">
        <v>207511.33</v>
      </c>
      <c r="AG222" s="3">
        <v>1653.84</v>
      </c>
      <c r="AH222" s="40">
        <v>0.75180000000000002</v>
      </c>
      <c r="AI222" s="40">
        <v>0.54800000000000004</v>
      </c>
      <c r="AJ222" s="40">
        <v>0.69530000000000003</v>
      </c>
      <c r="AK222" s="40">
        <v>0.70250000000000001</v>
      </c>
      <c r="AL222" s="40">
        <v>0.75570000000000004</v>
      </c>
      <c r="AM222" s="40">
        <v>0.8629</v>
      </c>
      <c r="AN222" s="40">
        <v>0.90390000000000004</v>
      </c>
      <c r="AO222" s="40">
        <v>0.8599</v>
      </c>
      <c r="AP222" s="40">
        <v>0.91</v>
      </c>
      <c r="AQ222" s="40">
        <v>0.88039999999999996</v>
      </c>
      <c r="AR222" s="31">
        <v>1.02276242386748</v>
      </c>
      <c r="AS222" s="36">
        <v>2.8425640559440599</v>
      </c>
      <c r="AT222">
        <v>3.29</v>
      </c>
      <c r="AU222">
        <v>3.32</v>
      </c>
      <c r="AV222">
        <v>3.56</v>
      </c>
      <c r="AW222">
        <v>3.31</v>
      </c>
      <c r="AY222" s="6">
        <v>3.37</v>
      </c>
      <c r="AZ222" s="2">
        <v>0.78700000000000003</v>
      </c>
      <c r="BA222" s="2">
        <v>0.84349081778755397</v>
      </c>
      <c r="BB222" s="2">
        <v>0.995</v>
      </c>
      <c r="BC222">
        <v>71500</v>
      </c>
      <c r="BD222">
        <v>56992</v>
      </c>
      <c r="BE222">
        <v>22000</v>
      </c>
      <c r="BF222">
        <v>26527</v>
      </c>
      <c r="BG222" s="9" t="s">
        <v>68</v>
      </c>
    </row>
    <row r="223" spans="3:59" ht="315" x14ac:dyDescent="0.25">
      <c r="C223" s="1">
        <v>45843</v>
      </c>
      <c r="D223" s="36">
        <v>249932.632258064</v>
      </c>
      <c r="E223" s="33">
        <v>4.2064516129032299</v>
      </c>
      <c r="F223" s="33">
        <v>3.4480283870967701</v>
      </c>
      <c r="G223" s="2">
        <v>0.81969999999999998</v>
      </c>
      <c r="H223" s="2">
        <v>0.99</v>
      </c>
      <c r="I223" s="3">
        <v>68875</v>
      </c>
      <c r="J223" s="3">
        <v>68862</v>
      </c>
      <c r="K223" s="3">
        <v>50995</v>
      </c>
      <c r="L223" s="3">
        <v>56036</v>
      </c>
      <c r="M223" s="3">
        <v>52488</v>
      </c>
      <c r="N223" s="3">
        <v>297256</v>
      </c>
      <c r="O223" s="3">
        <v>295666.17</v>
      </c>
      <c r="P223" s="3">
        <v>-1589.8300000000199</v>
      </c>
      <c r="Q223" s="3">
        <v>0</v>
      </c>
      <c r="R223" s="3">
        <v>297256</v>
      </c>
      <c r="S223" s="3">
        <v>297256</v>
      </c>
      <c r="T223" s="3">
        <v>294187.83915000001</v>
      </c>
      <c r="U223" s="3">
        <v>24890</v>
      </c>
      <c r="V223" s="3">
        <v>12270</v>
      </c>
      <c r="W223" s="3">
        <v>20490</v>
      </c>
      <c r="X223" s="3">
        <v>26600</v>
      </c>
      <c r="Y223" s="3">
        <v>28270</v>
      </c>
      <c r="Z223" s="3">
        <v>30480</v>
      </c>
      <c r="AA223" s="3">
        <v>25760</v>
      </c>
      <c r="AB223" s="3">
        <v>25970</v>
      </c>
      <c r="AC223" s="3">
        <v>28790</v>
      </c>
      <c r="AD223" s="3">
        <v>26490</v>
      </c>
      <c r="AE223" s="3">
        <v>250010</v>
      </c>
      <c r="AF223" s="3">
        <v>250010</v>
      </c>
      <c r="AG223" s="3">
        <v>1277.78</v>
      </c>
      <c r="AH223" s="40">
        <v>1</v>
      </c>
      <c r="AI223" s="40">
        <v>0.54900000000000004</v>
      </c>
      <c r="AJ223" s="40">
        <v>1</v>
      </c>
      <c r="AK223" s="40">
        <v>1</v>
      </c>
      <c r="AL223" s="40">
        <v>0.85670000000000002</v>
      </c>
      <c r="AM223" s="40">
        <v>0.83740000000000003</v>
      </c>
      <c r="AN223" s="40">
        <v>0.86050000000000004</v>
      </c>
      <c r="AO223" s="40">
        <v>0.8236</v>
      </c>
      <c r="AP223" s="40">
        <v>0.83309999999999995</v>
      </c>
      <c r="AQ223" s="40">
        <v>0.84</v>
      </c>
      <c r="AR223" s="31">
        <v>0.84105955809134203</v>
      </c>
      <c r="AS223" s="36">
        <v>4.1574265734265703</v>
      </c>
      <c r="AT223">
        <v>4.32</v>
      </c>
      <c r="AU223">
        <v>4.33</v>
      </c>
      <c r="AV223">
        <v>4.55</v>
      </c>
      <c r="AW223">
        <v>3.31</v>
      </c>
      <c r="AY223" s="6">
        <v>4.1275000000000004</v>
      </c>
      <c r="AZ223" s="2">
        <v>0.88009999999999999</v>
      </c>
      <c r="BA223" s="2">
        <v>1.0072505326290899</v>
      </c>
      <c r="BB223" s="2">
        <v>0.995</v>
      </c>
      <c r="BC223">
        <v>71500</v>
      </c>
      <c r="BD223">
        <v>56992</v>
      </c>
      <c r="BE223">
        <v>22000</v>
      </c>
      <c r="BF223">
        <v>30030</v>
      </c>
      <c r="BG223" s="9" t="s">
        <v>68</v>
      </c>
    </row>
    <row r="224" spans="3:59" ht="315" x14ac:dyDescent="0.25">
      <c r="C224" s="1">
        <v>45844</v>
      </c>
      <c r="D224" s="36">
        <v>249932.632258064</v>
      </c>
      <c r="E224" s="33">
        <v>4.2064516129032299</v>
      </c>
      <c r="F224" s="33">
        <v>3.4480283870967701</v>
      </c>
      <c r="G224" s="2">
        <v>0.81969999999999998</v>
      </c>
      <c r="H224" s="2">
        <v>0.99</v>
      </c>
      <c r="I224" s="3">
        <v>38067</v>
      </c>
      <c r="J224" s="3">
        <v>26948</v>
      </c>
      <c r="K224" s="3">
        <v>21769</v>
      </c>
      <c r="L224" s="3">
        <v>28297</v>
      </c>
      <c r="M224" s="3">
        <v>28011</v>
      </c>
      <c r="N224" s="3">
        <v>143092</v>
      </c>
      <c r="O224" s="3">
        <v>141766.17000000001</v>
      </c>
      <c r="P224" s="3">
        <v>-1325.8299999999899</v>
      </c>
      <c r="Q224" s="3">
        <v>0</v>
      </c>
      <c r="R224" s="3">
        <v>143092</v>
      </c>
      <c r="S224" s="3">
        <v>143092</v>
      </c>
      <c r="T224" s="3">
        <v>141057.33915000001</v>
      </c>
      <c r="U224" s="3">
        <v>19180</v>
      </c>
      <c r="V224" s="3">
        <v>9430</v>
      </c>
      <c r="W224" s="3">
        <v>15680</v>
      </c>
      <c r="X224" s="3">
        <v>19670</v>
      </c>
      <c r="Y224" s="3">
        <v>20980</v>
      </c>
      <c r="Z224" s="3">
        <v>23050</v>
      </c>
      <c r="AA224" s="3">
        <v>18920</v>
      </c>
      <c r="AB224" s="3">
        <v>19260</v>
      </c>
      <c r="AC224" s="3">
        <v>22230</v>
      </c>
      <c r="AD224" s="3">
        <v>19370</v>
      </c>
      <c r="AE224" s="3">
        <v>187770</v>
      </c>
      <c r="AF224" s="3">
        <v>187770</v>
      </c>
      <c r="AG224" s="3">
        <v>1707.28</v>
      </c>
      <c r="AH224" s="40">
        <v>0.8851</v>
      </c>
      <c r="AI224" s="40">
        <v>0.435</v>
      </c>
      <c r="AJ224" s="40">
        <v>0.81430000000000002</v>
      </c>
      <c r="AK224" s="40">
        <v>0.80420000000000003</v>
      </c>
      <c r="AL224" s="40">
        <v>0.87119999999999997</v>
      </c>
      <c r="AM224" s="40">
        <v>0.80479999999999996</v>
      </c>
      <c r="AN224" s="40">
        <v>0.90110000000000001</v>
      </c>
      <c r="AO224" s="40">
        <v>0.77629999999999999</v>
      </c>
      <c r="AP224" s="40">
        <v>0.91720000000000002</v>
      </c>
      <c r="AQ224" s="40">
        <v>0.78080000000000005</v>
      </c>
      <c r="AR224" s="31">
        <v>1.3122326894585301</v>
      </c>
      <c r="AS224" s="36">
        <v>2.00128671328671</v>
      </c>
      <c r="AT224">
        <v>3.03</v>
      </c>
      <c r="AU224">
        <v>3.16</v>
      </c>
      <c r="AV224">
        <v>3.58</v>
      </c>
      <c r="AW224">
        <v>3.21</v>
      </c>
      <c r="AY224" s="6">
        <v>3.2450000000000001</v>
      </c>
      <c r="AZ224" s="2">
        <v>0.79900000000000004</v>
      </c>
      <c r="BA224" s="2">
        <v>0.61672934153673697</v>
      </c>
      <c r="BB224" s="2">
        <v>0.995</v>
      </c>
      <c r="BC224">
        <v>71500</v>
      </c>
      <c r="BD224">
        <v>56992</v>
      </c>
      <c r="BE224">
        <v>10919</v>
      </c>
      <c r="BF224">
        <v>27402</v>
      </c>
      <c r="BG224" s="9" t="s">
        <v>68</v>
      </c>
    </row>
    <row r="225" spans="3:59" ht="315" x14ac:dyDescent="0.25">
      <c r="C225" s="1">
        <v>45845</v>
      </c>
      <c r="D225" s="36">
        <v>249932.632258064</v>
      </c>
      <c r="E225" s="33">
        <v>4.2064516129032299</v>
      </c>
      <c r="F225" s="33">
        <v>3.4480283870967701</v>
      </c>
      <c r="G225" s="2">
        <v>0.81969999999999998</v>
      </c>
      <c r="H225" s="2">
        <v>0.99</v>
      </c>
      <c r="I225" s="3">
        <v>78204</v>
      </c>
      <c r="J225" s="3">
        <v>15181</v>
      </c>
      <c r="K225" s="3">
        <v>30939.5</v>
      </c>
      <c r="L225" s="3">
        <v>36197</v>
      </c>
      <c r="M225" s="3">
        <v>36344</v>
      </c>
      <c r="N225" s="3">
        <v>196865.5</v>
      </c>
      <c r="O225" s="3">
        <v>203215.5</v>
      </c>
      <c r="P225" s="3">
        <v>6350</v>
      </c>
      <c r="Q225" s="3">
        <v>6350</v>
      </c>
      <c r="R225" s="3">
        <v>203215.5</v>
      </c>
      <c r="S225" s="3">
        <v>203215.5</v>
      </c>
      <c r="T225" s="3">
        <v>201874.27770000001</v>
      </c>
      <c r="U225" s="3">
        <v>14410</v>
      </c>
      <c r="V225" s="3">
        <v>15680</v>
      </c>
      <c r="W225" s="3">
        <v>12640</v>
      </c>
      <c r="X225" s="3">
        <v>15610</v>
      </c>
      <c r="Y225" s="3">
        <v>16140</v>
      </c>
      <c r="Z225" s="3">
        <v>17860</v>
      </c>
      <c r="AA225" s="3">
        <v>15120</v>
      </c>
      <c r="AB225" s="3">
        <v>15070</v>
      </c>
      <c r="AC225" s="3">
        <v>16530</v>
      </c>
      <c r="AD225" s="3">
        <v>15460</v>
      </c>
      <c r="AE225" s="3">
        <v>154520</v>
      </c>
      <c r="AF225" s="3">
        <v>160870</v>
      </c>
      <c r="AG225" s="3">
        <v>1571.16</v>
      </c>
      <c r="AH225" s="40">
        <v>0.7681</v>
      </c>
      <c r="AI225" s="40">
        <v>0.83579999999999999</v>
      </c>
      <c r="AJ225" s="40">
        <v>0.75749999999999995</v>
      </c>
      <c r="AK225" s="40">
        <v>0.73709999999999998</v>
      </c>
      <c r="AL225" s="40">
        <v>0.76170000000000004</v>
      </c>
      <c r="AM225" s="40">
        <v>0.80579999999999996</v>
      </c>
      <c r="AN225" s="40">
        <v>0.82</v>
      </c>
      <c r="AO225" s="40">
        <v>0.78500000000000003</v>
      </c>
      <c r="AP225" s="40">
        <v>0.77669999999999995</v>
      </c>
      <c r="AQ225" s="40">
        <v>0.80549999999999999</v>
      </c>
      <c r="AR225" s="31">
        <v>0.78490136666912202</v>
      </c>
      <c r="AS225" s="36">
        <v>2.8421748251748302</v>
      </c>
      <c r="AT225">
        <v>2.66</v>
      </c>
      <c r="AU225">
        <v>2.78</v>
      </c>
      <c r="AV225">
        <v>2.77</v>
      </c>
      <c r="AW225">
        <v>2.78</v>
      </c>
      <c r="AY225" s="6">
        <v>2.7475000000000001</v>
      </c>
      <c r="AZ225" s="2">
        <v>0.7853</v>
      </c>
      <c r="BA225" s="2">
        <v>1.03445853509548</v>
      </c>
      <c r="BB225" s="2">
        <v>0.99339999999999995</v>
      </c>
      <c r="BC225">
        <v>71500</v>
      </c>
      <c r="BD225">
        <v>56992</v>
      </c>
      <c r="BE225">
        <v>24000</v>
      </c>
      <c r="BF225">
        <v>30030</v>
      </c>
      <c r="BG225" s="9" t="s">
        <v>68</v>
      </c>
    </row>
    <row r="226" spans="3:59" ht="315" x14ac:dyDescent="0.25">
      <c r="C226" s="1">
        <v>45846</v>
      </c>
      <c r="D226" s="36">
        <v>249932.632258064</v>
      </c>
      <c r="E226" s="33">
        <v>4.2064516129032299</v>
      </c>
      <c r="F226" s="33">
        <v>3.4480283870967701</v>
      </c>
      <c r="G226" s="2">
        <v>0.81969999999999998</v>
      </c>
      <c r="H226" s="2">
        <v>0.99</v>
      </c>
      <c r="I226" s="3">
        <v>77850</v>
      </c>
      <c r="J226" s="3">
        <v>77682</v>
      </c>
      <c r="K226" s="3">
        <v>59167</v>
      </c>
      <c r="L226" s="3">
        <v>64931</v>
      </c>
      <c r="M226" s="3">
        <v>58841</v>
      </c>
      <c r="N226" s="3">
        <v>338471</v>
      </c>
      <c r="O226" s="3">
        <v>341639.33</v>
      </c>
      <c r="P226" s="3">
        <v>3168.3300000000199</v>
      </c>
      <c r="Q226" s="3">
        <v>3168.3300000000199</v>
      </c>
      <c r="R226" s="3">
        <v>341639.33</v>
      </c>
      <c r="S226" s="3">
        <v>341639.33</v>
      </c>
      <c r="T226" s="3">
        <v>339931.13335000002</v>
      </c>
      <c r="U226" s="3">
        <v>30730</v>
      </c>
      <c r="V226" s="3">
        <v>30260</v>
      </c>
      <c r="W226" s="3">
        <v>26350</v>
      </c>
      <c r="X226" s="3">
        <v>33750</v>
      </c>
      <c r="Y226" s="3">
        <v>35440</v>
      </c>
      <c r="Z226" s="3">
        <v>40340</v>
      </c>
      <c r="AA226" s="3">
        <v>34130</v>
      </c>
      <c r="AB226" s="3">
        <v>33720</v>
      </c>
      <c r="AC226" s="3">
        <v>36630</v>
      </c>
      <c r="AD226" s="3">
        <v>34530</v>
      </c>
      <c r="AE226" s="3">
        <v>335880</v>
      </c>
      <c r="AF226" s="3">
        <v>339048.33</v>
      </c>
      <c r="AG226" s="3">
        <v>1385.2</v>
      </c>
      <c r="AH226" s="40">
        <v>0.78910000000000002</v>
      </c>
      <c r="AI226" s="40">
        <v>0.77700000000000002</v>
      </c>
      <c r="AJ226" s="40">
        <v>0.76100000000000001</v>
      </c>
      <c r="AK226" s="40">
        <v>0.76759999999999995</v>
      </c>
      <c r="AL226" s="40">
        <v>0.80049999999999999</v>
      </c>
      <c r="AM226" s="40">
        <v>0.88919999999999999</v>
      </c>
      <c r="AN226" s="40">
        <v>0.91039999999999999</v>
      </c>
      <c r="AO226" s="40">
        <v>0.85819999999999996</v>
      </c>
      <c r="AP226" s="40">
        <v>0.84640000000000004</v>
      </c>
      <c r="AQ226" s="40">
        <v>0.87890000000000001</v>
      </c>
      <c r="AR226" s="31">
        <v>0.99234498671968896</v>
      </c>
      <c r="AS226" s="36">
        <v>4.7781724475524499</v>
      </c>
      <c r="AT226">
        <v>5.41</v>
      </c>
      <c r="AU226">
        <v>5.81</v>
      </c>
      <c r="AV226">
        <v>5.67</v>
      </c>
      <c r="AW226">
        <v>5.77</v>
      </c>
      <c r="AY226" s="6">
        <v>5.665</v>
      </c>
      <c r="AZ226" s="2">
        <v>0.82779999999999998</v>
      </c>
      <c r="BA226" s="2">
        <v>0.84345497750263898</v>
      </c>
      <c r="BB226" s="2">
        <v>0.995</v>
      </c>
      <c r="BC226">
        <v>71500</v>
      </c>
      <c r="BD226">
        <v>56992</v>
      </c>
      <c r="BE226">
        <v>24000</v>
      </c>
      <c r="BF226">
        <v>30030</v>
      </c>
      <c r="BG226" s="9" t="s">
        <v>68</v>
      </c>
    </row>
    <row r="227" spans="3:59" ht="315" x14ac:dyDescent="0.25">
      <c r="C227" s="1">
        <v>45847</v>
      </c>
      <c r="D227" s="36">
        <v>249932.632258064</v>
      </c>
      <c r="E227" s="33">
        <v>4.2064516129032299</v>
      </c>
      <c r="F227" s="33">
        <v>3.4480283870967701</v>
      </c>
      <c r="G227" s="2">
        <v>0.81969999999999998</v>
      </c>
      <c r="H227" s="2">
        <v>0.99</v>
      </c>
      <c r="I227" s="3">
        <v>63333</v>
      </c>
      <c r="J227" s="3">
        <v>63140</v>
      </c>
      <c r="K227" s="3">
        <v>48747.5</v>
      </c>
      <c r="L227" s="3">
        <v>54190</v>
      </c>
      <c r="M227" s="3">
        <v>47309</v>
      </c>
      <c r="N227" s="3">
        <v>276719.5</v>
      </c>
      <c r="O227" s="3">
        <v>265537.17</v>
      </c>
      <c r="P227" s="3">
        <v>-11182.33</v>
      </c>
      <c r="Q227" s="3">
        <v>0</v>
      </c>
      <c r="R227" s="3">
        <v>276719.5</v>
      </c>
      <c r="S227" s="3">
        <v>276719.5</v>
      </c>
      <c r="T227" s="3">
        <v>264209.48414999997</v>
      </c>
      <c r="U227" s="3">
        <v>25490</v>
      </c>
      <c r="V227" s="3">
        <v>25050</v>
      </c>
      <c r="W227" s="3">
        <v>21710</v>
      </c>
      <c r="X227" s="3">
        <v>27610</v>
      </c>
      <c r="Y227" s="3">
        <v>28320</v>
      </c>
      <c r="Z227" s="3">
        <v>32270</v>
      </c>
      <c r="AA227" s="3">
        <v>27020</v>
      </c>
      <c r="AB227" s="3">
        <v>27680</v>
      </c>
      <c r="AC227" s="3">
        <v>30990</v>
      </c>
      <c r="AD227" s="3">
        <v>27700</v>
      </c>
      <c r="AE227" s="3">
        <v>273840</v>
      </c>
      <c r="AF227" s="3">
        <v>273840</v>
      </c>
      <c r="AG227" s="3">
        <v>1426.67</v>
      </c>
      <c r="AH227" s="40">
        <v>0.81740000000000002</v>
      </c>
      <c r="AI227" s="40">
        <v>0.80320000000000003</v>
      </c>
      <c r="AJ227" s="40">
        <v>0.7833</v>
      </c>
      <c r="AK227" s="40">
        <v>0.7843</v>
      </c>
      <c r="AL227" s="40">
        <v>0.82420000000000004</v>
      </c>
      <c r="AM227" s="40">
        <v>0.92949999999999999</v>
      </c>
      <c r="AN227" s="40">
        <v>0.87809999999999999</v>
      </c>
      <c r="AO227" s="40">
        <v>0.92030000000000001</v>
      </c>
      <c r="AP227" s="40">
        <v>0.87229999999999996</v>
      </c>
      <c r="AQ227" s="40">
        <v>0.92090000000000005</v>
      </c>
      <c r="AR227" s="31">
        <v>0.98959415581482302</v>
      </c>
      <c r="AS227" s="36">
        <v>3.8702027972028001</v>
      </c>
      <c r="AT227">
        <v>4.4400000000000004</v>
      </c>
      <c r="AU227">
        <v>4.51</v>
      </c>
      <c r="AV227">
        <v>4.34</v>
      </c>
      <c r="AW227">
        <v>4.62</v>
      </c>
      <c r="AY227" s="6">
        <v>4.4775</v>
      </c>
      <c r="AZ227" s="2">
        <v>0.85329999999999995</v>
      </c>
      <c r="BA227" s="2">
        <v>0.86436690054780496</v>
      </c>
      <c r="BB227" s="2">
        <v>0.995</v>
      </c>
      <c r="BC227">
        <v>71500</v>
      </c>
      <c r="BD227">
        <v>56992</v>
      </c>
      <c r="BE227">
        <v>24000</v>
      </c>
      <c r="BF227">
        <v>30030</v>
      </c>
      <c r="BG227" s="9" t="s">
        <v>68</v>
      </c>
    </row>
    <row r="228" spans="3:59" ht="315" x14ac:dyDescent="0.25">
      <c r="C228" s="1">
        <v>45848</v>
      </c>
      <c r="D228" s="36">
        <v>249932.632258064</v>
      </c>
      <c r="E228" s="33">
        <v>4.2064516129032299</v>
      </c>
      <c r="F228" s="33">
        <v>3.4480283870967701</v>
      </c>
      <c r="G228" s="2">
        <v>0.81969999999999998</v>
      </c>
      <c r="H228" s="2">
        <v>0.99</v>
      </c>
      <c r="I228" s="3">
        <v>50788</v>
      </c>
      <c r="J228" s="3">
        <v>50865</v>
      </c>
      <c r="K228" s="3">
        <v>34814</v>
      </c>
      <c r="L228" s="3">
        <v>40171</v>
      </c>
      <c r="M228" s="3">
        <v>34982</v>
      </c>
      <c r="N228" s="3">
        <v>211620</v>
      </c>
      <c r="O228" s="3">
        <v>193884.33</v>
      </c>
      <c r="P228" s="3">
        <v>-17735.669999999998</v>
      </c>
      <c r="Q228" s="3">
        <v>0</v>
      </c>
      <c r="R228" s="3">
        <v>211620</v>
      </c>
      <c r="S228" s="3">
        <v>211620</v>
      </c>
      <c r="T228" s="3">
        <v>192914.90835000001</v>
      </c>
      <c r="U228" s="3">
        <v>21600</v>
      </c>
      <c r="V228" s="3">
        <v>20560</v>
      </c>
      <c r="W228" s="3">
        <v>17890</v>
      </c>
      <c r="X228" s="3">
        <v>22930</v>
      </c>
      <c r="Y228" s="3">
        <v>23450</v>
      </c>
      <c r="Z228" s="3">
        <v>25310</v>
      </c>
      <c r="AA228" s="3">
        <v>21280</v>
      </c>
      <c r="AB228" s="3">
        <v>21630</v>
      </c>
      <c r="AC228" s="3">
        <v>24190</v>
      </c>
      <c r="AD228" s="3">
        <v>22210</v>
      </c>
      <c r="AE228" s="3">
        <v>221050</v>
      </c>
      <c r="AF228" s="3">
        <v>221050</v>
      </c>
      <c r="AG228" s="3">
        <v>1318.72</v>
      </c>
      <c r="AH228" s="40">
        <v>0.94669999999999999</v>
      </c>
      <c r="AI228" s="40">
        <v>0.90110000000000001</v>
      </c>
      <c r="AJ228" s="40">
        <v>0.88200000000000001</v>
      </c>
      <c r="AK228" s="40">
        <v>0.89019999999999999</v>
      </c>
      <c r="AL228" s="40">
        <v>0.90249999999999997</v>
      </c>
      <c r="AM228" s="40">
        <v>0.97950000000000004</v>
      </c>
      <c r="AN228" s="40">
        <v>0.92779999999999996</v>
      </c>
      <c r="AO228" s="40">
        <v>0.96650000000000003</v>
      </c>
      <c r="AP228" s="40">
        <v>0.91359999999999997</v>
      </c>
      <c r="AQ228" s="40">
        <v>0.99209999999999998</v>
      </c>
      <c r="AR228" s="31">
        <v>1.0445610055760299</v>
      </c>
      <c r="AS228" s="36">
        <v>2.9597202797202802</v>
      </c>
      <c r="AT228">
        <v>3.31</v>
      </c>
      <c r="AU228">
        <v>3.41</v>
      </c>
      <c r="AV228">
        <v>3.23</v>
      </c>
      <c r="AW228">
        <v>3.38</v>
      </c>
      <c r="AY228" s="6">
        <v>3.3325</v>
      </c>
      <c r="AZ228" s="2">
        <v>0.93020000000000003</v>
      </c>
      <c r="BA228" s="2">
        <v>0.88813811844569501</v>
      </c>
      <c r="BB228" s="2">
        <v>0.995</v>
      </c>
      <c r="BC228">
        <v>71500</v>
      </c>
      <c r="BD228">
        <v>56992</v>
      </c>
      <c r="BE228">
        <v>24000</v>
      </c>
      <c r="BF228">
        <v>29154</v>
      </c>
      <c r="BG228" s="9" t="s">
        <v>68</v>
      </c>
    </row>
    <row r="229" spans="3:59" ht="315" x14ac:dyDescent="0.25">
      <c r="C229" s="1">
        <v>45849</v>
      </c>
      <c r="D229" s="36">
        <v>249932.632258064</v>
      </c>
      <c r="E229" s="33">
        <v>4.2064516129032299</v>
      </c>
      <c r="F229" s="33">
        <v>3.4480283870967701</v>
      </c>
      <c r="G229" s="2">
        <v>0.81969999999999998</v>
      </c>
      <c r="H229" s="2">
        <v>0.99</v>
      </c>
      <c r="I229" s="3">
        <v>64469</v>
      </c>
      <c r="J229" s="3">
        <v>64164</v>
      </c>
      <c r="K229" s="3">
        <v>41255</v>
      </c>
      <c r="L229" s="3">
        <v>46660</v>
      </c>
      <c r="M229" s="3">
        <v>45330</v>
      </c>
      <c r="N229" s="3">
        <v>261878</v>
      </c>
      <c r="O229" s="3">
        <v>255644</v>
      </c>
      <c r="P229" s="3">
        <v>-6234</v>
      </c>
      <c r="Q229" s="3">
        <v>0</v>
      </c>
      <c r="R229" s="3">
        <v>261878</v>
      </c>
      <c r="S229" s="3">
        <v>261878</v>
      </c>
      <c r="T229" s="3">
        <v>254365.78</v>
      </c>
      <c r="U229" s="3">
        <v>24940</v>
      </c>
      <c r="V229" s="3">
        <v>23830</v>
      </c>
      <c r="W229" s="3">
        <v>20520</v>
      </c>
      <c r="X229" s="3">
        <v>26410</v>
      </c>
      <c r="Y229" s="3">
        <v>26670</v>
      </c>
      <c r="Z229" s="3">
        <v>27950</v>
      </c>
      <c r="AA229" s="3">
        <v>15570</v>
      </c>
      <c r="AB229" s="3">
        <v>23680</v>
      </c>
      <c r="AC229" s="3">
        <v>25930</v>
      </c>
      <c r="AD229" s="3">
        <v>24390</v>
      </c>
      <c r="AE229" s="3">
        <v>239890</v>
      </c>
      <c r="AF229" s="3">
        <v>239890</v>
      </c>
      <c r="AG229" s="3">
        <v>1552.62</v>
      </c>
      <c r="AH229" s="40">
        <v>0.9355</v>
      </c>
      <c r="AI229" s="40">
        <v>0.89380000000000004</v>
      </c>
      <c r="AJ229" s="40">
        <v>0.8659</v>
      </c>
      <c r="AK229" s="40">
        <v>0.87749999999999995</v>
      </c>
      <c r="AL229" s="40">
        <v>0.89290000000000003</v>
      </c>
      <c r="AM229" s="40">
        <v>0.9052</v>
      </c>
      <c r="AN229" s="40">
        <v>0.59419999999999995</v>
      </c>
      <c r="AO229" s="40">
        <v>0.88519999999999999</v>
      </c>
      <c r="AP229" s="40">
        <v>0.85729999999999995</v>
      </c>
      <c r="AQ229" s="40">
        <v>0.91190000000000004</v>
      </c>
      <c r="AR229" s="31">
        <v>0.91603723871420994</v>
      </c>
      <c r="AS229" s="36">
        <v>3.6626293706293702</v>
      </c>
      <c r="AT229">
        <v>3.78</v>
      </c>
      <c r="AU229">
        <v>3.92</v>
      </c>
      <c r="AV229">
        <v>3.86</v>
      </c>
      <c r="AW229">
        <v>3.95</v>
      </c>
      <c r="AY229" s="6">
        <v>3.8774999999999999</v>
      </c>
      <c r="AZ229" s="2">
        <v>0.86199999999999999</v>
      </c>
      <c r="BA229" s="2">
        <v>0.94458526644213303</v>
      </c>
      <c r="BB229" s="2">
        <v>0.995</v>
      </c>
      <c r="BC229">
        <v>71500</v>
      </c>
      <c r="BD229">
        <v>56992</v>
      </c>
      <c r="BE229">
        <v>24000</v>
      </c>
      <c r="BF229">
        <v>30030</v>
      </c>
      <c r="BG229" s="9" t="s">
        <v>68</v>
      </c>
    </row>
    <row r="230" spans="3:59" ht="315" x14ac:dyDescent="0.25">
      <c r="C230" s="1">
        <v>45850</v>
      </c>
      <c r="D230" s="36">
        <v>249932.632258064</v>
      </c>
      <c r="E230" s="33">
        <v>4.2064516129032299</v>
      </c>
      <c r="F230" s="33">
        <v>3.4480283870967701</v>
      </c>
      <c r="G230" s="2">
        <v>0.81969999999999998</v>
      </c>
      <c r="H230" s="2">
        <v>0.99</v>
      </c>
      <c r="I230" s="3">
        <v>49759</v>
      </c>
      <c r="J230" s="3">
        <v>49714</v>
      </c>
      <c r="K230" s="3">
        <v>34881.78</v>
      </c>
      <c r="L230" s="3">
        <v>39934</v>
      </c>
      <c r="M230" s="3">
        <v>38702</v>
      </c>
      <c r="N230" s="3">
        <v>212990.78</v>
      </c>
      <c r="O230" s="3">
        <v>200842.5</v>
      </c>
      <c r="P230" s="3">
        <v>-12148.28</v>
      </c>
      <c r="Q230" s="3">
        <v>0</v>
      </c>
      <c r="R230" s="3">
        <v>212990.78</v>
      </c>
      <c r="S230" s="3">
        <v>212990.78</v>
      </c>
      <c r="T230" s="3">
        <v>199838.28750000001</v>
      </c>
      <c r="U230" s="3">
        <v>20420</v>
      </c>
      <c r="V230" s="3">
        <v>19290</v>
      </c>
      <c r="W230" s="3">
        <v>17150</v>
      </c>
      <c r="X230" s="3">
        <v>21340</v>
      </c>
      <c r="Y230" s="3">
        <v>22070</v>
      </c>
      <c r="Z230" s="3">
        <v>24900</v>
      </c>
      <c r="AA230" s="3">
        <v>21040</v>
      </c>
      <c r="AB230" s="3">
        <v>21120</v>
      </c>
      <c r="AC230" s="3">
        <v>24050</v>
      </c>
      <c r="AD230" s="3">
        <v>20990</v>
      </c>
      <c r="AE230" s="3">
        <v>212370</v>
      </c>
      <c r="AF230" s="3">
        <v>212370</v>
      </c>
      <c r="AG230" s="3">
        <v>1638.41</v>
      </c>
      <c r="AH230" s="40">
        <v>0.88719999999999999</v>
      </c>
      <c r="AI230" s="40">
        <v>0.83809999999999996</v>
      </c>
      <c r="AJ230" s="40">
        <v>0.83799999999999997</v>
      </c>
      <c r="AK230" s="40">
        <v>0.82130000000000003</v>
      </c>
      <c r="AL230" s="40">
        <v>0.83</v>
      </c>
      <c r="AM230" s="40">
        <v>0.94030000000000002</v>
      </c>
      <c r="AN230" s="40">
        <v>0.89029999999999998</v>
      </c>
      <c r="AO230" s="40">
        <v>0.92090000000000005</v>
      </c>
      <c r="AP230" s="40">
        <v>0.88160000000000005</v>
      </c>
      <c r="AQ230" s="40">
        <v>0.91479999999999995</v>
      </c>
      <c r="AR230" s="31">
        <v>0.99708541374420101</v>
      </c>
      <c r="AS230" s="36">
        <v>2.9788920279720301</v>
      </c>
      <c r="AT230">
        <v>3.41</v>
      </c>
      <c r="AU230">
        <v>3.49</v>
      </c>
      <c r="AV230">
        <v>3.31</v>
      </c>
      <c r="AW230">
        <v>3.41</v>
      </c>
      <c r="AY230" s="6">
        <v>3.4049999999999998</v>
      </c>
      <c r="AZ230" s="2">
        <v>0.87619999999999998</v>
      </c>
      <c r="BA230" s="2">
        <v>0.874858157994722</v>
      </c>
      <c r="BB230" s="2">
        <v>0.995</v>
      </c>
      <c r="BC230">
        <v>71500</v>
      </c>
      <c r="BD230">
        <v>56992</v>
      </c>
      <c r="BE230">
        <v>24000</v>
      </c>
      <c r="BF230">
        <v>30030</v>
      </c>
      <c r="BG230" s="9" t="s">
        <v>68</v>
      </c>
    </row>
    <row r="231" spans="3:59" ht="315" x14ac:dyDescent="0.25">
      <c r="C231" s="1">
        <v>45851</v>
      </c>
      <c r="D231" s="36">
        <v>249932.632258064</v>
      </c>
      <c r="E231" s="33">
        <v>4.2064516129032299</v>
      </c>
      <c r="F231" s="33">
        <v>3.4480283870967701</v>
      </c>
      <c r="G231" s="2">
        <v>0.81969999999999998</v>
      </c>
      <c r="H231" s="2">
        <v>0.99</v>
      </c>
      <c r="I231" s="3">
        <v>59631</v>
      </c>
      <c r="J231" s="3">
        <v>59472</v>
      </c>
      <c r="K231" s="3">
        <v>43423.5</v>
      </c>
      <c r="L231" s="3">
        <v>46259</v>
      </c>
      <c r="M231" s="3">
        <v>45853</v>
      </c>
      <c r="N231" s="3">
        <v>254638.5</v>
      </c>
      <c r="O231" s="3">
        <v>250187.83</v>
      </c>
      <c r="P231" s="3">
        <v>-4450.6700000000101</v>
      </c>
      <c r="Q231" s="3">
        <v>0</v>
      </c>
      <c r="R231" s="3">
        <v>254638.5</v>
      </c>
      <c r="S231" s="3">
        <v>254638.5</v>
      </c>
      <c r="T231" s="3">
        <v>248936.89085</v>
      </c>
      <c r="U231" s="3">
        <v>25920</v>
      </c>
      <c r="V231" s="3">
        <v>25010</v>
      </c>
      <c r="W231" s="3">
        <v>9.22692233389569E-5</v>
      </c>
      <c r="X231" s="3">
        <v>27400</v>
      </c>
      <c r="Y231" s="3">
        <v>25670</v>
      </c>
      <c r="Z231" s="3">
        <v>32260</v>
      </c>
      <c r="AA231" s="3">
        <v>25120</v>
      </c>
      <c r="AB231" s="3">
        <v>27250</v>
      </c>
      <c r="AC231" s="3">
        <v>30390</v>
      </c>
      <c r="AD231" s="3">
        <v>28530</v>
      </c>
      <c r="AE231" s="3">
        <v>247550.00009226901</v>
      </c>
      <c r="AF231" s="3">
        <v>247550.00009226901</v>
      </c>
      <c r="AG231" s="3">
        <v>1312.07</v>
      </c>
      <c r="AH231" s="40">
        <v>0.84750000000000003</v>
      </c>
      <c r="AI231" s="40">
        <v>0.81810000000000005</v>
      </c>
      <c r="AJ231" s="40">
        <v>0.78879999999999995</v>
      </c>
      <c r="AK231" s="40">
        <v>0.79369999999999996</v>
      </c>
      <c r="AL231" s="40">
        <v>0.79079999999999995</v>
      </c>
      <c r="AM231" s="40">
        <v>0.9143</v>
      </c>
      <c r="AN231" s="40">
        <v>0.84699999999999998</v>
      </c>
      <c r="AO231" s="40">
        <v>0.89170000000000005</v>
      </c>
      <c r="AP231" s="40">
        <v>0.88770000000000004</v>
      </c>
      <c r="AQ231" s="40">
        <v>0.9335</v>
      </c>
      <c r="AR231" s="31">
        <v>0.97216249739245697</v>
      </c>
      <c r="AS231" s="36">
        <v>3.5613776223776199</v>
      </c>
      <c r="AT231">
        <v>4.28</v>
      </c>
      <c r="AU231">
        <v>4.26</v>
      </c>
      <c r="AV231">
        <v>4.41</v>
      </c>
      <c r="AW231">
        <v>4.53</v>
      </c>
      <c r="AY231" s="6">
        <v>4.37</v>
      </c>
      <c r="AZ231" s="2">
        <v>0.85129999999999995</v>
      </c>
      <c r="BA231" s="2">
        <v>0.81496055431982195</v>
      </c>
      <c r="BB231" s="2">
        <v>0.995</v>
      </c>
      <c r="BC231">
        <v>71500</v>
      </c>
      <c r="BD231">
        <v>56992</v>
      </c>
      <c r="BE231">
        <v>23633</v>
      </c>
      <c r="BF231">
        <v>26449</v>
      </c>
      <c r="BG231" s="9" t="s">
        <v>68</v>
      </c>
    </row>
    <row r="232" spans="3:59" ht="315" x14ac:dyDescent="0.25">
      <c r="C232" s="1">
        <v>45852</v>
      </c>
      <c r="D232" s="36">
        <v>249932.632258064</v>
      </c>
      <c r="E232" s="33">
        <v>4.2064516129032299</v>
      </c>
      <c r="F232" s="33">
        <v>3.4480283870967701</v>
      </c>
      <c r="G232" s="2">
        <v>0.81969999999999998</v>
      </c>
      <c r="H232" s="2">
        <v>0.99</v>
      </c>
      <c r="I232" s="3">
        <v>55616</v>
      </c>
      <c r="J232" s="3">
        <v>52952</v>
      </c>
      <c r="K232" s="3">
        <v>48743</v>
      </c>
      <c r="L232" s="3">
        <v>37546</v>
      </c>
      <c r="M232" s="3">
        <v>35181</v>
      </c>
      <c r="N232" s="3">
        <v>230038</v>
      </c>
      <c r="O232" s="3">
        <v>237816.17</v>
      </c>
      <c r="P232" s="3">
        <v>7778.1700000000101</v>
      </c>
      <c r="Q232" s="3">
        <v>7778.1700000000101</v>
      </c>
      <c r="R232" s="3">
        <v>237816.17</v>
      </c>
      <c r="S232" s="3">
        <v>237816.17</v>
      </c>
      <c r="T232" s="3">
        <v>236627.08915000001</v>
      </c>
      <c r="U232" s="3">
        <v>27060</v>
      </c>
      <c r="V232" s="3">
        <v>26340</v>
      </c>
      <c r="W232" s="3">
        <v>22940</v>
      </c>
      <c r="X232" s="3">
        <v>29610</v>
      </c>
      <c r="Y232" s="3">
        <v>28160</v>
      </c>
      <c r="Z232" s="3">
        <v>33510</v>
      </c>
      <c r="AA232" s="3">
        <v>28320</v>
      </c>
      <c r="AB232" s="3">
        <v>28760</v>
      </c>
      <c r="AC232" s="3">
        <v>32400</v>
      </c>
      <c r="AD232" s="3">
        <v>29370</v>
      </c>
      <c r="AE232" s="3">
        <v>286470</v>
      </c>
      <c r="AF232" s="3">
        <v>294248.17</v>
      </c>
      <c r="AG232" s="3">
        <v>1660.16</v>
      </c>
      <c r="AH232" s="40">
        <v>0.82320000000000004</v>
      </c>
      <c r="AI232" s="40">
        <v>0.80120000000000002</v>
      </c>
      <c r="AJ232" s="40">
        <v>0.78490000000000004</v>
      </c>
      <c r="AK232" s="40">
        <v>0.79790000000000005</v>
      </c>
      <c r="AL232" s="40">
        <v>0.78280000000000005</v>
      </c>
      <c r="AM232" s="40">
        <v>0.89900000000000002</v>
      </c>
      <c r="AN232" s="40">
        <v>0.86750000000000005</v>
      </c>
      <c r="AO232" s="40">
        <v>0.89039999999999997</v>
      </c>
      <c r="AP232" s="40">
        <v>0.8599</v>
      </c>
      <c r="AQ232" s="40">
        <v>0.9093</v>
      </c>
      <c r="AR232" s="31">
        <v>1.2453159912710099</v>
      </c>
      <c r="AS232" s="36">
        <v>3.3261002797202801</v>
      </c>
      <c r="AT232">
        <v>4.71</v>
      </c>
      <c r="AU232">
        <v>4.72</v>
      </c>
      <c r="AV232">
        <v>4.66</v>
      </c>
      <c r="AW232">
        <v>4.87</v>
      </c>
      <c r="AY232" s="6">
        <v>4.74</v>
      </c>
      <c r="AZ232" s="2">
        <v>0.84160000000000001</v>
      </c>
      <c r="BA232" s="2">
        <v>0.70170891977221095</v>
      </c>
      <c r="BB232" s="2">
        <v>0.995</v>
      </c>
      <c r="BC232">
        <v>71500</v>
      </c>
      <c r="BD232">
        <v>56992</v>
      </c>
      <c r="BE232">
        <v>12000</v>
      </c>
      <c r="BF232">
        <v>12617</v>
      </c>
      <c r="BG232" s="9" t="s">
        <v>68</v>
      </c>
    </row>
    <row r="233" spans="3:59" ht="409.5" x14ac:dyDescent="0.25">
      <c r="C233" s="1">
        <v>45853</v>
      </c>
      <c r="D233" s="36">
        <v>249932.632258064</v>
      </c>
      <c r="E233" s="33">
        <v>4.2064516129032299</v>
      </c>
      <c r="F233" s="33">
        <v>3.4480283870967701</v>
      </c>
      <c r="G233" s="2">
        <v>0.81969999999999998</v>
      </c>
      <c r="H233" s="2">
        <v>0.99</v>
      </c>
      <c r="I233" s="3">
        <v>42334</v>
      </c>
      <c r="J233" s="3">
        <v>0</v>
      </c>
      <c r="K233" s="3">
        <v>33252.5</v>
      </c>
      <c r="L233" s="3">
        <v>0</v>
      </c>
      <c r="M233" s="3">
        <v>11883</v>
      </c>
      <c r="N233" s="3">
        <v>87469.5</v>
      </c>
      <c r="O233" s="3">
        <v>85814.83</v>
      </c>
      <c r="P233" s="3">
        <v>-1654.67</v>
      </c>
      <c r="Q233" s="3">
        <v>0</v>
      </c>
      <c r="R233" s="3">
        <v>87469.5</v>
      </c>
      <c r="S233" s="3">
        <v>87469.5</v>
      </c>
      <c r="T233" s="3">
        <v>85385.755850000001</v>
      </c>
      <c r="U233" s="3">
        <v>5160</v>
      </c>
      <c r="V233" s="3">
        <v>5300</v>
      </c>
      <c r="W233" s="3">
        <v>4980</v>
      </c>
      <c r="X233" s="3">
        <v>6030</v>
      </c>
      <c r="Y233" s="3">
        <v>6160</v>
      </c>
      <c r="Z233" s="3">
        <v>6700</v>
      </c>
      <c r="AA233" s="3">
        <v>5680</v>
      </c>
      <c r="AB233" s="3">
        <v>5720</v>
      </c>
      <c r="AC233" s="3">
        <v>6180</v>
      </c>
      <c r="AD233" s="3">
        <v>5850</v>
      </c>
      <c r="AE233" s="3">
        <v>57760</v>
      </c>
      <c r="AF233" s="3">
        <v>57760</v>
      </c>
      <c r="AG233" s="3">
        <v>1564.38</v>
      </c>
      <c r="AH233" s="40">
        <v>0.91020000000000001</v>
      </c>
      <c r="AI233" s="40">
        <v>0.93510000000000004</v>
      </c>
      <c r="AJ233" s="40">
        <v>0.98850000000000005</v>
      </c>
      <c r="AK233" s="40">
        <v>0.94159999999999999</v>
      </c>
      <c r="AL233" s="40">
        <v>0.92959999999999998</v>
      </c>
      <c r="AM233" s="40">
        <v>0.9849</v>
      </c>
      <c r="AN233" s="40">
        <v>0.97540000000000004</v>
      </c>
      <c r="AO233" s="40">
        <v>0.97170000000000001</v>
      </c>
      <c r="AP233" s="40">
        <v>0.91990000000000005</v>
      </c>
      <c r="AQ233" s="40">
        <v>0.99309999999999998</v>
      </c>
      <c r="AR233" s="31">
        <v>0.66034446292707705</v>
      </c>
      <c r="AS233" s="36">
        <v>1.2233496503496499</v>
      </c>
      <c r="AT233">
        <v>0.84</v>
      </c>
      <c r="AU233">
        <v>0.87</v>
      </c>
      <c r="AV233">
        <v>0.85</v>
      </c>
      <c r="AW233">
        <v>0.84</v>
      </c>
      <c r="AY233" s="6">
        <v>0.85</v>
      </c>
      <c r="AZ233" s="2">
        <v>0.95499999999999996</v>
      </c>
      <c r="BA233" s="2">
        <v>1.43923488276429</v>
      </c>
      <c r="BB233" s="2">
        <v>0.995</v>
      </c>
      <c r="BC233">
        <v>71500</v>
      </c>
      <c r="BD233">
        <v>56992</v>
      </c>
      <c r="BE233">
        <v>10483</v>
      </c>
      <c r="BF233">
        <v>24897</v>
      </c>
      <c r="BG233" s="9" t="s">
        <v>135</v>
      </c>
    </row>
    <row r="234" spans="3:59" ht="409.5" x14ac:dyDescent="0.25">
      <c r="C234" s="1">
        <v>45854</v>
      </c>
      <c r="D234" s="36">
        <v>249932.632258064</v>
      </c>
      <c r="E234" s="33">
        <v>4.2064516129032299</v>
      </c>
      <c r="F234" s="33">
        <v>3.4480283870967701</v>
      </c>
      <c r="G234" s="2">
        <v>0.81969999999999998</v>
      </c>
      <c r="H234" s="2">
        <v>0.99</v>
      </c>
      <c r="I234" s="3">
        <v>76944</v>
      </c>
      <c r="J234" s="3">
        <v>1106</v>
      </c>
      <c r="K234" s="3">
        <v>33643</v>
      </c>
      <c r="L234" s="3">
        <v>35048</v>
      </c>
      <c r="M234" s="3">
        <v>45453</v>
      </c>
      <c r="N234" s="3">
        <v>192194</v>
      </c>
      <c r="O234" s="3">
        <v>222352.5</v>
      </c>
      <c r="P234" s="3">
        <v>30158.5</v>
      </c>
      <c r="Q234" s="3">
        <v>30158.5</v>
      </c>
      <c r="R234" s="3">
        <v>222352.5</v>
      </c>
      <c r="S234" s="3">
        <v>222352.5</v>
      </c>
      <c r="T234" s="3">
        <v>222352.5</v>
      </c>
      <c r="U234" s="3">
        <v>18380</v>
      </c>
      <c r="V234" s="3">
        <v>17640</v>
      </c>
      <c r="W234" s="3">
        <v>16170</v>
      </c>
      <c r="X234" s="3">
        <v>20410</v>
      </c>
      <c r="Y234" s="3">
        <v>20260</v>
      </c>
      <c r="Z234" s="3">
        <v>25770</v>
      </c>
      <c r="AA234" s="3">
        <v>22000</v>
      </c>
      <c r="AB234" s="3">
        <v>21890</v>
      </c>
      <c r="AC234" s="3">
        <v>24570</v>
      </c>
      <c r="AD234" s="3">
        <v>22730</v>
      </c>
      <c r="AE234" s="3">
        <v>209820</v>
      </c>
      <c r="AF234" s="3">
        <v>239978.5</v>
      </c>
      <c r="AG234" s="3">
        <v>1465.1</v>
      </c>
      <c r="AH234" s="40">
        <v>0.65620000000000001</v>
      </c>
      <c r="AI234" s="40">
        <v>0.62980000000000003</v>
      </c>
      <c r="AJ234" s="40">
        <v>0.64929999999999999</v>
      </c>
      <c r="AK234" s="40">
        <v>0.64539999999999997</v>
      </c>
      <c r="AL234" s="40">
        <v>0.64059999999999995</v>
      </c>
      <c r="AM234" s="40">
        <v>0.77239999999999998</v>
      </c>
      <c r="AN234" s="40">
        <v>0.78979999999999995</v>
      </c>
      <c r="AO234" s="40">
        <v>0.75749999999999995</v>
      </c>
      <c r="AP234" s="40">
        <v>0.76390000000000002</v>
      </c>
      <c r="AQ234" s="40">
        <v>0.78669999999999995</v>
      </c>
      <c r="AR234" s="31">
        <v>1.0917094186082801</v>
      </c>
      <c r="AS234" s="36">
        <v>3.1098251748251702</v>
      </c>
      <c r="AT234">
        <v>4.0199999999999996</v>
      </c>
      <c r="AU234">
        <v>4.1500000000000004</v>
      </c>
      <c r="AV234">
        <v>4.17</v>
      </c>
      <c r="AW234">
        <v>4.1500000000000004</v>
      </c>
      <c r="AY234" s="6">
        <v>4.1224999999999996</v>
      </c>
      <c r="AZ234" s="2">
        <v>0.70909999999999995</v>
      </c>
      <c r="BA234" s="2">
        <v>0.75435419644030899</v>
      </c>
      <c r="BB234" s="2">
        <v>1</v>
      </c>
      <c r="BC234">
        <v>71500</v>
      </c>
      <c r="BD234">
        <v>56992</v>
      </c>
      <c r="BE234">
        <v>20611</v>
      </c>
      <c r="BF234">
        <v>26094</v>
      </c>
      <c r="BG234" s="9" t="s">
        <v>136</v>
      </c>
    </row>
    <row r="235" spans="3:59" ht="409.5" x14ac:dyDescent="0.25">
      <c r="C235" s="1">
        <v>45855</v>
      </c>
      <c r="D235" s="36">
        <v>249932.632258064</v>
      </c>
      <c r="E235" s="33">
        <v>4.2064516129032299</v>
      </c>
      <c r="F235" s="33">
        <v>3.4480283870967701</v>
      </c>
      <c r="G235" s="2">
        <v>0.81969999999999998</v>
      </c>
      <c r="H235" s="2">
        <v>0.99</v>
      </c>
      <c r="I235" s="3">
        <v>27901</v>
      </c>
      <c r="J235" s="3">
        <v>27964</v>
      </c>
      <c r="K235" s="3">
        <v>27816.5</v>
      </c>
      <c r="L235" s="3">
        <v>29512</v>
      </c>
      <c r="M235" s="3">
        <v>6521</v>
      </c>
      <c r="N235" s="3">
        <v>119714.5</v>
      </c>
      <c r="O235" s="3">
        <v>100630.67</v>
      </c>
      <c r="P235" s="3">
        <v>-19083.830000000002</v>
      </c>
      <c r="Q235" s="3">
        <v>0</v>
      </c>
      <c r="R235" s="3">
        <v>119714.5</v>
      </c>
      <c r="S235" s="3">
        <v>119714.5</v>
      </c>
      <c r="T235" s="3">
        <v>100630.67</v>
      </c>
      <c r="U235" s="3">
        <v>6720</v>
      </c>
      <c r="V235" s="3">
        <v>6900</v>
      </c>
      <c r="W235" s="3">
        <v>6210</v>
      </c>
      <c r="X235" s="3">
        <v>7860</v>
      </c>
      <c r="Y235" s="3">
        <v>7610</v>
      </c>
      <c r="Z235" s="3">
        <v>8210</v>
      </c>
      <c r="AA235" s="3">
        <v>7050</v>
      </c>
      <c r="AB235" s="3">
        <v>7030</v>
      </c>
      <c r="AC235" s="3">
        <v>8150</v>
      </c>
      <c r="AD235" s="3">
        <v>7310</v>
      </c>
      <c r="AE235" s="3">
        <v>73050</v>
      </c>
      <c r="AF235" s="3">
        <v>73050</v>
      </c>
      <c r="AG235" s="3">
        <v>1727.61</v>
      </c>
      <c r="AH235" s="40">
        <v>0.96640000000000004</v>
      </c>
      <c r="AI235" s="40">
        <v>0.99219999999999997</v>
      </c>
      <c r="AJ235" s="40">
        <v>1</v>
      </c>
      <c r="AK235" s="40">
        <v>1</v>
      </c>
      <c r="AL235" s="40">
        <v>0.95130000000000003</v>
      </c>
      <c r="AM235" s="40">
        <v>1</v>
      </c>
      <c r="AN235" s="40">
        <v>0.98750000000000004</v>
      </c>
      <c r="AO235" s="40">
        <v>0.99470000000000003</v>
      </c>
      <c r="AP235" s="40">
        <v>0.98939999999999995</v>
      </c>
      <c r="AQ235" s="40">
        <v>1</v>
      </c>
      <c r="AR235" s="31">
        <v>0.61020177171520595</v>
      </c>
      <c r="AS235" s="36">
        <v>1.67432867132867</v>
      </c>
      <c r="AT235">
        <v>1.03</v>
      </c>
      <c r="AU235">
        <v>1.05</v>
      </c>
      <c r="AV235">
        <v>1.02</v>
      </c>
      <c r="AW235">
        <v>1.03</v>
      </c>
      <c r="AY235" s="6">
        <v>1.0325</v>
      </c>
      <c r="AZ235" s="2">
        <v>0.99280000000000002</v>
      </c>
      <c r="BA235" s="2">
        <v>1.62162583179532</v>
      </c>
      <c r="BB235" s="2">
        <v>1</v>
      </c>
      <c r="BC235">
        <v>71500</v>
      </c>
      <c r="BD235">
        <v>56992</v>
      </c>
      <c r="BE235">
        <v>24000</v>
      </c>
      <c r="BF235">
        <v>24000</v>
      </c>
      <c r="BG235" s="9" t="s">
        <v>137</v>
      </c>
    </row>
    <row r="236" spans="3:59" ht="409.5" x14ac:dyDescent="0.25">
      <c r="C236" s="1">
        <v>45856</v>
      </c>
      <c r="D236" s="36">
        <v>249932.632258064</v>
      </c>
      <c r="E236" s="33">
        <v>4.2064516129032299</v>
      </c>
      <c r="F236" s="33">
        <v>3.4480283870967701</v>
      </c>
      <c r="G236" s="2">
        <v>0.81969999999999998</v>
      </c>
      <c r="H236" s="2">
        <v>0.99</v>
      </c>
      <c r="I236" s="3">
        <v>60626</v>
      </c>
      <c r="J236" s="3">
        <v>60557</v>
      </c>
      <c r="K236" s="3">
        <v>59018</v>
      </c>
      <c r="L236" s="3">
        <v>59905</v>
      </c>
      <c r="M236" s="3">
        <v>13016</v>
      </c>
      <c r="N236" s="3">
        <v>253122</v>
      </c>
      <c r="O236" s="3">
        <v>243984.33</v>
      </c>
      <c r="P236" s="3">
        <v>-9137.6700000000092</v>
      </c>
      <c r="Q236" s="3">
        <v>0</v>
      </c>
      <c r="R236" s="3">
        <v>253122</v>
      </c>
      <c r="S236" s="3">
        <v>253122</v>
      </c>
      <c r="T236" s="3">
        <v>243984.33</v>
      </c>
      <c r="U236" s="3">
        <v>25260</v>
      </c>
      <c r="V236" s="3">
        <v>25580</v>
      </c>
      <c r="W236" s="3">
        <v>23090</v>
      </c>
      <c r="X236" s="3">
        <v>29030</v>
      </c>
      <c r="Y236" s="3">
        <v>26730</v>
      </c>
      <c r="Z236" s="3">
        <v>29880</v>
      </c>
      <c r="AA236" s="3">
        <v>25380</v>
      </c>
      <c r="AB236" s="3">
        <v>25360</v>
      </c>
      <c r="AC236" s="3">
        <v>29240</v>
      </c>
      <c r="AD236" s="3">
        <v>26110</v>
      </c>
      <c r="AE236" s="3">
        <v>265660</v>
      </c>
      <c r="AF236" s="3">
        <v>265660</v>
      </c>
      <c r="AG236" s="3">
        <v>1257</v>
      </c>
      <c r="AH236" s="40">
        <v>0.87029999999999996</v>
      </c>
      <c r="AI236" s="40">
        <v>0.88119999999999998</v>
      </c>
      <c r="AJ236" s="40">
        <v>0.89490000000000003</v>
      </c>
      <c r="AK236" s="40">
        <v>0.88600000000000001</v>
      </c>
      <c r="AL236" s="40">
        <v>0.83330000000000004</v>
      </c>
      <c r="AM236" s="40">
        <v>0.86670000000000003</v>
      </c>
      <c r="AN236" s="40">
        <v>0.91569999999999996</v>
      </c>
      <c r="AO236" s="40">
        <v>0.84909999999999997</v>
      </c>
      <c r="AP236" s="40">
        <v>0.91379999999999995</v>
      </c>
      <c r="AQ236" s="40">
        <v>0.87409999999999999</v>
      </c>
      <c r="AR236" s="31">
        <v>1.0495334265690099</v>
      </c>
      <c r="AS236" s="36">
        <v>3.54016783216783</v>
      </c>
      <c r="AT236">
        <v>4</v>
      </c>
      <c r="AU236">
        <v>4.21</v>
      </c>
      <c r="AV236">
        <v>4.3099999999999996</v>
      </c>
      <c r="AW236">
        <v>4.3</v>
      </c>
      <c r="AY236" s="6">
        <v>4.2050000000000001</v>
      </c>
      <c r="AZ236" s="2">
        <v>0.87849999999999995</v>
      </c>
      <c r="BA236" s="2">
        <v>0.84189484712671403</v>
      </c>
      <c r="BB236" s="2">
        <v>1</v>
      </c>
      <c r="BC236">
        <v>71500</v>
      </c>
      <c r="BD236">
        <v>56992</v>
      </c>
      <c r="BE236">
        <v>24000</v>
      </c>
      <c r="BF236">
        <v>29511</v>
      </c>
      <c r="BG236" s="9" t="s">
        <v>138</v>
      </c>
    </row>
    <row r="237" spans="3:59" x14ac:dyDescent="0.25">
      <c r="C237" s="1">
        <v>45857</v>
      </c>
      <c r="D237" s="36">
        <v>249932.632258064</v>
      </c>
      <c r="E237" s="33">
        <v>4.2064516129032299</v>
      </c>
      <c r="F237" s="33">
        <v>3.4480283870967701</v>
      </c>
      <c r="G237" s="2">
        <v>0.81969999999999998</v>
      </c>
      <c r="H237" s="2">
        <v>0.99</v>
      </c>
      <c r="I237" s="3">
        <v>68784</v>
      </c>
      <c r="J237" s="3">
        <v>68668</v>
      </c>
      <c r="K237" s="3">
        <v>43500.5</v>
      </c>
      <c r="L237" s="3">
        <v>54054</v>
      </c>
      <c r="M237" s="3">
        <v>51344</v>
      </c>
      <c r="N237" s="3">
        <v>286350.5</v>
      </c>
      <c r="O237" s="3">
        <v>275916.33</v>
      </c>
      <c r="P237" s="3">
        <v>-10434.17</v>
      </c>
      <c r="Q237" s="3">
        <v>0</v>
      </c>
      <c r="R237" s="3">
        <v>286350.5</v>
      </c>
      <c r="S237" s="3">
        <v>286350.5</v>
      </c>
      <c r="T237" s="3">
        <v>275364.49734</v>
      </c>
      <c r="U237" s="3">
        <v>24280</v>
      </c>
      <c r="V237" s="3">
        <v>25090</v>
      </c>
      <c r="W237" s="3">
        <v>22030</v>
      </c>
      <c r="X237" s="3">
        <v>27900</v>
      </c>
      <c r="Y237" s="3">
        <v>25440</v>
      </c>
      <c r="Z237" s="3">
        <v>29480</v>
      </c>
      <c r="AA237" s="3">
        <v>25390</v>
      </c>
      <c r="AB237" s="3">
        <v>25180</v>
      </c>
      <c r="AC237" s="3">
        <v>28230</v>
      </c>
      <c r="AD237" s="3">
        <v>26200</v>
      </c>
      <c r="AE237" s="3">
        <v>259220</v>
      </c>
      <c r="AF237" s="3">
        <v>259220</v>
      </c>
      <c r="AG237" s="3">
        <v>1762.66</v>
      </c>
      <c r="AH237" s="40">
        <v>0.88360000000000005</v>
      </c>
      <c r="AI237" s="40">
        <v>0.9133</v>
      </c>
      <c r="AJ237" s="40">
        <v>0.90200000000000002</v>
      </c>
      <c r="AK237" s="40">
        <v>0.89959999999999996</v>
      </c>
      <c r="AL237" s="40">
        <v>0.82040000000000002</v>
      </c>
      <c r="AM237" s="40">
        <v>0.88360000000000005</v>
      </c>
      <c r="AN237" s="40">
        <v>0.93940000000000001</v>
      </c>
      <c r="AO237" s="40">
        <v>0.87119999999999997</v>
      </c>
      <c r="AP237" s="40">
        <v>0.90469999999999995</v>
      </c>
      <c r="AQ237" s="40">
        <v>0.90669999999999995</v>
      </c>
      <c r="AR237" s="31">
        <v>0.905254225154138</v>
      </c>
      <c r="AS237" s="36">
        <v>4.0049020979021002</v>
      </c>
      <c r="AT237">
        <v>3.9</v>
      </c>
      <c r="AU237">
        <v>4.07</v>
      </c>
      <c r="AV237">
        <v>4.17</v>
      </c>
      <c r="AW237">
        <v>4.07</v>
      </c>
      <c r="AY237" s="6">
        <v>4.0525000000000002</v>
      </c>
      <c r="AZ237" s="2">
        <v>0.89239999999999997</v>
      </c>
      <c r="BA237" s="2">
        <v>0.988254681777199</v>
      </c>
      <c r="BB237" s="2">
        <v>0.998</v>
      </c>
      <c r="BC237">
        <v>71500</v>
      </c>
      <c r="BD237">
        <v>56992</v>
      </c>
      <c r="BE237">
        <v>24000</v>
      </c>
      <c r="BF237">
        <v>30030</v>
      </c>
      <c r="BG237" t="s">
        <v>139</v>
      </c>
    </row>
    <row r="238" spans="3:59" x14ac:dyDescent="0.25">
      <c r="C238" s="1">
        <v>45858</v>
      </c>
      <c r="D238" s="36">
        <v>249932.632258064</v>
      </c>
      <c r="E238" s="33">
        <v>4.2064516129032299</v>
      </c>
      <c r="F238" s="33">
        <v>3.4480283870967701</v>
      </c>
      <c r="G238" s="2">
        <v>0.81969999999999998</v>
      </c>
      <c r="H238" s="2">
        <v>0.99</v>
      </c>
      <c r="I238" s="3">
        <v>83186</v>
      </c>
      <c r="J238" s="3">
        <v>83301</v>
      </c>
      <c r="K238" s="3">
        <v>63548</v>
      </c>
      <c r="L238" s="3">
        <v>66655</v>
      </c>
      <c r="M238" s="3">
        <v>62883</v>
      </c>
      <c r="N238" s="3">
        <v>359573</v>
      </c>
      <c r="O238" s="3">
        <v>359675.17</v>
      </c>
      <c r="P238" s="3">
        <v>102.169999999984</v>
      </c>
      <c r="Q238" s="3">
        <v>102.169999999984</v>
      </c>
      <c r="R238" s="3">
        <v>359675.17</v>
      </c>
      <c r="S238" s="3">
        <v>359675.17</v>
      </c>
      <c r="T238" s="3">
        <v>358775.98207500001</v>
      </c>
      <c r="U238" s="3">
        <v>31440</v>
      </c>
      <c r="V238" s="3">
        <v>32610</v>
      </c>
      <c r="W238" s="3">
        <v>27430</v>
      </c>
      <c r="X238" s="3">
        <v>36860</v>
      </c>
      <c r="Y238" s="3">
        <v>34730</v>
      </c>
      <c r="Z238" s="3">
        <v>40380</v>
      </c>
      <c r="AA238" s="3">
        <v>34270</v>
      </c>
      <c r="AB238" s="3">
        <v>34380</v>
      </c>
      <c r="AC238" s="3">
        <v>38850</v>
      </c>
      <c r="AD238" s="3">
        <v>35320</v>
      </c>
      <c r="AE238" s="3">
        <v>346270</v>
      </c>
      <c r="AF238" s="3">
        <v>346372.17</v>
      </c>
      <c r="AG238" s="3">
        <v>1535.7</v>
      </c>
      <c r="AH238" s="40">
        <v>0.80179999999999996</v>
      </c>
      <c r="AI238" s="40">
        <v>0.83150000000000002</v>
      </c>
      <c r="AJ238" s="40">
        <v>0.78669999999999995</v>
      </c>
      <c r="AK238" s="40">
        <v>0.83260000000000001</v>
      </c>
      <c r="AL238" s="40">
        <v>0.80100000000000005</v>
      </c>
      <c r="AM238" s="40">
        <v>0.90290000000000004</v>
      </c>
      <c r="AN238" s="40">
        <v>0.89270000000000005</v>
      </c>
      <c r="AO238" s="40">
        <v>0.88749999999999996</v>
      </c>
      <c r="AP238" s="40">
        <v>0.87670000000000003</v>
      </c>
      <c r="AQ238" s="40">
        <v>0.91169999999999995</v>
      </c>
      <c r="AR238" s="31">
        <v>0.96300334007280897</v>
      </c>
      <c r="AS238" s="36">
        <v>5.03042195804196</v>
      </c>
      <c r="AT238">
        <v>5.54</v>
      </c>
      <c r="AU238">
        <v>5.69</v>
      </c>
      <c r="AV238">
        <v>5.59</v>
      </c>
      <c r="AW238">
        <v>5.81</v>
      </c>
      <c r="AX238">
        <v>6.13</v>
      </c>
      <c r="AY238" s="6">
        <v>5.7519999999999998</v>
      </c>
      <c r="AZ238" s="2">
        <v>0.85250000000000004</v>
      </c>
      <c r="BA238" s="2">
        <v>0.87455180077224604</v>
      </c>
      <c r="BB238" s="2">
        <v>0.99750000000000005</v>
      </c>
      <c r="BC238">
        <v>71500</v>
      </c>
      <c r="BD238">
        <v>56992</v>
      </c>
      <c r="BE238">
        <v>24000</v>
      </c>
      <c r="BF238">
        <v>30030</v>
      </c>
      <c r="BG238" t="s">
        <v>139</v>
      </c>
    </row>
    <row r="239" spans="3:59" x14ac:dyDescent="0.25">
      <c r="C239" s="1">
        <v>45859</v>
      </c>
      <c r="D239" s="36">
        <v>249932.632258064</v>
      </c>
      <c r="E239" s="33">
        <v>4.2064516129032299</v>
      </c>
      <c r="F239" s="33">
        <v>3.4480283870967701</v>
      </c>
      <c r="G239" s="2">
        <v>0.81969999999999998</v>
      </c>
      <c r="H239" s="2">
        <v>0.99</v>
      </c>
      <c r="I239" s="3">
        <v>84620</v>
      </c>
      <c r="J239" s="3">
        <v>84826</v>
      </c>
      <c r="K239" s="3">
        <v>65907.5</v>
      </c>
      <c r="L239" s="3">
        <v>67828</v>
      </c>
      <c r="M239" s="3">
        <v>65959</v>
      </c>
      <c r="N239" s="3">
        <v>369140.5</v>
      </c>
      <c r="O239" s="3">
        <v>356641.83</v>
      </c>
      <c r="P239" s="3">
        <v>-12498.67</v>
      </c>
      <c r="Q239" s="3">
        <v>0</v>
      </c>
      <c r="R239" s="3">
        <v>369140.5</v>
      </c>
      <c r="S239" s="3">
        <v>369140.5</v>
      </c>
      <c r="T239" s="3">
        <v>356641.83</v>
      </c>
      <c r="U239" s="3">
        <v>33240</v>
      </c>
      <c r="V239" s="3">
        <v>33330</v>
      </c>
      <c r="W239" s="3">
        <v>29550</v>
      </c>
      <c r="X239" s="3">
        <v>38160</v>
      </c>
      <c r="Y239" s="3">
        <v>38850</v>
      </c>
      <c r="Z239" s="3">
        <v>42700</v>
      </c>
      <c r="AA239" s="3">
        <v>37050</v>
      </c>
      <c r="AB239" s="3">
        <v>36970</v>
      </c>
      <c r="AC239" s="3">
        <v>43890</v>
      </c>
      <c r="AD239" s="3">
        <v>37820</v>
      </c>
      <c r="AE239" s="3">
        <v>371560</v>
      </c>
      <c r="AF239" s="3">
        <v>371560</v>
      </c>
      <c r="AG239" s="3">
        <v>1511.41</v>
      </c>
      <c r="AH239" s="40">
        <v>0.79679999999999995</v>
      </c>
      <c r="AI239" s="40">
        <v>0.79900000000000004</v>
      </c>
      <c r="AJ239" s="40">
        <v>0.79700000000000004</v>
      </c>
      <c r="AK239" s="40">
        <v>0.81030000000000002</v>
      </c>
      <c r="AL239" s="40">
        <v>0.81579999999999997</v>
      </c>
      <c r="AM239" s="40">
        <v>0.89700000000000002</v>
      </c>
      <c r="AN239" s="40">
        <v>0.87790000000000001</v>
      </c>
      <c r="AO239" s="40">
        <v>0.89649999999999996</v>
      </c>
      <c r="AP239" s="40">
        <v>0.90080000000000005</v>
      </c>
      <c r="AQ239" s="40">
        <v>0.9173</v>
      </c>
      <c r="AR239" s="31">
        <v>1.0065544149179</v>
      </c>
      <c r="AS239" s="36">
        <v>5.1628041958041999</v>
      </c>
      <c r="AT239">
        <v>6.09</v>
      </c>
      <c r="AU239">
        <v>6.25</v>
      </c>
      <c r="AV239">
        <v>5.95</v>
      </c>
      <c r="AW239">
        <v>6.18</v>
      </c>
      <c r="AX239">
        <v>6.55</v>
      </c>
      <c r="AY239" s="6">
        <v>6.2039999999999997</v>
      </c>
      <c r="AZ239" s="2">
        <v>0.8508</v>
      </c>
      <c r="BA239" s="2">
        <v>0.83217346805354497</v>
      </c>
      <c r="BB239" s="2">
        <v>1</v>
      </c>
      <c r="BC239">
        <v>71500</v>
      </c>
      <c r="BD239">
        <v>56992</v>
      </c>
      <c r="BE239">
        <v>24000</v>
      </c>
      <c r="BF239">
        <v>30030</v>
      </c>
      <c r="BG239" t="s">
        <v>139</v>
      </c>
    </row>
    <row r="240" spans="3:59" x14ac:dyDescent="0.25">
      <c r="C240" s="1">
        <v>45860</v>
      </c>
      <c r="D240" s="36">
        <v>249932.632258064</v>
      </c>
      <c r="E240" s="33">
        <v>4.2064516129032299</v>
      </c>
      <c r="F240" s="33">
        <v>3.4480283870967701</v>
      </c>
      <c r="G240" s="2">
        <v>0.81969999999999998</v>
      </c>
      <c r="H240" s="2">
        <v>0.99</v>
      </c>
      <c r="I240" s="3">
        <v>71206</v>
      </c>
      <c r="J240" s="3">
        <v>71214</v>
      </c>
      <c r="K240" s="3">
        <v>51195.5</v>
      </c>
      <c r="L240" s="3">
        <v>56461</v>
      </c>
      <c r="M240" s="3">
        <v>53111</v>
      </c>
      <c r="N240" s="3">
        <v>303187.5</v>
      </c>
      <c r="O240" s="3">
        <v>301606.5</v>
      </c>
      <c r="P240" s="3">
        <v>-1581</v>
      </c>
      <c r="Q240" s="3">
        <v>0</v>
      </c>
      <c r="R240" s="3">
        <v>303187.5</v>
      </c>
      <c r="S240" s="3">
        <v>303187.5</v>
      </c>
      <c r="T240" s="3">
        <v>301606.5</v>
      </c>
      <c r="U240" s="3">
        <v>29620</v>
      </c>
      <c r="V240" s="3">
        <v>28910</v>
      </c>
      <c r="W240" s="3">
        <v>25740</v>
      </c>
      <c r="X240" s="3">
        <v>32770</v>
      </c>
      <c r="Y240" s="3">
        <v>34180</v>
      </c>
      <c r="Z240" s="3">
        <v>35420</v>
      </c>
      <c r="AA240" s="3">
        <v>30380</v>
      </c>
      <c r="AB240" s="3">
        <v>29590</v>
      </c>
      <c r="AC240" s="3">
        <v>34390</v>
      </c>
      <c r="AD240" s="3">
        <v>29270</v>
      </c>
      <c r="AE240" s="3">
        <v>310270</v>
      </c>
      <c r="AF240" s="3">
        <v>310270</v>
      </c>
      <c r="AG240" s="3">
        <v>1641.5</v>
      </c>
      <c r="AH240" s="40">
        <v>0.874</v>
      </c>
      <c r="AI240" s="40">
        <v>0.85309999999999997</v>
      </c>
      <c r="AJ240" s="40">
        <v>0.85470000000000002</v>
      </c>
      <c r="AK240" s="40">
        <v>0.85660000000000003</v>
      </c>
      <c r="AL240" s="40">
        <v>0.86409999999999998</v>
      </c>
      <c r="AM240" s="40">
        <v>0.89090000000000003</v>
      </c>
      <c r="AN240" s="40">
        <v>0.94479999999999997</v>
      </c>
      <c r="AO240" s="40">
        <v>0.85899999999999999</v>
      </c>
      <c r="AP240" s="40">
        <v>0.92649999999999999</v>
      </c>
      <c r="AQ240" s="40">
        <v>0.84989999999999999</v>
      </c>
      <c r="AR240" s="31">
        <v>1.0233601319315599</v>
      </c>
      <c r="AS240" s="36">
        <v>4.2403846153846096</v>
      </c>
      <c r="AT240">
        <v>4.6399999999999997</v>
      </c>
      <c r="AU240">
        <v>5.19</v>
      </c>
      <c r="AV240">
        <v>4.97</v>
      </c>
      <c r="AW240">
        <v>5.0199999999999996</v>
      </c>
      <c r="AX240">
        <v>5.53</v>
      </c>
      <c r="AY240" s="6">
        <v>5.07</v>
      </c>
      <c r="AZ240" s="2">
        <v>0.87739999999999996</v>
      </c>
      <c r="BA240" s="2">
        <v>0.83636777423759701</v>
      </c>
      <c r="BB240" s="2">
        <v>1</v>
      </c>
      <c r="BC240">
        <v>71500</v>
      </c>
      <c r="BD240">
        <v>56992</v>
      </c>
      <c r="BE240">
        <v>24000</v>
      </c>
      <c r="BF240">
        <v>30030</v>
      </c>
      <c r="BG240" t="s">
        <v>139</v>
      </c>
    </row>
    <row r="241" spans="3:59" ht="409.5" x14ac:dyDescent="0.25">
      <c r="C241" s="1">
        <v>45861</v>
      </c>
      <c r="D241" s="36">
        <v>249932.632258064</v>
      </c>
      <c r="E241" s="33">
        <v>4.2064516129032299</v>
      </c>
      <c r="F241" s="33">
        <v>3.4480283870967701</v>
      </c>
      <c r="G241" s="2">
        <v>0.81969999999999998</v>
      </c>
      <c r="H241" s="2">
        <v>0.99</v>
      </c>
      <c r="I241" s="3">
        <v>64943</v>
      </c>
      <c r="J241" s="3">
        <v>65052</v>
      </c>
      <c r="K241" s="3">
        <v>42976.5</v>
      </c>
      <c r="L241" s="3">
        <v>49064</v>
      </c>
      <c r="M241" s="3">
        <v>45064</v>
      </c>
      <c r="N241" s="3">
        <v>267099.5</v>
      </c>
      <c r="O241" s="3">
        <v>281751.5</v>
      </c>
      <c r="P241" s="3">
        <v>14652</v>
      </c>
      <c r="Q241" s="3">
        <v>14652</v>
      </c>
      <c r="R241" s="3">
        <v>281751.5</v>
      </c>
      <c r="S241" s="3">
        <v>281751.5</v>
      </c>
      <c r="T241" s="3">
        <v>281751.5</v>
      </c>
      <c r="U241" s="3">
        <v>25310</v>
      </c>
      <c r="V241" s="3">
        <v>25150</v>
      </c>
      <c r="W241" s="3">
        <v>21720</v>
      </c>
      <c r="X241" s="3">
        <v>28890</v>
      </c>
      <c r="Y241" s="3">
        <v>29380</v>
      </c>
      <c r="Z241" s="3">
        <v>29340</v>
      </c>
      <c r="AA241" s="3">
        <v>25600</v>
      </c>
      <c r="AB241" s="3">
        <v>25570</v>
      </c>
      <c r="AC241" s="3">
        <v>31700</v>
      </c>
      <c r="AD241" s="3">
        <v>26490</v>
      </c>
      <c r="AE241" s="3">
        <v>269150</v>
      </c>
      <c r="AF241" s="3">
        <v>283802</v>
      </c>
      <c r="AG241" s="3">
        <v>1479.74</v>
      </c>
      <c r="AH241" s="40">
        <v>0.80820000000000003</v>
      </c>
      <c r="AI241" s="40">
        <v>0.80300000000000005</v>
      </c>
      <c r="AJ241" s="40">
        <v>0.78010000000000002</v>
      </c>
      <c r="AK241" s="40">
        <v>0.81720000000000004</v>
      </c>
      <c r="AL241" s="40">
        <v>0.83460000000000001</v>
      </c>
      <c r="AM241" s="40">
        <v>0.80410000000000004</v>
      </c>
      <c r="AN241" s="40">
        <v>0.77610000000000001</v>
      </c>
      <c r="AO241" s="40">
        <v>0.80910000000000004</v>
      </c>
      <c r="AP241" s="40">
        <v>0.83250000000000002</v>
      </c>
      <c r="AQ241" s="40">
        <v>0.83830000000000005</v>
      </c>
      <c r="AR241" s="31">
        <v>1.0076769144083</v>
      </c>
      <c r="AS241" s="36">
        <v>3.9405804195804199</v>
      </c>
      <c r="AT241">
        <v>4.76</v>
      </c>
      <c r="AU241">
        <v>4.62</v>
      </c>
      <c r="AV241">
        <v>4.5599999999999996</v>
      </c>
      <c r="AW241">
        <v>4.6399999999999997</v>
      </c>
      <c r="AX241">
        <v>4.8099999999999996</v>
      </c>
      <c r="AY241" s="6">
        <v>4.6779999999999999</v>
      </c>
      <c r="AZ241" s="2">
        <v>0.81030000000000002</v>
      </c>
      <c r="BA241" s="2">
        <v>0.84236434792227899</v>
      </c>
      <c r="BB241" s="2">
        <v>1</v>
      </c>
      <c r="BC241">
        <v>71500</v>
      </c>
      <c r="BD241">
        <v>56992</v>
      </c>
      <c r="BE241">
        <v>23800</v>
      </c>
      <c r="BF241">
        <v>29054</v>
      </c>
      <c r="BG241" s="9" t="s">
        <v>140</v>
      </c>
    </row>
    <row r="242" spans="3:59" x14ac:dyDescent="0.25">
      <c r="C242" s="1">
        <v>45862</v>
      </c>
      <c r="D242" s="36">
        <v>249932.632258064</v>
      </c>
      <c r="E242" s="33">
        <v>4.2064516129032299</v>
      </c>
      <c r="F242" s="33">
        <v>3.4480283870967701</v>
      </c>
      <c r="G242" s="2">
        <v>0.81969999999999998</v>
      </c>
      <c r="H242" s="2">
        <v>0.99</v>
      </c>
      <c r="I242" s="3">
        <v>70228</v>
      </c>
      <c r="J242" s="3">
        <v>70378</v>
      </c>
      <c r="K242" s="3">
        <v>52658</v>
      </c>
      <c r="L242" s="3">
        <v>61064</v>
      </c>
      <c r="M242" s="3">
        <v>54636</v>
      </c>
      <c r="N242" s="3">
        <v>308964</v>
      </c>
      <c r="O242" s="3">
        <v>303598.33</v>
      </c>
      <c r="P242" s="3">
        <v>-5365.6699999999801</v>
      </c>
      <c r="Q242" s="3">
        <v>0</v>
      </c>
      <c r="R242" s="3">
        <v>308964</v>
      </c>
      <c r="S242" s="3">
        <v>308964</v>
      </c>
      <c r="T242" s="3">
        <v>303598.33</v>
      </c>
      <c r="U242" s="3">
        <v>26650</v>
      </c>
      <c r="V242" s="3">
        <v>27180</v>
      </c>
      <c r="W242" s="3">
        <v>23580</v>
      </c>
      <c r="X242" s="3">
        <v>31550</v>
      </c>
      <c r="Y242" s="3">
        <v>31710</v>
      </c>
      <c r="Z242" s="3">
        <v>35520</v>
      </c>
      <c r="AA242" s="3">
        <v>30280</v>
      </c>
      <c r="AB242" s="3">
        <v>30470</v>
      </c>
      <c r="AC242" s="3">
        <v>36020</v>
      </c>
      <c r="AD242" s="3">
        <v>31200</v>
      </c>
      <c r="AE242" s="3">
        <v>304160</v>
      </c>
      <c r="AF242" s="3">
        <v>304160</v>
      </c>
      <c r="AG242" s="3">
        <v>1674.85</v>
      </c>
      <c r="AH242" s="40">
        <v>0.76819999999999999</v>
      </c>
      <c r="AI242" s="40">
        <v>0.78339999999999999</v>
      </c>
      <c r="AJ242" s="40">
        <v>0.76459999999999995</v>
      </c>
      <c r="AK242" s="40">
        <v>0.80379999999999996</v>
      </c>
      <c r="AL242" s="40">
        <v>0.80649999999999999</v>
      </c>
      <c r="AM242" s="40">
        <v>0.85050000000000003</v>
      </c>
      <c r="AN242" s="40">
        <v>0.88629999999999998</v>
      </c>
      <c r="AO242" s="40">
        <v>0.84219999999999995</v>
      </c>
      <c r="AP242" s="40">
        <v>0.91320000000000001</v>
      </c>
      <c r="AQ242" s="40">
        <v>0.86240000000000006</v>
      </c>
      <c r="AR242" s="31">
        <v>0.98445126293030905</v>
      </c>
      <c r="AS242" s="36">
        <v>4.3211748251748299</v>
      </c>
      <c r="AT242">
        <v>4.93</v>
      </c>
      <c r="AU242">
        <v>5.16</v>
      </c>
      <c r="AV242">
        <v>5.22</v>
      </c>
      <c r="AW242">
        <v>5.15</v>
      </c>
      <c r="AX242">
        <v>5.14</v>
      </c>
      <c r="AY242" s="6">
        <v>5.12</v>
      </c>
      <c r="AZ242" s="2">
        <v>0.82809999999999995</v>
      </c>
      <c r="BA242" s="2">
        <v>0.84397945804195795</v>
      </c>
      <c r="BB242" s="2">
        <v>1</v>
      </c>
      <c r="BC242">
        <v>71500</v>
      </c>
      <c r="BD242">
        <v>56992</v>
      </c>
      <c r="BE242">
        <v>24000</v>
      </c>
      <c r="BF242">
        <v>30030</v>
      </c>
      <c r="BG242" t="s">
        <v>139</v>
      </c>
    </row>
    <row r="243" spans="3:59" ht="409.5" x14ac:dyDescent="0.25">
      <c r="C243" s="1">
        <v>45863</v>
      </c>
      <c r="D243" s="36">
        <v>249932.632258064</v>
      </c>
      <c r="E243" s="33">
        <v>4.2064516129032299</v>
      </c>
      <c r="F243" s="33">
        <v>3.4480283870967701</v>
      </c>
      <c r="G243" s="2">
        <v>0.81969999999999998</v>
      </c>
      <c r="H243" s="2">
        <v>0.99</v>
      </c>
      <c r="I243" s="3">
        <v>67606</v>
      </c>
      <c r="J243" s="3">
        <v>67757</v>
      </c>
      <c r="K243" s="3">
        <v>53241.5</v>
      </c>
      <c r="L243" s="3">
        <v>61898</v>
      </c>
      <c r="M243" s="3">
        <v>55464</v>
      </c>
      <c r="N243" s="3">
        <v>305966.5</v>
      </c>
      <c r="O243" s="3">
        <v>308583.17</v>
      </c>
      <c r="P243" s="3">
        <v>2616.6699999999801</v>
      </c>
      <c r="Q243" s="3">
        <v>2616.6699999999801</v>
      </c>
      <c r="R243" s="3">
        <v>308583.17</v>
      </c>
      <c r="S243" s="3">
        <v>308583.17</v>
      </c>
      <c r="T243" s="3">
        <v>308583.17</v>
      </c>
      <c r="U243" s="3">
        <v>27600</v>
      </c>
      <c r="V243" s="3">
        <v>28290</v>
      </c>
      <c r="W243" s="3">
        <v>24030</v>
      </c>
      <c r="X243" s="3">
        <v>31690</v>
      </c>
      <c r="Y243" s="3">
        <v>32060</v>
      </c>
      <c r="Z243" s="3">
        <v>37480</v>
      </c>
      <c r="AA243" s="3">
        <v>32460</v>
      </c>
      <c r="AB243" s="3">
        <v>32240</v>
      </c>
      <c r="AC243" s="3">
        <v>38530</v>
      </c>
      <c r="AD243" s="3">
        <v>32470</v>
      </c>
      <c r="AE243" s="3">
        <v>316850</v>
      </c>
      <c r="AF243" s="3">
        <v>319466.67</v>
      </c>
      <c r="AG243" s="3">
        <v>1633.36</v>
      </c>
      <c r="AH243" s="40">
        <v>0.72099999999999997</v>
      </c>
      <c r="AI243" s="40">
        <v>0.73899999999999999</v>
      </c>
      <c r="AJ243" s="40">
        <v>0.70640000000000003</v>
      </c>
      <c r="AK243" s="40">
        <v>0.78029999999999999</v>
      </c>
      <c r="AL243" s="40">
        <v>0.77349999999999997</v>
      </c>
      <c r="AM243" s="40">
        <v>0.87409999999999999</v>
      </c>
      <c r="AN243" s="40">
        <v>0.87229999999999996</v>
      </c>
      <c r="AO243" s="40">
        <v>0.86780000000000002</v>
      </c>
      <c r="AP243" s="40">
        <v>0.89680000000000004</v>
      </c>
      <c r="AQ243" s="40">
        <v>0.87419999999999998</v>
      </c>
      <c r="AR243" s="31">
        <v>1.03557088766254</v>
      </c>
      <c r="AS243" s="36">
        <v>4.3158485314685304</v>
      </c>
      <c r="AT243">
        <v>5.37</v>
      </c>
      <c r="AU243">
        <v>5.44</v>
      </c>
      <c r="AV243">
        <v>5.36</v>
      </c>
      <c r="AW243">
        <v>5.33</v>
      </c>
      <c r="AX243">
        <v>5.67</v>
      </c>
      <c r="AY243" s="6">
        <v>5.4340000000000002</v>
      </c>
      <c r="AZ243" s="2">
        <v>0.81059999999999999</v>
      </c>
      <c r="BA243" s="2">
        <v>0.79423049898206299</v>
      </c>
      <c r="BB243" s="2">
        <v>1</v>
      </c>
      <c r="BC243">
        <v>71500</v>
      </c>
      <c r="BD243">
        <v>56992</v>
      </c>
      <c r="BE243">
        <v>22851</v>
      </c>
      <c r="BF243">
        <v>30030</v>
      </c>
      <c r="BG243" s="9" t="s">
        <v>141</v>
      </c>
    </row>
    <row r="244" spans="3:59" x14ac:dyDescent="0.25">
      <c r="C244" s="1">
        <v>45864</v>
      </c>
      <c r="D244" s="36">
        <v>249932.632258064</v>
      </c>
      <c r="E244" s="33">
        <v>4.2064516129032299</v>
      </c>
      <c r="F244" s="33">
        <v>3.4480283870967701</v>
      </c>
      <c r="G244" s="2">
        <v>0.81969999999999998</v>
      </c>
      <c r="H244" s="2">
        <v>0.99</v>
      </c>
      <c r="I244" s="3">
        <v>74810</v>
      </c>
      <c r="J244" s="3">
        <v>74978</v>
      </c>
      <c r="K244" s="3">
        <v>48406.5</v>
      </c>
      <c r="L244" s="3">
        <v>64749</v>
      </c>
      <c r="M244" s="3">
        <v>60348</v>
      </c>
      <c r="N244" s="3">
        <v>323291.5</v>
      </c>
      <c r="O244" s="3">
        <v>327529.17</v>
      </c>
      <c r="P244" s="3">
        <v>4237.6699999999801</v>
      </c>
      <c r="Q244" s="3">
        <v>4237.6699999999801</v>
      </c>
      <c r="R244" s="3">
        <v>327529.17</v>
      </c>
      <c r="S244" s="3">
        <v>327529.17</v>
      </c>
      <c r="T244" s="3">
        <v>327529.17</v>
      </c>
      <c r="U244" s="3">
        <v>29300</v>
      </c>
      <c r="V244" s="3">
        <v>29520</v>
      </c>
      <c r="W244" s="3">
        <v>25410</v>
      </c>
      <c r="X244" s="3">
        <v>33330</v>
      </c>
      <c r="Y244" s="3">
        <v>33330</v>
      </c>
      <c r="Z244" s="3">
        <v>37050</v>
      </c>
      <c r="AA244" s="3">
        <v>32010</v>
      </c>
      <c r="AB244" s="3">
        <v>32070</v>
      </c>
      <c r="AC244" s="3">
        <v>37530</v>
      </c>
      <c r="AD244" s="3">
        <v>32650</v>
      </c>
      <c r="AE244" s="3">
        <v>322200</v>
      </c>
      <c r="AF244" s="3">
        <v>326437.67</v>
      </c>
      <c r="AG244" s="3">
        <v>1728.39</v>
      </c>
      <c r="AH244" s="40">
        <v>0.75239999999999996</v>
      </c>
      <c r="AI244" s="40">
        <v>0.75800000000000001</v>
      </c>
      <c r="AJ244" s="40">
        <v>0.73399999999999999</v>
      </c>
      <c r="AK244" s="40">
        <v>0.80400000000000005</v>
      </c>
      <c r="AL244" s="40">
        <v>0.79959999999999998</v>
      </c>
      <c r="AM244" s="40">
        <v>0.85289999999999999</v>
      </c>
      <c r="AN244" s="40">
        <v>0.89339999999999997</v>
      </c>
      <c r="AO244" s="40">
        <v>0.85209999999999997</v>
      </c>
      <c r="AP244" s="40">
        <v>0.90739999999999998</v>
      </c>
      <c r="AQ244" s="40">
        <v>0.86760000000000004</v>
      </c>
      <c r="AR244" s="31">
        <v>0.99662378998519896</v>
      </c>
      <c r="AS244" s="36">
        <v>4.5808275524475501</v>
      </c>
      <c r="AT244">
        <v>5.17</v>
      </c>
      <c r="AU244">
        <v>5.47</v>
      </c>
      <c r="AV244">
        <v>5.43</v>
      </c>
      <c r="AW244">
        <v>5.44</v>
      </c>
      <c r="AX244">
        <v>5.77</v>
      </c>
      <c r="AY244" s="6">
        <v>5.4560000000000004</v>
      </c>
      <c r="AZ244" s="2">
        <v>0.82210000000000005</v>
      </c>
      <c r="BA244" s="2">
        <v>0.83959449275065101</v>
      </c>
      <c r="BB244" s="2">
        <v>1</v>
      </c>
      <c r="BC244">
        <v>71500</v>
      </c>
      <c r="BD244">
        <v>56992</v>
      </c>
      <c r="BE244">
        <v>24000</v>
      </c>
      <c r="BF244">
        <v>30030</v>
      </c>
      <c r="BG244" t="s">
        <v>139</v>
      </c>
    </row>
    <row r="245" spans="3:59" x14ac:dyDescent="0.25">
      <c r="C245" s="1">
        <v>45865</v>
      </c>
      <c r="D245" s="36">
        <v>249932.632258064</v>
      </c>
      <c r="E245" s="33">
        <v>4.2064516129032299</v>
      </c>
      <c r="F245" s="33">
        <v>3.4480283870967701</v>
      </c>
      <c r="G245" s="2">
        <v>0.81969999999999998</v>
      </c>
      <c r="H245" s="2">
        <v>0.99</v>
      </c>
      <c r="I245" s="3">
        <v>79168</v>
      </c>
      <c r="J245" s="3">
        <v>79226</v>
      </c>
      <c r="K245" s="3">
        <v>17210</v>
      </c>
      <c r="L245" s="3">
        <v>89830</v>
      </c>
      <c r="M245" s="3">
        <v>82387</v>
      </c>
      <c r="N245" s="3">
        <v>347821</v>
      </c>
      <c r="O245" s="3">
        <v>330108.83</v>
      </c>
      <c r="P245" s="3">
        <v>-17712.169999999998</v>
      </c>
      <c r="Q245" s="3">
        <v>0</v>
      </c>
      <c r="R245" s="3">
        <v>347821</v>
      </c>
      <c r="S245" s="3">
        <v>347821</v>
      </c>
      <c r="T245" s="3">
        <v>330108.83</v>
      </c>
      <c r="U245" s="3">
        <v>32470</v>
      </c>
      <c r="V245" s="3">
        <v>32750</v>
      </c>
      <c r="W245" s="3">
        <v>28350</v>
      </c>
      <c r="X245" s="3">
        <v>37480</v>
      </c>
      <c r="Y245" s="3">
        <v>37820</v>
      </c>
      <c r="Z245" s="3">
        <v>41900</v>
      </c>
      <c r="AA245" s="3">
        <v>35980</v>
      </c>
      <c r="AB245" s="3">
        <v>34790</v>
      </c>
      <c r="AC245" s="3">
        <v>42440</v>
      </c>
      <c r="AD245" s="3">
        <v>35360</v>
      </c>
      <c r="AE245" s="3">
        <v>359340</v>
      </c>
      <c r="AF245" s="3">
        <v>359340</v>
      </c>
      <c r="AG245" s="3">
        <v>1326.18</v>
      </c>
      <c r="AH245" s="40">
        <v>0.754</v>
      </c>
      <c r="AI245" s="40">
        <v>0.76039999999999996</v>
      </c>
      <c r="AJ245" s="40">
        <v>0.74060000000000004</v>
      </c>
      <c r="AK245" s="40">
        <v>0.80630000000000002</v>
      </c>
      <c r="AL245" s="40">
        <v>0.81100000000000005</v>
      </c>
      <c r="AM245" s="40">
        <v>0.87150000000000005</v>
      </c>
      <c r="AN245" s="40">
        <v>0.88900000000000001</v>
      </c>
      <c r="AO245" s="40">
        <v>0.83530000000000004</v>
      </c>
      <c r="AP245" s="40">
        <v>0.90849999999999997</v>
      </c>
      <c r="AQ245" s="40">
        <v>0.84889999999999999</v>
      </c>
      <c r="AR245" s="31">
        <v>1.03311760934504</v>
      </c>
      <c r="AS245" s="36">
        <v>4.8646293706293697</v>
      </c>
      <c r="AT245">
        <v>5.84</v>
      </c>
      <c r="AU245">
        <v>6.12</v>
      </c>
      <c r="AV245">
        <v>6.01</v>
      </c>
      <c r="AW245">
        <v>6.1</v>
      </c>
      <c r="AX245">
        <v>6.38</v>
      </c>
      <c r="AY245" s="6">
        <v>6.09</v>
      </c>
      <c r="AZ245" s="2">
        <v>0.82250000000000001</v>
      </c>
      <c r="BA245" s="2">
        <v>0.79878971603109505</v>
      </c>
      <c r="BB245" s="2">
        <v>1</v>
      </c>
      <c r="BC245">
        <v>71500</v>
      </c>
      <c r="BD245">
        <v>56992</v>
      </c>
      <c r="BE245">
        <v>24000</v>
      </c>
      <c r="BF245">
        <v>30030</v>
      </c>
      <c r="BG245" t="s">
        <v>139</v>
      </c>
    </row>
    <row r="246" spans="3:59" ht="409.5" x14ac:dyDescent="0.25">
      <c r="C246" s="1">
        <v>45866</v>
      </c>
      <c r="D246" s="36">
        <v>249932.632258064</v>
      </c>
      <c r="E246" s="33">
        <v>4.2064516129032299</v>
      </c>
      <c r="F246" s="33">
        <v>3.4480283870967701</v>
      </c>
      <c r="G246" s="2">
        <v>0.81969999999999998</v>
      </c>
      <c r="H246" s="2">
        <v>0.99</v>
      </c>
      <c r="I246" s="3">
        <v>72105</v>
      </c>
      <c r="J246" s="3">
        <v>72267</v>
      </c>
      <c r="K246" s="3">
        <v>20162</v>
      </c>
      <c r="L246" s="3">
        <v>80675</v>
      </c>
      <c r="M246" s="3">
        <v>75777</v>
      </c>
      <c r="N246" s="3">
        <v>320986</v>
      </c>
      <c r="O246" s="3">
        <v>321888.67</v>
      </c>
      <c r="P246" s="3">
        <v>902.66999999998404</v>
      </c>
      <c r="Q246" s="3">
        <v>902.66999999998404</v>
      </c>
      <c r="R246" s="3">
        <v>321888.67</v>
      </c>
      <c r="S246" s="3">
        <v>321888.67</v>
      </c>
      <c r="T246" s="3">
        <v>321888.67</v>
      </c>
      <c r="U246" s="3">
        <v>24940</v>
      </c>
      <c r="V246" s="3">
        <v>25170</v>
      </c>
      <c r="W246" s="3">
        <v>22060</v>
      </c>
      <c r="X246" s="3">
        <v>28900</v>
      </c>
      <c r="Y246" s="3">
        <v>29950</v>
      </c>
      <c r="Z246" s="3">
        <v>34210</v>
      </c>
      <c r="AA246" s="3">
        <v>30610</v>
      </c>
      <c r="AB246" s="3">
        <v>29520</v>
      </c>
      <c r="AC246" s="3">
        <v>35040</v>
      </c>
      <c r="AD246" s="3">
        <v>30550</v>
      </c>
      <c r="AE246" s="3">
        <v>290950</v>
      </c>
      <c r="AF246" s="3">
        <v>291852.67</v>
      </c>
      <c r="AG246" s="3">
        <v>1232.73</v>
      </c>
      <c r="AH246" s="40">
        <v>0.75880000000000003</v>
      </c>
      <c r="AI246" s="40">
        <v>0.76549999999999996</v>
      </c>
      <c r="AJ246" s="40">
        <v>0.75480000000000003</v>
      </c>
      <c r="AK246" s="40">
        <v>0.81379999999999997</v>
      </c>
      <c r="AL246" s="40">
        <v>0.79090000000000005</v>
      </c>
      <c r="AM246" s="40">
        <v>0.89080000000000004</v>
      </c>
      <c r="AN246" s="40">
        <v>0.91069999999999995</v>
      </c>
      <c r="AO246" s="40">
        <v>0.88739999999999997</v>
      </c>
      <c r="AP246" s="40">
        <v>0.90300000000000002</v>
      </c>
      <c r="AQ246" s="40">
        <v>0.91839999999999999</v>
      </c>
      <c r="AR246" s="31">
        <v>0.90642582542540795</v>
      </c>
      <c r="AS246" s="36">
        <v>4.5019394405594397</v>
      </c>
      <c r="AT246">
        <v>4.8499999999999996</v>
      </c>
      <c r="AU246">
        <v>4.97</v>
      </c>
      <c r="AV246">
        <v>4.8</v>
      </c>
      <c r="AW246">
        <v>4.66</v>
      </c>
      <c r="AX246">
        <v>4.87</v>
      </c>
      <c r="AY246" s="6">
        <v>4.83</v>
      </c>
      <c r="AZ246" s="2">
        <v>0.83940000000000003</v>
      </c>
      <c r="BA246" s="2">
        <v>0.93207855912203696</v>
      </c>
      <c r="BB246" s="2">
        <v>1</v>
      </c>
      <c r="BC246">
        <v>71500</v>
      </c>
      <c r="BD246">
        <v>56992</v>
      </c>
      <c r="BE246">
        <v>20667</v>
      </c>
      <c r="BF246">
        <v>30030</v>
      </c>
      <c r="BG246" s="9" t="s">
        <v>142</v>
      </c>
    </row>
    <row r="247" spans="3:59" x14ac:dyDescent="0.25">
      <c r="C247" s="1">
        <v>45867</v>
      </c>
      <c r="D247" s="36">
        <v>249932.632258064</v>
      </c>
      <c r="E247" s="33">
        <v>4.2064516129032299</v>
      </c>
      <c r="F247" s="33">
        <v>3.4480283870967701</v>
      </c>
      <c r="G247" s="2">
        <v>0.81969999999999998</v>
      </c>
      <c r="H247" s="2">
        <v>0.99</v>
      </c>
      <c r="I247" s="3">
        <v>80323</v>
      </c>
      <c r="J247" s="3">
        <v>80400</v>
      </c>
      <c r="K247" s="3">
        <v>57568.5</v>
      </c>
      <c r="L247" s="3">
        <v>61512</v>
      </c>
      <c r="M247" s="3">
        <v>59431</v>
      </c>
      <c r="N247" s="3">
        <v>339234.5</v>
      </c>
      <c r="O247" s="3">
        <v>351744.67</v>
      </c>
      <c r="P247" s="3">
        <v>12510.17</v>
      </c>
      <c r="Q247" s="3">
        <v>12510.17</v>
      </c>
      <c r="R247" s="3">
        <v>351744.67</v>
      </c>
      <c r="S247" s="3">
        <v>351744.67</v>
      </c>
      <c r="T247" s="3">
        <v>351744.67</v>
      </c>
      <c r="U247" s="3">
        <v>30600</v>
      </c>
      <c r="V247" s="3">
        <v>30870</v>
      </c>
      <c r="W247" s="3">
        <v>26950</v>
      </c>
      <c r="X247" s="3">
        <v>35360</v>
      </c>
      <c r="Y247" s="3">
        <v>35250</v>
      </c>
      <c r="Z247" s="3">
        <v>39900</v>
      </c>
      <c r="AA247" s="3">
        <v>33560</v>
      </c>
      <c r="AB247" s="3">
        <v>33980</v>
      </c>
      <c r="AC247" s="3">
        <v>39670</v>
      </c>
      <c r="AD247" s="3">
        <v>34550</v>
      </c>
      <c r="AE247" s="3">
        <v>340690</v>
      </c>
      <c r="AF247" s="3">
        <v>353200.17</v>
      </c>
      <c r="AG247" s="3">
        <v>1428.36</v>
      </c>
      <c r="AH247" s="40">
        <v>0.73960000000000004</v>
      </c>
      <c r="AI247" s="40">
        <v>0.74609999999999999</v>
      </c>
      <c r="AJ247" s="40">
        <v>0.73280000000000001</v>
      </c>
      <c r="AK247" s="40">
        <v>0.80289999999999995</v>
      </c>
      <c r="AL247" s="40">
        <v>0.8004</v>
      </c>
      <c r="AM247" s="40">
        <v>0.88270000000000004</v>
      </c>
      <c r="AN247" s="40">
        <v>0.89180000000000004</v>
      </c>
      <c r="AO247" s="40">
        <v>0.86770000000000003</v>
      </c>
      <c r="AP247" s="40">
        <v>0.91310000000000002</v>
      </c>
      <c r="AQ247" s="40">
        <v>0.88229999999999997</v>
      </c>
      <c r="AR247" s="31">
        <v>1.00429054238292</v>
      </c>
      <c r="AS247" s="36">
        <v>4.9195058741258704</v>
      </c>
      <c r="AT247">
        <v>5.43</v>
      </c>
      <c r="AU247">
        <v>5.78</v>
      </c>
      <c r="AV247">
        <v>5.65</v>
      </c>
      <c r="AW247">
        <v>5.78</v>
      </c>
      <c r="AX247">
        <v>6.13</v>
      </c>
      <c r="AY247" s="6">
        <v>5.7539999999999996</v>
      </c>
      <c r="AZ247" s="2">
        <v>0.82589999999999997</v>
      </c>
      <c r="BA247" s="2">
        <v>0.85497147621235203</v>
      </c>
      <c r="BB247" s="2">
        <v>1</v>
      </c>
      <c r="BC247">
        <v>71500</v>
      </c>
      <c r="BD247">
        <v>56992</v>
      </c>
      <c r="BE247">
        <v>24000</v>
      </c>
      <c r="BF247">
        <v>30030</v>
      </c>
      <c r="BG247" t="s">
        <v>139</v>
      </c>
    </row>
    <row r="248" spans="3:59" x14ac:dyDescent="0.25">
      <c r="C248" s="1">
        <v>45868</v>
      </c>
      <c r="D248" s="36">
        <v>249932.632258064</v>
      </c>
      <c r="E248" s="33">
        <v>4.2064516129032299</v>
      </c>
      <c r="F248" s="33">
        <v>3.4480283870967701</v>
      </c>
      <c r="G248" s="2">
        <v>0.81969999999999998</v>
      </c>
      <c r="H248" s="2">
        <v>0.99</v>
      </c>
      <c r="I248" s="3">
        <v>76308</v>
      </c>
      <c r="J248" s="3">
        <v>76506</v>
      </c>
      <c r="K248" s="3">
        <v>59099</v>
      </c>
      <c r="L248" s="3">
        <v>63362</v>
      </c>
      <c r="M248" s="3">
        <v>61865</v>
      </c>
      <c r="N248" s="3">
        <v>337140</v>
      </c>
      <c r="O248" s="3">
        <v>326820.67</v>
      </c>
      <c r="P248" s="3">
        <v>-10319.33</v>
      </c>
      <c r="Q248" s="3">
        <v>0</v>
      </c>
      <c r="R248" s="3">
        <v>337140</v>
      </c>
      <c r="S248" s="3">
        <v>337140</v>
      </c>
      <c r="T248" s="3">
        <v>326820.67</v>
      </c>
      <c r="U248" s="3">
        <v>30800</v>
      </c>
      <c r="V248" s="3">
        <v>30910</v>
      </c>
      <c r="W248" s="3">
        <v>26760</v>
      </c>
      <c r="X248" s="3">
        <v>34890</v>
      </c>
      <c r="Y248" s="3">
        <v>36000</v>
      </c>
      <c r="Z248" s="3">
        <v>37170</v>
      </c>
      <c r="AA248" s="3">
        <v>32820</v>
      </c>
      <c r="AB248" s="3">
        <v>32310</v>
      </c>
      <c r="AC248" s="3">
        <v>39550</v>
      </c>
      <c r="AD248" s="3">
        <v>33330</v>
      </c>
      <c r="AE248" s="3">
        <v>334540</v>
      </c>
      <c r="AF248" s="3">
        <v>334540</v>
      </c>
      <c r="AG248" s="3">
        <v>1301.52</v>
      </c>
      <c r="AH248" s="40">
        <v>0.75929999999999997</v>
      </c>
      <c r="AI248" s="40">
        <v>0.76200000000000001</v>
      </c>
      <c r="AJ248" s="40">
        <v>0.74219999999999997</v>
      </c>
      <c r="AK248" s="40">
        <v>0.81469999999999998</v>
      </c>
      <c r="AL248" s="40">
        <v>0.8075</v>
      </c>
      <c r="AM248" s="40">
        <v>0.82079999999999997</v>
      </c>
      <c r="AN248" s="40">
        <v>0.85029999999999994</v>
      </c>
      <c r="AO248" s="40">
        <v>0.82369999999999999</v>
      </c>
      <c r="AP248" s="40">
        <v>0.88770000000000004</v>
      </c>
      <c r="AQ248" s="40">
        <v>0.84970000000000001</v>
      </c>
      <c r="AR248" s="31">
        <v>0.99228807023788301</v>
      </c>
      <c r="AS248" s="36">
        <v>4.7152447552447496</v>
      </c>
      <c r="AT248">
        <v>5.57</v>
      </c>
      <c r="AU248">
        <v>5.85</v>
      </c>
      <c r="AV248">
        <v>5.66</v>
      </c>
      <c r="AW248">
        <v>5.62</v>
      </c>
      <c r="AX248">
        <v>6.01</v>
      </c>
      <c r="AY248" s="6">
        <v>5.742</v>
      </c>
      <c r="AZ248" s="2">
        <v>0.81179999999999997</v>
      </c>
      <c r="BA248" s="2">
        <v>0.82118508450796801</v>
      </c>
      <c r="BB248" s="2">
        <v>1</v>
      </c>
      <c r="BC248">
        <v>71500</v>
      </c>
      <c r="BD248">
        <v>56992</v>
      </c>
      <c r="BE248">
        <v>24000</v>
      </c>
      <c r="BF248">
        <v>27361</v>
      </c>
      <c r="BG248" t="s">
        <v>139</v>
      </c>
    </row>
    <row r="249" spans="3:59" ht="409.5" x14ac:dyDescent="0.25">
      <c r="C249" s="1">
        <v>45869</v>
      </c>
      <c r="D249" s="36">
        <v>249932.632258064</v>
      </c>
      <c r="E249" s="33">
        <v>4.2064516129032299</v>
      </c>
      <c r="F249" s="33">
        <v>3.4480283870967701</v>
      </c>
      <c r="G249" s="2">
        <v>0.81969999999999998</v>
      </c>
      <c r="H249" s="2">
        <v>0.99</v>
      </c>
      <c r="I249" s="3">
        <v>73299</v>
      </c>
      <c r="J249" s="3">
        <v>49687</v>
      </c>
      <c r="K249" s="3">
        <v>38941.5</v>
      </c>
      <c r="L249" s="3">
        <v>58247</v>
      </c>
      <c r="M249" s="3">
        <v>53646</v>
      </c>
      <c r="N249" s="3">
        <v>273820.5</v>
      </c>
      <c r="O249" s="3">
        <v>286539</v>
      </c>
      <c r="P249" s="3">
        <v>12718.5</v>
      </c>
      <c r="Q249" s="3">
        <v>12718.5</v>
      </c>
      <c r="R249" s="3">
        <v>286539</v>
      </c>
      <c r="S249" s="3">
        <v>286539</v>
      </c>
      <c r="T249" s="3">
        <v>286539</v>
      </c>
      <c r="U249" s="3">
        <v>26560</v>
      </c>
      <c r="V249" s="3">
        <v>26330</v>
      </c>
      <c r="W249" s="3">
        <v>22520</v>
      </c>
      <c r="X249" s="3">
        <v>30190</v>
      </c>
      <c r="Y249" s="3">
        <v>30920</v>
      </c>
      <c r="Z249" s="3">
        <v>33410</v>
      </c>
      <c r="AA249" s="3">
        <v>28990</v>
      </c>
      <c r="AB249" s="3">
        <v>29350</v>
      </c>
      <c r="AC249" s="3">
        <v>35530</v>
      </c>
      <c r="AD249" s="3">
        <v>30320</v>
      </c>
      <c r="AE249" s="3">
        <v>294120</v>
      </c>
      <c r="AF249" s="3">
        <v>306838.5</v>
      </c>
      <c r="AG249" s="3">
        <v>1505.44</v>
      </c>
      <c r="AH249" s="40">
        <v>0.78859999999999997</v>
      </c>
      <c r="AI249" s="40">
        <v>0.78169999999999995</v>
      </c>
      <c r="AJ249" s="40">
        <v>0.75209999999999999</v>
      </c>
      <c r="AK249" s="40">
        <v>0.81530000000000002</v>
      </c>
      <c r="AL249" s="40">
        <v>0.82469999999999999</v>
      </c>
      <c r="AM249" s="40">
        <v>0.90790000000000004</v>
      </c>
      <c r="AN249" s="40">
        <v>0.87329999999999997</v>
      </c>
      <c r="AO249" s="40">
        <v>0.92069999999999996</v>
      </c>
      <c r="AP249" s="40">
        <v>0.92720000000000002</v>
      </c>
      <c r="AQ249" s="40">
        <v>0.95109999999999995</v>
      </c>
      <c r="AR249" s="31">
        <v>1.0741343325280599</v>
      </c>
      <c r="AS249" s="36">
        <v>4.0075384615384602</v>
      </c>
      <c r="AT249">
        <v>4.79</v>
      </c>
      <c r="AU249">
        <v>4.92</v>
      </c>
      <c r="AV249">
        <v>4.5999999999999996</v>
      </c>
      <c r="AW249">
        <v>4.8600000000000003</v>
      </c>
      <c r="AX249">
        <v>4.99</v>
      </c>
      <c r="AY249" s="6">
        <v>4.8319999999999999</v>
      </c>
      <c r="AZ249" s="2">
        <v>0.85429999999999995</v>
      </c>
      <c r="BA249" s="2">
        <v>0.82937468160978101</v>
      </c>
      <c r="BB249" s="2">
        <v>1</v>
      </c>
      <c r="BC249">
        <v>71500</v>
      </c>
      <c r="BD249">
        <v>56992</v>
      </c>
      <c r="BE249">
        <v>24000</v>
      </c>
      <c r="BF249">
        <v>26709</v>
      </c>
      <c r="BG249" s="9" t="s">
        <v>143</v>
      </c>
    </row>
    <row r="250" spans="3:59" ht="409.5" x14ac:dyDescent="0.25">
      <c r="C250" s="1">
        <v>45870</v>
      </c>
      <c r="D250" s="36">
        <v>261950.629032258</v>
      </c>
      <c r="E250" s="33">
        <v>4.4193548387096797</v>
      </c>
      <c r="F250" s="33">
        <v>3.6225451612903199</v>
      </c>
      <c r="G250" s="2">
        <v>0.81969999999999998</v>
      </c>
      <c r="H250" s="2">
        <v>0.99</v>
      </c>
      <c r="I250" s="3">
        <v>81970</v>
      </c>
      <c r="J250" s="3">
        <v>20072</v>
      </c>
      <c r="K250" s="3">
        <v>12624</v>
      </c>
      <c r="L250" s="3">
        <v>76348</v>
      </c>
      <c r="M250" s="3">
        <v>74753</v>
      </c>
      <c r="N250" s="3">
        <v>265767</v>
      </c>
      <c r="O250" s="3">
        <v>308087</v>
      </c>
      <c r="P250" s="3">
        <v>42320</v>
      </c>
      <c r="Q250" s="3">
        <v>42320</v>
      </c>
      <c r="R250" s="3">
        <v>308087</v>
      </c>
      <c r="S250" s="3">
        <v>308087</v>
      </c>
      <c r="T250" s="3">
        <v>306423.33020000003</v>
      </c>
      <c r="U250" s="3">
        <v>19310</v>
      </c>
      <c r="V250" s="3">
        <v>18860</v>
      </c>
      <c r="W250" s="3">
        <v>16120</v>
      </c>
      <c r="X250" s="3">
        <v>20920</v>
      </c>
      <c r="Y250" s="3">
        <v>20930</v>
      </c>
      <c r="Z250" s="3">
        <v>33490</v>
      </c>
      <c r="AA250" s="3">
        <v>28150</v>
      </c>
      <c r="AB250" s="3">
        <v>28660</v>
      </c>
      <c r="AC250" s="3">
        <v>33290</v>
      </c>
      <c r="AD250" s="3">
        <v>28930</v>
      </c>
      <c r="AE250" s="3">
        <v>248660</v>
      </c>
      <c r="AF250" s="3">
        <v>290980</v>
      </c>
      <c r="AG250" s="3">
        <v>1776.44</v>
      </c>
      <c r="AH250" s="40">
        <v>0.52480000000000004</v>
      </c>
      <c r="AI250" s="40">
        <v>0.51280000000000003</v>
      </c>
      <c r="AJ250" s="40">
        <v>0.49309999999999998</v>
      </c>
      <c r="AK250" s="40">
        <v>0.52300000000000002</v>
      </c>
      <c r="AL250" s="40">
        <v>0.51910000000000001</v>
      </c>
      <c r="AM250" s="40">
        <v>0.79879999999999995</v>
      </c>
      <c r="AN250" s="40">
        <v>0.80910000000000004</v>
      </c>
      <c r="AO250" s="40">
        <v>0.78920000000000001</v>
      </c>
      <c r="AP250" s="40">
        <v>0.82889999999999997</v>
      </c>
      <c r="AQ250" s="40">
        <v>0.79649999999999999</v>
      </c>
      <c r="AR250" s="31">
        <v>0.935631587066867</v>
      </c>
      <c r="AS250" s="36">
        <v>4.3089090909090899</v>
      </c>
      <c r="AT250">
        <v>5.0199999999999996</v>
      </c>
      <c r="AU250">
        <v>5.29</v>
      </c>
      <c r="AV250">
        <v>5.24</v>
      </c>
      <c r="AW250">
        <v>5.25</v>
      </c>
      <c r="AX250">
        <v>5.45</v>
      </c>
      <c r="AY250" s="6">
        <v>5.25</v>
      </c>
      <c r="AZ250" s="2">
        <v>0.65949999999999998</v>
      </c>
      <c r="BA250" s="2">
        <v>0.820744588744589</v>
      </c>
      <c r="BB250" s="2">
        <v>0.99460000000000004</v>
      </c>
      <c r="BC250">
        <v>71500</v>
      </c>
      <c r="BD250">
        <v>56992</v>
      </c>
      <c r="BE250">
        <v>13933</v>
      </c>
      <c r="BF250">
        <v>24000</v>
      </c>
      <c r="BG250" s="9" t="s">
        <v>144</v>
      </c>
    </row>
    <row r="251" spans="3:59" ht="409.5" x14ac:dyDescent="0.25">
      <c r="C251" s="1">
        <v>45871</v>
      </c>
      <c r="D251" s="36">
        <v>261950.629032258</v>
      </c>
      <c r="E251" s="33">
        <v>4.4193548387096797</v>
      </c>
      <c r="F251" s="33">
        <v>3.6225451612903199</v>
      </c>
      <c r="G251" s="2">
        <v>0.81969999999999998</v>
      </c>
      <c r="H251" s="2">
        <v>0.99</v>
      </c>
      <c r="I251" s="3">
        <v>67521</v>
      </c>
      <c r="J251" s="3">
        <v>0</v>
      </c>
      <c r="K251" s="3">
        <v>30346.5</v>
      </c>
      <c r="L251" s="3">
        <v>36639</v>
      </c>
      <c r="M251" s="3">
        <v>38144</v>
      </c>
      <c r="N251" s="3">
        <v>172650.5</v>
      </c>
      <c r="O251" s="3">
        <v>187576.67</v>
      </c>
      <c r="P251" s="3">
        <v>14926.17</v>
      </c>
      <c r="Q251" s="3">
        <v>14926.17</v>
      </c>
      <c r="R251" s="3">
        <v>187576.67</v>
      </c>
      <c r="S251" s="3">
        <v>187576.67</v>
      </c>
      <c r="T251" s="3">
        <v>187576.67</v>
      </c>
      <c r="U251" s="3">
        <v>13240</v>
      </c>
      <c r="V251" s="3">
        <v>12200</v>
      </c>
      <c r="W251" s="3">
        <v>11580</v>
      </c>
      <c r="X251" s="3">
        <v>14460</v>
      </c>
      <c r="Y251" s="3">
        <v>14610</v>
      </c>
      <c r="Z251" s="3">
        <v>22090</v>
      </c>
      <c r="AA251" s="3">
        <v>18520</v>
      </c>
      <c r="AB251" s="3">
        <v>18830</v>
      </c>
      <c r="AC251" s="3">
        <v>22490</v>
      </c>
      <c r="AD251" s="3">
        <v>19010</v>
      </c>
      <c r="AE251" s="3">
        <v>167030</v>
      </c>
      <c r="AF251" s="3">
        <v>181956.17</v>
      </c>
      <c r="AG251" s="3">
        <v>1440.88</v>
      </c>
      <c r="AH251" s="40">
        <v>0.60189999999999999</v>
      </c>
      <c r="AI251" s="40">
        <v>0.55430000000000001</v>
      </c>
      <c r="AJ251" s="40">
        <v>0.59199999999999997</v>
      </c>
      <c r="AK251" s="40">
        <v>0.58220000000000005</v>
      </c>
      <c r="AL251" s="40">
        <v>0.58440000000000003</v>
      </c>
      <c r="AM251" s="40">
        <v>0.92049999999999998</v>
      </c>
      <c r="AN251" s="40">
        <v>0.90290000000000004</v>
      </c>
      <c r="AO251" s="40">
        <v>0.90559999999999996</v>
      </c>
      <c r="AP251" s="40">
        <v>0.94989999999999997</v>
      </c>
      <c r="AQ251" s="40">
        <v>0.91410000000000002</v>
      </c>
      <c r="AR251" s="31">
        <v>0.96744579366987105</v>
      </c>
      <c r="AS251" s="36">
        <v>2.6234499300699299</v>
      </c>
      <c r="AT251">
        <v>2.96</v>
      </c>
      <c r="AU251">
        <v>3.28</v>
      </c>
      <c r="AV251">
        <v>3</v>
      </c>
      <c r="AW251">
        <v>3.26</v>
      </c>
      <c r="AY251" s="6">
        <v>3.125</v>
      </c>
      <c r="AZ251" s="2">
        <v>0.75080000000000002</v>
      </c>
      <c r="BA251" s="2">
        <v>0.83950397762237805</v>
      </c>
      <c r="BB251" s="2">
        <v>1</v>
      </c>
      <c r="BC251">
        <v>71500</v>
      </c>
      <c r="BD251">
        <v>56992</v>
      </c>
      <c r="BE251">
        <v>11550</v>
      </c>
      <c r="BF251">
        <v>30030</v>
      </c>
      <c r="BG251" s="9" t="s">
        <v>145</v>
      </c>
    </row>
    <row r="252" spans="3:59" ht="409.5" x14ac:dyDescent="0.25">
      <c r="C252" s="1">
        <v>45872</v>
      </c>
      <c r="D252" s="36">
        <v>261950.629032258</v>
      </c>
      <c r="E252" s="33">
        <v>4.4193548387096797</v>
      </c>
      <c r="F252" s="33">
        <v>3.6225451612903199</v>
      </c>
      <c r="G252" s="2">
        <v>0.81969999999999998</v>
      </c>
      <c r="H252" s="2">
        <v>0.99</v>
      </c>
      <c r="I252" s="3">
        <v>45753</v>
      </c>
      <c r="J252" s="3">
        <v>7194</v>
      </c>
      <c r="K252" s="3">
        <v>17769</v>
      </c>
      <c r="L252" s="3">
        <v>24604</v>
      </c>
      <c r="M252" s="3">
        <v>26550</v>
      </c>
      <c r="N252" s="3">
        <v>121870</v>
      </c>
      <c r="O252" s="3">
        <v>119396.67</v>
      </c>
      <c r="P252" s="3">
        <v>-2473.33</v>
      </c>
      <c r="Q252" s="3">
        <v>0</v>
      </c>
      <c r="R252" s="3">
        <v>121870</v>
      </c>
      <c r="S252" s="3">
        <v>121870</v>
      </c>
      <c r="T252" s="3">
        <v>119396.67</v>
      </c>
      <c r="U252" s="3">
        <v>13760</v>
      </c>
      <c r="V252" s="3">
        <v>11980</v>
      </c>
      <c r="W252" s="3">
        <v>12120</v>
      </c>
      <c r="X252" s="3">
        <v>15030</v>
      </c>
      <c r="Y252" s="3">
        <v>15410</v>
      </c>
      <c r="Z252" s="3">
        <v>18960</v>
      </c>
      <c r="AA252" s="3">
        <v>16330</v>
      </c>
      <c r="AB252" s="3">
        <v>16540</v>
      </c>
      <c r="AC252" s="3">
        <v>20250</v>
      </c>
      <c r="AD252" s="3">
        <v>16610</v>
      </c>
      <c r="AE252" s="3">
        <v>156990</v>
      </c>
      <c r="AF252" s="3">
        <v>156990</v>
      </c>
      <c r="AG252" s="3">
        <v>1286.1600000000001</v>
      </c>
      <c r="AH252" s="40">
        <v>0.75800000000000001</v>
      </c>
      <c r="AI252" s="40">
        <v>0.65969999999999995</v>
      </c>
      <c r="AJ252" s="40">
        <v>0.75080000000000002</v>
      </c>
      <c r="AK252" s="40">
        <v>0.73329999999999995</v>
      </c>
      <c r="AL252" s="40">
        <v>0.7379</v>
      </c>
      <c r="AM252" s="40">
        <v>0.94820000000000004</v>
      </c>
      <c r="AN252" s="40">
        <v>0.92759999999999998</v>
      </c>
      <c r="AO252" s="40">
        <v>0.9546</v>
      </c>
      <c r="AP252" s="40">
        <v>0.99660000000000004</v>
      </c>
      <c r="AQ252" s="40">
        <v>0.95860000000000001</v>
      </c>
      <c r="AR252" s="31">
        <v>1.28817592516616</v>
      </c>
      <c r="AS252" s="36">
        <v>1.7044755244755201</v>
      </c>
      <c r="AT252">
        <v>2.54</v>
      </c>
      <c r="AU252">
        <v>2.74</v>
      </c>
      <c r="AV252">
        <v>2.5</v>
      </c>
      <c r="AW252">
        <v>2.69</v>
      </c>
      <c r="AY252" s="6">
        <v>2.6175000000000002</v>
      </c>
      <c r="AZ252" s="2">
        <v>0.84250000000000003</v>
      </c>
      <c r="BA252" s="2">
        <v>0.651184536571356</v>
      </c>
      <c r="BB252" s="2">
        <v>1</v>
      </c>
      <c r="BC252">
        <v>71500</v>
      </c>
      <c r="BD252">
        <v>56992</v>
      </c>
      <c r="BE252">
        <v>12000</v>
      </c>
      <c r="BF252">
        <v>30030</v>
      </c>
      <c r="BG252" s="9" t="s">
        <v>146</v>
      </c>
    </row>
    <row r="253" spans="3:59" ht="375" x14ac:dyDescent="0.25">
      <c r="C253" s="1">
        <v>45873</v>
      </c>
      <c r="D253" s="36">
        <v>261950.629032258</v>
      </c>
      <c r="E253" s="33">
        <v>4.4193548387096797</v>
      </c>
      <c r="F253" s="33">
        <v>3.6225451612903199</v>
      </c>
      <c r="G253" s="2">
        <v>0.81969999999999998</v>
      </c>
      <c r="H253" s="2">
        <v>0.99</v>
      </c>
      <c r="I253" s="3">
        <v>44767</v>
      </c>
      <c r="J253" s="3">
        <v>45034</v>
      </c>
      <c r="K253" s="3">
        <v>32304</v>
      </c>
      <c r="L253" s="3">
        <v>37996</v>
      </c>
      <c r="M253" s="3">
        <v>39092</v>
      </c>
      <c r="N253" s="3">
        <v>199193</v>
      </c>
      <c r="O253" s="3">
        <v>179978.5</v>
      </c>
      <c r="P253" s="3">
        <v>-19214.5</v>
      </c>
      <c r="Q253" s="3">
        <v>0</v>
      </c>
      <c r="R253" s="3">
        <v>199193</v>
      </c>
      <c r="S253" s="3">
        <v>199193</v>
      </c>
      <c r="T253" s="3">
        <v>179978.5</v>
      </c>
      <c r="U253" s="3">
        <v>14500</v>
      </c>
      <c r="V253" s="3">
        <v>10880</v>
      </c>
      <c r="W253" s="3">
        <v>12970</v>
      </c>
      <c r="X253" s="3">
        <v>16690</v>
      </c>
      <c r="Y253" s="3">
        <v>15570</v>
      </c>
      <c r="Z253" s="3">
        <v>18680</v>
      </c>
      <c r="AA253" s="3">
        <v>16530</v>
      </c>
      <c r="AB253" s="3">
        <v>16210</v>
      </c>
      <c r="AC253" s="3">
        <v>18170</v>
      </c>
      <c r="AD253" s="3">
        <v>17120</v>
      </c>
      <c r="AE253" s="3">
        <v>157320</v>
      </c>
      <c r="AF253" s="3">
        <v>157320</v>
      </c>
      <c r="AG253" s="3">
        <v>1614.14</v>
      </c>
      <c r="AH253" s="40">
        <v>0.88029999999999997</v>
      </c>
      <c r="AI253" s="40">
        <v>0.66059999999999997</v>
      </c>
      <c r="AJ253" s="40">
        <v>0.8861</v>
      </c>
      <c r="AK253" s="40">
        <v>0.89759999999999995</v>
      </c>
      <c r="AL253" s="40">
        <v>0.79200000000000004</v>
      </c>
      <c r="AM253" s="40">
        <v>0.92669999999999997</v>
      </c>
      <c r="AN253" s="40">
        <v>0.96179999999999999</v>
      </c>
      <c r="AO253" s="40">
        <v>0.92820000000000003</v>
      </c>
      <c r="AP253" s="40">
        <v>0.91579999999999995</v>
      </c>
      <c r="AQ253" s="40">
        <v>0.98029999999999995</v>
      </c>
      <c r="AR253" s="31">
        <v>0.78978678969642502</v>
      </c>
      <c r="AS253" s="36">
        <v>2.7859160839160801</v>
      </c>
      <c r="AT253">
        <v>2.48</v>
      </c>
      <c r="AU253">
        <v>2.58</v>
      </c>
      <c r="AV253">
        <v>2.52</v>
      </c>
      <c r="AW253">
        <v>2.44</v>
      </c>
      <c r="AY253" s="6">
        <v>2.5049999999999999</v>
      </c>
      <c r="AZ253" s="2">
        <v>0.88290000000000002</v>
      </c>
      <c r="BA253" s="2">
        <v>1.1121421492679</v>
      </c>
      <c r="BB253" s="2">
        <v>1</v>
      </c>
      <c r="BC253">
        <v>71500</v>
      </c>
      <c r="BD253">
        <v>56992</v>
      </c>
      <c r="BE253">
        <v>22643</v>
      </c>
      <c r="BF253">
        <v>30030</v>
      </c>
      <c r="BG253" s="9" t="s">
        <v>147</v>
      </c>
    </row>
    <row r="254" spans="3:59" ht="375" x14ac:dyDescent="0.25">
      <c r="C254" s="1">
        <v>45874</v>
      </c>
      <c r="D254" s="36">
        <v>261950.629032258</v>
      </c>
      <c r="E254" s="33">
        <v>4.4193548387096797</v>
      </c>
      <c r="F254" s="33">
        <v>3.6225451612903199</v>
      </c>
      <c r="G254" s="2">
        <v>0.81969999999999998</v>
      </c>
      <c r="H254" s="2">
        <v>0.99</v>
      </c>
      <c r="I254" s="3">
        <v>61857</v>
      </c>
      <c r="J254" s="3">
        <v>61873</v>
      </c>
      <c r="K254" s="3">
        <v>41648</v>
      </c>
      <c r="L254" s="3">
        <v>46253</v>
      </c>
      <c r="M254" s="3">
        <v>46288</v>
      </c>
      <c r="N254" s="3">
        <v>257919</v>
      </c>
      <c r="O254" s="3">
        <v>258907.67</v>
      </c>
      <c r="P254" s="3">
        <v>988.67000000001303</v>
      </c>
      <c r="Q254" s="3">
        <v>988.67000000001303</v>
      </c>
      <c r="R254" s="3">
        <v>258907.67</v>
      </c>
      <c r="S254" s="3">
        <v>258907.67</v>
      </c>
      <c r="T254" s="3">
        <v>258907.67</v>
      </c>
      <c r="U254" s="3">
        <v>25420</v>
      </c>
      <c r="V254" s="3">
        <v>25670</v>
      </c>
      <c r="W254" s="3">
        <v>22130</v>
      </c>
      <c r="X254" s="3">
        <v>28300</v>
      </c>
      <c r="Y254" s="3">
        <v>28520</v>
      </c>
      <c r="Z254" s="3">
        <v>30770</v>
      </c>
      <c r="AA254" s="3">
        <v>26640</v>
      </c>
      <c r="AB254" s="3">
        <v>26650</v>
      </c>
      <c r="AC254" s="3">
        <v>30350</v>
      </c>
      <c r="AD254" s="3">
        <v>27390</v>
      </c>
      <c r="AE254" s="3">
        <v>271840</v>
      </c>
      <c r="AF254" s="3">
        <v>272828.67</v>
      </c>
      <c r="AG254" s="3">
        <v>1646.44</v>
      </c>
      <c r="AH254" s="40">
        <v>0.84050000000000002</v>
      </c>
      <c r="AI254" s="40">
        <v>0.8488</v>
      </c>
      <c r="AJ254" s="40">
        <v>0.82310000000000005</v>
      </c>
      <c r="AK254" s="40">
        <v>0.82909999999999995</v>
      </c>
      <c r="AL254" s="40">
        <v>0.83909999999999996</v>
      </c>
      <c r="AM254" s="40">
        <v>0.874</v>
      </c>
      <c r="AN254" s="40">
        <v>0.91310000000000002</v>
      </c>
      <c r="AO254" s="40">
        <v>0.87390000000000001</v>
      </c>
      <c r="AP254" s="40">
        <v>0.9012</v>
      </c>
      <c r="AQ254" s="40">
        <v>0.89829999999999999</v>
      </c>
      <c r="AR254" s="31">
        <v>1.05397430976392</v>
      </c>
      <c r="AS254" s="36">
        <v>3.62108629370629</v>
      </c>
      <c r="AT254">
        <v>4.21</v>
      </c>
      <c r="AU254">
        <v>4.46</v>
      </c>
      <c r="AV254">
        <v>4.4000000000000004</v>
      </c>
      <c r="AW254">
        <v>4.4800000000000004</v>
      </c>
      <c r="AY254" s="6">
        <v>4.3875000000000002</v>
      </c>
      <c r="AZ254" s="2">
        <v>0.86409999999999998</v>
      </c>
      <c r="BA254" s="2">
        <v>0.82531881338035196</v>
      </c>
      <c r="BB254" s="2">
        <v>1</v>
      </c>
      <c r="BC254">
        <v>71500</v>
      </c>
      <c r="BD254">
        <v>56992</v>
      </c>
      <c r="BE254">
        <v>23267</v>
      </c>
      <c r="BF254">
        <v>29988</v>
      </c>
      <c r="BG254" s="9" t="s">
        <v>147</v>
      </c>
    </row>
    <row r="255" spans="3:59" ht="375" x14ac:dyDescent="0.25">
      <c r="C255" s="1">
        <v>45875</v>
      </c>
      <c r="D255" s="36">
        <v>261950.629032258</v>
      </c>
      <c r="E255" s="33">
        <v>4.4193548387096797</v>
      </c>
      <c r="F255" s="33">
        <v>3.6225451612903199</v>
      </c>
      <c r="G255" s="2">
        <v>0.81969999999999998</v>
      </c>
      <c r="H255" s="2">
        <v>0.99</v>
      </c>
      <c r="I255" s="3">
        <v>48785</v>
      </c>
      <c r="J255" s="3">
        <v>48978</v>
      </c>
      <c r="K255" s="3">
        <v>33930</v>
      </c>
      <c r="L255" s="3">
        <v>39492</v>
      </c>
      <c r="M255" s="3">
        <v>40012</v>
      </c>
      <c r="N255" s="3">
        <v>211197</v>
      </c>
      <c r="O255" s="3">
        <v>193267.33</v>
      </c>
      <c r="P255" s="3">
        <v>-17929.669999999998</v>
      </c>
      <c r="Q255" s="3">
        <v>0</v>
      </c>
      <c r="R255" s="3">
        <v>211197</v>
      </c>
      <c r="S255" s="3">
        <v>211197</v>
      </c>
      <c r="T255" s="3">
        <v>193267.33</v>
      </c>
      <c r="U255" s="3">
        <v>18790</v>
      </c>
      <c r="V255" s="3">
        <v>18450</v>
      </c>
      <c r="W255" s="3">
        <v>16470</v>
      </c>
      <c r="X255" s="3">
        <v>21030</v>
      </c>
      <c r="Y255" s="3">
        <v>21590</v>
      </c>
      <c r="Z255" s="3">
        <v>22730</v>
      </c>
      <c r="AA255" s="3">
        <v>19610</v>
      </c>
      <c r="AB255" s="3">
        <v>19750</v>
      </c>
      <c r="AC255" s="3">
        <v>23380</v>
      </c>
      <c r="AD255" s="3">
        <v>20410</v>
      </c>
      <c r="AE255" s="3">
        <v>202210</v>
      </c>
      <c r="AF255" s="3">
        <v>202210</v>
      </c>
      <c r="AG255" s="3">
        <v>1462.64</v>
      </c>
      <c r="AH255" s="40">
        <v>0.88949999999999996</v>
      </c>
      <c r="AI255" s="40">
        <v>0.873</v>
      </c>
      <c r="AJ255" s="40">
        <v>0.87690000000000001</v>
      </c>
      <c r="AK255" s="40">
        <v>0.88160000000000005</v>
      </c>
      <c r="AL255" s="40">
        <v>0.88839999999999997</v>
      </c>
      <c r="AM255" s="40">
        <v>0.91930000000000001</v>
      </c>
      <c r="AN255" s="40">
        <v>0.91869999999999996</v>
      </c>
      <c r="AO255" s="40">
        <v>0.9224</v>
      </c>
      <c r="AP255" s="40">
        <v>0.94889999999999997</v>
      </c>
      <c r="AQ255" s="40">
        <v>0.95320000000000005</v>
      </c>
      <c r="AR255" s="31">
        <v>0.95744731222507895</v>
      </c>
      <c r="AS255" s="36">
        <v>2.9538041958041998</v>
      </c>
      <c r="AT255">
        <v>3.08</v>
      </c>
      <c r="AU255">
        <v>3.19</v>
      </c>
      <c r="AV255">
        <v>3.19</v>
      </c>
      <c r="AW255">
        <v>3.13</v>
      </c>
      <c r="AY255" s="6">
        <v>3.1475</v>
      </c>
      <c r="AZ255" s="2">
        <v>0.90720000000000001</v>
      </c>
      <c r="BA255" s="2">
        <v>0.93846042757877501</v>
      </c>
      <c r="BB255" s="2">
        <v>1</v>
      </c>
      <c r="BC255">
        <v>71500</v>
      </c>
      <c r="BD255">
        <v>56992</v>
      </c>
      <c r="BE255">
        <v>24000</v>
      </c>
      <c r="BF255">
        <v>30030</v>
      </c>
      <c r="BG255" s="9" t="s">
        <v>148</v>
      </c>
    </row>
    <row r="256" spans="3:59" ht="409.5" x14ac:dyDescent="0.25">
      <c r="C256" s="1">
        <v>45876</v>
      </c>
      <c r="D256" s="36">
        <v>261950.629032258</v>
      </c>
      <c r="E256" s="33">
        <v>4.4193548387096797</v>
      </c>
      <c r="F256" s="33">
        <v>3.6225451612903199</v>
      </c>
      <c r="G256" s="2">
        <v>0.81969999999999998</v>
      </c>
      <c r="H256" s="2">
        <v>0.99</v>
      </c>
      <c r="I256" s="3">
        <v>32548</v>
      </c>
      <c r="J256" s="3">
        <v>73153</v>
      </c>
      <c r="K256" s="3">
        <v>46699</v>
      </c>
      <c r="L256" s="3">
        <v>51401</v>
      </c>
      <c r="M256" s="3">
        <v>49026</v>
      </c>
      <c r="N256" s="3">
        <v>252827</v>
      </c>
      <c r="O256" s="3">
        <v>253360.33</v>
      </c>
      <c r="P256" s="3">
        <v>533.32999999998697</v>
      </c>
      <c r="Q256" s="3">
        <v>533.32999999998697</v>
      </c>
      <c r="R256" s="3">
        <v>253360.33</v>
      </c>
      <c r="S256" s="3">
        <v>253360.33</v>
      </c>
      <c r="T256" s="3">
        <v>253360.33</v>
      </c>
      <c r="U256" s="3">
        <v>24100</v>
      </c>
      <c r="V256" s="3">
        <v>22950</v>
      </c>
      <c r="W256" s="3">
        <v>20650</v>
      </c>
      <c r="X256" s="3">
        <v>25790</v>
      </c>
      <c r="Y256" s="3">
        <v>26210</v>
      </c>
      <c r="Z256" s="3">
        <v>33220</v>
      </c>
      <c r="AA256" s="3">
        <v>28880</v>
      </c>
      <c r="AB256" s="3">
        <v>28640</v>
      </c>
      <c r="AC256" s="3">
        <v>33460</v>
      </c>
      <c r="AD256" s="3">
        <v>29670</v>
      </c>
      <c r="AE256" s="3">
        <v>273570</v>
      </c>
      <c r="AF256" s="3">
        <v>274103.33</v>
      </c>
      <c r="AG256" s="3">
        <v>1717.89</v>
      </c>
      <c r="AH256" s="40">
        <v>0.77270000000000005</v>
      </c>
      <c r="AI256" s="40">
        <v>0.73609999999999998</v>
      </c>
      <c r="AJ256" s="40">
        <v>0.74480000000000002</v>
      </c>
      <c r="AK256" s="40">
        <v>0.73270000000000002</v>
      </c>
      <c r="AL256" s="40">
        <v>0.72119999999999995</v>
      </c>
      <c r="AM256" s="40">
        <v>0.87970000000000004</v>
      </c>
      <c r="AN256" s="40">
        <v>0.90390000000000004</v>
      </c>
      <c r="AO256" s="40">
        <v>0.87570000000000003</v>
      </c>
      <c r="AP256" s="40">
        <v>0.90710000000000002</v>
      </c>
      <c r="AQ256" s="40">
        <v>0.90700000000000003</v>
      </c>
      <c r="AR256" s="31">
        <v>1.0820442436923301</v>
      </c>
      <c r="AS256" s="36">
        <v>3.5435011188811201</v>
      </c>
      <c r="AT256">
        <v>4.6100000000000003</v>
      </c>
      <c r="AU256">
        <v>4.7699999999999996</v>
      </c>
      <c r="AV256">
        <v>4.72</v>
      </c>
      <c r="AW256">
        <v>4.62</v>
      </c>
      <c r="AY256" s="6">
        <v>4.68</v>
      </c>
      <c r="AZ256" s="2">
        <v>0.81810000000000005</v>
      </c>
      <c r="BA256" s="2">
        <v>0.75715835873528203</v>
      </c>
      <c r="BB256" s="2">
        <v>1</v>
      </c>
      <c r="BC256">
        <v>71500</v>
      </c>
      <c r="BD256">
        <v>56992</v>
      </c>
      <c r="BE256">
        <v>19583</v>
      </c>
      <c r="BF256">
        <v>30030</v>
      </c>
      <c r="BG256" s="9" t="s">
        <v>149</v>
      </c>
    </row>
    <row r="257" spans="3:59" ht="409.5" x14ac:dyDescent="0.25">
      <c r="C257" s="1">
        <v>45877</v>
      </c>
      <c r="D257" s="36">
        <v>261950.629032258</v>
      </c>
      <c r="E257" s="33">
        <v>4.4193548387096797</v>
      </c>
      <c r="F257" s="33">
        <v>3.6225451612903199</v>
      </c>
      <c r="G257" s="2">
        <v>0.81969999999999998</v>
      </c>
      <c r="H257" s="2">
        <v>0.99</v>
      </c>
      <c r="I257" s="3">
        <v>0</v>
      </c>
      <c r="J257" s="3">
        <v>78034</v>
      </c>
      <c r="K257" s="3">
        <v>34766</v>
      </c>
      <c r="L257" s="3">
        <v>40221</v>
      </c>
      <c r="M257" s="3">
        <v>41140</v>
      </c>
      <c r="N257" s="3">
        <v>194161</v>
      </c>
      <c r="O257" s="3">
        <v>214476.67</v>
      </c>
      <c r="P257" s="3">
        <v>20315.669999999998</v>
      </c>
      <c r="Q257" s="3">
        <v>20315.669999999998</v>
      </c>
      <c r="R257" s="3">
        <v>214476.67</v>
      </c>
      <c r="S257" s="3">
        <v>214476.67</v>
      </c>
      <c r="T257" s="3">
        <v>214476.67</v>
      </c>
      <c r="U257" s="3">
        <v>15370</v>
      </c>
      <c r="V257" s="3">
        <v>15350</v>
      </c>
      <c r="W257" s="3">
        <v>13900</v>
      </c>
      <c r="X257" s="3">
        <v>17700</v>
      </c>
      <c r="Y257" s="3">
        <v>17670</v>
      </c>
      <c r="Z257" s="3">
        <v>26070</v>
      </c>
      <c r="AA257" s="3">
        <v>22220</v>
      </c>
      <c r="AB257" s="3">
        <v>22530</v>
      </c>
      <c r="AC257" s="3">
        <v>25490</v>
      </c>
      <c r="AD257" s="3">
        <v>22740</v>
      </c>
      <c r="AE257" s="3">
        <v>199040</v>
      </c>
      <c r="AF257" s="3">
        <v>219355.67</v>
      </c>
      <c r="AG257" s="3">
        <v>1719.01</v>
      </c>
      <c r="AH257" s="40">
        <v>0.61550000000000005</v>
      </c>
      <c r="AI257" s="40">
        <v>0.61460000000000004</v>
      </c>
      <c r="AJ257" s="40">
        <v>0.626</v>
      </c>
      <c r="AK257" s="40">
        <v>0.62770000000000004</v>
      </c>
      <c r="AL257" s="40">
        <v>0.63170000000000004</v>
      </c>
      <c r="AM257" s="40">
        <v>0.88070000000000004</v>
      </c>
      <c r="AN257" s="40">
        <v>0.8831</v>
      </c>
      <c r="AO257" s="40">
        <v>0.87860000000000005</v>
      </c>
      <c r="AP257" s="40">
        <v>0.87770000000000004</v>
      </c>
      <c r="AQ257" s="40">
        <v>0.88690000000000002</v>
      </c>
      <c r="AR257" s="31">
        <v>1.0251286303634599</v>
      </c>
      <c r="AS257" s="36">
        <v>2.9996737062937102</v>
      </c>
      <c r="AT257">
        <v>3.63</v>
      </c>
      <c r="AU257">
        <v>3.67</v>
      </c>
      <c r="AV257">
        <v>3.7</v>
      </c>
      <c r="AW257">
        <v>3.7</v>
      </c>
      <c r="AY257" s="6">
        <v>3.6749999999999998</v>
      </c>
      <c r="AZ257" s="2">
        <v>0.75219999999999998</v>
      </c>
      <c r="BA257" s="2">
        <v>0.81623774320917197</v>
      </c>
      <c r="BB257" s="2">
        <v>1</v>
      </c>
      <c r="BC257">
        <v>71500</v>
      </c>
      <c r="BD257">
        <v>56992</v>
      </c>
      <c r="BE257">
        <v>12000</v>
      </c>
      <c r="BF257">
        <v>30030</v>
      </c>
      <c r="BG257" s="9" t="s">
        <v>149</v>
      </c>
    </row>
    <row r="258" spans="3:59" ht="409.5" x14ac:dyDescent="0.25">
      <c r="C258" s="1">
        <v>45878</v>
      </c>
      <c r="D258" s="36">
        <v>261950.629032258</v>
      </c>
      <c r="E258" s="33">
        <v>4.4193548387096797</v>
      </c>
      <c r="F258" s="33">
        <v>3.6225451612903199</v>
      </c>
      <c r="G258" s="2">
        <v>0.81969999999999998</v>
      </c>
      <c r="H258" s="2">
        <v>0.99</v>
      </c>
      <c r="I258" s="3">
        <v>6349</v>
      </c>
      <c r="J258" s="3">
        <v>60694</v>
      </c>
      <c r="K258" s="3">
        <v>23899</v>
      </c>
      <c r="L258" s="3">
        <v>28953</v>
      </c>
      <c r="M258" s="3">
        <v>28780</v>
      </c>
      <c r="N258" s="3">
        <v>148675</v>
      </c>
      <c r="O258" s="3">
        <v>140715.5</v>
      </c>
      <c r="P258" s="3">
        <v>-7959.5</v>
      </c>
      <c r="Q258" s="3">
        <v>0</v>
      </c>
      <c r="R258" s="3">
        <v>148675</v>
      </c>
      <c r="S258" s="3">
        <v>148675</v>
      </c>
      <c r="T258" s="3">
        <v>140715.5</v>
      </c>
      <c r="U258" s="3">
        <v>13190</v>
      </c>
      <c r="V258" s="3">
        <v>13230</v>
      </c>
      <c r="W258" s="3">
        <v>11820</v>
      </c>
      <c r="X258" s="3">
        <v>15090</v>
      </c>
      <c r="Y258" s="3">
        <v>15010</v>
      </c>
      <c r="Z258" s="3">
        <v>16800</v>
      </c>
      <c r="AA258" s="3">
        <v>14750</v>
      </c>
      <c r="AB258" s="3">
        <v>14350</v>
      </c>
      <c r="AC258" s="3">
        <v>16450</v>
      </c>
      <c r="AD258" s="3">
        <v>15040</v>
      </c>
      <c r="AE258" s="3">
        <v>145730</v>
      </c>
      <c r="AF258" s="3">
        <v>145730</v>
      </c>
      <c r="AG258" s="3">
        <v>1432.32</v>
      </c>
      <c r="AH258" s="40">
        <v>0.86470000000000002</v>
      </c>
      <c r="AI258" s="40">
        <v>0.86729999999999996</v>
      </c>
      <c r="AJ258" s="40">
        <v>0.87170000000000003</v>
      </c>
      <c r="AK258" s="40">
        <v>0.87629999999999997</v>
      </c>
      <c r="AL258" s="40">
        <v>0.82750000000000001</v>
      </c>
      <c r="AM258" s="40">
        <v>0.94169999999999998</v>
      </c>
      <c r="AN258" s="40">
        <v>0.93369999999999997</v>
      </c>
      <c r="AO258" s="40">
        <v>0.92820000000000003</v>
      </c>
      <c r="AP258" s="40">
        <v>0.90190000000000003</v>
      </c>
      <c r="AQ258" s="40">
        <v>0.97350000000000003</v>
      </c>
      <c r="AR258" s="31">
        <v>0.98019169329073497</v>
      </c>
      <c r="AS258" s="36">
        <v>2.0793706293706302</v>
      </c>
      <c r="AT258">
        <v>2.2799999999999998</v>
      </c>
      <c r="AU258">
        <v>2.38</v>
      </c>
      <c r="AV258">
        <v>2.23</v>
      </c>
      <c r="AW258">
        <v>2.2599999999999998</v>
      </c>
      <c r="AY258" s="6">
        <v>2.2875000000000001</v>
      </c>
      <c r="AZ258" s="2">
        <v>0.89870000000000005</v>
      </c>
      <c r="BA258" s="2">
        <v>0.90901448278497499</v>
      </c>
      <c r="BB258" s="2">
        <v>1</v>
      </c>
      <c r="BC258">
        <v>71500</v>
      </c>
      <c r="BD258">
        <v>56992</v>
      </c>
      <c r="BE258">
        <v>12000</v>
      </c>
      <c r="BF258">
        <v>26793</v>
      </c>
      <c r="BG258" s="9" t="s">
        <v>150</v>
      </c>
    </row>
    <row r="259" spans="3:59" ht="409.5" x14ac:dyDescent="0.25">
      <c r="C259" s="1">
        <v>45879</v>
      </c>
      <c r="D259" s="36">
        <v>261950.629032258</v>
      </c>
      <c r="E259" s="33">
        <v>4.4193548387096797</v>
      </c>
      <c r="F259" s="33">
        <v>3.6225451612903199</v>
      </c>
      <c r="G259" s="2">
        <v>0.81969999999999998</v>
      </c>
      <c r="H259" s="2">
        <v>0.99</v>
      </c>
      <c r="I259" s="3">
        <v>38711</v>
      </c>
      <c r="J259" s="3">
        <v>38874</v>
      </c>
      <c r="K259" s="3">
        <v>24279</v>
      </c>
      <c r="L259" s="3">
        <v>29828</v>
      </c>
      <c r="M259" s="3">
        <v>31294</v>
      </c>
      <c r="N259" s="3">
        <v>162986</v>
      </c>
      <c r="O259" s="3">
        <v>144023.32999999999</v>
      </c>
      <c r="P259" s="3">
        <v>-18962.669999999998</v>
      </c>
      <c r="Q259" s="3">
        <v>0</v>
      </c>
      <c r="R259" s="3">
        <v>162986</v>
      </c>
      <c r="S259" s="3">
        <v>162986</v>
      </c>
      <c r="T259" s="3">
        <v>144023.32999999999</v>
      </c>
      <c r="U259" s="3">
        <v>11250</v>
      </c>
      <c r="V259" s="3">
        <v>11040</v>
      </c>
      <c r="W259" s="3">
        <v>9860</v>
      </c>
      <c r="X259" s="3">
        <v>12450</v>
      </c>
      <c r="Y259" s="3">
        <v>12720</v>
      </c>
      <c r="Z259" s="3">
        <v>12950</v>
      </c>
      <c r="AA259" s="3">
        <v>11220</v>
      </c>
      <c r="AB259" s="3">
        <v>11190</v>
      </c>
      <c r="AC259" s="3">
        <v>13040</v>
      </c>
      <c r="AD259" s="3">
        <v>11590</v>
      </c>
      <c r="AE259" s="3">
        <v>117310</v>
      </c>
      <c r="AF259" s="3">
        <v>117310</v>
      </c>
      <c r="AG259" s="3">
        <v>1253.6400000000001</v>
      </c>
      <c r="AH259" s="40">
        <v>0.99199999999999999</v>
      </c>
      <c r="AI259" s="40">
        <v>0.97389999999999999</v>
      </c>
      <c r="AJ259" s="40">
        <v>0.97850000000000004</v>
      </c>
      <c r="AK259" s="40">
        <v>0.97240000000000004</v>
      </c>
      <c r="AL259" s="40">
        <v>0.97609999999999997</v>
      </c>
      <c r="AM259" s="40">
        <v>0.96340000000000003</v>
      </c>
      <c r="AN259" s="40">
        <v>0.97570000000000001</v>
      </c>
      <c r="AO259" s="40">
        <v>0.96109999999999995</v>
      </c>
      <c r="AP259" s="40">
        <v>0.98160000000000003</v>
      </c>
      <c r="AQ259" s="40">
        <v>0.99539999999999995</v>
      </c>
      <c r="AR259" s="31">
        <v>0.71975507098769198</v>
      </c>
      <c r="AS259" s="36">
        <v>2.2795244755244801</v>
      </c>
      <c r="AT259">
        <v>1.66</v>
      </c>
      <c r="AU259">
        <v>1.71</v>
      </c>
      <c r="AV259">
        <v>1.66</v>
      </c>
      <c r="AW259">
        <v>1.68</v>
      </c>
      <c r="AY259" s="6">
        <v>1.6775</v>
      </c>
      <c r="AZ259" s="2">
        <v>0.97699999999999998</v>
      </c>
      <c r="BA259" s="2">
        <v>1.3588819526226401</v>
      </c>
      <c r="BB259" s="2">
        <v>1</v>
      </c>
      <c r="BC259">
        <v>71500</v>
      </c>
      <c r="BD259">
        <v>56992</v>
      </c>
      <c r="BE259">
        <v>22233</v>
      </c>
      <c r="BF259">
        <v>30030</v>
      </c>
      <c r="BG259" s="9" t="s">
        <v>151</v>
      </c>
    </row>
    <row r="260" spans="3:59" ht="375" x14ac:dyDescent="0.25">
      <c r="C260" s="1">
        <v>45880</v>
      </c>
      <c r="D260" s="36">
        <v>261950.629032258</v>
      </c>
      <c r="E260" s="33">
        <v>4.4193548387096797</v>
      </c>
      <c r="F260" s="33">
        <v>3.6225451612903199</v>
      </c>
      <c r="G260" s="2">
        <v>0.81969999999999998</v>
      </c>
      <c r="H260" s="2">
        <v>0.99</v>
      </c>
      <c r="I260" s="3">
        <v>57238</v>
      </c>
      <c r="J260" s="3">
        <v>57315</v>
      </c>
      <c r="K260" s="3">
        <v>42749</v>
      </c>
      <c r="L260" s="3">
        <v>47232</v>
      </c>
      <c r="M260" s="3">
        <v>47470</v>
      </c>
      <c r="N260" s="3">
        <v>252004</v>
      </c>
      <c r="O260" s="3">
        <v>239210.33</v>
      </c>
      <c r="P260" s="3">
        <v>-12793.67</v>
      </c>
      <c r="Q260" s="3">
        <v>0</v>
      </c>
      <c r="R260" s="3">
        <v>252004</v>
      </c>
      <c r="S260" s="3">
        <v>252004</v>
      </c>
      <c r="T260" s="3">
        <v>239210.33</v>
      </c>
      <c r="U260" s="3">
        <v>24540</v>
      </c>
      <c r="V260" s="3">
        <v>24180</v>
      </c>
      <c r="W260" s="3">
        <v>21270</v>
      </c>
      <c r="X260" s="3">
        <v>26660</v>
      </c>
      <c r="Y260" s="3">
        <v>27410</v>
      </c>
      <c r="Z260" s="3">
        <v>30530</v>
      </c>
      <c r="AA260" s="3">
        <v>26010</v>
      </c>
      <c r="AB260" s="3">
        <v>26330</v>
      </c>
      <c r="AC260" s="3">
        <v>32000</v>
      </c>
      <c r="AD260" s="3">
        <v>26580</v>
      </c>
      <c r="AE260" s="3">
        <v>265510</v>
      </c>
      <c r="AF260" s="3">
        <v>265510</v>
      </c>
      <c r="AG260" s="3">
        <v>1216.51</v>
      </c>
      <c r="AH260" s="40">
        <v>0.8206</v>
      </c>
      <c r="AI260" s="40">
        <v>0.8085</v>
      </c>
      <c r="AJ260" s="40">
        <v>0.80020000000000002</v>
      </c>
      <c r="AK260" s="40">
        <v>0.78990000000000005</v>
      </c>
      <c r="AL260" s="40">
        <v>0.80830000000000002</v>
      </c>
      <c r="AM260" s="40">
        <v>0.86129999999999995</v>
      </c>
      <c r="AN260" s="40">
        <v>0.88939999999999997</v>
      </c>
      <c r="AO260" s="40">
        <v>0.85760000000000003</v>
      </c>
      <c r="AP260" s="40">
        <v>0.94799999999999995</v>
      </c>
      <c r="AQ260" s="40">
        <v>0.86580000000000001</v>
      </c>
      <c r="AR260" s="31">
        <v>1.0535943873906799</v>
      </c>
      <c r="AS260" s="36">
        <v>3.5245314685314701</v>
      </c>
      <c r="AT260">
        <v>4.22</v>
      </c>
      <c r="AU260">
        <v>4.45</v>
      </c>
      <c r="AV260">
        <v>4.25</v>
      </c>
      <c r="AW260">
        <v>4.43</v>
      </c>
      <c r="AY260" s="6">
        <v>4.3375000000000004</v>
      </c>
      <c r="AZ260" s="2">
        <v>0.84499999999999997</v>
      </c>
      <c r="BA260" s="2">
        <v>0.81257209649140505</v>
      </c>
      <c r="BB260" s="2">
        <v>1</v>
      </c>
      <c r="BC260">
        <v>71500</v>
      </c>
      <c r="BD260">
        <v>56992</v>
      </c>
      <c r="BE260">
        <v>24000</v>
      </c>
      <c r="BF260">
        <v>30030</v>
      </c>
      <c r="BG260" s="9" t="s">
        <v>152</v>
      </c>
    </row>
    <row r="261" spans="3:59" ht="375" x14ac:dyDescent="0.25">
      <c r="C261" s="1">
        <v>45881</v>
      </c>
      <c r="D261" s="36">
        <v>261950.629032258</v>
      </c>
      <c r="E261" s="33">
        <v>4.4193548387096797</v>
      </c>
      <c r="F261" s="33">
        <v>3.6225451612903199</v>
      </c>
      <c r="G261" s="2">
        <v>0.81969999999999998</v>
      </c>
      <c r="H261" s="2">
        <v>0.99</v>
      </c>
      <c r="I261" s="3">
        <v>23963</v>
      </c>
      <c r="J261" s="3">
        <v>24098</v>
      </c>
      <c r="K261" s="3">
        <v>13166</v>
      </c>
      <c r="L261" s="3">
        <v>19657</v>
      </c>
      <c r="M261" s="3">
        <v>23146</v>
      </c>
      <c r="N261" s="3">
        <v>104030</v>
      </c>
      <c r="O261" s="3">
        <v>84116.67</v>
      </c>
      <c r="P261" s="3">
        <v>-19913.330000000002</v>
      </c>
      <c r="Q261" s="3">
        <v>0</v>
      </c>
      <c r="R261" s="3">
        <v>104030</v>
      </c>
      <c r="S261" s="3">
        <v>104030</v>
      </c>
      <c r="T261" s="3">
        <v>84116.67</v>
      </c>
      <c r="U261" s="3">
        <v>12310</v>
      </c>
      <c r="V261" s="3">
        <v>12340</v>
      </c>
      <c r="W261" s="3">
        <v>10550</v>
      </c>
      <c r="X261" s="3">
        <v>13410</v>
      </c>
      <c r="Y261" s="3">
        <v>13590</v>
      </c>
      <c r="Z261" s="3">
        <v>14100</v>
      </c>
      <c r="AA261" s="3">
        <v>12070</v>
      </c>
      <c r="AB261" s="3">
        <v>12110</v>
      </c>
      <c r="AC261" s="3">
        <v>14210</v>
      </c>
      <c r="AD261" s="3">
        <v>12330</v>
      </c>
      <c r="AE261" s="3">
        <v>127020</v>
      </c>
      <c r="AF261" s="3">
        <v>127020</v>
      </c>
      <c r="AG261" s="3">
        <v>1628.06</v>
      </c>
      <c r="AH261" s="40">
        <v>0.94950000000000001</v>
      </c>
      <c r="AI261" s="40">
        <v>0.95230000000000004</v>
      </c>
      <c r="AJ261" s="40">
        <v>0.91549999999999998</v>
      </c>
      <c r="AK261" s="40">
        <v>0.91639999999999999</v>
      </c>
      <c r="AL261" s="40">
        <v>0.93840000000000001</v>
      </c>
      <c r="AM261" s="40">
        <v>0.91800000000000004</v>
      </c>
      <c r="AN261" s="40">
        <v>0.97260000000000002</v>
      </c>
      <c r="AO261" s="40">
        <v>0.91</v>
      </c>
      <c r="AP261" s="40">
        <v>0.99260000000000004</v>
      </c>
      <c r="AQ261" s="40">
        <v>0.92659999999999998</v>
      </c>
      <c r="AR261" s="31">
        <v>1.2209939440546</v>
      </c>
      <c r="AS261" s="36">
        <v>1.45496503496503</v>
      </c>
      <c r="AT261">
        <v>1.79</v>
      </c>
      <c r="AU261">
        <v>1.9</v>
      </c>
      <c r="AV261">
        <v>1.87</v>
      </c>
      <c r="AW261">
        <v>1.92</v>
      </c>
      <c r="AY261" s="6">
        <v>1.87</v>
      </c>
      <c r="AZ261" s="2">
        <v>0.93920000000000003</v>
      </c>
      <c r="BA261" s="2">
        <v>0.77805616843049996</v>
      </c>
      <c r="BB261" s="2">
        <v>1</v>
      </c>
      <c r="BC261">
        <v>71500</v>
      </c>
      <c r="BD261">
        <v>56992</v>
      </c>
      <c r="BE261">
        <v>24000</v>
      </c>
      <c r="BF261">
        <v>30030</v>
      </c>
      <c r="BG261" s="9" t="s">
        <v>152</v>
      </c>
    </row>
    <row r="262" spans="3:59" ht="409.5" x14ac:dyDescent="0.25">
      <c r="C262" s="1">
        <v>45882</v>
      </c>
      <c r="D262" s="36">
        <v>261950.629032258</v>
      </c>
      <c r="E262" s="33">
        <v>4.4193548387096797</v>
      </c>
      <c r="F262" s="33">
        <v>3.6225451612903199</v>
      </c>
      <c r="G262" s="2">
        <v>0.81969999999999998</v>
      </c>
      <c r="H262" s="2">
        <v>0.99</v>
      </c>
      <c r="I262" s="3">
        <v>66282</v>
      </c>
      <c r="J262" s="3">
        <v>66481</v>
      </c>
      <c r="K262" s="3">
        <v>20615</v>
      </c>
      <c r="L262" s="3">
        <v>23315</v>
      </c>
      <c r="M262" s="3">
        <v>24442</v>
      </c>
      <c r="N262" s="3">
        <v>201135</v>
      </c>
      <c r="O262" s="3">
        <v>261923</v>
      </c>
      <c r="P262" s="3">
        <v>60788</v>
      </c>
      <c r="Q262" s="3">
        <v>60788</v>
      </c>
      <c r="R262" s="3">
        <v>261923</v>
      </c>
      <c r="S262" s="3">
        <v>261923</v>
      </c>
      <c r="T262" s="3">
        <v>261923</v>
      </c>
      <c r="U262" s="3">
        <v>22050</v>
      </c>
      <c r="V262" s="3">
        <v>22120</v>
      </c>
      <c r="W262" s="3">
        <v>19210</v>
      </c>
      <c r="X262" s="3">
        <v>24820</v>
      </c>
      <c r="Y262" s="3">
        <v>24750</v>
      </c>
      <c r="Z262" s="3">
        <v>9040</v>
      </c>
      <c r="AA262" s="3">
        <v>7760</v>
      </c>
      <c r="AB262" s="3">
        <v>7840</v>
      </c>
      <c r="AC262" s="3">
        <v>9190</v>
      </c>
      <c r="AD262" s="3">
        <v>8140</v>
      </c>
      <c r="AE262" s="3">
        <v>154920</v>
      </c>
      <c r="AF262" s="3">
        <v>215708</v>
      </c>
      <c r="AG262" s="3">
        <v>1553.37</v>
      </c>
      <c r="AH262" s="40">
        <v>0.88300000000000001</v>
      </c>
      <c r="AI262" s="40">
        <v>0.88560000000000005</v>
      </c>
      <c r="AJ262" s="40">
        <v>0.86529999999999996</v>
      </c>
      <c r="AK262" s="40">
        <v>0.88019999999999998</v>
      </c>
      <c r="AL262" s="40">
        <v>0.89739999999999998</v>
      </c>
      <c r="AM262" s="40">
        <v>0.30549999999999999</v>
      </c>
      <c r="AN262" s="40">
        <v>0.31180000000000002</v>
      </c>
      <c r="AO262" s="40">
        <v>0.30559999999999998</v>
      </c>
      <c r="AP262" s="40">
        <v>0.3201</v>
      </c>
      <c r="AQ262" s="40">
        <v>0.31730000000000003</v>
      </c>
      <c r="AR262" s="31">
        <v>0.77022895070475095</v>
      </c>
      <c r="AS262" s="36">
        <v>3.6632587412587401</v>
      </c>
      <c r="AT262">
        <v>3.59</v>
      </c>
      <c r="AU262">
        <v>3.62</v>
      </c>
      <c r="AV262">
        <v>3.74</v>
      </c>
      <c r="AW262">
        <v>3.7</v>
      </c>
      <c r="AY262" s="6">
        <v>3.6625000000000001</v>
      </c>
      <c r="AZ262" s="2">
        <v>0.59719999999999995</v>
      </c>
      <c r="BA262" s="2">
        <v>1.0002071648488</v>
      </c>
      <c r="BB262" s="2">
        <v>1</v>
      </c>
      <c r="BC262">
        <v>71500</v>
      </c>
      <c r="BD262">
        <v>56992</v>
      </c>
      <c r="BE262">
        <v>24000</v>
      </c>
      <c r="BF262">
        <v>13847</v>
      </c>
      <c r="BG262" s="9" t="s">
        <v>153</v>
      </c>
    </row>
    <row r="263" spans="3:59" ht="409.5" x14ac:dyDescent="0.25">
      <c r="C263" s="1">
        <v>45883</v>
      </c>
      <c r="D263" s="36">
        <v>261950.629032258</v>
      </c>
      <c r="E263" s="33">
        <v>4.4193548387096797</v>
      </c>
      <c r="F263" s="33">
        <v>3.6225451612903199</v>
      </c>
      <c r="G263" s="2">
        <v>0.81969999999999998</v>
      </c>
      <c r="H263" s="2">
        <v>0.99</v>
      </c>
      <c r="I263" s="3">
        <v>64842</v>
      </c>
      <c r="J263" s="3">
        <v>64942</v>
      </c>
      <c r="K263" s="3">
        <v>55192</v>
      </c>
      <c r="L263" s="3">
        <v>54330</v>
      </c>
      <c r="M263" s="3">
        <v>31178</v>
      </c>
      <c r="N263" s="3">
        <v>270484</v>
      </c>
      <c r="O263" s="3">
        <v>269566</v>
      </c>
      <c r="P263" s="3">
        <v>-918</v>
      </c>
      <c r="Q263" s="3">
        <v>0</v>
      </c>
      <c r="R263" s="3">
        <v>270484</v>
      </c>
      <c r="S263" s="3">
        <v>270484</v>
      </c>
      <c r="T263" s="3">
        <v>269566</v>
      </c>
      <c r="U263" s="3">
        <v>23930</v>
      </c>
      <c r="V263" s="3">
        <v>23990</v>
      </c>
      <c r="W263" s="3">
        <v>21010</v>
      </c>
      <c r="X263" s="3">
        <v>26810</v>
      </c>
      <c r="Y263" s="3">
        <v>27240</v>
      </c>
      <c r="Z263" s="3">
        <v>29830</v>
      </c>
      <c r="AA263" s="3">
        <v>25490</v>
      </c>
      <c r="AB263" s="3">
        <v>25830</v>
      </c>
      <c r="AC263" s="3">
        <v>31120</v>
      </c>
      <c r="AD263" s="3">
        <v>26930</v>
      </c>
      <c r="AE263" s="3">
        <v>262180</v>
      </c>
      <c r="AF263" s="3">
        <v>262180</v>
      </c>
      <c r="AG263" s="3">
        <v>1635.82</v>
      </c>
      <c r="AH263" s="40">
        <v>0.82620000000000005</v>
      </c>
      <c r="AI263" s="40">
        <v>0.82850000000000001</v>
      </c>
      <c r="AJ263" s="40">
        <v>0.81630000000000003</v>
      </c>
      <c r="AK263" s="40">
        <v>0.82020000000000004</v>
      </c>
      <c r="AL263" s="40">
        <v>0.81989999999999996</v>
      </c>
      <c r="AM263" s="40">
        <v>0.86909999999999998</v>
      </c>
      <c r="AN263" s="40">
        <v>0.86539999999999995</v>
      </c>
      <c r="AO263" s="40">
        <v>0.86890000000000001</v>
      </c>
      <c r="AP263" s="40">
        <v>0.9153</v>
      </c>
      <c r="AQ263" s="40">
        <v>0.90580000000000005</v>
      </c>
      <c r="AR263" s="31">
        <v>0.96929947797281901</v>
      </c>
      <c r="AS263" s="36">
        <v>3.78299300699301</v>
      </c>
      <c r="AT263">
        <v>4.25</v>
      </c>
      <c r="AU263">
        <v>4.3600000000000003</v>
      </c>
      <c r="AV263">
        <v>4.16</v>
      </c>
      <c r="AW263">
        <v>4.29</v>
      </c>
      <c r="AY263" s="6">
        <v>4.2649999999999997</v>
      </c>
      <c r="AZ263" s="2">
        <v>0.85360000000000003</v>
      </c>
      <c r="BA263" s="2">
        <v>0.88698546471113904</v>
      </c>
      <c r="BB263" s="2">
        <v>1</v>
      </c>
      <c r="BC263">
        <v>71500</v>
      </c>
      <c r="BD263">
        <v>56992</v>
      </c>
      <c r="BE263">
        <v>24000</v>
      </c>
      <c r="BF263">
        <v>27844</v>
      </c>
      <c r="BG263" s="9" t="s">
        <v>154</v>
      </c>
    </row>
    <row r="264" spans="3:59" ht="409.5" x14ac:dyDescent="0.25">
      <c r="C264" s="1">
        <v>45884</v>
      </c>
      <c r="D264" s="36">
        <v>261950.629032258</v>
      </c>
      <c r="E264" s="33">
        <v>4.4193548387096797</v>
      </c>
      <c r="F264" s="33">
        <v>3.6225451612903199</v>
      </c>
      <c r="G264" s="2">
        <v>0.81969999999999998</v>
      </c>
      <c r="H264" s="2">
        <v>0.99</v>
      </c>
      <c r="I264" s="3">
        <v>55259</v>
      </c>
      <c r="J264" s="3">
        <v>55322</v>
      </c>
      <c r="K264" s="3">
        <v>45483</v>
      </c>
      <c r="L264" s="3">
        <v>47209</v>
      </c>
      <c r="M264" s="3">
        <v>44672</v>
      </c>
      <c r="N264" s="3">
        <v>247945</v>
      </c>
      <c r="O264" s="3">
        <v>275637.5</v>
      </c>
      <c r="P264" s="3">
        <v>27692.5</v>
      </c>
      <c r="Q264" s="3">
        <v>27692.5</v>
      </c>
      <c r="R264" s="3">
        <v>275637.5</v>
      </c>
      <c r="S264" s="3">
        <v>275637.5</v>
      </c>
      <c r="T264" s="3">
        <v>275637.5</v>
      </c>
      <c r="U264" s="3">
        <v>25290</v>
      </c>
      <c r="V264" s="3">
        <v>24360</v>
      </c>
      <c r="W264" s="3">
        <v>20810</v>
      </c>
      <c r="X264" s="3">
        <v>26820</v>
      </c>
      <c r="Y264" s="3">
        <v>28050</v>
      </c>
      <c r="Z264" s="3">
        <v>31360</v>
      </c>
      <c r="AA264" s="3">
        <v>27520</v>
      </c>
      <c r="AB264" s="3">
        <v>26820</v>
      </c>
      <c r="AC264" s="3">
        <v>32020</v>
      </c>
      <c r="AD264" s="3">
        <v>26800</v>
      </c>
      <c r="AE264" s="3">
        <v>269850</v>
      </c>
      <c r="AF264" s="3">
        <v>297542.5</v>
      </c>
      <c r="AG264" s="3">
        <v>1440.08</v>
      </c>
      <c r="AH264" s="40">
        <v>0.7954</v>
      </c>
      <c r="AI264" s="40">
        <v>0.76619999999999999</v>
      </c>
      <c r="AJ264" s="40">
        <v>0.73619999999999997</v>
      </c>
      <c r="AK264" s="40">
        <v>0.74739999999999995</v>
      </c>
      <c r="AL264" s="40">
        <v>0.71479999999999999</v>
      </c>
      <c r="AM264" s="40">
        <v>0.83230000000000004</v>
      </c>
      <c r="AN264" s="40">
        <v>0.80889999999999995</v>
      </c>
      <c r="AO264" s="40">
        <v>0.82179999999999997</v>
      </c>
      <c r="AP264" s="40">
        <v>0.81499999999999995</v>
      </c>
      <c r="AQ264" s="40">
        <v>0.82089999999999996</v>
      </c>
      <c r="AR264" s="31">
        <v>1.0883462058117701</v>
      </c>
      <c r="AS264" s="36">
        <v>3.8550699300699298</v>
      </c>
      <c r="AT264">
        <v>4.91</v>
      </c>
      <c r="AU264">
        <v>5.15</v>
      </c>
      <c r="AV264">
        <v>4.55</v>
      </c>
      <c r="AW264">
        <v>4.71</v>
      </c>
      <c r="AY264" s="6">
        <v>4.83</v>
      </c>
      <c r="AZ264" s="2">
        <v>0.78590000000000004</v>
      </c>
      <c r="BA264" s="2">
        <v>0.79815112423808099</v>
      </c>
      <c r="BB264" s="2">
        <v>1</v>
      </c>
      <c r="BC264">
        <v>71500</v>
      </c>
      <c r="BD264">
        <v>56992</v>
      </c>
      <c r="BE264">
        <v>22000</v>
      </c>
      <c r="BF264">
        <v>25240</v>
      </c>
      <c r="BG264" s="9" t="s">
        <v>155</v>
      </c>
    </row>
    <row r="265" spans="3:59" ht="375" x14ac:dyDescent="0.25">
      <c r="C265" s="1">
        <v>45885</v>
      </c>
      <c r="D265" s="36">
        <v>261950.629032258</v>
      </c>
      <c r="E265" s="33">
        <v>4.4193548387096797</v>
      </c>
      <c r="F265" s="33">
        <v>3.6225451612903199</v>
      </c>
      <c r="G265" s="2">
        <v>0.81969999999999998</v>
      </c>
      <c r="H265" s="2">
        <v>0.99</v>
      </c>
      <c r="I265" s="3">
        <v>57365</v>
      </c>
      <c r="J265" s="3">
        <v>57481</v>
      </c>
      <c r="K265" s="3">
        <v>33706</v>
      </c>
      <c r="L265" s="3">
        <v>33706</v>
      </c>
      <c r="M265" s="3">
        <v>30644</v>
      </c>
      <c r="N265" s="3">
        <v>212902</v>
      </c>
      <c r="O265" s="3">
        <v>234872.67</v>
      </c>
      <c r="P265" s="3">
        <v>21970.67</v>
      </c>
      <c r="Q265" s="3">
        <v>21970.67</v>
      </c>
      <c r="R265" s="3">
        <v>234872.67</v>
      </c>
      <c r="S265" s="3">
        <v>234872.67</v>
      </c>
      <c r="T265" s="3">
        <v>234872.67</v>
      </c>
      <c r="U265" s="3">
        <v>24170</v>
      </c>
      <c r="V265" s="3">
        <v>24510</v>
      </c>
      <c r="W265" s="3">
        <v>19530</v>
      </c>
      <c r="X265" s="3">
        <v>26670</v>
      </c>
      <c r="Y265" s="3">
        <v>26450</v>
      </c>
      <c r="Z265" s="3">
        <v>29560</v>
      </c>
      <c r="AA265" s="3">
        <v>24080</v>
      </c>
      <c r="AB265" s="3">
        <v>24860</v>
      </c>
      <c r="AC265" s="3">
        <v>28120</v>
      </c>
      <c r="AD265" s="3">
        <v>25650</v>
      </c>
      <c r="AE265" s="3">
        <v>253600</v>
      </c>
      <c r="AF265" s="3">
        <v>275570.67</v>
      </c>
      <c r="AG265" s="3">
        <v>1593.14</v>
      </c>
      <c r="AH265" s="40">
        <v>0.84050000000000002</v>
      </c>
      <c r="AI265" s="40">
        <v>0.85229999999999995</v>
      </c>
      <c r="AJ265" s="40">
        <v>0.76390000000000002</v>
      </c>
      <c r="AK265" s="40">
        <v>0.82140000000000002</v>
      </c>
      <c r="AL265" s="40">
        <v>0.84660000000000002</v>
      </c>
      <c r="AM265" s="40">
        <v>0.86739999999999995</v>
      </c>
      <c r="AN265" s="40">
        <v>0.90500000000000003</v>
      </c>
      <c r="AO265" s="40">
        <v>0.84209999999999996</v>
      </c>
      <c r="AP265" s="40">
        <v>0.91520000000000001</v>
      </c>
      <c r="AQ265" s="40">
        <v>0.86880000000000002</v>
      </c>
      <c r="AR265" s="31">
        <v>1.19115837333609</v>
      </c>
      <c r="AS265" s="36">
        <v>3.2849324475524502</v>
      </c>
      <c r="AT265">
        <v>3.84</v>
      </c>
      <c r="AU265">
        <v>4.0999999999999996</v>
      </c>
      <c r="AV265">
        <v>4.1100000000000003</v>
      </c>
      <c r="AW265">
        <v>4.26</v>
      </c>
      <c r="AY265" s="6">
        <v>4.0774999999999997</v>
      </c>
      <c r="AZ265" s="2">
        <v>0.85229999999999995</v>
      </c>
      <c r="BA265" s="2">
        <v>0.80562414409624705</v>
      </c>
      <c r="BB265" s="2">
        <v>1</v>
      </c>
      <c r="BC265">
        <v>71500</v>
      </c>
      <c r="BD265">
        <v>56992</v>
      </c>
      <c r="BE265">
        <v>24000</v>
      </c>
      <c r="BF265">
        <v>30030</v>
      </c>
      <c r="BG265" s="9" t="s">
        <v>152</v>
      </c>
    </row>
    <row r="266" spans="3:59" ht="409.5" x14ac:dyDescent="0.25">
      <c r="C266" s="1">
        <v>45886</v>
      </c>
      <c r="D266" s="36">
        <v>261950.629032258</v>
      </c>
      <c r="E266" s="33">
        <v>4.4193548387096797</v>
      </c>
      <c r="F266" s="33">
        <v>3.6225451612903199</v>
      </c>
      <c r="G266" s="2">
        <v>0.81969999999999998</v>
      </c>
      <c r="H266" s="2">
        <v>0.99</v>
      </c>
      <c r="I266" s="3">
        <v>31537</v>
      </c>
      <c r="J266" s="3">
        <v>31692</v>
      </c>
      <c r="K266" s="3">
        <v>5409</v>
      </c>
      <c r="L266" s="3">
        <v>5409</v>
      </c>
      <c r="M266" s="3">
        <v>6188</v>
      </c>
      <c r="N266" s="3">
        <v>80235</v>
      </c>
      <c r="O266" s="3">
        <v>148938</v>
      </c>
      <c r="P266" s="3">
        <v>68703</v>
      </c>
      <c r="Q266" s="3">
        <v>68703</v>
      </c>
      <c r="R266" s="3">
        <v>148938</v>
      </c>
      <c r="S266" s="3">
        <v>148938</v>
      </c>
      <c r="T266" s="3">
        <v>148938</v>
      </c>
      <c r="U266" s="3">
        <v>13200</v>
      </c>
      <c r="V266" s="3">
        <v>12850</v>
      </c>
      <c r="W266" s="3">
        <v>10800</v>
      </c>
      <c r="X266" s="3">
        <v>14490</v>
      </c>
      <c r="Y266" s="3">
        <v>14870</v>
      </c>
      <c r="Z266" s="3">
        <v>0</v>
      </c>
      <c r="AA266" s="3">
        <v>0</v>
      </c>
      <c r="AB266" s="3">
        <v>0</v>
      </c>
      <c r="AC266" s="3">
        <v>0</v>
      </c>
      <c r="AD266" s="3">
        <v>0</v>
      </c>
      <c r="AE266" s="3">
        <v>66210</v>
      </c>
      <c r="AF266" s="3">
        <v>134913</v>
      </c>
      <c r="AG266" s="3">
        <v>1515.15</v>
      </c>
      <c r="AH266" s="40">
        <v>0.93120000000000003</v>
      </c>
      <c r="AI266" s="40">
        <v>0.90669999999999995</v>
      </c>
      <c r="AJ266" s="40">
        <v>0.85740000000000005</v>
      </c>
      <c r="AK266" s="40">
        <v>0.90569999999999995</v>
      </c>
      <c r="AL266" s="40">
        <v>0.93400000000000005</v>
      </c>
      <c r="AM266" s="40">
        <v>0</v>
      </c>
      <c r="AN266" s="40">
        <v>0</v>
      </c>
      <c r="AO266" s="40">
        <v>0</v>
      </c>
      <c r="AP266" s="40">
        <v>0</v>
      </c>
      <c r="AQ266" s="40">
        <v>0</v>
      </c>
      <c r="AR266" s="31">
        <v>0.82520097214432597</v>
      </c>
      <c r="AS266" s="36">
        <v>2.08304895104895</v>
      </c>
      <c r="AT266">
        <v>1</v>
      </c>
      <c r="AU266">
        <v>2.09</v>
      </c>
      <c r="AV266">
        <v>1.2</v>
      </c>
      <c r="AW266">
        <v>2.1</v>
      </c>
      <c r="AY266" s="6">
        <v>1.5974999999999999</v>
      </c>
      <c r="AZ266" s="2">
        <v>0.90700000000000003</v>
      </c>
      <c r="BA266" s="2">
        <v>1.30394300535146</v>
      </c>
      <c r="BB266" s="2">
        <v>1</v>
      </c>
      <c r="BC266">
        <v>71500</v>
      </c>
      <c r="BD266">
        <v>56992</v>
      </c>
      <c r="BE266">
        <v>24000</v>
      </c>
      <c r="BF266">
        <v>0</v>
      </c>
      <c r="BG266" s="9" t="s">
        <v>156</v>
      </c>
    </row>
    <row r="267" spans="3:59" ht="375" x14ac:dyDescent="0.25">
      <c r="C267" s="1">
        <v>45887</v>
      </c>
      <c r="D267" s="36">
        <v>261950.629032258</v>
      </c>
      <c r="E267" s="33">
        <v>4.4193548387096797</v>
      </c>
      <c r="F267" s="33">
        <v>3.6225451612903199</v>
      </c>
      <c r="G267" s="2">
        <v>0.81969999999999998</v>
      </c>
      <c r="H267" s="2">
        <v>0.99</v>
      </c>
      <c r="I267" s="3">
        <v>75422</v>
      </c>
      <c r="J267" s="3">
        <v>75736</v>
      </c>
      <c r="K267" s="3">
        <v>57485</v>
      </c>
      <c r="L267" s="3">
        <v>57485</v>
      </c>
      <c r="M267" s="3">
        <v>50328</v>
      </c>
      <c r="N267" s="3">
        <v>316456</v>
      </c>
      <c r="O267" s="3">
        <v>299374</v>
      </c>
      <c r="P267" s="3">
        <v>-17082</v>
      </c>
      <c r="Q267" s="3">
        <v>0</v>
      </c>
      <c r="R267" s="3">
        <v>316456</v>
      </c>
      <c r="S267" s="3">
        <v>316456</v>
      </c>
      <c r="T267" s="3">
        <v>298326.19099999999</v>
      </c>
      <c r="U267" s="3">
        <v>27700</v>
      </c>
      <c r="V267" s="3">
        <v>27380</v>
      </c>
      <c r="W267" s="3">
        <v>22480</v>
      </c>
      <c r="X267" s="3">
        <v>30410</v>
      </c>
      <c r="Y267" s="3">
        <v>30560</v>
      </c>
      <c r="Z267" s="3">
        <v>30420</v>
      </c>
      <c r="AA267" s="3">
        <v>26620</v>
      </c>
      <c r="AB267" s="3">
        <v>27040</v>
      </c>
      <c r="AC267" s="3">
        <v>29760</v>
      </c>
      <c r="AD267" s="3">
        <v>27880</v>
      </c>
      <c r="AE267" s="3">
        <v>280250</v>
      </c>
      <c r="AF267" s="3">
        <v>280250</v>
      </c>
      <c r="AG267" s="3">
        <v>1609.6</v>
      </c>
      <c r="AH267" s="40">
        <v>0.91590000000000005</v>
      </c>
      <c r="AI267" s="40">
        <v>0.90539999999999998</v>
      </c>
      <c r="AJ267" s="40">
        <v>0.83620000000000005</v>
      </c>
      <c r="AK267" s="40">
        <v>0.89090000000000003</v>
      </c>
      <c r="AL267" s="40">
        <v>0.88339999999999996</v>
      </c>
      <c r="AM267" s="40">
        <v>0.84889999999999999</v>
      </c>
      <c r="AN267" s="40">
        <v>0.89749999999999996</v>
      </c>
      <c r="AO267" s="40">
        <v>0.87109999999999999</v>
      </c>
      <c r="AP267" s="40">
        <v>0.86899999999999999</v>
      </c>
      <c r="AQ267" s="40">
        <v>0.89800000000000002</v>
      </c>
      <c r="AR267" s="31">
        <v>0.88558914983441595</v>
      </c>
      <c r="AS267" s="36">
        <v>4.4259580419580402</v>
      </c>
      <c r="AT267">
        <v>4.28</v>
      </c>
      <c r="AU267">
        <v>4.54</v>
      </c>
      <c r="AV267">
        <v>4.57</v>
      </c>
      <c r="AW267">
        <v>4.4800000000000004</v>
      </c>
      <c r="AY267" s="6">
        <v>4.4675000000000002</v>
      </c>
      <c r="AZ267" s="2">
        <v>0.88160000000000005</v>
      </c>
      <c r="BA267" s="2">
        <v>0.99070129646514604</v>
      </c>
      <c r="BB267" s="2">
        <v>0.99650000000000005</v>
      </c>
      <c r="BC267">
        <v>71500</v>
      </c>
      <c r="BD267">
        <v>56992</v>
      </c>
      <c r="BE267">
        <v>24000</v>
      </c>
      <c r="BF267">
        <v>30030</v>
      </c>
      <c r="BG267" s="9" t="s">
        <v>152</v>
      </c>
    </row>
    <row r="268" spans="3:59" ht="409.5" x14ac:dyDescent="0.25">
      <c r="C268" s="1">
        <v>45888</v>
      </c>
      <c r="D268" s="36">
        <v>261950.629032258</v>
      </c>
      <c r="E268" s="33">
        <v>4.4193548387096797</v>
      </c>
      <c r="F268" s="33">
        <v>3.6225451612903199</v>
      </c>
      <c r="G268" s="2">
        <v>0.81969999999999998</v>
      </c>
      <c r="H268" s="2">
        <v>0.99</v>
      </c>
      <c r="I268" s="3">
        <v>36297</v>
      </c>
      <c r="J268" s="3">
        <v>62086</v>
      </c>
      <c r="K268" s="3">
        <v>43870</v>
      </c>
      <c r="L268" s="3">
        <v>45860</v>
      </c>
      <c r="M268" s="3">
        <v>39898</v>
      </c>
      <c r="N268" s="3">
        <v>228011</v>
      </c>
      <c r="O268" s="3">
        <v>239849.5</v>
      </c>
      <c r="P268" s="3">
        <v>11838.5</v>
      </c>
      <c r="Q268" s="3">
        <v>11838.5</v>
      </c>
      <c r="R268" s="3">
        <v>239849.5</v>
      </c>
      <c r="S268" s="3">
        <v>239849.5</v>
      </c>
      <c r="T268" s="3">
        <v>239010.02674999999</v>
      </c>
      <c r="U268" s="3">
        <v>23670</v>
      </c>
      <c r="V268" s="3">
        <v>22810</v>
      </c>
      <c r="W268" s="3">
        <v>19060</v>
      </c>
      <c r="X268" s="3">
        <v>25170</v>
      </c>
      <c r="Y268" s="3">
        <v>25430</v>
      </c>
      <c r="Z268" s="3">
        <v>31710</v>
      </c>
      <c r="AA268" s="3">
        <v>26440</v>
      </c>
      <c r="AB268" s="3">
        <v>27010</v>
      </c>
      <c r="AC268" s="3">
        <v>31870</v>
      </c>
      <c r="AD268" s="3">
        <v>27600</v>
      </c>
      <c r="AE268" s="3">
        <v>260770</v>
      </c>
      <c r="AF268" s="3">
        <v>272608.5</v>
      </c>
      <c r="AG268" s="3">
        <v>1316.38</v>
      </c>
      <c r="AH268" s="40">
        <v>0.7429</v>
      </c>
      <c r="AI268" s="40">
        <v>0.71609999999999996</v>
      </c>
      <c r="AJ268" s="40">
        <v>0.67310000000000003</v>
      </c>
      <c r="AK268" s="40">
        <v>0.69979999999999998</v>
      </c>
      <c r="AL268" s="40">
        <v>0.71919999999999995</v>
      </c>
      <c r="AM268" s="40">
        <v>0.83979999999999999</v>
      </c>
      <c r="AN268" s="40">
        <v>0.85170000000000001</v>
      </c>
      <c r="AO268" s="40">
        <v>0.82569999999999999</v>
      </c>
      <c r="AP268" s="40">
        <v>0.88929999999999998</v>
      </c>
      <c r="AQ268" s="40">
        <v>0.84389999999999998</v>
      </c>
      <c r="AR268" s="31">
        <v>1.14367289297446</v>
      </c>
      <c r="AS268" s="36">
        <v>3.3545384615384601</v>
      </c>
      <c r="AT268">
        <v>4.4800000000000004</v>
      </c>
      <c r="AU268">
        <v>4.6399999999999997</v>
      </c>
      <c r="AV268">
        <v>4.5</v>
      </c>
      <c r="AW268">
        <v>4.72</v>
      </c>
      <c r="AY268" s="6">
        <v>4.585</v>
      </c>
      <c r="AZ268" s="2">
        <v>0.7802</v>
      </c>
      <c r="BA268" s="2">
        <v>0.73163325224393905</v>
      </c>
      <c r="BB268" s="2">
        <v>0.99650000000000005</v>
      </c>
      <c r="BC268">
        <v>71500</v>
      </c>
      <c r="BD268">
        <v>56992</v>
      </c>
      <c r="BE268">
        <v>17967</v>
      </c>
      <c r="BF268">
        <v>29863</v>
      </c>
      <c r="BG268" s="9" t="s">
        <v>157</v>
      </c>
    </row>
    <row r="269" spans="3:59" ht="375" x14ac:dyDescent="0.25">
      <c r="C269" s="1">
        <v>45889</v>
      </c>
      <c r="D269" s="36">
        <v>261950.629032258</v>
      </c>
      <c r="E269" s="33">
        <v>4.4193548387096797</v>
      </c>
      <c r="F269" s="33">
        <v>3.6225451612903199</v>
      </c>
      <c r="G269" s="2">
        <v>0.81969999999999998</v>
      </c>
      <c r="H269" s="2">
        <v>0.99</v>
      </c>
      <c r="I269" s="3">
        <v>62419</v>
      </c>
      <c r="J269" s="3">
        <v>62487</v>
      </c>
      <c r="K269" s="3">
        <v>49197</v>
      </c>
      <c r="L269" s="3">
        <v>51069</v>
      </c>
      <c r="M269" s="3">
        <v>43662</v>
      </c>
      <c r="N269" s="3">
        <v>268834</v>
      </c>
      <c r="O269" s="3">
        <v>273304.33</v>
      </c>
      <c r="P269" s="3">
        <v>4470.3300000000199</v>
      </c>
      <c r="Q269" s="3">
        <v>4470.3300000000199</v>
      </c>
      <c r="R269" s="3">
        <v>273304.33</v>
      </c>
      <c r="S269" s="3">
        <v>273304.33</v>
      </c>
      <c r="T269" s="3">
        <v>273304.33</v>
      </c>
      <c r="U269" s="3">
        <v>27240</v>
      </c>
      <c r="V269" s="3">
        <v>26940</v>
      </c>
      <c r="W269" s="3">
        <v>23890</v>
      </c>
      <c r="X269" s="3">
        <v>29550</v>
      </c>
      <c r="Y269" s="3">
        <v>30220</v>
      </c>
      <c r="Z269" s="3">
        <v>34670</v>
      </c>
      <c r="AA269" s="3">
        <v>29530</v>
      </c>
      <c r="AB269" s="3">
        <v>29880</v>
      </c>
      <c r="AC269" s="3">
        <v>34420</v>
      </c>
      <c r="AD269" s="3">
        <v>30580</v>
      </c>
      <c r="AE269" s="3">
        <v>296920</v>
      </c>
      <c r="AF269" s="3">
        <v>301390.33</v>
      </c>
      <c r="AG269" s="3">
        <v>1668.26</v>
      </c>
      <c r="AH269" s="40">
        <v>0.76870000000000005</v>
      </c>
      <c r="AI269" s="40">
        <v>0.76029999999999998</v>
      </c>
      <c r="AJ269" s="40">
        <v>0.75829999999999997</v>
      </c>
      <c r="AK269" s="40">
        <v>0.73870000000000002</v>
      </c>
      <c r="AL269" s="40">
        <v>0.754</v>
      </c>
      <c r="AM269" s="40">
        <v>0.82550000000000001</v>
      </c>
      <c r="AN269" s="40">
        <v>0.81940000000000002</v>
      </c>
      <c r="AO269" s="40">
        <v>0.82120000000000004</v>
      </c>
      <c r="AP269" s="40">
        <v>0.82750000000000001</v>
      </c>
      <c r="AQ269" s="40">
        <v>0.84050000000000002</v>
      </c>
      <c r="AR269" s="31">
        <v>1.1044733925024399</v>
      </c>
      <c r="AS269" s="36">
        <v>3.8224381818181801</v>
      </c>
      <c r="AT269">
        <v>5.2</v>
      </c>
      <c r="AU269">
        <v>5.26</v>
      </c>
      <c r="AV269">
        <v>5.16</v>
      </c>
      <c r="AW269">
        <v>5.25</v>
      </c>
      <c r="AY269" s="6">
        <v>5.2175000000000002</v>
      </c>
      <c r="AZ269" s="2">
        <v>0.79139999999999999</v>
      </c>
      <c r="BA269" s="2">
        <v>0.73261872195844402</v>
      </c>
      <c r="BB269" s="2">
        <v>1</v>
      </c>
      <c r="BC269">
        <v>71500</v>
      </c>
      <c r="BD269">
        <v>56992</v>
      </c>
      <c r="BE269">
        <v>24000</v>
      </c>
      <c r="BF269">
        <v>30030</v>
      </c>
      <c r="BG269" s="9" t="s">
        <v>152</v>
      </c>
    </row>
    <row r="270" spans="3:59" ht="375" x14ac:dyDescent="0.25">
      <c r="C270" s="1">
        <v>45890</v>
      </c>
      <c r="D270" s="36">
        <v>261950.629032258</v>
      </c>
      <c r="E270" s="33">
        <v>4.4193548387096797</v>
      </c>
      <c r="F270" s="33">
        <v>3.6225451612903199</v>
      </c>
      <c r="G270" s="2">
        <v>0.81969999999999998</v>
      </c>
      <c r="H270" s="2">
        <v>0.99</v>
      </c>
      <c r="I270" s="3">
        <v>47737</v>
      </c>
      <c r="J270" s="3">
        <v>47891</v>
      </c>
      <c r="K270" s="3">
        <v>34509</v>
      </c>
      <c r="L270" s="3">
        <v>37211</v>
      </c>
      <c r="M270" s="3">
        <v>32102</v>
      </c>
      <c r="N270" s="3">
        <v>199450</v>
      </c>
      <c r="O270" s="3">
        <v>183674.67</v>
      </c>
      <c r="P270" s="3">
        <v>-15775.33</v>
      </c>
      <c r="Q270" s="3">
        <v>0</v>
      </c>
      <c r="R270" s="3">
        <v>199450</v>
      </c>
      <c r="S270" s="3">
        <v>199450</v>
      </c>
      <c r="T270" s="3">
        <v>183674.67</v>
      </c>
      <c r="U270" s="3">
        <v>18970</v>
      </c>
      <c r="V270" s="3">
        <v>18890</v>
      </c>
      <c r="W270" s="3">
        <v>16660</v>
      </c>
      <c r="X270" s="3">
        <v>21130</v>
      </c>
      <c r="Y270" s="3">
        <v>21400</v>
      </c>
      <c r="Z270" s="3">
        <v>22530</v>
      </c>
      <c r="AA270" s="3">
        <v>18980</v>
      </c>
      <c r="AB270" s="3">
        <v>18940</v>
      </c>
      <c r="AC270" s="3">
        <v>21670</v>
      </c>
      <c r="AD270" s="3">
        <v>19570</v>
      </c>
      <c r="AE270" s="3">
        <v>198740</v>
      </c>
      <c r="AF270" s="3">
        <v>198740</v>
      </c>
      <c r="AG270" s="3">
        <v>1435.65</v>
      </c>
      <c r="AH270" s="40">
        <v>0.92759999999999998</v>
      </c>
      <c r="AI270" s="40">
        <v>0.92349999999999999</v>
      </c>
      <c r="AJ270" s="40">
        <v>0.9163</v>
      </c>
      <c r="AK270" s="40">
        <v>0.9153</v>
      </c>
      <c r="AL270" s="40">
        <v>0.93600000000000005</v>
      </c>
      <c r="AM270" s="40">
        <v>0.92959999999999998</v>
      </c>
      <c r="AN270" s="40">
        <v>0.9476</v>
      </c>
      <c r="AO270" s="40">
        <v>0.90190000000000003</v>
      </c>
      <c r="AP270" s="40">
        <v>0.93720000000000003</v>
      </c>
      <c r="AQ270" s="40">
        <v>0.93210000000000004</v>
      </c>
      <c r="AR270" s="31">
        <v>0.99644021057909204</v>
      </c>
      <c r="AS270" s="36">
        <v>2.7895104895104899</v>
      </c>
      <c r="AT270">
        <v>2.89</v>
      </c>
      <c r="AU270">
        <v>3</v>
      </c>
      <c r="AV270">
        <v>3</v>
      </c>
      <c r="AW270">
        <v>3.03</v>
      </c>
      <c r="AY270" s="6">
        <v>2.98</v>
      </c>
      <c r="AZ270" s="2">
        <v>0.92669999999999997</v>
      </c>
      <c r="BA270" s="2">
        <v>0.936077345473319</v>
      </c>
      <c r="BB270" s="2">
        <v>1</v>
      </c>
      <c r="BC270">
        <v>71500</v>
      </c>
      <c r="BD270">
        <v>56992</v>
      </c>
      <c r="BE270">
        <v>24000</v>
      </c>
      <c r="BF270">
        <v>30030</v>
      </c>
      <c r="BG270" s="9" t="s">
        <v>152</v>
      </c>
    </row>
    <row r="271" spans="3:59" ht="375" x14ac:dyDescent="0.25">
      <c r="C271" s="1">
        <v>45891</v>
      </c>
      <c r="D271" s="36">
        <v>261950.629032258</v>
      </c>
      <c r="E271" s="33">
        <v>4.4193548387096797</v>
      </c>
      <c r="F271" s="33">
        <v>3.6225451612903199</v>
      </c>
      <c r="G271" s="2">
        <v>0.81969999999999998</v>
      </c>
      <c r="H271" s="2">
        <v>0.99</v>
      </c>
      <c r="I271" s="3">
        <v>75100</v>
      </c>
      <c r="J271" s="3">
        <v>75261</v>
      </c>
      <c r="K271" s="3">
        <v>57807</v>
      </c>
      <c r="L271" s="3">
        <v>59583</v>
      </c>
      <c r="M271" s="3">
        <v>51168</v>
      </c>
      <c r="N271" s="3">
        <v>318919</v>
      </c>
      <c r="O271" s="3">
        <v>323925.33</v>
      </c>
      <c r="P271" s="3">
        <v>5006.3300000000199</v>
      </c>
      <c r="Q271" s="3">
        <v>5006.3300000000199</v>
      </c>
      <c r="R271" s="3">
        <v>323925.33</v>
      </c>
      <c r="S271" s="3">
        <v>323925.33</v>
      </c>
      <c r="T271" s="3">
        <v>323925.33</v>
      </c>
      <c r="U271" s="3">
        <v>27600</v>
      </c>
      <c r="V271" s="3">
        <v>27630</v>
      </c>
      <c r="W271" s="3">
        <v>23890</v>
      </c>
      <c r="X271" s="3">
        <v>30150</v>
      </c>
      <c r="Y271" s="3">
        <v>30410</v>
      </c>
      <c r="Z271" s="3">
        <v>34840</v>
      </c>
      <c r="AA271" s="3">
        <v>29590</v>
      </c>
      <c r="AB271" s="3">
        <v>29500</v>
      </c>
      <c r="AC271" s="3">
        <v>33250</v>
      </c>
      <c r="AD271" s="3">
        <v>30470</v>
      </c>
      <c r="AE271" s="3">
        <v>297330</v>
      </c>
      <c r="AF271" s="3">
        <v>302336.33</v>
      </c>
      <c r="AG271" s="3">
        <v>1742.69</v>
      </c>
      <c r="AH271" s="40">
        <v>0.81620000000000004</v>
      </c>
      <c r="AI271" s="40">
        <v>0.81710000000000005</v>
      </c>
      <c r="AJ271" s="40">
        <v>0.79459999999999997</v>
      </c>
      <c r="AK271" s="40">
        <v>0.78969999999999996</v>
      </c>
      <c r="AL271" s="40">
        <v>0.80300000000000005</v>
      </c>
      <c r="AM271" s="40">
        <v>0.86929999999999996</v>
      </c>
      <c r="AN271" s="40">
        <v>0.88039999999999996</v>
      </c>
      <c r="AO271" s="40">
        <v>0.8498</v>
      </c>
      <c r="AP271" s="40">
        <v>0.85699999999999998</v>
      </c>
      <c r="AQ271" s="40">
        <v>0.87749999999999995</v>
      </c>
      <c r="AR271" s="31">
        <v>0.93230569517651796</v>
      </c>
      <c r="AS271" s="36">
        <v>4.5304241958042004</v>
      </c>
      <c r="AT271">
        <v>4.8499999999999996</v>
      </c>
      <c r="AU271">
        <v>4.97</v>
      </c>
      <c r="AV271">
        <v>4.99</v>
      </c>
      <c r="AW271">
        <v>5.01</v>
      </c>
      <c r="AY271" s="6">
        <v>4.9550000000000001</v>
      </c>
      <c r="AZ271" s="2">
        <v>0.83550000000000002</v>
      </c>
      <c r="BA271" s="2">
        <v>0.91431366211991805</v>
      </c>
      <c r="BB271" s="2">
        <v>1</v>
      </c>
      <c r="BC271">
        <v>71500</v>
      </c>
      <c r="BD271">
        <v>56992</v>
      </c>
      <c r="BE271">
        <v>24000</v>
      </c>
      <c r="BF271">
        <v>30030</v>
      </c>
      <c r="BG271" s="9" t="s">
        <v>152</v>
      </c>
    </row>
    <row r="272" spans="3:59" ht="375" x14ac:dyDescent="0.25">
      <c r="C272" s="1">
        <v>45892</v>
      </c>
      <c r="D272" s="36">
        <v>261950.629032258</v>
      </c>
      <c r="E272" s="33">
        <v>4.4193548387096797</v>
      </c>
      <c r="F272" s="33">
        <v>3.6225451612903199</v>
      </c>
      <c r="G272" s="2">
        <v>0.81969999999999998</v>
      </c>
      <c r="H272" s="2">
        <v>0.99</v>
      </c>
      <c r="I272" s="3">
        <v>40451</v>
      </c>
      <c r="J272" s="3">
        <v>40499</v>
      </c>
      <c r="K272" s="3">
        <v>29442</v>
      </c>
      <c r="L272" s="3">
        <v>33852</v>
      </c>
      <c r="M272" s="3">
        <v>27044</v>
      </c>
      <c r="N272" s="3">
        <v>171288</v>
      </c>
      <c r="O272" s="3">
        <v>152708.17000000001</v>
      </c>
      <c r="P272" s="3">
        <v>-18579.830000000002</v>
      </c>
      <c r="Q272" s="3">
        <v>0</v>
      </c>
      <c r="R272" s="3">
        <v>171288</v>
      </c>
      <c r="S272" s="3">
        <v>171288</v>
      </c>
      <c r="T272" s="3">
        <v>152708.17000000001</v>
      </c>
      <c r="U272" s="3">
        <v>20310</v>
      </c>
      <c r="V272" s="3">
        <v>19750</v>
      </c>
      <c r="W272" s="3">
        <v>17890</v>
      </c>
      <c r="X272" s="3">
        <v>22160</v>
      </c>
      <c r="Y272" s="3">
        <v>23050</v>
      </c>
      <c r="Z272" s="3">
        <v>23770</v>
      </c>
      <c r="AA272" s="3">
        <v>20350</v>
      </c>
      <c r="AB272" s="3">
        <v>20340</v>
      </c>
      <c r="AC272" s="3">
        <v>24020</v>
      </c>
      <c r="AD272" s="3">
        <v>21150</v>
      </c>
      <c r="AE272" s="3">
        <v>212790</v>
      </c>
      <c r="AF272" s="3">
        <v>212790</v>
      </c>
      <c r="AG272" s="3">
        <v>1776.42</v>
      </c>
      <c r="AH272" s="40">
        <v>0.94889999999999997</v>
      </c>
      <c r="AI272" s="40">
        <v>0.92290000000000005</v>
      </c>
      <c r="AJ272" s="40">
        <v>0.9405</v>
      </c>
      <c r="AK272" s="40">
        <v>0.91759999999999997</v>
      </c>
      <c r="AL272" s="40">
        <v>0.93669999999999998</v>
      </c>
      <c r="AM272" s="40">
        <v>0.93730000000000002</v>
      </c>
      <c r="AN272" s="40">
        <v>0.92949999999999999</v>
      </c>
      <c r="AO272" s="40">
        <v>0.92610000000000003</v>
      </c>
      <c r="AP272" s="40">
        <v>0.95</v>
      </c>
      <c r="AQ272" s="40">
        <v>0.9627</v>
      </c>
      <c r="AR272" s="31">
        <v>1.2422936808182701</v>
      </c>
      <c r="AS272" s="36">
        <v>2.3956363636363598</v>
      </c>
      <c r="AT272">
        <v>3.16</v>
      </c>
      <c r="AU272">
        <v>3.23</v>
      </c>
      <c r="AV272">
        <v>3.11</v>
      </c>
      <c r="AW272">
        <v>3.17</v>
      </c>
      <c r="AY272" s="6">
        <v>3.1675</v>
      </c>
      <c r="AZ272" s="2">
        <v>0.93720000000000003</v>
      </c>
      <c r="BA272" s="2">
        <v>0.75631771543373805</v>
      </c>
      <c r="BB272" s="2">
        <v>1</v>
      </c>
      <c r="BC272">
        <v>71500</v>
      </c>
      <c r="BD272">
        <v>56992</v>
      </c>
      <c r="BE272">
        <v>24000</v>
      </c>
      <c r="BF272">
        <v>30030</v>
      </c>
      <c r="BG272" s="9" t="s">
        <v>152</v>
      </c>
    </row>
    <row r="273" spans="3:59" ht="375" x14ac:dyDescent="0.25">
      <c r="C273" s="1">
        <v>45893</v>
      </c>
      <c r="D273" s="36">
        <v>261950.629032258</v>
      </c>
      <c r="E273" s="33">
        <v>4.4193548387096797</v>
      </c>
      <c r="F273" s="33">
        <v>3.6225451612903199</v>
      </c>
      <c r="G273" s="2">
        <v>0.81969999999999998</v>
      </c>
      <c r="H273" s="2">
        <v>0.99</v>
      </c>
      <c r="I273" s="3">
        <v>42350</v>
      </c>
      <c r="J273" s="3">
        <v>42519</v>
      </c>
      <c r="K273" s="3">
        <v>26540</v>
      </c>
      <c r="L273" s="3">
        <v>31380</v>
      </c>
      <c r="M273" s="3">
        <v>26098</v>
      </c>
      <c r="N273" s="3">
        <v>168887</v>
      </c>
      <c r="O273" s="3">
        <v>167039</v>
      </c>
      <c r="P273" s="3">
        <v>-1848</v>
      </c>
      <c r="Q273" s="3">
        <v>0</v>
      </c>
      <c r="R273" s="3">
        <v>168887</v>
      </c>
      <c r="S273" s="3">
        <v>168887</v>
      </c>
      <c r="T273" s="3">
        <v>167039</v>
      </c>
      <c r="U273" s="3">
        <v>11940</v>
      </c>
      <c r="V273" s="3">
        <v>11860</v>
      </c>
      <c r="W273" s="3">
        <v>10700</v>
      </c>
      <c r="X273" s="3">
        <v>13590</v>
      </c>
      <c r="Y273" s="3">
        <v>13910</v>
      </c>
      <c r="Z273" s="3">
        <v>14530</v>
      </c>
      <c r="AA273" s="3">
        <v>12260</v>
      </c>
      <c r="AB273" s="3">
        <v>12290</v>
      </c>
      <c r="AC273" s="3">
        <v>14320</v>
      </c>
      <c r="AD273" s="3">
        <v>12770</v>
      </c>
      <c r="AE273" s="3">
        <v>128170</v>
      </c>
      <c r="AF273" s="3">
        <v>128170</v>
      </c>
      <c r="AG273" s="3">
        <v>1506.81</v>
      </c>
      <c r="AH273" s="40">
        <v>0.95099999999999996</v>
      </c>
      <c r="AI273" s="40">
        <v>0.94450000000000001</v>
      </c>
      <c r="AJ273" s="40">
        <v>0.95909999999999995</v>
      </c>
      <c r="AK273" s="40">
        <v>0.95850000000000002</v>
      </c>
      <c r="AL273" s="40">
        <v>0.97589999999999999</v>
      </c>
      <c r="AM273" s="40">
        <v>0.97609999999999997</v>
      </c>
      <c r="AN273" s="40">
        <v>0.96160000000000001</v>
      </c>
      <c r="AO273" s="40">
        <v>0.95320000000000005</v>
      </c>
      <c r="AP273" s="40">
        <v>0.9728</v>
      </c>
      <c r="AQ273" s="40">
        <v>0.99029999999999996</v>
      </c>
      <c r="AR273" s="31">
        <v>0.75890980359648796</v>
      </c>
      <c r="AS273" s="36">
        <v>2.3620559440559399</v>
      </c>
      <c r="AT273">
        <v>1.84</v>
      </c>
      <c r="AU273">
        <v>1.87</v>
      </c>
      <c r="AV273">
        <v>1.85</v>
      </c>
      <c r="AW273">
        <v>1.86</v>
      </c>
      <c r="AY273" s="6">
        <v>1.855</v>
      </c>
      <c r="AZ273" s="2">
        <v>0.96430000000000005</v>
      </c>
      <c r="BA273" s="2">
        <v>1.2733455224021299</v>
      </c>
      <c r="BB273" s="2">
        <v>1</v>
      </c>
      <c r="BC273">
        <v>71500</v>
      </c>
      <c r="BD273">
        <v>56992</v>
      </c>
      <c r="BE273">
        <v>24000</v>
      </c>
      <c r="BF273">
        <v>30030</v>
      </c>
      <c r="BG273" s="9" t="s">
        <v>152</v>
      </c>
    </row>
    <row r="274" spans="3:59" ht="409.5" x14ac:dyDescent="0.25">
      <c r="C274" s="1">
        <v>45894</v>
      </c>
      <c r="D274" s="36">
        <v>261950.629032258</v>
      </c>
      <c r="E274" s="33">
        <v>4.4193548387096797</v>
      </c>
      <c r="F274" s="33">
        <v>3.6225451612903199</v>
      </c>
      <c r="G274" s="2">
        <v>0.81969999999999998</v>
      </c>
      <c r="H274" s="2">
        <v>0.99</v>
      </c>
      <c r="I274" s="3">
        <v>62222</v>
      </c>
      <c r="J274" s="3">
        <v>62364</v>
      </c>
      <c r="K274" s="3">
        <v>43425</v>
      </c>
      <c r="L274" s="3">
        <v>48659</v>
      </c>
      <c r="M274" s="3">
        <v>49230</v>
      </c>
      <c r="N274" s="3">
        <v>265900</v>
      </c>
      <c r="O274" s="3">
        <v>263643.67</v>
      </c>
      <c r="P274" s="3">
        <v>-2256.3300000000199</v>
      </c>
      <c r="Q274" s="3">
        <v>0</v>
      </c>
      <c r="R274" s="3">
        <v>265900</v>
      </c>
      <c r="S274" s="3">
        <v>265900</v>
      </c>
      <c r="T274" s="3">
        <v>263643.67</v>
      </c>
      <c r="U274" s="3">
        <v>24540</v>
      </c>
      <c r="V274" s="3">
        <v>24130</v>
      </c>
      <c r="W274" s="3">
        <v>21720</v>
      </c>
      <c r="X274" s="3">
        <v>27310</v>
      </c>
      <c r="Y274" s="3">
        <v>28090</v>
      </c>
      <c r="Z274" s="3">
        <v>26980</v>
      </c>
      <c r="AA274" s="3">
        <v>22900</v>
      </c>
      <c r="AB274" s="3">
        <v>22730</v>
      </c>
      <c r="AC274" s="3">
        <v>26510</v>
      </c>
      <c r="AD274" s="3">
        <v>23650</v>
      </c>
      <c r="AE274" s="3">
        <v>248560</v>
      </c>
      <c r="AF274" s="3">
        <v>248560</v>
      </c>
      <c r="AG274" s="3">
        <v>1630.88</v>
      </c>
      <c r="AH274" s="40">
        <v>0.94169999999999998</v>
      </c>
      <c r="AI274" s="40">
        <v>0.92610000000000003</v>
      </c>
      <c r="AJ274" s="40">
        <v>0.93779999999999997</v>
      </c>
      <c r="AK274" s="40">
        <v>0.92849999999999999</v>
      </c>
      <c r="AL274" s="40">
        <v>0.94750000000000001</v>
      </c>
      <c r="AM274" s="40">
        <v>0.87360000000000004</v>
      </c>
      <c r="AN274" s="40">
        <v>0.87649999999999995</v>
      </c>
      <c r="AO274" s="40">
        <v>0.84970000000000001</v>
      </c>
      <c r="AP274" s="40">
        <v>0.87880000000000003</v>
      </c>
      <c r="AQ274" s="40">
        <v>0.88419999999999999</v>
      </c>
      <c r="AR274" s="31">
        <v>0.93478751410304595</v>
      </c>
      <c r="AS274" s="36">
        <v>3.7188811188811202</v>
      </c>
      <c r="AT274">
        <v>3.77</v>
      </c>
      <c r="AU274">
        <v>3.89</v>
      </c>
      <c r="AV274">
        <v>3.83</v>
      </c>
      <c r="AW274">
        <v>3.86</v>
      </c>
      <c r="AY274" s="6">
        <v>3.8374999999999999</v>
      </c>
      <c r="AZ274" s="2">
        <v>0.90439999999999998</v>
      </c>
      <c r="BA274" s="2">
        <v>0.969089542379445</v>
      </c>
      <c r="BB274" s="2">
        <v>1</v>
      </c>
      <c r="BC274">
        <v>71500</v>
      </c>
      <c r="BD274">
        <v>56992</v>
      </c>
      <c r="BE274">
        <v>24000</v>
      </c>
      <c r="BF274">
        <v>27694</v>
      </c>
      <c r="BG274" s="9" t="s">
        <v>158</v>
      </c>
    </row>
    <row r="275" spans="3:59" ht="375" x14ac:dyDescent="0.25">
      <c r="C275" s="1">
        <v>45895</v>
      </c>
      <c r="D275" s="36">
        <v>261950.629032258</v>
      </c>
      <c r="E275" s="33">
        <v>4.4193548387096797</v>
      </c>
      <c r="F275" s="33">
        <v>3.6225451612903199</v>
      </c>
      <c r="G275" s="2">
        <v>0.81969999999999998</v>
      </c>
      <c r="H275" s="2">
        <v>0.99</v>
      </c>
      <c r="I275" s="3">
        <v>70698</v>
      </c>
      <c r="J275" s="3">
        <v>70808</v>
      </c>
      <c r="K275" s="3">
        <v>47318</v>
      </c>
      <c r="L275" s="3">
        <v>51617</v>
      </c>
      <c r="M275" s="3">
        <v>49492</v>
      </c>
      <c r="N275" s="3">
        <v>289933</v>
      </c>
      <c r="O275" s="3">
        <v>285846.5</v>
      </c>
      <c r="P275" s="3">
        <v>-4086.5</v>
      </c>
      <c r="Q275" s="3">
        <v>0</v>
      </c>
      <c r="R275" s="3">
        <v>289933</v>
      </c>
      <c r="S275" s="3">
        <v>289933</v>
      </c>
      <c r="T275" s="3">
        <v>285846.5</v>
      </c>
      <c r="U275" s="3">
        <v>28520</v>
      </c>
      <c r="V275" s="3">
        <v>28800</v>
      </c>
      <c r="W275" s="3">
        <v>25380</v>
      </c>
      <c r="X275" s="3">
        <v>32140</v>
      </c>
      <c r="Y275" s="3">
        <v>32420</v>
      </c>
      <c r="Z275" s="3">
        <v>35630</v>
      </c>
      <c r="AA275" s="3">
        <v>30190</v>
      </c>
      <c r="AB275" s="3">
        <v>29930</v>
      </c>
      <c r="AC275" s="3">
        <v>34030</v>
      </c>
      <c r="AD275" s="3">
        <v>30960</v>
      </c>
      <c r="AE275" s="3">
        <v>308000</v>
      </c>
      <c r="AF275" s="3">
        <v>308000</v>
      </c>
      <c r="AG275" s="3">
        <v>1514.78</v>
      </c>
      <c r="AH275" s="40">
        <v>0.84519999999999995</v>
      </c>
      <c r="AI275" s="40">
        <v>0.85333999999999999</v>
      </c>
      <c r="AJ275" s="40">
        <v>0.84599999999999997</v>
      </c>
      <c r="AK275" s="40">
        <v>0.84350000000000003</v>
      </c>
      <c r="AL275" s="40">
        <v>0.84919999999999995</v>
      </c>
      <c r="AM275" s="40">
        <v>0.89070000000000005</v>
      </c>
      <c r="AN275" s="40">
        <v>0.90749999999999997</v>
      </c>
      <c r="AO275" s="40">
        <v>0.8639</v>
      </c>
      <c r="AP275" s="40">
        <v>0.8861</v>
      </c>
      <c r="AQ275" s="40">
        <v>0.89349999999999996</v>
      </c>
      <c r="AR275" s="31">
        <v>1.06231439677443</v>
      </c>
      <c r="AS275" s="36">
        <v>4.0550069930069901</v>
      </c>
      <c r="AT275">
        <v>4.8</v>
      </c>
      <c r="AU275">
        <v>5.01</v>
      </c>
      <c r="AV275">
        <v>4.92</v>
      </c>
      <c r="AW275">
        <v>5</v>
      </c>
      <c r="AY275" s="6">
        <v>4.9325000000000001</v>
      </c>
      <c r="AZ275" s="2">
        <v>0.8679</v>
      </c>
      <c r="BA275" s="2">
        <v>0.82209974516107298</v>
      </c>
      <c r="BB275" s="2">
        <v>1</v>
      </c>
      <c r="BC275">
        <v>71500</v>
      </c>
      <c r="BD275">
        <v>56992</v>
      </c>
      <c r="BE275">
        <v>24000</v>
      </c>
      <c r="BF275">
        <v>30030</v>
      </c>
      <c r="BG275" s="9" t="s">
        <v>152</v>
      </c>
    </row>
    <row r="276" spans="3:59" ht="409.5" x14ac:dyDescent="0.25">
      <c r="C276" s="1">
        <v>45896</v>
      </c>
      <c r="D276" s="36">
        <v>261950.629032258</v>
      </c>
      <c r="E276" s="33">
        <v>4.4193548387096797</v>
      </c>
      <c r="F276" s="33">
        <v>3.6225451612903199</v>
      </c>
      <c r="G276" s="2">
        <v>0.81969999999999998</v>
      </c>
      <c r="H276" s="2">
        <v>0.99</v>
      </c>
      <c r="I276" s="3">
        <v>52914</v>
      </c>
      <c r="J276" s="3">
        <v>53050</v>
      </c>
      <c r="K276" s="3">
        <v>35473</v>
      </c>
      <c r="L276" s="3">
        <v>41529</v>
      </c>
      <c r="M276" s="3">
        <v>42558</v>
      </c>
      <c r="N276" s="3">
        <v>225524</v>
      </c>
      <c r="O276" s="3">
        <v>196550</v>
      </c>
      <c r="P276" s="3">
        <v>-28974</v>
      </c>
      <c r="Q276" s="3">
        <v>0</v>
      </c>
      <c r="R276" s="3">
        <v>225524</v>
      </c>
      <c r="S276" s="3">
        <v>225524</v>
      </c>
      <c r="T276" s="3">
        <v>196550</v>
      </c>
      <c r="U276" s="3">
        <v>23550</v>
      </c>
      <c r="V276" s="3">
        <v>23420</v>
      </c>
      <c r="W276" s="3">
        <v>21030</v>
      </c>
      <c r="X276" s="3">
        <v>26570</v>
      </c>
      <c r="Y276" s="3">
        <v>26950</v>
      </c>
      <c r="Z276" s="3">
        <v>27080</v>
      </c>
      <c r="AA276" s="3">
        <v>23050</v>
      </c>
      <c r="AB276" s="3">
        <v>22830</v>
      </c>
      <c r="AC276" s="3">
        <v>26020</v>
      </c>
      <c r="AD276" s="3">
        <v>23900</v>
      </c>
      <c r="AE276" s="3">
        <v>244400</v>
      </c>
      <c r="AF276" s="3">
        <v>244400</v>
      </c>
      <c r="AG276" s="3">
        <v>1729.79</v>
      </c>
      <c r="AH276" s="40">
        <v>0.93789999999999996</v>
      </c>
      <c r="AI276" s="40">
        <v>0.93279999999999996</v>
      </c>
      <c r="AJ276" s="40">
        <v>0.94210000000000005</v>
      </c>
      <c r="AK276" s="40">
        <v>0.93730000000000002</v>
      </c>
      <c r="AL276" s="40">
        <v>0.93799999999999994</v>
      </c>
      <c r="AM276" s="40">
        <v>0.90990000000000004</v>
      </c>
      <c r="AN276" s="40">
        <v>0.92149999999999999</v>
      </c>
      <c r="AO276" s="40">
        <v>0.88539999999999996</v>
      </c>
      <c r="AP276" s="40">
        <v>0.90100000000000002</v>
      </c>
      <c r="AQ276" s="40">
        <v>0.92700000000000005</v>
      </c>
      <c r="AR276" s="31">
        <v>1.08369840903851</v>
      </c>
      <c r="AS276" s="36">
        <v>3.15418181818182</v>
      </c>
      <c r="AT276">
        <v>3.61</v>
      </c>
      <c r="AU276">
        <v>3.77</v>
      </c>
      <c r="AV276">
        <v>3.75</v>
      </c>
      <c r="AW276">
        <v>3.72</v>
      </c>
      <c r="AY276" s="6">
        <v>3.7124999999999999</v>
      </c>
      <c r="AZ276" s="2">
        <v>0.92330000000000001</v>
      </c>
      <c r="BA276" s="2">
        <v>0.84961126415671895</v>
      </c>
      <c r="BB276" s="2">
        <v>1</v>
      </c>
      <c r="BC276">
        <v>71500</v>
      </c>
      <c r="BD276">
        <v>56992</v>
      </c>
      <c r="BE276">
        <v>24000</v>
      </c>
      <c r="BF276">
        <v>27986</v>
      </c>
      <c r="BG276" s="9" t="s">
        <v>158</v>
      </c>
    </row>
    <row r="277" spans="3:59" ht="375" x14ac:dyDescent="0.25">
      <c r="C277" s="1">
        <v>45897</v>
      </c>
      <c r="D277" s="36">
        <v>261950.629032258</v>
      </c>
      <c r="E277" s="33">
        <v>4.4193548387096797</v>
      </c>
      <c r="F277" s="33">
        <v>3.6225451612903199</v>
      </c>
      <c r="G277" s="2">
        <v>0.81969999999999998</v>
      </c>
      <c r="H277" s="2">
        <v>0.99</v>
      </c>
      <c r="I277" s="3">
        <v>72372</v>
      </c>
      <c r="J277" s="3">
        <v>72533</v>
      </c>
      <c r="K277" s="3">
        <v>52110</v>
      </c>
      <c r="L277" s="3">
        <v>56806</v>
      </c>
      <c r="M277" s="3">
        <v>56228</v>
      </c>
      <c r="N277" s="3">
        <v>310049</v>
      </c>
      <c r="O277" s="3">
        <v>300956.17</v>
      </c>
      <c r="P277" s="3">
        <v>-9092.8300000000199</v>
      </c>
      <c r="Q277" s="3">
        <v>0</v>
      </c>
      <c r="R277" s="3">
        <v>310049</v>
      </c>
      <c r="S277" s="3">
        <v>310049</v>
      </c>
      <c r="T277" s="3">
        <v>300956.17</v>
      </c>
      <c r="U277" s="3">
        <v>22930</v>
      </c>
      <c r="V277" s="3">
        <v>22970</v>
      </c>
      <c r="W277" s="3">
        <v>20300</v>
      </c>
      <c r="X277" s="3">
        <v>25580</v>
      </c>
      <c r="Y277" s="3">
        <v>26100</v>
      </c>
      <c r="Z277" s="3">
        <v>28760</v>
      </c>
      <c r="AA277" s="3">
        <v>24310</v>
      </c>
      <c r="AB277" s="3">
        <v>24320</v>
      </c>
      <c r="AC277" s="3">
        <v>27640</v>
      </c>
      <c r="AD277" s="3">
        <v>25600</v>
      </c>
      <c r="AE277" s="3">
        <v>248510</v>
      </c>
      <c r="AF277" s="3">
        <v>248510</v>
      </c>
      <c r="AG277" s="3">
        <v>1728.24</v>
      </c>
      <c r="AH277" s="40">
        <v>0.86229999999999996</v>
      </c>
      <c r="AI277" s="40">
        <v>0.86380000000000001</v>
      </c>
      <c r="AJ277" s="40">
        <v>0.85850000000000004</v>
      </c>
      <c r="AK277" s="40">
        <v>0.85189999999999999</v>
      </c>
      <c r="AL277" s="40">
        <v>0.85429999999999995</v>
      </c>
      <c r="AM277" s="40">
        <v>0.91249999999999998</v>
      </c>
      <c r="AN277" s="40">
        <v>0.91120000000000001</v>
      </c>
      <c r="AO277" s="40">
        <v>0.89080000000000004</v>
      </c>
      <c r="AP277" s="40">
        <v>0.89739999999999998</v>
      </c>
      <c r="AQ277" s="40">
        <v>0.93769999999999998</v>
      </c>
      <c r="AR277" s="31">
        <v>0.80151846966124696</v>
      </c>
      <c r="AS277" s="36">
        <v>4.3363496503496499</v>
      </c>
      <c r="AT277">
        <v>3.85</v>
      </c>
      <c r="AU277">
        <v>4.01</v>
      </c>
      <c r="AV277">
        <v>4.01</v>
      </c>
      <c r="AW277">
        <v>3.94</v>
      </c>
      <c r="AY277" s="6">
        <v>3.9525000000000001</v>
      </c>
      <c r="AZ277" s="2">
        <v>0.88400000000000001</v>
      </c>
      <c r="BA277" s="2">
        <v>1.0971156610625299</v>
      </c>
      <c r="BB277" s="2">
        <v>1</v>
      </c>
      <c r="BC277">
        <v>71500</v>
      </c>
      <c r="BD277">
        <v>56992</v>
      </c>
      <c r="BE277">
        <v>24000</v>
      </c>
      <c r="BF277">
        <v>30030</v>
      </c>
      <c r="BG277" s="9" t="s">
        <v>152</v>
      </c>
    </row>
    <row r="278" spans="3:59" ht="409.5" x14ac:dyDescent="0.25">
      <c r="C278" s="1">
        <v>45898</v>
      </c>
      <c r="D278" s="36">
        <v>261950.629032258</v>
      </c>
      <c r="E278" s="33">
        <v>4.4193548387096797</v>
      </c>
      <c r="F278" s="33">
        <v>3.6225451612903199</v>
      </c>
      <c r="G278" s="2">
        <v>0.81969999999999998</v>
      </c>
      <c r="H278" s="2">
        <v>0.99</v>
      </c>
      <c r="I278" s="3">
        <v>59612</v>
      </c>
      <c r="J278" s="3">
        <v>59685</v>
      </c>
      <c r="K278" s="3">
        <v>43460</v>
      </c>
      <c r="L278" s="3">
        <v>48214</v>
      </c>
      <c r="M278" s="3">
        <v>49234</v>
      </c>
      <c r="N278" s="3">
        <v>260205</v>
      </c>
      <c r="O278" s="3">
        <v>261305.67</v>
      </c>
      <c r="P278" s="3">
        <v>1100.6700000000101</v>
      </c>
      <c r="Q278" s="3">
        <v>1100.6700000000101</v>
      </c>
      <c r="R278" s="3">
        <v>261305.67</v>
      </c>
      <c r="S278" s="3">
        <v>261305.67</v>
      </c>
      <c r="T278" s="3">
        <v>261305.67</v>
      </c>
      <c r="U278" s="3">
        <v>25960</v>
      </c>
      <c r="V278" s="3">
        <v>25170</v>
      </c>
      <c r="W278" s="3">
        <v>21490</v>
      </c>
      <c r="X278" s="3">
        <v>27470</v>
      </c>
      <c r="Y278" s="3">
        <v>28670</v>
      </c>
      <c r="Z278" s="3">
        <v>32230</v>
      </c>
      <c r="AA278" s="3">
        <v>26570</v>
      </c>
      <c r="AB278" s="3">
        <v>27100</v>
      </c>
      <c r="AC278" s="3">
        <v>32630</v>
      </c>
      <c r="AD278" s="3">
        <v>27280</v>
      </c>
      <c r="AE278" s="3">
        <v>274570</v>
      </c>
      <c r="AF278" s="3">
        <v>275670.67</v>
      </c>
      <c r="AG278" s="3">
        <v>1725.43</v>
      </c>
      <c r="AH278" s="40">
        <v>0.83250000000000002</v>
      </c>
      <c r="AI278" s="40">
        <v>0.80720000000000003</v>
      </c>
      <c r="AJ278" s="40">
        <v>0.77529999999999999</v>
      </c>
      <c r="AK278" s="40">
        <v>0.78039999999999998</v>
      </c>
      <c r="AL278" s="40">
        <v>0.80210000000000004</v>
      </c>
      <c r="AM278" s="40">
        <v>0.87190000000000001</v>
      </c>
      <c r="AN278" s="40">
        <v>0.85589999999999999</v>
      </c>
      <c r="AO278" s="40">
        <v>0.84650000000000003</v>
      </c>
      <c r="AP278" s="40">
        <v>0.91039999999999999</v>
      </c>
      <c r="AQ278" s="40">
        <v>0.85199999999999998</v>
      </c>
      <c r="AR278" s="31">
        <v>1.0552064718203</v>
      </c>
      <c r="AS278" s="36">
        <v>3.6546247552447602</v>
      </c>
      <c r="AT278">
        <v>4.4800000000000004</v>
      </c>
      <c r="AU278">
        <v>4.6900000000000004</v>
      </c>
      <c r="AV278">
        <v>4.51</v>
      </c>
      <c r="AW278">
        <v>4.62</v>
      </c>
      <c r="AY278" s="6">
        <v>4.5750000000000002</v>
      </c>
      <c r="AZ278" s="2">
        <v>0.83340000000000003</v>
      </c>
      <c r="BA278" s="2">
        <v>0.798825083113608</v>
      </c>
      <c r="BB278" s="2">
        <v>1</v>
      </c>
      <c r="BC278">
        <v>71500</v>
      </c>
      <c r="BD278">
        <v>56992</v>
      </c>
      <c r="BE278">
        <v>23333</v>
      </c>
      <c r="BF278">
        <v>30030</v>
      </c>
      <c r="BG278" s="9" t="s">
        <v>159</v>
      </c>
    </row>
    <row r="279" spans="3:59" ht="375" x14ac:dyDescent="0.25">
      <c r="C279" s="1">
        <v>45899</v>
      </c>
      <c r="D279" s="36">
        <v>261950.629032258</v>
      </c>
      <c r="E279" s="33">
        <v>4.4193548387096797</v>
      </c>
      <c r="F279" s="33">
        <v>3.6225451612903199</v>
      </c>
      <c r="G279" s="2">
        <v>0.81969999999999998</v>
      </c>
      <c r="H279" s="2">
        <v>0.99</v>
      </c>
      <c r="I279" s="3">
        <v>40859</v>
      </c>
      <c r="J279" s="3">
        <v>40941</v>
      </c>
      <c r="K279" s="3">
        <v>27190</v>
      </c>
      <c r="L279" s="3">
        <v>33495</v>
      </c>
      <c r="M279" s="3">
        <v>34122</v>
      </c>
      <c r="N279" s="3">
        <v>176607</v>
      </c>
      <c r="O279" s="3">
        <v>161206.17000000001</v>
      </c>
      <c r="P279" s="3">
        <v>-15400.83</v>
      </c>
      <c r="Q279" s="3">
        <v>0</v>
      </c>
      <c r="R279" s="3">
        <v>176607</v>
      </c>
      <c r="S279" s="3">
        <v>176607</v>
      </c>
      <c r="T279" s="3">
        <v>161206.17000000001</v>
      </c>
      <c r="U279" s="3">
        <v>21440</v>
      </c>
      <c r="V279" s="3">
        <v>21040</v>
      </c>
      <c r="W279" s="3">
        <v>18920</v>
      </c>
      <c r="X279" s="3">
        <v>23480</v>
      </c>
      <c r="Y279" s="3">
        <v>24070</v>
      </c>
      <c r="Z279" s="3">
        <v>25740</v>
      </c>
      <c r="AA279" s="3">
        <v>21470</v>
      </c>
      <c r="AB279" s="3">
        <v>21610</v>
      </c>
      <c r="AC279" s="3">
        <v>25850</v>
      </c>
      <c r="AD279" s="3">
        <v>22100</v>
      </c>
      <c r="AE279" s="3">
        <v>225720</v>
      </c>
      <c r="AF279" s="3">
        <v>225720</v>
      </c>
      <c r="AG279" s="3">
        <v>1421.77</v>
      </c>
      <c r="AH279" s="40">
        <v>0.90480000000000005</v>
      </c>
      <c r="AI279" s="40">
        <v>0.88780000000000003</v>
      </c>
      <c r="AJ279" s="40">
        <v>0.89810000000000001</v>
      </c>
      <c r="AK279" s="40">
        <v>0.87780000000000002</v>
      </c>
      <c r="AL279" s="40">
        <v>0.89990000000000003</v>
      </c>
      <c r="AM279" s="40">
        <v>0.91659999999999997</v>
      </c>
      <c r="AN279" s="40">
        <v>0.90580000000000005</v>
      </c>
      <c r="AO279" s="40">
        <v>0.88839999999999997</v>
      </c>
      <c r="AP279" s="40">
        <v>0.94489999999999996</v>
      </c>
      <c r="AQ279" s="40">
        <v>0.90859999999999996</v>
      </c>
      <c r="AR279" s="31">
        <v>1.2780920348570599</v>
      </c>
      <c r="AS279" s="36">
        <v>2.4700279720279701</v>
      </c>
      <c r="AT279">
        <v>3.42</v>
      </c>
      <c r="AU279">
        <v>3.51</v>
      </c>
      <c r="AV279">
        <v>3.41</v>
      </c>
      <c r="AW279">
        <v>3.51</v>
      </c>
      <c r="AY279" s="6">
        <v>3.4624999999999999</v>
      </c>
      <c r="AZ279" s="2">
        <v>0.90329999999999999</v>
      </c>
      <c r="BA279" s="2">
        <v>0.71336547928605698</v>
      </c>
      <c r="BB279" s="2">
        <v>1</v>
      </c>
      <c r="BC279">
        <v>71500</v>
      </c>
      <c r="BD279">
        <v>56992</v>
      </c>
      <c r="BE279">
        <v>24000</v>
      </c>
      <c r="BF279">
        <v>30030</v>
      </c>
      <c r="BG279" s="9" t="s">
        <v>152</v>
      </c>
    </row>
    <row r="280" spans="3:59" ht="375" x14ac:dyDescent="0.25">
      <c r="C280" s="1">
        <v>45900</v>
      </c>
      <c r="D280" s="36">
        <v>261950.629032258</v>
      </c>
      <c r="E280" s="33">
        <v>4.4193548387096797</v>
      </c>
      <c r="F280" s="33">
        <v>3.6225451612903199</v>
      </c>
      <c r="G280" s="2">
        <v>0.81969999999999998</v>
      </c>
      <c r="H280" s="2">
        <v>0.99</v>
      </c>
      <c r="I280" s="3">
        <v>30995</v>
      </c>
      <c r="J280" s="3">
        <v>31226</v>
      </c>
      <c r="K280" s="3">
        <v>19157</v>
      </c>
      <c r="L280" s="3">
        <v>25544</v>
      </c>
      <c r="M280" s="3">
        <v>27280</v>
      </c>
      <c r="N280" s="3">
        <v>134202</v>
      </c>
      <c r="O280" s="3">
        <v>123393.83</v>
      </c>
      <c r="P280" s="3">
        <v>-10808.17</v>
      </c>
      <c r="Q280" s="3">
        <v>0</v>
      </c>
      <c r="R280" s="3">
        <v>134202</v>
      </c>
      <c r="S280" s="3">
        <v>134202</v>
      </c>
      <c r="T280" s="3">
        <v>123393.83</v>
      </c>
      <c r="U280" s="3">
        <v>8030</v>
      </c>
      <c r="V280" s="3">
        <v>7980</v>
      </c>
      <c r="W280" s="3">
        <v>7140</v>
      </c>
      <c r="X280" s="3">
        <v>9040</v>
      </c>
      <c r="Y280" s="3">
        <v>9150</v>
      </c>
      <c r="Z280" s="3">
        <v>9560</v>
      </c>
      <c r="AA280" s="3">
        <v>8040</v>
      </c>
      <c r="AB280" s="3">
        <v>8060</v>
      </c>
      <c r="AC280" s="3">
        <v>9260</v>
      </c>
      <c r="AD280" s="3">
        <v>8330</v>
      </c>
      <c r="AE280" s="3">
        <v>84590</v>
      </c>
      <c r="AF280" s="3">
        <v>84590</v>
      </c>
      <c r="AG280" s="3">
        <v>1601.16</v>
      </c>
      <c r="AH280" s="40">
        <v>0.93710000000000004</v>
      </c>
      <c r="AI280" s="40">
        <v>0.93030000000000002</v>
      </c>
      <c r="AJ280" s="40">
        <v>0.93669999999999998</v>
      </c>
      <c r="AK280" s="40">
        <v>0.93379999999999996</v>
      </c>
      <c r="AL280" s="40">
        <v>0.95289999999999997</v>
      </c>
      <c r="AM280" s="40">
        <v>0.94099999999999995</v>
      </c>
      <c r="AN280" s="40">
        <v>0.95140000000000002</v>
      </c>
      <c r="AO280" s="40">
        <v>0.91520000000000001</v>
      </c>
      <c r="AP280" s="40">
        <v>0.94910000000000005</v>
      </c>
      <c r="AQ280" s="40">
        <v>0.94620000000000004</v>
      </c>
      <c r="AR280" s="31">
        <v>0.63031847513449901</v>
      </c>
      <c r="AS280" s="36">
        <v>1.8769510489510499</v>
      </c>
      <c r="AT280">
        <v>1.22</v>
      </c>
      <c r="AU280">
        <v>1.26</v>
      </c>
      <c r="AV280">
        <v>1.26</v>
      </c>
      <c r="AW280">
        <v>1.27</v>
      </c>
      <c r="AY280" s="6">
        <v>1.2524999999999999</v>
      </c>
      <c r="AZ280" s="2">
        <v>0.93940000000000001</v>
      </c>
      <c r="BA280" s="2">
        <v>1.49856371173736</v>
      </c>
      <c r="BB280" s="2">
        <v>1</v>
      </c>
      <c r="BC280">
        <v>71500</v>
      </c>
      <c r="BD280">
        <v>56992</v>
      </c>
      <c r="BE280">
        <v>24000</v>
      </c>
      <c r="BF280">
        <v>30030</v>
      </c>
      <c r="BG280" s="9" t="s">
        <v>152</v>
      </c>
    </row>
    <row r="281" spans="3:59" x14ac:dyDescent="0.25">
      <c r="C281" s="1">
        <v>45901</v>
      </c>
      <c r="D281" s="36">
        <v>280814.82</v>
      </c>
      <c r="E281" s="33">
        <v>4.7433333333333296</v>
      </c>
      <c r="F281" s="33">
        <v>3.88811033333333</v>
      </c>
      <c r="G281" s="2">
        <v>0.81969999999999998</v>
      </c>
      <c r="H281" s="2">
        <v>0.99</v>
      </c>
      <c r="I281" s="3">
        <v>61739</v>
      </c>
      <c r="J281" s="3">
        <v>61848</v>
      </c>
      <c r="K281" s="3">
        <v>44324</v>
      </c>
      <c r="L281" s="3">
        <v>49475</v>
      </c>
      <c r="M281" s="3">
        <v>50332</v>
      </c>
      <c r="N281" s="3">
        <v>267718</v>
      </c>
      <c r="O281" s="3">
        <v>267833.83</v>
      </c>
      <c r="P281" s="3">
        <v>115.830000000016</v>
      </c>
      <c r="Q281" s="3">
        <v>115.830000000016</v>
      </c>
      <c r="R281" s="3">
        <v>267833.83</v>
      </c>
      <c r="S281" s="3">
        <v>267833.83</v>
      </c>
      <c r="T281" s="3">
        <v>267833.83</v>
      </c>
      <c r="U281" s="3">
        <v>25630</v>
      </c>
      <c r="V281" s="3">
        <v>25820</v>
      </c>
      <c r="W281" s="3">
        <v>21630</v>
      </c>
      <c r="X281" s="3">
        <v>27450</v>
      </c>
      <c r="Y281" s="3">
        <v>27430</v>
      </c>
      <c r="Z281" s="3">
        <v>32120</v>
      </c>
      <c r="AA281" s="3">
        <v>26610</v>
      </c>
      <c r="AB281" s="3">
        <v>27080</v>
      </c>
      <c r="AC281" s="3">
        <v>31460</v>
      </c>
      <c r="AD281" s="3">
        <v>27830</v>
      </c>
      <c r="AE281" s="3">
        <v>273060</v>
      </c>
      <c r="AF281" s="3">
        <v>273175.83</v>
      </c>
      <c r="AG281" s="3">
        <v>1675.79</v>
      </c>
      <c r="AH281" s="40">
        <v>0.78620000000000001</v>
      </c>
      <c r="AI281" s="40">
        <v>0.79210000000000003</v>
      </c>
      <c r="AJ281" s="40">
        <v>0.74619999999999997</v>
      </c>
      <c r="AK281" s="40">
        <v>0.74590000000000001</v>
      </c>
      <c r="AL281" s="40">
        <v>0.76749999999999996</v>
      </c>
      <c r="AM281" s="40">
        <v>0.83120000000000005</v>
      </c>
      <c r="AN281" s="40">
        <v>0.8347</v>
      </c>
      <c r="AO281" s="40">
        <v>0.80889999999999995</v>
      </c>
      <c r="AP281" s="40">
        <v>0.8548</v>
      </c>
      <c r="AQ281" s="40">
        <v>0.83140000000000003</v>
      </c>
      <c r="AR281" s="31">
        <v>1.0199538320172701</v>
      </c>
      <c r="AS281" s="36">
        <v>3.7459276923076898</v>
      </c>
      <c r="AT281">
        <v>4.5999999999999996</v>
      </c>
      <c r="AU281">
        <v>4.6900000000000004</v>
      </c>
      <c r="AV281">
        <v>4.7300000000000004</v>
      </c>
      <c r="AW281">
        <v>4.83</v>
      </c>
      <c r="AX281">
        <v>1.1000000000000001</v>
      </c>
      <c r="AY281" s="6">
        <v>3.99</v>
      </c>
      <c r="AZ281" s="2">
        <v>0.79990000000000006</v>
      </c>
      <c r="BA281" s="2">
        <v>0.93882899556583799</v>
      </c>
      <c r="BB281" s="2">
        <v>1</v>
      </c>
      <c r="BC281">
        <v>71500</v>
      </c>
      <c r="BD281">
        <v>56992</v>
      </c>
      <c r="BE281">
        <v>24000</v>
      </c>
      <c r="BF281">
        <v>30030</v>
      </c>
      <c r="BG281" t="s">
        <v>139</v>
      </c>
    </row>
    <row r="282" spans="3:59" ht="409.5" x14ac:dyDescent="0.25">
      <c r="C282" s="1">
        <v>45902</v>
      </c>
      <c r="D282" s="36">
        <v>280814.82</v>
      </c>
      <c r="E282" s="33">
        <v>4.7433333333333296</v>
      </c>
      <c r="F282" s="33">
        <v>3.88811033333333</v>
      </c>
      <c r="G282" s="2">
        <v>0.81969999999999998</v>
      </c>
      <c r="H282" s="2">
        <v>0.99</v>
      </c>
      <c r="I282" s="3">
        <v>26841</v>
      </c>
      <c r="J282" s="3">
        <v>60468</v>
      </c>
      <c r="K282" s="3">
        <v>42315</v>
      </c>
      <c r="L282" s="3">
        <v>47067</v>
      </c>
      <c r="M282" s="3">
        <v>48980</v>
      </c>
      <c r="N282" s="3">
        <v>225671</v>
      </c>
      <c r="O282" s="3">
        <v>250165.33</v>
      </c>
      <c r="P282" s="3">
        <v>24494.33</v>
      </c>
      <c r="Q282" s="3">
        <v>24494.33</v>
      </c>
      <c r="R282" s="3">
        <v>250165.33</v>
      </c>
      <c r="S282" s="3">
        <v>250165.33</v>
      </c>
      <c r="T282" s="3">
        <v>250165.33</v>
      </c>
      <c r="U282" s="3">
        <v>15990</v>
      </c>
      <c r="V282" s="3">
        <v>15200</v>
      </c>
      <c r="W282" s="3">
        <v>13890</v>
      </c>
      <c r="X282" s="3">
        <v>17210</v>
      </c>
      <c r="Y282" s="3">
        <v>17730</v>
      </c>
      <c r="Z282" s="3">
        <v>29160</v>
      </c>
      <c r="AA282" s="3">
        <v>23920</v>
      </c>
      <c r="AB282" s="3">
        <v>23880</v>
      </c>
      <c r="AC282" s="3">
        <v>27450</v>
      </c>
      <c r="AD282" s="3">
        <v>23310</v>
      </c>
      <c r="AE282" s="3">
        <v>207740</v>
      </c>
      <c r="AF282" s="3">
        <v>232234.33</v>
      </c>
      <c r="AG282" s="3">
        <v>1392.08</v>
      </c>
      <c r="AH282" s="40">
        <v>0.54969999999999997</v>
      </c>
      <c r="AI282" s="40">
        <v>0.52249999999999996</v>
      </c>
      <c r="AJ282" s="40">
        <v>0.53720000000000001</v>
      </c>
      <c r="AK282" s="40">
        <v>0.52390000000000003</v>
      </c>
      <c r="AL282" s="40">
        <v>0.52749999999999997</v>
      </c>
      <c r="AM282" s="40">
        <v>0.8458</v>
      </c>
      <c r="AN282" s="40">
        <v>0.85660000000000003</v>
      </c>
      <c r="AO282" s="40">
        <v>0.79959999999999998</v>
      </c>
      <c r="AP282" s="40">
        <v>0.85140000000000005</v>
      </c>
      <c r="AQ282" s="40">
        <v>0.78039999999999998</v>
      </c>
      <c r="AR282" s="31">
        <v>0.92054362323913996</v>
      </c>
      <c r="AS282" s="36">
        <v>3.4988158041958002</v>
      </c>
      <c r="AT282">
        <v>4.03</v>
      </c>
      <c r="AU282">
        <v>4.41</v>
      </c>
      <c r="AV282">
        <v>4.47</v>
      </c>
      <c r="AW282">
        <v>4.3099999999999996</v>
      </c>
      <c r="AX282">
        <v>1.1000000000000001</v>
      </c>
      <c r="AY282" s="6">
        <v>3.6640000000000001</v>
      </c>
      <c r="AZ282" s="2">
        <v>0.67949999999999999</v>
      </c>
      <c r="BA282" s="2">
        <v>0.95491697712767598</v>
      </c>
      <c r="BB282" s="2">
        <v>1</v>
      </c>
      <c r="BC282">
        <v>71500</v>
      </c>
      <c r="BD282">
        <v>56992</v>
      </c>
      <c r="BE282">
        <v>16433</v>
      </c>
      <c r="BF282">
        <v>30030</v>
      </c>
      <c r="BG282" s="9" t="s">
        <v>160</v>
      </c>
    </row>
    <row r="283" spans="3:59" ht="375" x14ac:dyDescent="0.25">
      <c r="C283" s="1">
        <v>45903</v>
      </c>
      <c r="D283" s="36">
        <v>280814.82</v>
      </c>
      <c r="E283" s="33">
        <v>4.7433333333333296</v>
      </c>
      <c r="F283" s="33">
        <v>3.88811033333333</v>
      </c>
      <c r="G283" s="2">
        <v>0.81969999999999998</v>
      </c>
      <c r="H283" s="2">
        <v>0.99</v>
      </c>
      <c r="I283" s="3">
        <v>49875</v>
      </c>
      <c r="J283" s="3">
        <v>49939</v>
      </c>
      <c r="K283" s="3">
        <v>34765</v>
      </c>
      <c r="L283" s="3">
        <v>39600</v>
      </c>
      <c r="M283" s="3">
        <v>44232</v>
      </c>
      <c r="N283" s="3">
        <v>218411</v>
      </c>
      <c r="O283" s="3">
        <v>206217.83</v>
      </c>
      <c r="P283" s="3">
        <v>-12193.17</v>
      </c>
      <c r="Q283" s="3">
        <v>0</v>
      </c>
      <c r="R283" s="3">
        <v>218411</v>
      </c>
      <c r="S283" s="3">
        <v>218411</v>
      </c>
      <c r="T283" s="3">
        <v>206217.83</v>
      </c>
      <c r="U283" s="3">
        <v>22220</v>
      </c>
      <c r="V283" s="3">
        <v>22910</v>
      </c>
      <c r="W283" s="3">
        <v>19590</v>
      </c>
      <c r="X283" s="3">
        <v>24020</v>
      </c>
      <c r="Y283" s="3">
        <v>25010</v>
      </c>
      <c r="Z283" s="3">
        <v>26800</v>
      </c>
      <c r="AA283" s="3">
        <v>22870</v>
      </c>
      <c r="AB283" s="3">
        <v>22820</v>
      </c>
      <c r="AC283" s="3">
        <v>27280</v>
      </c>
      <c r="AD283" s="3">
        <v>23580</v>
      </c>
      <c r="AE283" s="3">
        <v>237100</v>
      </c>
      <c r="AF283" s="3">
        <v>237100</v>
      </c>
      <c r="AG283" s="3">
        <v>1676.18</v>
      </c>
      <c r="AH283" s="40">
        <v>0.87080000000000002</v>
      </c>
      <c r="AI283" s="40">
        <v>0.89770000000000005</v>
      </c>
      <c r="AJ283" s="40">
        <v>0.8639</v>
      </c>
      <c r="AK283" s="40">
        <v>0.83379999999999999</v>
      </c>
      <c r="AL283" s="40">
        <v>0.84370000000000001</v>
      </c>
      <c r="AM283" s="40">
        <v>0.88629999999999998</v>
      </c>
      <c r="AN283" s="40">
        <v>0.85050000000000003</v>
      </c>
      <c r="AO283" s="40">
        <v>0.87109999999999999</v>
      </c>
      <c r="AP283" s="40">
        <v>0.87880000000000003</v>
      </c>
      <c r="AQ283" s="40">
        <v>0.90010000000000001</v>
      </c>
      <c r="AR283" s="31">
        <v>1.08556803457701</v>
      </c>
      <c r="AS283" s="36">
        <v>3.0546993006993</v>
      </c>
      <c r="AT283">
        <v>3.88</v>
      </c>
      <c r="AU283">
        <v>3.89</v>
      </c>
      <c r="AV283">
        <v>3.73</v>
      </c>
      <c r="AW283">
        <v>3.78</v>
      </c>
      <c r="AY283" s="6">
        <v>3.82</v>
      </c>
      <c r="AZ283" s="2">
        <v>0.86970000000000003</v>
      </c>
      <c r="BA283" s="2">
        <v>0.79965950280086395</v>
      </c>
      <c r="BB283" s="2">
        <v>1</v>
      </c>
      <c r="BC283">
        <v>71500</v>
      </c>
      <c r="BD283">
        <v>56992</v>
      </c>
      <c r="BE283">
        <v>24000</v>
      </c>
      <c r="BF283">
        <v>30030</v>
      </c>
      <c r="BG283" s="9" t="s">
        <v>152</v>
      </c>
    </row>
    <row r="284" spans="3:59" ht="375" x14ac:dyDescent="0.25">
      <c r="C284" s="1">
        <v>45904</v>
      </c>
      <c r="D284" s="36">
        <v>280814.82</v>
      </c>
      <c r="E284" s="33">
        <v>4.7433333333333296</v>
      </c>
      <c r="F284" s="33">
        <v>3.88811033333333</v>
      </c>
      <c r="G284" s="2">
        <v>0.81969999999999998</v>
      </c>
      <c r="H284" s="2">
        <v>0.99</v>
      </c>
      <c r="I284" s="3">
        <v>70532</v>
      </c>
      <c r="J284" s="3">
        <v>70602</v>
      </c>
      <c r="K284" s="3">
        <v>46996</v>
      </c>
      <c r="L284" s="3">
        <v>53520</v>
      </c>
      <c r="M284" s="3">
        <v>54898</v>
      </c>
      <c r="N284" s="3">
        <v>296548</v>
      </c>
      <c r="O284" s="3">
        <v>288761.67</v>
      </c>
      <c r="P284" s="3">
        <v>-7786.3300000000199</v>
      </c>
      <c r="Q284" s="3">
        <v>0</v>
      </c>
      <c r="R284" s="3">
        <v>296548</v>
      </c>
      <c r="S284" s="3">
        <v>296548</v>
      </c>
      <c r="T284" s="3">
        <v>288761.67</v>
      </c>
      <c r="U284" s="3">
        <v>28790</v>
      </c>
      <c r="V284" s="3">
        <v>29170</v>
      </c>
      <c r="W284" s="3">
        <v>24910</v>
      </c>
      <c r="X284" s="3">
        <v>31530</v>
      </c>
      <c r="Y284" s="3">
        <v>31170</v>
      </c>
      <c r="Z284" s="3">
        <v>35050</v>
      </c>
      <c r="AA284" s="3">
        <v>29530</v>
      </c>
      <c r="AB284" s="3">
        <v>28990</v>
      </c>
      <c r="AC284" s="3">
        <v>32670</v>
      </c>
      <c r="AD284" s="3">
        <v>29330</v>
      </c>
      <c r="AE284" s="3">
        <v>301140</v>
      </c>
      <c r="AF284" s="3">
        <v>301140</v>
      </c>
      <c r="AG284" s="3">
        <v>1795.79</v>
      </c>
      <c r="AH284" s="40">
        <v>0.8155</v>
      </c>
      <c r="AI284" s="40">
        <v>0.82630000000000003</v>
      </c>
      <c r="AJ284" s="40">
        <v>0.79369999999999996</v>
      </c>
      <c r="AK284" s="40">
        <v>0.79120000000000001</v>
      </c>
      <c r="AL284" s="40">
        <v>0.80369999999999997</v>
      </c>
      <c r="AM284" s="40">
        <v>0.83760000000000001</v>
      </c>
      <c r="AN284" s="40">
        <v>0.89529999999999998</v>
      </c>
      <c r="AO284" s="40">
        <v>0.79969999999999997</v>
      </c>
      <c r="AP284" s="40">
        <v>0.85799999999999998</v>
      </c>
      <c r="AQ284" s="40">
        <v>0.80910000000000004</v>
      </c>
      <c r="AR284" s="31">
        <v>1.0154848456236401</v>
      </c>
      <c r="AS284" s="36">
        <v>4.14752447552448</v>
      </c>
      <c r="AT284">
        <v>4.76</v>
      </c>
      <c r="AU284">
        <v>5.09</v>
      </c>
      <c r="AV284">
        <v>5.01</v>
      </c>
      <c r="AW284">
        <v>5.23</v>
      </c>
      <c r="AY284" s="6">
        <v>5.0225</v>
      </c>
      <c r="AZ284" s="2">
        <v>0.82299999999999995</v>
      </c>
      <c r="BA284" s="2">
        <v>0.82578884530104002</v>
      </c>
      <c r="BB284" s="2">
        <v>1</v>
      </c>
      <c r="BC284">
        <v>71500</v>
      </c>
      <c r="BD284">
        <v>56992</v>
      </c>
      <c r="BE284">
        <v>24000</v>
      </c>
      <c r="BF284">
        <v>30030</v>
      </c>
      <c r="BG284" s="9" t="s">
        <v>152</v>
      </c>
    </row>
    <row r="285" spans="3:59" ht="375" x14ac:dyDescent="0.25">
      <c r="C285" s="1">
        <v>45905</v>
      </c>
      <c r="D285" s="36">
        <v>280814.82</v>
      </c>
      <c r="E285" s="33">
        <v>4.7433333333333296</v>
      </c>
      <c r="F285" s="33">
        <v>3.88811033333333</v>
      </c>
      <c r="G285" s="2">
        <v>0.81969999999999998</v>
      </c>
      <c r="H285" s="2">
        <v>0.99</v>
      </c>
      <c r="I285" s="3">
        <v>42801</v>
      </c>
      <c r="J285" s="3">
        <v>42938</v>
      </c>
      <c r="K285" s="3">
        <v>27619</v>
      </c>
      <c r="L285" s="3">
        <v>33177</v>
      </c>
      <c r="M285" s="3">
        <v>36250</v>
      </c>
      <c r="N285" s="3">
        <v>182785</v>
      </c>
      <c r="O285" s="3">
        <v>160492.82999999999</v>
      </c>
      <c r="P285" s="3">
        <v>-22292.17</v>
      </c>
      <c r="Q285" s="3">
        <v>0</v>
      </c>
      <c r="R285" s="3">
        <v>182785</v>
      </c>
      <c r="S285" s="3">
        <v>182785</v>
      </c>
      <c r="T285" s="3">
        <v>160492.82999999999</v>
      </c>
      <c r="U285" s="3">
        <v>17580</v>
      </c>
      <c r="V285" s="3">
        <v>17570</v>
      </c>
      <c r="W285" s="3">
        <v>15630</v>
      </c>
      <c r="X285" s="3">
        <v>19800</v>
      </c>
      <c r="Y285" s="3">
        <v>19860</v>
      </c>
      <c r="Z285" s="3">
        <v>21310</v>
      </c>
      <c r="AA285" s="3">
        <v>17550</v>
      </c>
      <c r="AB285" s="3">
        <v>17740</v>
      </c>
      <c r="AC285" s="3">
        <v>20290</v>
      </c>
      <c r="AD285" s="3">
        <v>18320</v>
      </c>
      <c r="AE285" s="3">
        <v>185650</v>
      </c>
      <c r="AF285" s="3">
        <v>185650</v>
      </c>
      <c r="AG285" s="3">
        <v>1302.1099999999999</v>
      </c>
      <c r="AH285" s="40">
        <v>0.90090000000000003</v>
      </c>
      <c r="AI285" s="40">
        <v>0.90080000000000005</v>
      </c>
      <c r="AJ285" s="40">
        <v>0.90159999999999996</v>
      </c>
      <c r="AK285" s="40">
        <v>0.89900000000000002</v>
      </c>
      <c r="AL285" s="40">
        <v>0.92759999999999998</v>
      </c>
      <c r="AM285" s="40">
        <v>0.92169999999999996</v>
      </c>
      <c r="AN285" s="40">
        <v>0.92749999999999999</v>
      </c>
      <c r="AO285" s="40">
        <v>0.88570000000000004</v>
      </c>
      <c r="AP285" s="40">
        <v>0.92910000000000004</v>
      </c>
      <c r="AQ285" s="40">
        <v>0.91479999999999995</v>
      </c>
      <c r="AR285" s="31">
        <v>1.0156741526930499</v>
      </c>
      <c r="AS285" s="36">
        <v>2.55643356643357</v>
      </c>
      <c r="AT285">
        <v>2.73</v>
      </c>
      <c r="AU285">
        <v>2.81</v>
      </c>
      <c r="AV285">
        <v>2.86</v>
      </c>
      <c r="AW285">
        <v>2.89</v>
      </c>
      <c r="AY285" s="6">
        <v>2.8224999999999998</v>
      </c>
      <c r="AZ285" s="2">
        <v>0.91090000000000004</v>
      </c>
      <c r="BA285" s="2">
        <v>0.90573377021561297</v>
      </c>
      <c r="BB285" s="2">
        <v>1</v>
      </c>
      <c r="BC285">
        <v>71500</v>
      </c>
      <c r="BD285">
        <v>56992</v>
      </c>
      <c r="BE285">
        <v>24000</v>
      </c>
      <c r="BF285">
        <v>30030</v>
      </c>
      <c r="BG285" s="9" t="s">
        <v>152</v>
      </c>
    </row>
    <row r="286" spans="3:59" ht="375" x14ac:dyDescent="0.25">
      <c r="C286" s="1">
        <v>45906</v>
      </c>
      <c r="D286" s="36">
        <v>280814.82</v>
      </c>
      <c r="E286" s="33">
        <v>4.7433333333333296</v>
      </c>
      <c r="F286" s="33">
        <v>3.88811033333333</v>
      </c>
      <c r="G286" s="2">
        <v>0.81969999999999998</v>
      </c>
      <c r="H286" s="2">
        <v>0.99</v>
      </c>
      <c r="I286" s="3">
        <v>41585</v>
      </c>
      <c r="J286" s="3">
        <v>65377</v>
      </c>
      <c r="K286" s="3">
        <v>32872</v>
      </c>
      <c r="L286" s="3">
        <v>37962</v>
      </c>
      <c r="M286" s="3">
        <v>40562</v>
      </c>
      <c r="N286" s="3">
        <v>218358</v>
      </c>
      <c r="O286" s="3">
        <v>205127</v>
      </c>
      <c r="P286" s="3">
        <v>-13231</v>
      </c>
      <c r="Q286" s="3">
        <v>0</v>
      </c>
      <c r="R286" s="3">
        <v>218358</v>
      </c>
      <c r="S286" s="3">
        <v>218358</v>
      </c>
      <c r="T286" s="3">
        <v>205127</v>
      </c>
      <c r="U286" s="3">
        <v>20680</v>
      </c>
      <c r="V286" s="3">
        <v>20930</v>
      </c>
      <c r="W286" s="3">
        <v>17650</v>
      </c>
      <c r="X286" s="3">
        <v>22330</v>
      </c>
      <c r="Y286" s="3">
        <v>21840</v>
      </c>
      <c r="Z286" s="3">
        <v>23110</v>
      </c>
      <c r="AA286" s="3">
        <v>18520</v>
      </c>
      <c r="AB286" s="3">
        <v>19150</v>
      </c>
      <c r="AC286" s="3">
        <v>21560</v>
      </c>
      <c r="AD286" s="3">
        <v>20140</v>
      </c>
      <c r="AE286" s="3">
        <v>205910</v>
      </c>
      <c r="AF286" s="3">
        <v>205910</v>
      </c>
      <c r="AG286" s="3">
        <v>1529.67</v>
      </c>
      <c r="AH286" s="40">
        <v>0.95730000000000004</v>
      </c>
      <c r="AI286" s="40">
        <v>0.96879999999999999</v>
      </c>
      <c r="AJ286" s="40">
        <v>0.91930000000000001</v>
      </c>
      <c r="AK286" s="40">
        <v>0.91569999999999996</v>
      </c>
      <c r="AL286" s="40">
        <v>0.95840000000000003</v>
      </c>
      <c r="AM286" s="40">
        <v>0.90269999999999995</v>
      </c>
      <c r="AN286" s="40">
        <v>0.95109999999999995</v>
      </c>
      <c r="AO286" s="40">
        <v>0.86329999999999996</v>
      </c>
      <c r="AP286" s="40">
        <v>0.95930000000000004</v>
      </c>
      <c r="AQ286" s="40">
        <v>0.90810000000000002</v>
      </c>
      <c r="AR286" s="31">
        <v>0.94299270006136704</v>
      </c>
      <c r="AS286" s="36">
        <v>3.0539580419580399</v>
      </c>
      <c r="AT286">
        <v>2.81</v>
      </c>
      <c r="AU286">
        <v>2.99</v>
      </c>
      <c r="AV286">
        <v>3.08</v>
      </c>
      <c r="AW286">
        <v>3.2</v>
      </c>
      <c r="AY286" s="6">
        <v>3.02</v>
      </c>
      <c r="AZ286" s="2">
        <v>0.9304</v>
      </c>
      <c r="BA286" s="2">
        <v>1.01124438475432</v>
      </c>
      <c r="BB286" s="2">
        <v>1</v>
      </c>
      <c r="BC286">
        <v>71500</v>
      </c>
      <c r="BD286">
        <v>56992</v>
      </c>
      <c r="BE286">
        <v>24000</v>
      </c>
      <c r="BF286">
        <v>30030</v>
      </c>
      <c r="BG286" s="9" t="s">
        <v>152</v>
      </c>
    </row>
    <row r="287" spans="3:59" ht="409.5" x14ac:dyDescent="0.25">
      <c r="C287" s="1">
        <v>45907</v>
      </c>
      <c r="D287" s="36">
        <v>280814.82</v>
      </c>
      <c r="E287" s="33">
        <v>4.7433333333333296</v>
      </c>
      <c r="F287" s="33">
        <v>3.88811033333333</v>
      </c>
      <c r="G287" s="2">
        <v>0.81969999999999998</v>
      </c>
      <c r="H287" s="2">
        <v>0.99</v>
      </c>
      <c r="I287" s="3">
        <v>18512</v>
      </c>
      <c r="J287" s="3">
        <v>74160</v>
      </c>
      <c r="K287" s="3">
        <v>41410</v>
      </c>
      <c r="L287" s="3">
        <v>45795</v>
      </c>
      <c r="M287" s="3">
        <v>46362</v>
      </c>
      <c r="N287" s="3">
        <v>226239</v>
      </c>
      <c r="O287" s="3">
        <v>240627.67</v>
      </c>
      <c r="P287" s="3">
        <v>14388.67</v>
      </c>
      <c r="Q287" s="3">
        <v>14388.67</v>
      </c>
      <c r="R287" s="3">
        <v>240627.67</v>
      </c>
      <c r="S287" s="3">
        <v>240627.67</v>
      </c>
      <c r="T287" s="3">
        <v>240627.67</v>
      </c>
      <c r="U287" s="3">
        <v>15440</v>
      </c>
      <c r="V287" s="3">
        <v>15480</v>
      </c>
      <c r="W287" s="3">
        <v>14010</v>
      </c>
      <c r="X287" s="3">
        <v>17670</v>
      </c>
      <c r="Y287" s="3">
        <v>17810</v>
      </c>
      <c r="Z287" s="3">
        <v>26350</v>
      </c>
      <c r="AA287" s="3">
        <v>21490</v>
      </c>
      <c r="AB287" s="3">
        <v>21840</v>
      </c>
      <c r="AC287" s="3">
        <v>25760</v>
      </c>
      <c r="AD287" s="3">
        <v>22190</v>
      </c>
      <c r="AE287" s="3">
        <v>198040</v>
      </c>
      <c r="AF287" s="3">
        <v>212428.67</v>
      </c>
      <c r="AG287" s="3">
        <v>1682.82</v>
      </c>
      <c r="AH287" s="40">
        <v>0.60189999999999999</v>
      </c>
      <c r="AI287" s="40">
        <v>0.60360000000000003</v>
      </c>
      <c r="AJ287" s="40">
        <v>0.61450000000000005</v>
      </c>
      <c r="AK287" s="40">
        <v>0.61029999999999995</v>
      </c>
      <c r="AL287" s="40">
        <v>0.63009999999999999</v>
      </c>
      <c r="AM287" s="40">
        <v>0.86670000000000003</v>
      </c>
      <c r="AN287" s="40">
        <v>0.87119999999999997</v>
      </c>
      <c r="AO287" s="40">
        <v>0.82950000000000002</v>
      </c>
      <c r="AP287" s="40">
        <v>0.90449999999999997</v>
      </c>
      <c r="AQ287" s="40">
        <v>0.84240000000000004</v>
      </c>
      <c r="AR287" s="31">
        <v>0.87535747594358204</v>
      </c>
      <c r="AS287" s="36">
        <v>3.36542195804196</v>
      </c>
      <c r="AT287">
        <v>3.56</v>
      </c>
      <c r="AU287">
        <v>3.71</v>
      </c>
      <c r="AV287">
        <v>3.75</v>
      </c>
      <c r="AW287">
        <v>3.8</v>
      </c>
      <c r="AY287" s="6">
        <v>3.7050000000000001</v>
      </c>
      <c r="AZ287" s="2">
        <v>0.73750000000000004</v>
      </c>
      <c r="BA287" s="2">
        <v>0.90834600756868</v>
      </c>
      <c r="BB287" s="2">
        <v>1</v>
      </c>
      <c r="BC287">
        <v>71500</v>
      </c>
      <c r="BD287">
        <v>56992</v>
      </c>
      <c r="BE287">
        <v>12500</v>
      </c>
      <c r="BF287">
        <v>30030</v>
      </c>
      <c r="BG287" s="9" t="s">
        <v>161</v>
      </c>
    </row>
    <row r="288" spans="3:59" ht="375" x14ac:dyDescent="0.25">
      <c r="C288" s="1">
        <v>45908</v>
      </c>
      <c r="D288" s="36">
        <v>280814.82</v>
      </c>
      <c r="E288" s="33">
        <v>4.7433333333333296</v>
      </c>
      <c r="F288" s="33">
        <v>3.88811033333333</v>
      </c>
      <c r="G288" s="2">
        <v>0.81969999999999998</v>
      </c>
      <c r="H288" s="2">
        <v>0.99</v>
      </c>
      <c r="I288" s="3">
        <v>47218</v>
      </c>
      <c r="J288" s="3">
        <v>47205</v>
      </c>
      <c r="K288" s="3">
        <v>31196</v>
      </c>
      <c r="L288" s="3">
        <v>36836</v>
      </c>
      <c r="M288" s="3">
        <v>39338</v>
      </c>
      <c r="N288" s="3">
        <v>201793</v>
      </c>
      <c r="O288" s="3">
        <v>189452</v>
      </c>
      <c r="P288" s="3">
        <v>-12341</v>
      </c>
      <c r="Q288" s="3">
        <v>0</v>
      </c>
      <c r="R288" s="3">
        <v>201793</v>
      </c>
      <c r="S288" s="3">
        <v>201793</v>
      </c>
      <c r="T288" s="3">
        <v>189452</v>
      </c>
      <c r="U288" s="3">
        <v>24550</v>
      </c>
      <c r="V288" s="3">
        <v>24580</v>
      </c>
      <c r="W288" s="3">
        <v>21790</v>
      </c>
      <c r="X288" s="3">
        <v>27380</v>
      </c>
      <c r="Y288" s="3">
        <v>27810</v>
      </c>
      <c r="Z288" s="3">
        <v>29710</v>
      </c>
      <c r="AA288" s="3">
        <v>24540</v>
      </c>
      <c r="AB288" s="3">
        <v>25110</v>
      </c>
      <c r="AC288" s="3">
        <v>29430</v>
      </c>
      <c r="AD288" s="3">
        <v>25890</v>
      </c>
      <c r="AE288" s="3">
        <v>260790</v>
      </c>
      <c r="AF288" s="3">
        <v>260790</v>
      </c>
      <c r="AG288" s="3">
        <v>1221.8900000000001</v>
      </c>
      <c r="AH288" s="40">
        <v>0.89590000000000003</v>
      </c>
      <c r="AI288" s="40">
        <v>0.89670000000000005</v>
      </c>
      <c r="AJ288" s="40">
        <v>0.89449999999999996</v>
      </c>
      <c r="AK288" s="40">
        <v>0.88500000000000001</v>
      </c>
      <c r="AL288" s="40">
        <v>0.91020000000000001</v>
      </c>
      <c r="AM288" s="40">
        <v>0.91459999999999997</v>
      </c>
      <c r="AN288" s="40">
        <v>0.90569999999999995</v>
      </c>
      <c r="AO288" s="40">
        <v>0.89249999999999996</v>
      </c>
      <c r="AP288" s="40">
        <v>0.94079999999999997</v>
      </c>
      <c r="AQ288" s="40">
        <v>0.92030000000000001</v>
      </c>
      <c r="AR288" s="31">
        <v>1.2923639571243799</v>
      </c>
      <c r="AS288" s="36">
        <v>2.8222797202797199</v>
      </c>
      <c r="AT288">
        <v>3.91</v>
      </c>
      <c r="AU288">
        <v>4.01</v>
      </c>
      <c r="AV288">
        <v>3.98</v>
      </c>
      <c r="AW288">
        <v>4.0599999999999996</v>
      </c>
      <c r="AY288" s="6">
        <v>3.99</v>
      </c>
      <c r="AZ288" s="2">
        <v>0.90559999999999996</v>
      </c>
      <c r="BA288" s="2">
        <v>0.70733827575932795</v>
      </c>
      <c r="BB288" s="2">
        <v>1</v>
      </c>
      <c r="BC288">
        <v>71500</v>
      </c>
      <c r="BD288">
        <v>56992</v>
      </c>
      <c r="BE288">
        <v>24000</v>
      </c>
      <c r="BF288">
        <v>30030</v>
      </c>
      <c r="BG288" s="9" t="s">
        <v>152</v>
      </c>
    </row>
    <row r="289" spans="3:59" ht="409.5" x14ac:dyDescent="0.25">
      <c r="C289" s="1">
        <v>45909</v>
      </c>
      <c r="D289" s="36">
        <v>280814.82</v>
      </c>
      <c r="E289" s="33">
        <v>4.7433333333333296</v>
      </c>
      <c r="F289" s="33">
        <v>3.88811033333333</v>
      </c>
      <c r="G289" s="2">
        <v>0.81969999999999998</v>
      </c>
      <c r="H289" s="2">
        <v>0.99</v>
      </c>
      <c r="I289" s="3">
        <v>40868</v>
      </c>
      <c r="J289" s="3">
        <v>40968</v>
      </c>
      <c r="K289" s="3">
        <v>22811</v>
      </c>
      <c r="L289" s="3">
        <v>35828</v>
      </c>
      <c r="M289" s="3">
        <v>35758</v>
      </c>
      <c r="N289" s="3">
        <v>176233</v>
      </c>
      <c r="O289" s="3">
        <v>159846.5</v>
      </c>
      <c r="P289" s="3">
        <v>-16386.5</v>
      </c>
      <c r="Q289" s="3">
        <v>0</v>
      </c>
      <c r="R289" s="3">
        <v>176233</v>
      </c>
      <c r="S289" s="3">
        <v>176233</v>
      </c>
      <c r="T289" s="3">
        <v>159846.5</v>
      </c>
      <c r="U289" s="3">
        <v>10010</v>
      </c>
      <c r="V289" s="3">
        <v>10060</v>
      </c>
      <c r="W289" s="3">
        <v>8840</v>
      </c>
      <c r="X289" s="3">
        <v>11220</v>
      </c>
      <c r="Y289" s="3">
        <v>11380</v>
      </c>
      <c r="Z289" s="3">
        <v>11770</v>
      </c>
      <c r="AA289" s="3">
        <v>9820</v>
      </c>
      <c r="AB289" s="3">
        <v>9750</v>
      </c>
      <c r="AC289" s="3">
        <v>11120</v>
      </c>
      <c r="AD289" s="3">
        <v>9910</v>
      </c>
      <c r="AE289" s="3">
        <v>103880</v>
      </c>
      <c r="AF289" s="3">
        <v>103880</v>
      </c>
      <c r="AG289" s="3">
        <v>1537.18</v>
      </c>
      <c r="AH289" s="40">
        <v>0.93820000000000003</v>
      </c>
      <c r="AI289" s="40">
        <v>0.94299999999999995</v>
      </c>
      <c r="AJ289" s="40">
        <v>0.93289999999999995</v>
      </c>
      <c r="AK289" s="40">
        <v>0.93159999999999998</v>
      </c>
      <c r="AL289" s="40">
        <v>0.9698</v>
      </c>
      <c r="AM289" s="40">
        <v>0.93120000000000003</v>
      </c>
      <c r="AN289" s="40">
        <v>0.97729999999999995</v>
      </c>
      <c r="AO289" s="40">
        <v>0.89059999999999995</v>
      </c>
      <c r="AP289" s="40">
        <v>0.95899999999999996</v>
      </c>
      <c r="AQ289" s="40">
        <v>0.90510000000000002</v>
      </c>
      <c r="AR289" s="31">
        <v>0.589446925377199</v>
      </c>
      <c r="AS289" s="36">
        <v>2.4647972027971998</v>
      </c>
      <c r="AT289">
        <v>1.45</v>
      </c>
      <c r="AU289">
        <v>1.54</v>
      </c>
      <c r="AV289">
        <v>1.53</v>
      </c>
      <c r="AW289">
        <v>1.58</v>
      </c>
      <c r="AY289" s="6">
        <v>1.5249999999999999</v>
      </c>
      <c r="AZ289" s="2">
        <v>0.93779999999999997</v>
      </c>
      <c r="BA289" s="2">
        <v>1.6162604608506199</v>
      </c>
      <c r="BB289" s="2">
        <v>1</v>
      </c>
      <c r="BC289">
        <v>71500</v>
      </c>
      <c r="BD289">
        <v>56992</v>
      </c>
      <c r="BE289">
        <v>24000</v>
      </c>
      <c r="BF289">
        <v>27325</v>
      </c>
      <c r="BG289" s="9" t="s">
        <v>162</v>
      </c>
    </row>
    <row r="290" spans="3:59" ht="409.5" x14ac:dyDescent="0.25">
      <c r="C290" s="1">
        <v>45910</v>
      </c>
      <c r="D290" s="36">
        <v>280814.82</v>
      </c>
      <c r="E290" s="33">
        <v>4.7433333333333296</v>
      </c>
      <c r="F290" s="33">
        <v>3.88811033333333</v>
      </c>
      <c r="G290" s="2">
        <v>0.81969999999999998</v>
      </c>
      <c r="H290" s="2">
        <v>0.99</v>
      </c>
      <c r="I290" s="3">
        <v>80952</v>
      </c>
      <c r="J290" s="3">
        <v>81039</v>
      </c>
      <c r="K290" s="3">
        <v>71442</v>
      </c>
      <c r="L290" s="3">
        <v>64451</v>
      </c>
      <c r="M290" s="3">
        <v>46788</v>
      </c>
      <c r="N290" s="3">
        <v>344672</v>
      </c>
      <c r="O290" s="3">
        <v>334527.17</v>
      </c>
      <c r="P290" s="3">
        <v>-10144.83</v>
      </c>
      <c r="Q290" s="3">
        <v>0</v>
      </c>
      <c r="R290" s="3">
        <v>344672</v>
      </c>
      <c r="S290" s="3">
        <v>344672</v>
      </c>
      <c r="T290" s="3">
        <v>334527.17</v>
      </c>
      <c r="U290" s="3">
        <v>32670</v>
      </c>
      <c r="V290" s="3">
        <v>33280</v>
      </c>
      <c r="W290" s="3">
        <v>29040</v>
      </c>
      <c r="X290" s="3">
        <v>36240</v>
      </c>
      <c r="Y290" s="3">
        <v>36850</v>
      </c>
      <c r="Z290" s="3">
        <v>41130</v>
      </c>
      <c r="AA290" s="3">
        <v>34520</v>
      </c>
      <c r="AB290" s="3">
        <v>34510</v>
      </c>
      <c r="AC290" s="3">
        <v>40880</v>
      </c>
      <c r="AD290" s="3">
        <v>36690</v>
      </c>
      <c r="AE290" s="3">
        <v>355810</v>
      </c>
      <c r="AF290" s="3">
        <v>355810</v>
      </c>
      <c r="AG290" s="3">
        <v>1649.23</v>
      </c>
      <c r="AH290" s="40">
        <v>0.80930000000000002</v>
      </c>
      <c r="AI290" s="40">
        <v>0.82440000000000002</v>
      </c>
      <c r="AJ290" s="40">
        <v>0.8095</v>
      </c>
      <c r="AK290" s="40">
        <v>0.79520000000000002</v>
      </c>
      <c r="AL290" s="40">
        <v>0.81689999999999996</v>
      </c>
      <c r="AM290" s="40">
        <v>0.85970000000000002</v>
      </c>
      <c r="AN290" s="40">
        <v>0.85729999999999995</v>
      </c>
      <c r="AO290" s="40">
        <v>0.8327</v>
      </c>
      <c r="AP290" s="40">
        <v>0.87939999999999996</v>
      </c>
      <c r="AQ290" s="40">
        <v>0.88529999999999998</v>
      </c>
      <c r="AR290" s="31">
        <v>1.0323147804289301</v>
      </c>
      <c r="AS290" s="36">
        <v>4.8205874125874102</v>
      </c>
      <c r="AT290">
        <v>5.81</v>
      </c>
      <c r="AU290">
        <v>5.92</v>
      </c>
      <c r="AV290">
        <v>6.04</v>
      </c>
      <c r="AW290">
        <v>5.98</v>
      </c>
      <c r="AY290" s="6">
        <v>5.9375</v>
      </c>
      <c r="AZ290" s="2">
        <v>0.83699999999999997</v>
      </c>
      <c r="BA290" s="2">
        <v>0.81188840633051196</v>
      </c>
      <c r="BB290" s="2">
        <v>1</v>
      </c>
      <c r="BC290">
        <v>71500</v>
      </c>
      <c r="BD290">
        <v>56992</v>
      </c>
      <c r="BE290">
        <v>24000</v>
      </c>
      <c r="BF290">
        <v>29059</v>
      </c>
      <c r="BG290" s="9" t="s">
        <v>163</v>
      </c>
    </row>
    <row r="291" spans="3:59" ht="409.5" x14ac:dyDescent="0.25">
      <c r="C291" s="1">
        <v>45911</v>
      </c>
      <c r="D291" s="36">
        <v>280814.82</v>
      </c>
      <c r="E291" s="33">
        <v>4.7433333333333296</v>
      </c>
      <c r="F291" s="33">
        <v>3.88811033333333</v>
      </c>
      <c r="G291" s="2">
        <v>0.81969999999999998</v>
      </c>
      <c r="H291" s="2">
        <v>0.99</v>
      </c>
      <c r="I291" s="3">
        <v>49604</v>
      </c>
      <c r="J291" s="3">
        <v>49734</v>
      </c>
      <c r="K291" s="3">
        <v>52102</v>
      </c>
      <c r="L291" s="3">
        <v>46474</v>
      </c>
      <c r="M291" s="3">
        <v>7804</v>
      </c>
      <c r="N291" s="3">
        <v>205718</v>
      </c>
      <c r="O291" s="3">
        <v>186780.83</v>
      </c>
      <c r="P291" s="3">
        <v>-18937.169999999998</v>
      </c>
      <c r="Q291" s="3">
        <v>0</v>
      </c>
      <c r="R291" s="3">
        <v>205718</v>
      </c>
      <c r="S291" s="3">
        <v>205718</v>
      </c>
      <c r="T291" s="3">
        <v>186780.83</v>
      </c>
      <c r="U291" s="3">
        <v>23100</v>
      </c>
      <c r="V291" s="3">
        <v>22650</v>
      </c>
      <c r="W291" s="3">
        <v>20080</v>
      </c>
      <c r="X291" s="3">
        <v>25070</v>
      </c>
      <c r="Y291" s="3">
        <v>25880</v>
      </c>
      <c r="Z291" s="3">
        <v>26880</v>
      </c>
      <c r="AA291" s="3">
        <v>22500</v>
      </c>
      <c r="AB291" s="3">
        <v>22530</v>
      </c>
      <c r="AC291" s="3">
        <v>26250</v>
      </c>
      <c r="AD291" s="3">
        <v>23460</v>
      </c>
      <c r="AE291" s="3">
        <v>238400</v>
      </c>
      <c r="AF291" s="3">
        <v>238400</v>
      </c>
      <c r="AG291" s="3">
        <v>1525.68</v>
      </c>
      <c r="AH291" s="40">
        <v>0.92979999999999996</v>
      </c>
      <c r="AI291" s="40">
        <v>0.91169999999999995</v>
      </c>
      <c r="AJ291" s="40">
        <v>0.9093</v>
      </c>
      <c r="AK291" s="40">
        <v>0.89419999999999999</v>
      </c>
      <c r="AL291" s="40">
        <v>0.91310000000000002</v>
      </c>
      <c r="AM291" s="40">
        <v>0.91320000000000001</v>
      </c>
      <c r="AN291" s="40">
        <v>0.91220000000000001</v>
      </c>
      <c r="AO291" s="40">
        <v>0.88349999999999995</v>
      </c>
      <c r="AP291" s="40">
        <v>0.92159999999999997</v>
      </c>
      <c r="AQ291" s="40">
        <v>0.91979999999999995</v>
      </c>
      <c r="AR291" s="31">
        <v>1.1588679648839699</v>
      </c>
      <c r="AS291" s="36">
        <v>2.8771748251748299</v>
      </c>
      <c r="AT291">
        <v>3.56</v>
      </c>
      <c r="AU291">
        <v>3.72</v>
      </c>
      <c r="AV291">
        <v>3.68</v>
      </c>
      <c r="AW291">
        <v>3.68</v>
      </c>
      <c r="AY291" s="6">
        <v>3.66</v>
      </c>
      <c r="AZ291" s="2">
        <v>0.91080000000000005</v>
      </c>
      <c r="BA291" s="2">
        <v>0.78611334021170098</v>
      </c>
      <c r="BB291" s="2">
        <v>1</v>
      </c>
      <c r="BC291">
        <v>71500</v>
      </c>
      <c r="BD291">
        <v>56992</v>
      </c>
      <c r="BE291">
        <v>24000</v>
      </c>
      <c r="BF291">
        <v>23217</v>
      </c>
      <c r="BG291" s="9" t="s">
        <v>164</v>
      </c>
    </row>
    <row r="292" spans="3:59" ht="409.5" x14ac:dyDescent="0.25">
      <c r="C292" s="1">
        <v>45912</v>
      </c>
      <c r="D292" s="36">
        <v>280814.82</v>
      </c>
      <c r="E292" s="33">
        <v>4.7433333333333296</v>
      </c>
      <c r="F292" s="33">
        <v>3.88811033333333</v>
      </c>
      <c r="G292" s="2">
        <v>0.81969999999999998</v>
      </c>
      <c r="H292" s="2">
        <v>0.99</v>
      </c>
      <c r="I292" s="3">
        <v>46621</v>
      </c>
      <c r="J292" s="3">
        <v>46645</v>
      </c>
      <c r="K292" s="3">
        <v>33772</v>
      </c>
      <c r="L292" s="3">
        <v>32284</v>
      </c>
      <c r="M292" s="3">
        <v>14326</v>
      </c>
      <c r="N292" s="3">
        <v>173648</v>
      </c>
      <c r="O292" s="3">
        <v>215300.83</v>
      </c>
      <c r="P292" s="3">
        <v>41652.83</v>
      </c>
      <c r="Q292" s="3">
        <v>41652.83</v>
      </c>
      <c r="R292" s="3">
        <v>215300.83</v>
      </c>
      <c r="S292" s="3">
        <v>215300.83</v>
      </c>
      <c r="T292" s="3">
        <v>215300.83</v>
      </c>
      <c r="U292" s="3">
        <v>20370</v>
      </c>
      <c r="V292" s="3">
        <v>20360</v>
      </c>
      <c r="W292" s="3">
        <v>17770</v>
      </c>
      <c r="X292" s="3">
        <v>22130</v>
      </c>
      <c r="Y292" s="3">
        <v>22980</v>
      </c>
      <c r="Z292" s="3">
        <v>18340</v>
      </c>
      <c r="AA292" s="3">
        <v>15420</v>
      </c>
      <c r="AB292" s="3">
        <v>15460</v>
      </c>
      <c r="AC292" s="3">
        <v>18190</v>
      </c>
      <c r="AD292" s="3">
        <v>15730</v>
      </c>
      <c r="AE292" s="3">
        <v>186750</v>
      </c>
      <c r="AF292" s="3">
        <v>228402.83</v>
      </c>
      <c r="AG292" s="3">
        <v>1640.31</v>
      </c>
      <c r="AH292" s="40">
        <v>0.77759999999999996</v>
      </c>
      <c r="AI292" s="40">
        <v>0.77749999999999997</v>
      </c>
      <c r="AJ292" s="40">
        <v>0.76339999999999997</v>
      </c>
      <c r="AK292" s="40">
        <v>0.74839999999999995</v>
      </c>
      <c r="AL292" s="40">
        <v>0.74829999999999997</v>
      </c>
      <c r="AM292" s="40">
        <v>0.59089999999999998</v>
      </c>
      <c r="AN292" s="40">
        <v>0.56200000000000006</v>
      </c>
      <c r="AO292" s="40">
        <v>0.57499999999999996</v>
      </c>
      <c r="AP292" s="40">
        <v>0.57410000000000005</v>
      </c>
      <c r="AQ292" s="40">
        <v>0.58489999999999998</v>
      </c>
      <c r="AR292" s="31">
        <v>1.0754514880678201</v>
      </c>
      <c r="AS292" s="36">
        <v>3.0112004195804198</v>
      </c>
      <c r="AT292">
        <v>3.96</v>
      </c>
      <c r="AU292">
        <v>4.03</v>
      </c>
      <c r="AV292">
        <v>3.98</v>
      </c>
      <c r="AW292">
        <v>3.88</v>
      </c>
      <c r="AY292" s="6">
        <v>3.9624999999999999</v>
      </c>
      <c r="AZ292" s="2">
        <v>0.67020000000000002</v>
      </c>
      <c r="BA292" s="2">
        <v>0.75992439610862295</v>
      </c>
      <c r="BB292" s="2">
        <v>1</v>
      </c>
      <c r="BC292">
        <v>71500</v>
      </c>
      <c r="BD292">
        <v>56992</v>
      </c>
      <c r="BE292">
        <v>24000</v>
      </c>
      <c r="BF292">
        <v>20939</v>
      </c>
      <c r="BG292" s="9" t="s">
        <v>165</v>
      </c>
    </row>
    <row r="293" spans="3:59" ht="375" x14ac:dyDescent="0.25">
      <c r="C293" s="1">
        <v>45913</v>
      </c>
      <c r="D293" s="36">
        <v>280814.82</v>
      </c>
      <c r="E293" s="33">
        <v>4.7433333333333296</v>
      </c>
      <c r="F293" s="33">
        <v>3.88811033333333</v>
      </c>
      <c r="G293" s="2">
        <v>0.81969999999999998</v>
      </c>
      <c r="H293" s="2">
        <v>0.99</v>
      </c>
      <c r="I293" s="3">
        <v>72110</v>
      </c>
      <c r="J293" s="3">
        <v>72285</v>
      </c>
      <c r="K293" s="3">
        <v>49636</v>
      </c>
      <c r="L293" s="3">
        <v>54151</v>
      </c>
      <c r="M293" s="3">
        <v>62502</v>
      </c>
      <c r="N293" s="3">
        <v>310684</v>
      </c>
      <c r="O293" s="3">
        <v>317252.67</v>
      </c>
      <c r="P293" s="3">
        <v>6568.6699999999801</v>
      </c>
      <c r="Q293" s="3">
        <v>6568.6699999999801</v>
      </c>
      <c r="R293" s="3">
        <v>317252.67</v>
      </c>
      <c r="S293" s="3">
        <v>317252.67</v>
      </c>
      <c r="T293" s="3">
        <v>317252.67</v>
      </c>
      <c r="U293" s="3">
        <v>22990</v>
      </c>
      <c r="V293" s="3">
        <v>23020</v>
      </c>
      <c r="W293" s="3">
        <v>20370</v>
      </c>
      <c r="X293" s="3">
        <v>25640</v>
      </c>
      <c r="Y293" s="3">
        <v>25250</v>
      </c>
      <c r="Z293" s="3">
        <v>29440</v>
      </c>
      <c r="AA293" s="3">
        <v>25860</v>
      </c>
      <c r="AB293" s="3">
        <v>29320</v>
      </c>
      <c r="AC293" s="3">
        <v>29030</v>
      </c>
      <c r="AD293" s="3">
        <v>25990</v>
      </c>
      <c r="AE293" s="3">
        <v>256910</v>
      </c>
      <c r="AF293" s="3">
        <v>263478.67</v>
      </c>
      <c r="AG293" s="3">
        <v>1671.08</v>
      </c>
      <c r="AH293" s="40">
        <v>0.78129999999999999</v>
      </c>
      <c r="AI293" s="40">
        <v>0.78210000000000002</v>
      </c>
      <c r="AJ293" s="40">
        <v>0.77849999999999997</v>
      </c>
      <c r="AK293" s="40">
        <v>0.77159999999999995</v>
      </c>
      <c r="AL293" s="40">
        <v>0.73480000000000001</v>
      </c>
      <c r="AM293" s="40">
        <v>0.84409999999999996</v>
      </c>
      <c r="AN293" s="40">
        <v>0.8659</v>
      </c>
      <c r="AO293" s="40">
        <v>0.97050000000000003</v>
      </c>
      <c r="AP293" s="40">
        <v>0.84179999999999999</v>
      </c>
      <c r="AQ293" s="40">
        <v>0.86029999999999995</v>
      </c>
      <c r="AR293" s="31">
        <v>0.82691738229197498</v>
      </c>
      <c r="AS293" s="36">
        <v>4.4371002797202799</v>
      </c>
      <c r="AT293">
        <v>4.3099999999999996</v>
      </c>
      <c r="AU293">
        <v>4.51</v>
      </c>
      <c r="AV293">
        <v>4.38</v>
      </c>
      <c r="AW293">
        <v>4.3600000000000003</v>
      </c>
      <c r="AY293" s="6">
        <v>4.3899999999999997</v>
      </c>
      <c r="AZ293" s="2">
        <v>0.82310000000000005</v>
      </c>
      <c r="BA293" s="2">
        <v>1.01072899310257</v>
      </c>
      <c r="BB293" s="2">
        <v>1</v>
      </c>
      <c r="BC293">
        <v>71500</v>
      </c>
      <c r="BD293">
        <v>56992</v>
      </c>
      <c r="BE293">
        <v>24000</v>
      </c>
      <c r="BF293">
        <v>30030</v>
      </c>
      <c r="BG293" s="9" t="s">
        <v>152</v>
      </c>
    </row>
    <row r="294" spans="3:59" ht="375" x14ac:dyDescent="0.25">
      <c r="C294" s="1">
        <v>45914</v>
      </c>
      <c r="D294" s="36">
        <v>280814.82</v>
      </c>
      <c r="E294" s="33">
        <v>4.7433333333333296</v>
      </c>
      <c r="F294" s="33">
        <v>3.88811033333333</v>
      </c>
      <c r="G294" s="2">
        <v>0.81969999999999998</v>
      </c>
      <c r="H294" s="2">
        <v>0.99</v>
      </c>
      <c r="I294" s="3">
        <v>63821</v>
      </c>
      <c r="J294" s="3">
        <v>63816</v>
      </c>
      <c r="K294" s="3">
        <v>44177</v>
      </c>
      <c r="L294" s="3">
        <v>46345</v>
      </c>
      <c r="M294" s="3">
        <v>49746</v>
      </c>
      <c r="N294" s="3">
        <v>267905</v>
      </c>
      <c r="O294" s="3">
        <v>253883.83</v>
      </c>
      <c r="P294" s="3">
        <v>-14021.17</v>
      </c>
      <c r="Q294" s="3">
        <v>0</v>
      </c>
      <c r="R294" s="3">
        <v>267905</v>
      </c>
      <c r="S294" s="3">
        <v>267905</v>
      </c>
      <c r="T294" s="3">
        <v>253883.83</v>
      </c>
      <c r="U294" s="3">
        <v>28300</v>
      </c>
      <c r="V294" s="3">
        <v>27850</v>
      </c>
      <c r="W294" s="3">
        <v>25120</v>
      </c>
      <c r="X294" s="3">
        <v>31400</v>
      </c>
      <c r="Y294" s="3">
        <v>32320</v>
      </c>
      <c r="Z294" s="3">
        <v>24180</v>
      </c>
      <c r="AA294" s="3">
        <v>28150</v>
      </c>
      <c r="AB294" s="3">
        <v>28630</v>
      </c>
      <c r="AC294" s="3">
        <v>34080</v>
      </c>
      <c r="AD294" s="3">
        <v>29030</v>
      </c>
      <c r="AE294" s="3">
        <v>289060</v>
      </c>
      <c r="AF294" s="3">
        <v>289060</v>
      </c>
      <c r="AG294" s="3">
        <v>1728.1</v>
      </c>
      <c r="AH294" s="40">
        <v>0.87719999999999998</v>
      </c>
      <c r="AI294" s="40">
        <v>0.86309999999999998</v>
      </c>
      <c r="AJ294" s="40">
        <v>0.87580000000000002</v>
      </c>
      <c r="AK294" s="40">
        <v>0.86199999999999999</v>
      </c>
      <c r="AL294" s="40">
        <v>0.8911</v>
      </c>
      <c r="AM294" s="40">
        <v>0.63229999999999997</v>
      </c>
      <c r="AN294" s="40">
        <v>0.89059999999999995</v>
      </c>
      <c r="AO294" s="40">
        <v>0.86429999999999996</v>
      </c>
      <c r="AP294" s="40">
        <v>0.93430000000000002</v>
      </c>
      <c r="AQ294" s="40">
        <v>0.87639999999999996</v>
      </c>
      <c r="AR294" s="31">
        <v>1.07896455833224</v>
      </c>
      <c r="AS294" s="36">
        <v>3.7469230769230801</v>
      </c>
      <c r="AT294">
        <v>4.5599999999999996</v>
      </c>
      <c r="AU294">
        <v>4.76</v>
      </c>
      <c r="AV294">
        <v>4.76</v>
      </c>
      <c r="AW294">
        <v>4.78</v>
      </c>
      <c r="AY294" s="6">
        <v>4.7149999999999999</v>
      </c>
      <c r="AZ294" s="2">
        <v>0.85670000000000002</v>
      </c>
      <c r="BA294" s="2">
        <v>0.79468145852027094</v>
      </c>
      <c r="BB294" s="2">
        <v>1</v>
      </c>
      <c r="BC294">
        <v>71500</v>
      </c>
      <c r="BD294">
        <v>56992</v>
      </c>
      <c r="BE294">
        <v>24000</v>
      </c>
      <c r="BF294">
        <v>30030</v>
      </c>
      <c r="BG294" s="9" t="s">
        <v>152</v>
      </c>
    </row>
    <row r="295" spans="3:59" ht="375" x14ac:dyDescent="0.25">
      <c r="C295" s="1">
        <v>45915</v>
      </c>
      <c r="D295" s="36">
        <v>280814.82</v>
      </c>
      <c r="E295" s="33">
        <v>4.7433333333333296</v>
      </c>
      <c r="F295" s="33">
        <v>3.88811033333333</v>
      </c>
      <c r="G295" s="2">
        <v>0.81969999999999998</v>
      </c>
      <c r="H295" s="2">
        <v>0.99</v>
      </c>
      <c r="I295" s="3">
        <v>63771</v>
      </c>
      <c r="J295" s="3">
        <v>63873</v>
      </c>
      <c r="K295" s="3">
        <v>43115</v>
      </c>
      <c r="L295" s="3">
        <v>46486</v>
      </c>
      <c r="M295" s="3">
        <v>52696</v>
      </c>
      <c r="N295" s="3">
        <v>269941</v>
      </c>
      <c r="O295" s="3">
        <v>248491.33</v>
      </c>
      <c r="P295" s="3">
        <v>-21449.67</v>
      </c>
      <c r="Q295" s="3">
        <v>0</v>
      </c>
      <c r="R295" s="3">
        <v>269941</v>
      </c>
      <c r="S295" s="3">
        <v>269941</v>
      </c>
      <c r="T295" s="3">
        <v>248491.33</v>
      </c>
      <c r="U295" s="3">
        <v>21650</v>
      </c>
      <c r="V295" s="3">
        <v>21520</v>
      </c>
      <c r="W295" s="3">
        <v>19240</v>
      </c>
      <c r="X295" s="3">
        <v>24640</v>
      </c>
      <c r="Y295" s="3">
        <v>24610</v>
      </c>
      <c r="Z295" s="3">
        <v>26090</v>
      </c>
      <c r="AA295" s="3">
        <v>21640</v>
      </c>
      <c r="AB295" s="3">
        <v>21830</v>
      </c>
      <c r="AC295" s="3">
        <v>24330</v>
      </c>
      <c r="AD295" s="3">
        <v>22540</v>
      </c>
      <c r="AE295" s="3">
        <v>228090</v>
      </c>
      <c r="AF295" s="3">
        <v>228090</v>
      </c>
      <c r="AG295" s="3">
        <v>1264.29</v>
      </c>
      <c r="AH295" s="40">
        <v>0.91359999999999997</v>
      </c>
      <c r="AI295" s="40">
        <v>0.9083</v>
      </c>
      <c r="AJ295" s="40">
        <v>0.91349999999999998</v>
      </c>
      <c r="AK295" s="40">
        <v>0.92130000000000001</v>
      </c>
      <c r="AL295" s="40">
        <v>0.9335</v>
      </c>
      <c r="AM295" s="40">
        <v>0.92920000000000003</v>
      </c>
      <c r="AN295" s="40">
        <v>0.94640000000000002</v>
      </c>
      <c r="AO295" s="40">
        <v>0.89749999999999996</v>
      </c>
      <c r="AP295" s="40">
        <v>0.92159999999999997</v>
      </c>
      <c r="AQ295" s="40">
        <v>0.92669999999999997</v>
      </c>
      <c r="AR295" s="31">
        <v>0.8449624177135</v>
      </c>
      <c r="AS295" s="36">
        <v>3.7753986013985998</v>
      </c>
      <c r="AT295">
        <v>3.3</v>
      </c>
      <c r="AU295">
        <v>3.46</v>
      </c>
      <c r="AV295">
        <v>3.52</v>
      </c>
      <c r="AW295">
        <v>3.51</v>
      </c>
      <c r="AY295" s="6">
        <v>3.4474999999999998</v>
      </c>
      <c r="AZ295" s="2">
        <v>0.92120000000000002</v>
      </c>
      <c r="BA295" s="2">
        <v>1.0951119946043799</v>
      </c>
      <c r="BB295" s="2">
        <v>1</v>
      </c>
      <c r="BC295">
        <v>71500</v>
      </c>
      <c r="BD295">
        <v>56992</v>
      </c>
      <c r="BE295">
        <v>24000</v>
      </c>
      <c r="BF295">
        <v>29854</v>
      </c>
      <c r="BG295" s="9" t="s">
        <v>152</v>
      </c>
    </row>
    <row r="296" spans="3:59" ht="375" x14ac:dyDescent="0.25">
      <c r="C296" s="1">
        <v>45916</v>
      </c>
      <c r="D296" s="36">
        <v>280814.82</v>
      </c>
      <c r="E296" s="33">
        <v>4.7433333333333296</v>
      </c>
      <c r="F296" s="33">
        <v>3.88811033333333</v>
      </c>
      <c r="G296" s="2">
        <v>0.81969999999999998</v>
      </c>
      <c r="H296" s="2">
        <v>0.99</v>
      </c>
      <c r="I296" s="3">
        <v>34738</v>
      </c>
      <c r="J296" s="3">
        <v>64491</v>
      </c>
      <c r="K296" s="3">
        <v>33575</v>
      </c>
      <c r="L296" s="3">
        <v>38432</v>
      </c>
      <c r="M296" s="3">
        <v>42322</v>
      </c>
      <c r="N296" s="3">
        <v>213558</v>
      </c>
      <c r="O296" s="3">
        <v>203642.33</v>
      </c>
      <c r="P296" s="3">
        <v>-9915.6700000000092</v>
      </c>
      <c r="Q296" s="3">
        <v>0</v>
      </c>
      <c r="R296" s="3">
        <v>213558</v>
      </c>
      <c r="S296" s="3">
        <v>213558</v>
      </c>
      <c r="T296" s="3">
        <v>203642.33</v>
      </c>
      <c r="U296" s="3">
        <v>22000</v>
      </c>
      <c r="V296" s="3">
        <v>21490</v>
      </c>
      <c r="W296" s="3">
        <v>19750</v>
      </c>
      <c r="X296" s="3">
        <v>24270</v>
      </c>
      <c r="Y296" s="3">
        <v>25040</v>
      </c>
      <c r="Z296" s="3">
        <v>26600</v>
      </c>
      <c r="AA296" s="3">
        <v>22090</v>
      </c>
      <c r="AB296" s="3">
        <v>22570</v>
      </c>
      <c r="AC296" s="3">
        <v>24450</v>
      </c>
      <c r="AD296" s="3">
        <v>23060</v>
      </c>
      <c r="AE296" s="3">
        <v>231320</v>
      </c>
      <c r="AF296" s="3">
        <v>231320</v>
      </c>
      <c r="AG296" s="3">
        <v>1704.52</v>
      </c>
      <c r="AH296" s="40">
        <v>0.82089999999999996</v>
      </c>
      <c r="AI296" s="40">
        <v>0.80189999999999995</v>
      </c>
      <c r="AJ296" s="40">
        <v>0.82909999999999995</v>
      </c>
      <c r="AK296" s="40">
        <v>0.80220000000000002</v>
      </c>
      <c r="AL296" s="40">
        <v>0.81940000000000002</v>
      </c>
      <c r="AM296" s="40">
        <v>0.83740000000000003</v>
      </c>
      <c r="AN296" s="40">
        <v>0.81299999999999994</v>
      </c>
      <c r="AO296" s="40">
        <v>0.82050000000000001</v>
      </c>
      <c r="AP296" s="40">
        <v>0.77949999999999997</v>
      </c>
      <c r="AQ296" s="40">
        <v>0.83830000000000005</v>
      </c>
      <c r="AR296" s="31">
        <v>1.0831717847142199</v>
      </c>
      <c r="AS296" s="36">
        <v>2.98682517482517</v>
      </c>
      <c r="AT296">
        <v>3.92</v>
      </c>
      <c r="AU296">
        <v>4.01</v>
      </c>
      <c r="AV296">
        <v>3.89</v>
      </c>
      <c r="AW296">
        <v>3.97</v>
      </c>
      <c r="AY296" s="6">
        <v>3.9474999999999998</v>
      </c>
      <c r="AZ296" s="2">
        <v>0.81620000000000004</v>
      </c>
      <c r="BA296" s="2">
        <v>0.756637156383831</v>
      </c>
      <c r="BB296" s="2">
        <v>1</v>
      </c>
      <c r="BC296">
        <v>71500</v>
      </c>
      <c r="BD296">
        <v>56992</v>
      </c>
      <c r="BE296">
        <v>24000</v>
      </c>
      <c r="BF296">
        <v>28495</v>
      </c>
      <c r="BG296" s="9" t="s">
        <v>152</v>
      </c>
    </row>
    <row r="297" spans="3:59" ht="409.5" x14ac:dyDescent="0.25">
      <c r="C297" s="1">
        <v>45917</v>
      </c>
      <c r="D297" s="36">
        <v>280814.82</v>
      </c>
      <c r="E297" s="33">
        <v>4.7433333333333296</v>
      </c>
      <c r="F297" s="33">
        <v>3.88811033333333</v>
      </c>
      <c r="G297" s="2">
        <v>0.81969999999999998</v>
      </c>
      <c r="H297" s="2">
        <v>0.99</v>
      </c>
      <c r="I297" s="3">
        <v>8257</v>
      </c>
      <c r="J297" s="3">
        <v>41870</v>
      </c>
      <c r="K297" s="3">
        <v>15922</v>
      </c>
      <c r="L297" s="3">
        <v>22893</v>
      </c>
      <c r="M297" s="3">
        <v>25166</v>
      </c>
      <c r="N297" s="3">
        <v>114108</v>
      </c>
      <c r="O297" s="3">
        <v>103290</v>
      </c>
      <c r="P297" s="3">
        <v>-10818</v>
      </c>
      <c r="Q297" s="3">
        <v>0</v>
      </c>
      <c r="R297" s="3">
        <v>114108</v>
      </c>
      <c r="S297" s="3">
        <v>114108</v>
      </c>
      <c r="T297" s="3">
        <v>103290</v>
      </c>
      <c r="U297" s="3">
        <v>12460</v>
      </c>
      <c r="V297" s="3">
        <v>12330</v>
      </c>
      <c r="W297" s="3">
        <v>11180</v>
      </c>
      <c r="X297" s="3">
        <v>14000</v>
      </c>
      <c r="Y297" s="3">
        <v>14370</v>
      </c>
      <c r="Z297" s="3">
        <v>15830</v>
      </c>
      <c r="AA297" s="3">
        <v>13040</v>
      </c>
      <c r="AB297" s="3">
        <v>13360</v>
      </c>
      <c r="AC297" s="3">
        <v>16000</v>
      </c>
      <c r="AD297" s="3">
        <v>13640</v>
      </c>
      <c r="AE297" s="3">
        <v>136210</v>
      </c>
      <c r="AF297" s="3">
        <v>136210</v>
      </c>
      <c r="AG297" s="3">
        <v>1623.95</v>
      </c>
      <c r="AH297" s="40">
        <v>0.83889999999999998</v>
      </c>
      <c r="AI297" s="40">
        <v>0.83020000000000005</v>
      </c>
      <c r="AJ297" s="40">
        <v>0.84660000000000002</v>
      </c>
      <c r="AK297" s="40">
        <v>0.83509999999999995</v>
      </c>
      <c r="AL297" s="40">
        <v>0.8609</v>
      </c>
      <c r="AM297" s="40">
        <v>0.89939999999999998</v>
      </c>
      <c r="AN297" s="40">
        <v>0.88780000000000003</v>
      </c>
      <c r="AO297" s="40">
        <v>0.876</v>
      </c>
      <c r="AP297" s="40">
        <v>0.94320000000000004</v>
      </c>
      <c r="AQ297" s="40">
        <v>0.89459999999999995</v>
      </c>
      <c r="AR297" s="31">
        <v>1.1936936936936899</v>
      </c>
      <c r="AS297" s="36">
        <v>1.59591608391608</v>
      </c>
      <c r="AT297">
        <v>2.12</v>
      </c>
      <c r="AU297">
        <v>2.19</v>
      </c>
      <c r="AV297">
        <v>2.15</v>
      </c>
      <c r="AW297">
        <v>2.2000000000000002</v>
      </c>
      <c r="AY297" s="6">
        <v>2.165</v>
      </c>
      <c r="AZ297" s="2">
        <v>0.87129999999999996</v>
      </c>
      <c r="BA297" s="2">
        <v>0.73714368772105499</v>
      </c>
      <c r="BB297" s="2">
        <v>1</v>
      </c>
      <c r="BC297">
        <v>71500</v>
      </c>
      <c r="BD297">
        <v>56992</v>
      </c>
      <c r="BE297">
        <v>12000</v>
      </c>
      <c r="BF297">
        <v>28878</v>
      </c>
      <c r="BG297" s="9" t="s">
        <v>166</v>
      </c>
    </row>
    <row r="298" spans="3:59" ht="375" x14ac:dyDescent="0.25">
      <c r="C298" s="1">
        <v>45918</v>
      </c>
      <c r="D298" s="36">
        <v>280814.82</v>
      </c>
      <c r="E298" s="33">
        <v>4.7433333333333296</v>
      </c>
      <c r="F298" s="33">
        <v>3.88811033333333</v>
      </c>
      <c r="G298" s="2">
        <v>0.81969999999999998</v>
      </c>
      <c r="H298" s="2">
        <v>0.99</v>
      </c>
      <c r="I298" s="3">
        <v>51970</v>
      </c>
      <c r="J298" s="3">
        <v>52160</v>
      </c>
      <c r="K298" s="3">
        <v>35751</v>
      </c>
      <c r="L298" s="3">
        <v>41278</v>
      </c>
      <c r="M298" s="3">
        <v>42034</v>
      </c>
      <c r="N298" s="3">
        <v>223193</v>
      </c>
      <c r="O298" s="3">
        <v>204350.67</v>
      </c>
      <c r="P298" s="3">
        <v>-18842.330000000002</v>
      </c>
      <c r="Q298" s="3">
        <v>0</v>
      </c>
      <c r="R298" s="3">
        <v>223193</v>
      </c>
      <c r="S298" s="3">
        <v>223193</v>
      </c>
      <c r="T298" s="3">
        <v>204350.67</v>
      </c>
      <c r="U298" s="3">
        <v>17750</v>
      </c>
      <c r="V298" s="3">
        <v>17630</v>
      </c>
      <c r="W298" s="3">
        <v>15770</v>
      </c>
      <c r="X298" s="3">
        <v>19670</v>
      </c>
      <c r="Y298" s="3">
        <v>20390</v>
      </c>
      <c r="Z298" s="3">
        <v>21670</v>
      </c>
      <c r="AA298" s="3">
        <v>18270</v>
      </c>
      <c r="AB298" s="3">
        <v>18360</v>
      </c>
      <c r="AC298" s="3">
        <v>21300</v>
      </c>
      <c r="AD298" s="3">
        <v>19090</v>
      </c>
      <c r="AE298" s="3">
        <v>189900</v>
      </c>
      <c r="AF298" s="3">
        <v>189900</v>
      </c>
      <c r="AG298" s="3">
        <v>1774.1</v>
      </c>
      <c r="AH298" s="40">
        <v>0.90680000000000005</v>
      </c>
      <c r="AI298" s="40">
        <v>0.90059999999999996</v>
      </c>
      <c r="AJ298" s="40">
        <v>0.90600000000000003</v>
      </c>
      <c r="AK298" s="40">
        <v>0.89019999999999999</v>
      </c>
      <c r="AL298" s="40">
        <v>0.90390000000000004</v>
      </c>
      <c r="AM298" s="40">
        <v>0.93389999999999995</v>
      </c>
      <c r="AN298" s="40">
        <v>0.91520000000000001</v>
      </c>
      <c r="AO298" s="40">
        <v>0.91369999999999996</v>
      </c>
      <c r="AP298" s="40">
        <v>0.92449999999999999</v>
      </c>
      <c r="AQ298" s="40">
        <v>0.94979999999999998</v>
      </c>
      <c r="AR298" s="31">
        <v>0.85083313544779604</v>
      </c>
      <c r="AS298" s="36">
        <v>3.12158041958042</v>
      </c>
      <c r="AT298">
        <v>2.88</v>
      </c>
      <c r="AU298">
        <v>2.96</v>
      </c>
      <c r="AV298">
        <v>2.93</v>
      </c>
      <c r="AW298">
        <v>2.9</v>
      </c>
      <c r="AY298" s="6">
        <v>2.9175</v>
      </c>
      <c r="AZ298" s="2">
        <v>0.91449999999999998</v>
      </c>
      <c r="BA298" s="2">
        <v>1.0699504437293601</v>
      </c>
      <c r="BB298" s="2">
        <v>1</v>
      </c>
      <c r="BC298">
        <v>71500</v>
      </c>
      <c r="BD298">
        <v>56992</v>
      </c>
      <c r="BE298">
        <v>24000</v>
      </c>
      <c r="BF298">
        <v>30030</v>
      </c>
      <c r="BG298" s="9" t="s">
        <v>152</v>
      </c>
    </row>
    <row r="299" spans="3:59" ht="375" x14ac:dyDescent="0.25">
      <c r="C299" s="1">
        <v>45919</v>
      </c>
      <c r="D299" s="36">
        <v>280814.82</v>
      </c>
      <c r="E299" s="33">
        <v>4.7433333333333296</v>
      </c>
      <c r="F299" s="33">
        <v>3.88811033333333</v>
      </c>
      <c r="G299" s="2">
        <v>0.81969999999999998</v>
      </c>
      <c r="H299" s="2">
        <v>0.99</v>
      </c>
      <c r="I299" s="3">
        <v>66612</v>
      </c>
      <c r="J299" s="3">
        <v>66673</v>
      </c>
      <c r="K299" s="3">
        <v>49519</v>
      </c>
      <c r="L299" s="3">
        <v>53364</v>
      </c>
      <c r="M299" s="3">
        <v>54110</v>
      </c>
      <c r="N299" s="3">
        <v>290278</v>
      </c>
      <c r="O299" s="3">
        <v>298735.5</v>
      </c>
      <c r="P299" s="3">
        <v>8457.5</v>
      </c>
      <c r="Q299" s="3">
        <v>8457.5</v>
      </c>
      <c r="R299" s="3">
        <v>298735.5</v>
      </c>
      <c r="S299" s="3">
        <v>298735.5</v>
      </c>
      <c r="T299" s="3">
        <v>297988.66125</v>
      </c>
      <c r="U299" s="3">
        <v>27010</v>
      </c>
      <c r="V299" s="3">
        <v>27350</v>
      </c>
      <c r="W299" s="3">
        <v>23320</v>
      </c>
      <c r="X299" s="3">
        <v>29690</v>
      </c>
      <c r="Y299" s="3">
        <v>29810</v>
      </c>
      <c r="Z299" s="3">
        <v>35150</v>
      </c>
      <c r="AA299" s="3">
        <v>29090</v>
      </c>
      <c r="AB299" s="3">
        <v>30090</v>
      </c>
      <c r="AC299" s="3">
        <v>32930</v>
      </c>
      <c r="AD299" s="3">
        <v>31380</v>
      </c>
      <c r="AE299" s="3">
        <v>295820</v>
      </c>
      <c r="AF299" s="3">
        <v>304277.5</v>
      </c>
      <c r="AG299" s="3">
        <v>1444.73</v>
      </c>
      <c r="AH299" s="40">
        <v>0.78149999999999997</v>
      </c>
      <c r="AI299" s="40">
        <v>0.7913</v>
      </c>
      <c r="AJ299" s="40">
        <v>0.7591</v>
      </c>
      <c r="AK299" s="40">
        <v>0.76100000000000001</v>
      </c>
      <c r="AL299" s="40">
        <v>0.77929999999999999</v>
      </c>
      <c r="AM299" s="40">
        <v>0.85829999999999995</v>
      </c>
      <c r="AN299" s="40">
        <v>0.83109999999999995</v>
      </c>
      <c r="AO299" s="40">
        <v>0.84799999999999998</v>
      </c>
      <c r="AP299" s="40">
        <v>0.81499999999999995</v>
      </c>
      <c r="AQ299" s="40">
        <v>0.88429999999999997</v>
      </c>
      <c r="AR299" s="31">
        <v>1.01909204280035</v>
      </c>
      <c r="AS299" s="36">
        <v>4.1781188811188796</v>
      </c>
      <c r="AT299">
        <v>5.05</v>
      </c>
      <c r="AU299">
        <v>5.0199999999999996</v>
      </c>
      <c r="AV299">
        <v>5.25</v>
      </c>
      <c r="AW299">
        <v>5.12</v>
      </c>
      <c r="AY299" s="6">
        <v>5.1100000000000003</v>
      </c>
      <c r="AZ299" s="2">
        <v>0.81089999999999995</v>
      </c>
      <c r="BA299" s="2">
        <v>0.81763578886866595</v>
      </c>
      <c r="BB299" s="2">
        <v>0.99750000000000005</v>
      </c>
      <c r="BC299">
        <v>71500</v>
      </c>
      <c r="BD299">
        <v>56992</v>
      </c>
      <c r="BE299">
        <v>24000</v>
      </c>
      <c r="BF299">
        <v>30030</v>
      </c>
      <c r="BG299" s="9" t="s">
        <v>152</v>
      </c>
    </row>
    <row r="300" spans="3:59" ht="375" x14ac:dyDescent="0.25">
      <c r="C300" s="1">
        <v>45920</v>
      </c>
      <c r="D300" s="36">
        <v>280814.82</v>
      </c>
      <c r="E300" s="33">
        <v>4.7433333333333296</v>
      </c>
      <c r="F300" s="33">
        <v>3.88811033333333</v>
      </c>
      <c r="G300" s="2">
        <v>0.81969999999999998</v>
      </c>
      <c r="H300" s="2">
        <v>0.99</v>
      </c>
      <c r="I300" s="3">
        <v>48790</v>
      </c>
      <c r="J300" s="3">
        <v>48822</v>
      </c>
      <c r="K300" s="3">
        <v>32017</v>
      </c>
      <c r="L300" s="3">
        <v>36797</v>
      </c>
      <c r="M300" s="3">
        <v>39084</v>
      </c>
      <c r="N300" s="3">
        <v>205510</v>
      </c>
      <c r="O300" s="3">
        <v>195101.83</v>
      </c>
      <c r="P300" s="3">
        <v>-10408.17</v>
      </c>
      <c r="Q300" s="3">
        <v>0</v>
      </c>
      <c r="R300" s="3">
        <v>205510</v>
      </c>
      <c r="S300" s="3">
        <v>205510</v>
      </c>
      <c r="T300" s="3">
        <v>194614.07542499999</v>
      </c>
      <c r="U300" s="3">
        <v>22120</v>
      </c>
      <c r="V300" s="3">
        <v>22140</v>
      </c>
      <c r="W300" s="3">
        <v>19210</v>
      </c>
      <c r="X300" s="3">
        <v>23940</v>
      </c>
      <c r="Y300" s="3">
        <v>24660</v>
      </c>
      <c r="Z300" s="3">
        <v>26250</v>
      </c>
      <c r="AA300" s="3">
        <v>21950</v>
      </c>
      <c r="AB300" s="3">
        <v>22310</v>
      </c>
      <c r="AC300" s="3">
        <v>24980</v>
      </c>
      <c r="AD300" s="3">
        <v>23080</v>
      </c>
      <c r="AE300" s="3">
        <v>230640</v>
      </c>
      <c r="AF300" s="3">
        <v>230640</v>
      </c>
      <c r="AG300" s="3">
        <v>1509.36</v>
      </c>
      <c r="AH300" s="40">
        <v>0.85550000000000004</v>
      </c>
      <c r="AI300" s="40">
        <v>0.85629999999999995</v>
      </c>
      <c r="AJ300" s="40">
        <v>0.83589999999999998</v>
      </c>
      <c r="AK300" s="40">
        <v>0.82010000000000005</v>
      </c>
      <c r="AL300" s="40">
        <v>0.84040000000000004</v>
      </c>
      <c r="AM300" s="40">
        <v>0.85660000000000003</v>
      </c>
      <c r="AN300" s="40">
        <v>0.89490000000000003</v>
      </c>
      <c r="AO300" s="40">
        <v>0.84060000000000001</v>
      </c>
      <c r="AP300" s="40">
        <v>0.8821</v>
      </c>
      <c r="AQ300" s="40">
        <v>0.86939999999999995</v>
      </c>
      <c r="AR300" s="31">
        <v>1.1222811542017399</v>
      </c>
      <c r="AS300" s="36">
        <v>2.8742657342657298</v>
      </c>
      <c r="AT300">
        <v>3.54</v>
      </c>
      <c r="AU300">
        <v>3.85</v>
      </c>
      <c r="AV300">
        <v>3.67</v>
      </c>
      <c r="AW300">
        <v>3.83</v>
      </c>
      <c r="AY300" s="6">
        <v>3.7225000000000001</v>
      </c>
      <c r="AZ300" s="2">
        <v>0.85519999999999996</v>
      </c>
      <c r="BA300" s="2">
        <v>0.77213317240180901</v>
      </c>
      <c r="BB300" s="2">
        <v>0.99750000000000005</v>
      </c>
      <c r="BC300">
        <v>71500</v>
      </c>
      <c r="BD300">
        <v>56992</v>
      </c>
      <c r="BE300">
        <v>24000</v>
      </c>
      <c r="BF300">
        <v>30030</v>
      </c>
      <c r="BG300" s="9" t="s">
        <v>152</v>
      </c>
    </row>
    <row r="301" spans="3:59" ht="375" x14ac:dyDescent="0.25">
      <c r="C301" s="1">
        <v>45921</v>
      </c>
      <c r="D301" s="36">
        <v>280814.82</v>
      </c>
      <c r="E301" s="33">
        <v>4.7433333333333296</v>
      </c>
      <c r="F301" s="33">
        <v>3.88811033333333</v>
      </c>
      <c r="G301" s="2">
        <v>0.81969999999999998</v>
      </c>
      <c r="H301" s="2">
        <v>0.99</v>
      </c>
      <c r="I301" s="3">
        <v>76073</v>
      </c>
      <c r="J301" s="3">
        <v>76173</v>
      </c>
      <c r="K301" s="3">
        <v>54637</v>
      </c>
      <c r="L301" s="3">
        <v>57712</v>
      </c>
      <c r="M301" s="3">
        <v>57922</v>
      </c>
      <c r="N301" s="3">
        <v>322517</v>
      </c>
      <c r="O301" s="3">
        <v>333266.17</v>
      </c>
      <c r="P301" s="3">
        <v>10749.17</v>
      </c>
      <c r="Q301" s="3">
        <v>10749.17</v>
      </c>
      <c r="R301" s="3">
        <v>333266.17</v>
      </c>
      <c r="S301" s="3">
        <v>333266.17</v>
      </c>
      <c r="T301" s="3">
        <v>332433.00457500003</v>
      </c>
      <c r="U301" s="3">
        <v>26400</v>
      </c>
      <c r="V301" s="3">
        <v>26290</v>
      </c>
      <c r="W301" s="3">
        <v>23170</v>
      </c>
      <c r="X301" s="3">
        <v>28760</v>
      </c>
      <c r="Y301" s="3">
        <v>30590</v>
      </c>
      <c r="Z301" s="3">
        <v>33320</v>
      </c>
      <c r="AA301" s="3">
        <v>28370</v>
      </c>
      <c r="AB301" s="3">
        <v>27830</v>
      </c>
      <c r="AC301" s="3">
        <v>30010</v>
      </c>
      <c r="AD301" s="3">
        <v>28960</v>
      </c>
      <c r="AE301" s="3">
        <v>283700</v>
      </c>
      <c r="AF301" s="3">
        <v>294449.17</v>
      </c>
      <c r="AG301" s="3">
        <v>1658.15</v>
      </c>
      <c r="AH301" s="40">
        <v>0.83760000000000001</v>
      </c>
      <c r="AI301" s="40">
        <v>0.83389999999999997</v>
      </c>
      <c r="AJ301" s="40">
        <v>0.82689999999999997</v>
      </c>
      <c r="AK301" s="40">
        <v>0.80810000000000004</v>
      </c>
      <c r="AL301" s="40">
        <v>0.80769999999999997</v>
      </c>
      <c r="AM301" s="40">
        <v>0.89190000000000003</v>
      </c>
      <c r="AN301" s="40">
        <v>0.88039999999999996</v>
      </c>
      <c r="AO301" s="40">
        <v>0.85980000000000001</v>
      </c>
      <c r="AP301" s="40">
        <v>0.80669999999999997</v>
      </c>
      <c r="AQ301" s="40">
        <v>0.89490000000000003</v>
      </c>
      <c r="AR301" s="31">
        <v>0.87964355367313996</v>
      </c>
      <c r="AS301" s="36">
        <v>4.6610653146853096</v>
      </c>
      <c r="AT301">
        <v>4.6500000000000004</v>
      </c>
      <c r="AU301">
        <v>4.97</v>
      </c>
      <c r="AV301">
        <v>4.7699999999999996</v>
      </c>
      <c r="AW301">
        <v>4.67</v>
      </c>
      <c r="AY301" s="6">
        <v>4.7649999999999997</v>
      </c>
      <c r="AZ301" s="2">
        <v>0.8448</v>
      </c>
      <c r="BA301" s="2">
        <v>0.978187893952846</v>
      </c>
      <c r="BB301" s="2">
        <v>0.99750000000000005</v>
      </c>
      <c r="BC301">
        <v>71500</v>
      </c>
      <c r="BD301">
        <v>56992</v>
      </c>
      <c r="BE301">
        <v>24000</v>
      </c>
      <c r="BF301">
        <v>30030</v>
      </c>
      <c r="BG301" s="9" t="s">
        <v>152</v>
      </c>
    </row>
    <row r="302" spans="3:59" ht="409.5" x14ac:dyDescent="0.25">
      <c r="C302" s="1">
        <v>45922</v>
      </c>
      <c r="D302" s="36">
        <v>280814.82</v>
      </c>
      <c r="E302" s="33">
        <v>4.7433333333333296</v>
      </c>
      <c r="F302" s="33">
        <v>3.88811033333333</v>
      </c>
      <c r="G302" s="2">
        <v>0.81969999999999998</v>
      </c>
      <c r="H302" s="2">
        <v>0.99</v>
      </c>
      <c r="I302" s="3">
        <v>25952</v>
      </c>
      <c r="J302" s="3">
        <v>95492</v>
      </c>
      <c r="K302" s="3">
        <v>62043</v>
      </c>
      <c r="L302" s="3">
        <v>65598</v>
      </c>
      <c r="M302" s="3">
        <v>64770</v>
      </c>
      <c r="N302" s="3">
        <v>313855</v>
      </c>
      <c r="O302" s="3">
        <v>372014.67</v>
      </c>
      <c r="P302" s="3">
        <v>58159.67</v>
      </c>
      <c r="Q302" s="3">
        <v>58159.67</v>
      </c>
      <c r="R302" s="3">
        <v>372014.67</v>
      </c>
      <c r="S302" s="3">
        <v>372014.67</v>
      </c>
      <c r="T302" s="3">
        <v>371084.633325</v>
      </c>
      <c r="U302" s="3">
        <v>24900</v>
      </c>
      <c r="V302" s="3">
        <v>25650</v>
      </c>
      <c r="W302" s="3">
        <v>22290</v>
      </c>
      <c r="X302" s="3">
        <v>28290</v>
      </c>
      <c r="Y302" s="3">
        <v>28230</v>
      </c>
      <c r="Z302" s="3">
        <v>41310</v>
      </c>
      <c r="AA302" s="3">
        <v>34330</v>
      </c>
      <c r="AB302" s="3">
        <v>34760</v>
      </c>
      <c r="AC302" s="3">
        <v>38620</v>
      </c>
      <c r="AD302" s="3">
        <v>36100</v>
      </c>
      <c r="AE302" s="3">
        <v>314480</v>
      </c>
      <c r="AF302" s="3">
        <v>372639.67</v>
      </c>
      <c r="AG302" s="3">
        <v>1604.13</v>
      </c>
      <c r="AH302" s="40">
        <v>0.59009999999999996</v>
      </c>
      <c r="AI302" s="40">
        <v>0.60799999999999998</v>
      </c>
      <c r="AJ302" s="40">
        <v>0.59430000000000005</v>
      </c>
      <c r="AK302" s="40">
        <v>0.59399999999999997</v>
      </c>
      <c r="AL302" s="40">
        <v>0.59850000000000003</v>
      </c>
      <c r="AM302" s="40">
        <v>0.82630000000000003</v>
      </c>
      <c r="AN302" s="40">
        <v>0.82420000000000004</v>
      </c>
      <c r="AO302" s="40">
        <v>0.80259999999999998</v>
      </c>
      <c r="AP302" s="40">
        <v>0.80330000000000001</v>
      </c>
      <c r="AQ302" s="40">
        <v>0.83360000000000001</v>
      </c>
      <c r="AR302" s="31">
        <v>1.0019913654394501</v>
      </c>
      <c r="AS302" s="36">
        <v>5.2030023776223802</v>
      </c>
      <c r="AT302">
        <v>6.01</v>
      </c>
      <c r="AU302">
        <v>6.19</v>
      </c>
      <c r="AV302">
        <v>6.31</v>
      </c>
      <c r="AW302">
        <v>6.25</v>
      </c>
      <c r="AY302" s="6">
        <v>6.19</v>
      </c>
      <c r="AZ302" s="2">
        <v>0.70750000000000002</v>
      </c>
      <c r="BA302" s="2">
        <v>0.840549657128009</v>
      </c>
      <c r="BB302" s="2">
        <v>0.99750000000000005</v>
      </c>
      <c r="BC302">
        <v>71500</v>
      </c>
      <c r="BD302">
        <v>56992</v>
      </c>
      <c r="BE302">
        <v>17817</v>
      </c>
      <c r="BF302">
        <v>30030</v>
      </c>
      <c r="BG302" s="9" t="s">
        <v>167</v>
      </c>
    </row>
    <row r="303" spans="3:59" ht="409.5" x14ac:dyDescent="0.25">
      <c r="C303" s="1">
        <v>45923</v>
      </c>
      <c r="D303" s="36">
        <v>280814.82</v>
      </c>
      <c r="E303" s="33">
        <v>4.7433333333333296</v>
      </c>
      <c r="F303" s="33">
        <v>3.88811033333333</v>
      </c>
      <c r="G303" s="2">
        <v>0.81969999999999998</v>
      </c>
      <c r="H303" s="2">
        <v>0.99</v>
      </c>
      <c r="I303" s="3">
        <v>0</v>
      </c>
      <c r="J303" s="3">
        <v>115755</v>
      </c>
      <c r="K303" s="3">
        <v>77338</v>
      </c>
      <c r="L303" s="3">
        <v>78085</v>
      </c>
      <c r="M303" s="3">
        <v>53930</v>
      </c>
      <c r="N303" s="3">
        <v>325108</v>
      </c>
      <c r="O303" s="3">
        <v>394129.83</v>
      </c>
      <c r="P303" s="3">
        <v>69021.83</v>
      </c>
      <c r="Q303" s="3">
        <v>69021.83</v>
      </c>
      <c r="R303" s="3">
        <v>394129.83</v>
      </c>
      <c r="S303" s="3">
        <v>394129.83</v>
      </c>
      <c r="T303" s="3">
        <v>393144.50542499998</v>
      </c>
      <c r="U303" s="3">
        <v>21180</v>
      </c>
      <c r="V303" s="3">
        <v>21160</v>
      </c>
      <c r="W303" s="3">
        <v>19570</v>
      </c>
      <c r="X303" s="3">
        <v>24840</v>
      </c>
      <c r="Y303" s="3">
        <v>24900</v>
      </c>
      <c r="Z303" s="3">
        <v>45370</v>
      </c>
      <c r="AA303" s="3">
        <v>37320</v>
      </c>
      <c r="AB303" s="3">
        <v>37980</v>
      </c>
      <c r="AC303" s="3">
        <v>42300</v>
      </c>
      <c r="AD303" s="3">
        <v>38970</v>
      </c>
      <c r="AE303" s="3">
        <v>313590</v>
      </c>
      <c r="AF303" s="3">
        <v>382611.83</v>
      </c>
      <c r="AG303" s="3">
        <v>1228.82</v>
      </c>
      <c r="AH303" s="40">
        <v>0.46560000000000001</v>
      </c>
      <c r="AI303" s="40">
        <v>0.46500000000000002</v>
      </c>
      <c r="AJ303" s="40">
        <v>0.4839</v>
      </c>
      <c r="AK303" s="40">
        <v>0.48370000000000002</v>
      </c>
      <c r="AL303" s="40">
        <v>0.48620000000000002</v>
      </c>
      <c r="AM303" s="40">
        <v>0.84130000000000005</v>
      </c>
      <c r="AN303" s="40">
        <v>0.81479999999999997</v>
      </c>
      <c r="AO303" s="40">
        <v>0.81320000000000003</v>
      </c>
      <c r="AP303" s="40">
        <v>0.8</v>
      </c>
      <c r="AQ303" s="40">
        <v>0.83440000000000003</v>
      </c>
      <c r="AR303" s="31">
        <v>0.96457177307233299</v>
      </c>
      <c r="AS303" s="36">
        <v>5.5123053146853103</v>
      </c>
      <c r="AT303">
        <v>6.61</v>
      </c>
      <c r="AU303">
        <v>6.72</v>
      </c>
      <c r="AV303">
        <v>6.87</v>
      </c>
      <c r="AW303">
        <v>6.74</v>
      </c>
      <c r="AY303" s="6">
        <v>6.7350000000000003</v>
      </c>
      <c r="AZ303" s="2">
        <v>0.64880000000000004</v>
      </c>
      <c r="BA303" s="2">
        <v>0.81845661687978</v>
      </c>
      <c r="BB303" s="2">
        <v>0.99750000000000005</v>
      </c>
      <c r="BC303">
        <v>71500</v>
      </c>
      <c r="BD303">
        <v>56992</v>
      </c>
      <c r="BE303">
        <v>12000</v>
      </c>
      <c r="BF303">
        <v>29804</v>
      </c>
      <c r="BG303" s="9" t="s">
        <v>168</v>
      </c>
    </row>
    <row r="304" spans="3:59" ht="409.5" x14ac:dyDescent="0.25">
      <c r="C304" s="1">
        <v>45924</v>
      </c>
      <c r="D304" s="36">
        <v>280814.82</v>
      </c>
      <c r="E304" s="33">
        <v>4.7433333333333296</v>
      </c>
      <c r="F304" s="33">
        <v>3.88811033333333</v>
      </c>
      <c r="G304" s="2">
        <v>0.81969999999999998</v>
      </c>
      <c r="H304" s="2">
        <v>0.99</v>
      </c>
      <c r="I304" s="3">
        <v>9920</v>
      </c>
      <c r="J304" s="3">
        <v>66852</v>
      </c>
      <c r="K304" s="3">
        <v>51489</v>
      </c>
      <c r="L304" s="3">
        <v>53953</v>
      </c>
      <c r="M304" s="3">
        <v>11538</v>
      </c>
      <c r="N304" s="3">
        <v>193752</v>
      </c>
      <c r="O304" s="3">
        <v>241919</v>
      </c>
      <c r="P304" s="3">
        <v>48167</v>
      </c>
      <c r="Q304" s="3">
        <v>48167</v>
      </c>
      <c r="R304" s="3">
        <v>241919</v>
      </c>
      <c r="S304" s="3">
        <v>241919</v>
      </c>
      <c r="T304" s="3">
        <v>241314.20250000001</v>
      </c>
      <c r="U304" s="3">
        <v>17350</v>
      </c>
      <c r="V304" s="3">
        <v>17010</v>
      </c>
      <c r="W304" s="3">
        <v>16110</v>
      </c>
      <c r="X304" s="3">
        <v>20160</v>
      </c>
      <c r="Y304" s="3">
        <v>20580</v>
      </c>
      <c r="Z304" s="3">
        <v>31150</v>
      </c>
      <c r="AA304" s="3">
        <v>25740</v>
      </c>
      <c r="AB304" s="3">
        <v>26390</v>
      </c>
      <c r="AC304" s="3">
        <v>31450</v>
      </c>
      <c r="AD304" s="3">
        <v>26700</v>
      </c>
      <c r="AE304" s="3">
        <v>232640</v>
      </c>
      <c r="AF304" s="3">
        <v>280807</v>
      </c>
      <c r="AG304" s="3">
        <v>1491.7</v>
      </c>
      <c r="AH304" s="40">
        <v>0.49440000000000001</v>
      </c>
      <c r="AI304" s="40">
        <v>0.48470000000000002</v>
      </c>
      <c r="AJ304" s="40">
        <v>0.51619999999999999</v>
      </c>
      <c r="AK304" s="40">
        <v>0.50880000000000003</v>
      </c>
      <c r="AL304" s="40">
        <v>0.50960000000000005</v>
      </c>
      <c r="AM304" s="40">
        <v>0.74880000000000002</v>
      </c>
      <c r="AN304" s="40">
        <v>0.6996</v>
      </c>
      <c r="AO304" s="40">
        <v>0.73219999999999996</v>
      </c>
      <c r="AP304" s="40">
        <v>0.74039999999999995</v>
      </c>
      <c r="AQ304" s="40">
        <v>0.74080000000000001</v>
      </c>
      <c r="AR304" s="31">
        <v>1.2007101862174301</v>
      </c>
      <c r="AS304" s="36">
        <v>3.3834825174825198</v>
      </c>
      <c r="AT304">
        <v>5.31</v>
      </c>
      <c r="AU304">
        <v>5.3</v>
      </c>
      <c r="AV304">
        <v>5.19</v>
      </c>
      <c r="AW304">
        <v>5.2</v>
      </c>
      <c r="AY304" s="6">
        <v>5.25</v>
      </c>
      <c r="AZ304" s="2">
        <v>0.61750000000000005</v>
      </c>
      <c r="BA304" s="2">
        <v>0.64447286047286001</v>
      </c>
      <c r="BB304" s="2">
        <v>0.99750000000000005</v>
      </c>
      <c r="BC304">
        <v>71500</v>
      </c>
      <c r="BD304">
        <v>56992</v>
      </c>
      <c r="BE304">
        <v>12000</v>
      </c>
      <c r="BF304">
        <v>24000</v>
      </c>
      <c r="BG304" s="9" t="s">
        <v>169</v>
      </c>
    </row>
    <row r="305" spans="3:59" ht="409.5" x14ac:dyDescent="0.25">
      <c r="C305" s="1">
        <v>45925</v>
      </c>
      <c r="D305" s="36">
        <v>280814.82</v>
      </c>
      <c r="E305" s="33">
        <v>4.7433333333333296</v>
      </c>
      <c r="F305" s="33">
        <v>3.88811033333333</v>
      </c>
      <c r="G305" s="2">
        <v>0.81969999999999998</v>
      </c>
      <c r="H305" s="2">
        <v>0.99</v>
      </c>
      <c r="I305" s="3">
        <v>56712</v>
      </c>
      <c r="J305" s="3">
        <v>56805</v>
      </c>
      <c r="K305" s="3">
        <v>55059</v>
      </c>
      <c r="L305" s="3">
        <v>61265</v>
      </c>
      <c r="M305" s="3">
        <v>10818</v>
      </c>
      <c r="N305" s="3">
        <v>240659</v>
      </c>
      <c r="O305" s="3">
        <v>249496.5</v>
      </c>
      <c r="P305" s="3">
        <v>8837.5</v>
      </c>
      <c r="Q305" s="3">
        <v>8837.5</v>
      </c>
      <c r="R305" s="3">
        <v>249496.5</v>
      </c>
      <c r="S305" s="3">
        <v>249496.5</v>
      </c>
      <c r="T305" s="3">
        <v>248872.75875000001</v>
      </c>
      <c r="U305" s="3">
        <v>18490</v>
      </c>
      <c r="V305" s="3">
        <v>18290</v>
      </c>
      <c r="W305" s="3">
        <v>16780</v>
      </c>
      <c r="X305" s="3">
        <v>20930</v>
      </c>
      <c r="Y305" s="3">
        <v>21300</v>
      </c>
      <c r="Z305" s="3">
        <v>21760</v>
      </c>
      <c r="AA305" s="3">
        <v>18330</v>
      </c>
      <c r="AB305" s="3">
        <v>18590</v>
      </c>
      <c r="AC305" s="3">
        <v>21060</v>
      </c>
      <c r="AD305" s="3">
        <v>18730</v>
      </c>
      <c r="AE305" s="3">
        <v>194260</v>
      </c>
      <c r="AF305" s="3">
        <v>203097.5</v>
      </c>
      <c r="AG305" s="3">
        <v>1765.35</v>
      </c>
      <c r="AH305" s="40">
        <v>0.72460000000000002</v>
      </c>
      <c r="AI305" s="40">
        <v>0.71679999999999999</v>
      </c>
      <c r="AJ305" s="40">
        <v>0.73980000000000001</v>
      </c>
      <c r="AK305" s="40">
        <v>0.72650000000000003</v>
      </c>
      <c r="AL305" s="40">
        <v>0.72230000000000005</v>
      </c>
      <c r="AM305" s="40">
        <v>0.71950000000000003</v>
      </c>
      <c r="AN305" s="40">
        <v>0.71109999999999995</v>
      </c>
      <c r="AO305" s="40">
        <v>0.7097</v>
      </c>
      <c r="AP305" s="40">
        <v>0.7077</v>
      </c>
      <c r="AQ305" s="40">
        <v>0.71509999999999996</v>
      </c>
      <c r="AR305" s="31">
        <v>0.80720022937018798</v>
      </c>
      <c r="AS305" s="36">
        <v>3.4894615384615402</v>
      </c>
      <c r="AT305">
        <v>3.72</v>
      </c>
      <c r="AU305">
        <v>3.87</v>
      </c>
      <c r="AV305">
        <v>3.77</v>
      </c>
      <c r="AW305">
        <v>3.78</v>
      </c>
      <c r="AY305" s="6">
        <v>3.7850000000000001</v>
      </c>
      <c r="AZ305" s="2">
        <v>0.71930000000000005</v>
      </c>
      <c r="BA305" s="2">
        <v>0.92191850421705102</v>
      </c>
      <c r="BB305" s="2">
        <v>0.99750000000000005</v>
      </c>
      <c r="BC305">
        <v>71500</v>
      </c>
      <c r="BD305">
        <v>56992</v>
      </c>
      <c r="BE305">
        <v>24000</v>
      </c>
      <c r="BF305">
        <v>24000</v>
      </c>
      <c r="BG305" s="9" t="s">
        <v>170</v>
      </c>
    </row>
    <row r="306" spans="3:59" ht="409.5" x14ac:dyDescent="0.25">
      <c r="C306" s="1">
        <v>45926</v>
      </c>
      <c r="D306" s="36">
        <v>280814.82</v>
      </c>
      <c r="E306" s="33">
        <v>4.7433333333333296</v>
      </c>
      <c r="F306" s="33">
        <v>3.88811033333333</v>
      </c>
      <c r="G306" s="2">
        <v>0.81969999999999998</v>
      </c>
      <c r="H306" s="2">
        <v>0.99</v>
      </c>
      <c r="I306" s="3">
        <v>39916</v>
      </c>
      <c r="J306" s="3">
        <v>40117</v>
      </c>
      <c r="K306" s="3">
        <v>29065</v>
      </c>
      <c r="L306" s="3">
        <v>36490</v>
      </c>
      <c r="M306" s="3">
        <v>17886</v>
      </c>
      <c r="N306" s="3">
        <v>163474</v>
      </c>
      <c r="O306" s="3">
        <v>237459.33</v>
      </c>
      <c r="P306" s="3">
        <v>73985.33</v>
      </c>
      <c r="Q306" s="3">
        <v>73985.33</v>
      </c>
      <c r="R306" s="3">
        <v>237459.33</v>
      </c>
      <c r="S306" s="3">
        <v>237459.33</v>
      </c>
      <c r="T306" s="3">
        <v>236865.681675</v>
      </c>
      <c r="U306" s="3">
        <v>19650</v>
      </c>
      <c r="V306" s="3">
        <v>20270</v>
      </c>
      <c r="W306" s="3">
        <v>18610</v>
      </c>
      <c r="X306" s="3">
        <v>23460</v>
      </c>
      <c r="Y306" s="3">
        <v>24810</v>
      </c>
      <c r="Z306" s="3">
        <v>14380</v>
      </c>
      <c r="AA306" s="3">
        <v>12150</v>
      </c>
      <c r="AB306" s="3">
        <v>12450</v>
      </c>
      <c r="AC306" s="3">
        <v>15350</v>
      </c>
      <c r="AD306" s="3">
        <v>12830</v>
      </c>
      <c r="AE306" s="3">
        <v>173960</v>
      </c>
      <c r="AF306" s="3">
        <v>247945.33</v>
      </c>
      <c r="AG306" s="3">
        <v>1685.84</v>
      </c>
      <c r="AH306" s="40">
        <v>0.74070000000000003</v>
      </c>
      <c r="AI306" s="40">
        <v>0.76390000000000002</v>
      </c>
      <c r="AJ306" s="40">
        <v>0.7893</v>
      </c>
      <c r="AK306" s="40">
        <v>0.78320000000000001</v>
      </c>
      <c r="AL306" s="40">
        <v>0.7883</v>
      </c>
      <c r="AM306" s="40">
        <v>0.45739999999999997</v>
      </c>
      <c r="AN306" s="40">
        <v>0.41260000000000002</v>
      </c>
      <c r="AO306" s="40">
        <v>0.45710000000000001</v>
      </c>
      <c r="AP306" s="40">
        <v>0.45140000000000002</v>
      </c>
      <c r="AQ306" s="40">
        <v>0.47110000000000002</v>
      </c>
      <c r="AR306" s="31">
        <v>1.06414475696441</v>
      </c>
      <c r="AS306" s="36">
        <v>3.3211095104895101</v>
      </c>
      <c r="AT306">
        <v>4.25</v>
      </c>
      <c r="AU306">
        <v>4.13</v>
      </c>
      <c r="AV306">
        <v>4.1399999999999997</v>
      </c>
      <c r="AW306">
        <v>3.93</v>
      </c>
      <c r="AY306" s="6">
        <v>4.1124999999999998</v>
      </c>
      <c r="AZ306" s="2">
        <v>0.61150000000000004</v>
      </c>
      <c r="BA306" s="2">
        <v>0.80756462261143103</v>
      </c>
      <c r="BB306" s="2">
        <v>0.99750000000000005</v>
      </c>
      <c r="BC306">
        <v>71500</v>
      </c>
      <c r="BD306">
        <v>56992</v>
      </c>
      <c r="BE306">
        <v>23000</v>
      </c>
      <c r="BF306">
        <v>18067</v>
      </c>
      <c r="BG306" s="9" t="s">
        <v>171</v>
      </c>
    </row>
    <row r="307" spans="3:59" ht="375" x14ac:dyDescent="0.25">
      <c r="C307" s="1">
        <v>45927</v>
      </c>
      <c r="D307" s="36">
        <v>280814.82</v>
      </c>
      <c r="E307" s="33">
        <v>4.7433333333333296</v>
      </c>
      <c r="F307" s="33">
        <v>3.88811033333333</v>
      </c>
      <c r="G307" s="2">
        <v>0.81969999999999998</v>
      </c>
      <c r="H307" s="2">
        <v>0.99</v>
      </c>
      <c r="I307" s="3">
        <v>47168</v>
      </c>
      <c r="J307" s="3">
        <v>47244</v>
      </c>
      <c r="K307" s="3">
        <v>32705</v>
      </c>
      <c r="L307" s="3">
        <v>38205</v>
      </c>
      <c r="M307" s="3">
        <v>36688</v>
      </c>
      <c r="N307" s="3">
        <v>202010</v>
      </c>
      <c r="O307" s="3">
        <v>199332.33</v>
      </c>
      <c r="P307" s="3">
        <v>-2677.6700000000101</v>
      </c>
      <c r="Q307" s="3">
        <v>0</v>
      </c>
      <c r="R307" s="3">
        <v>202010</v>
      </c>
      <c r="S307" s="3">
        <v>202010</v>
      </c>
      <c r="T307" s="3">
        <v>198833.999175</v>
      </c>
      <c r="U307" s="3">
        <v>19750</v>
      </c>
      <c r="V307" s="3">
        <v>20300</v>
      </c>
      <c r="W307" s="3">
        <v>17790</v>
      </c>
      <c r="X307" s="3">
        <v>22770</v>
      </c>
      <c r="Y307" s="3">
        <v>22900</v>
      </c>
      <c r="Z307" s="3">
        <v>23420</v>
      </c>
      <c r="AA307" s="3">
        <v>19440</v>
      </c>
      <c r="AB307" s="3">
        <v>20540</v>
      </c>
      <c r="AC307" s="3">
        <v>22530</v>
      </c>
      <c r="AD307" s="3">
        <v>20920</v>
      </c>
      <c r="AE307" s="3">
        <v>210360</v>
      </c>
      <c r="AF307" s="3">
        <v>210360</v>
      </c>
      <c r="AG307" s="3">
        <v>1741.5</v>
      </c>
      <c r="AH307" s="40">
        <v>0.81510000000000005</v>
      </c>
      <c r="AI307" s="40">
        <v>0.8377</v>
      </c>
      <c r="AJ307" s="40">
        <v>0.82589999999999997</v>
      </c>
      <c r="AK307" s="40">
        <v>0.83220000000000005</v>
      </c>
      <c r="AL307" s="40">
        <v>0.84640000000000004</v>
      </c>
      <c r="AM307" s="40">
        <v>0.8155</v>
      </c>
      <c r="AN307" s="40">
        <v>0.81789999999999996</v>
      </c>
      <c r="AO307" s="40">
        <v>0.82540000000000002</v>
      </c>
      <c r="AP307" s="40">
        <v>0.82099999999999995</v>
      </c>
      <c r="AQ307" s="40">
        <v>0.84079999999999999</v>
      </c>
      <c r="AR307" s="31">
        <v>1.04133458739666</v>
      </c>
      <c r="AS307" s="36">
        <v>2.82531468531469</v>
      </c>
      <c r="AT307">
        <v>3.43</v>
      </c>
      <c r="AU307">
        <v>3.55</v>
      </c>
      <c r="AV307">
        <v>3.56</v>
      </c>
      <c r="AW307">
        <v>3.59</v>
      </c>
      <c r="AY307" s="6">
        <v>3.5325000000000002</v>
      </c>
      <c r="AZ307" s="2">
        <v>0.82779999999999998</v>
      </c>
      <c r="BA307" s="2">
        <v>0.79980599725822599</v>
      </c>
      <c r="BB307" s="2">
        <v>0.99750000000000005</v>
      </c>
      <c r="BC307">
        <v>71500</v>
      </c>
      <c r="BD307">
        <v>56992</v>
      </c>
      <c r="BE307">
        <v>24000</v>
      </c>
      <c r="BF307">
        <v>29821</v>
      </c>
      <c r="BG307" s="9" t="s">
        <v>152</v>
      </c>
    </row>
    <row r="308" spans="3:59" ht="375" x14ac:dyDescent="0.25">
      <c r="C308" s="1">
        <v>45928</v>
      </c>
      <c r="D308" s="36">
        <v>280814.82</v>
      </c>
      <c r="E308" s="33">
        <v>4.7433333333333296</v>
      </c>
      <c r="F308" s="33">
        <v>3.88811033333333</v>
      </c>
      <c r="G308" s="2">
        <v>0.81969999999999998</v>
      </c>
      <c r="H308" s="2">
        <v>0.99</v>
      </c>
      <c r="I308" s="3">
        <v>70072</v>
      </c>
      <c r="J308" s="3">
        <v>70135</v>
      </c>
      <c r="K308" s="3">
        <v>47634</v>
      </c>
      <c r="L308" s="3">
        <v>49481</v>
      </c>
      <c r="M308" s="3">
        <v>45643</v>
      </c>
      <c r="N308" s="3">
        <v>282965</v>
      </c>
      <c r="O308" s="3">
        <v>292745.17</v>
      </c>
      <c r="P308" s="3">
        <v>9780.1699999999801</v>
      </c>
      <c r="Q308" s="3">
        <v>9780.1699999999801</v>
      </c>
      <c r="R308" s="3">
        <v>292745.17</v>
      </c>
      <c r="S308" s="3">
        <v>292745.17</v>
      </c>
      <c r="T308" s="3">
        <v>292013.30707500002</v>
      </c>
      <c r="U308" s="3">
        <v>26700</v>
      </c>
      <c r="V308" s="3">
        <v>26570</v>
      </c>
      <c r="W308" s="3">
        <v>23920</v>
      </c>
      <c r="X308" s="3">
        <v>30240</v>
      </c>
      <c r="Y308" s="3">
        <v>30930</v>
      </c>
      <c r="Z308" s="3">
        <v>32180</v>
      </c>
      <c r="AA308" s="3">
        <v>27270</v>
      </c>
      <c r="AB308" s="3">
        <v>27170</v>
      </c>
      <c r="AC308" s="3">
        <v>29880</v>
      </c>
      <c r="AD308" s="3">
        <v>27730</v>
      </c>
      <c r="AE308" s="3">
        <v>282590</v>
      </c>
      <c r="AF308" s="3">
        <v>292370.17</v>
      </c>
      <c r="AG308" s="3">
        <v>1628.44</v>
      </c>
      <c r="AH308" s="40">
        <v>0.84519999999999995</v>
      </c>
      <c r="AI308" s="40">
        <v>0.84119999999999995</v>
      </c>
      <c r="AJ308" s="40">
        <v>0.85199999999999998</v>
      </c>
      <c r="AK308" s="40">
        <v>0.84799999999999998</v>
      </c>
      <c r="AL308" s="40">
        <v>0.85619999999999996</v>
      </c>
      <c r="AM308" s="40">
        <v>0.85960000000000003</v>
      </c>
      <c r="AN308" s="40">
        <v>0.90680000000000005</v>
      </c>
      <c r="AO308" s="40">
        <v>0.8377</v>
      </c>
      <c r="AP308" s="40">
        <v>0.86060000000000003</v>
      </c>
      <c r="AQ308" s="40">
        <v>0.85489999999999999</v>
      </c>
      <c r="AR308" s="31">
        <v>0.99867474776032406</v>
      </c>
      <c r="AS308" s="36">
        <v>4.0943380419580402</v>
      </c>
      <c r="AT308">
        <v>4.34</v>
      </c>
      <c r="AU308">
        <v>4.74</v>
      </c>
      <c r="AV308">
        <v>4.74</v>
      </c>
      <c r="AW308">
        <v>4.68</v>
      </c>
      <c r="AY308" s="6">
        <v>4.625</v>
      </c>
      <c r="AZ308" s="2">
        <v>0.85619999999999996</v>
      </c>
      <c r="BA308" s="2">
        <v>0.88526227934227897</v>
      </c>
      <c r="BB308" s="2">
        <v>0.99750000000000005</v>
      </c>
      <c r="BC308">
        <v>71500</v>
      </c>
      <c r="BD308">
        <v>56992</v>
      </c>
      <c r="BE308">
        <v>24000</v>
      </c>
      <c r="BF308">
        <v>30030</v>
      </c>
      <c r="BG308" s="9" t="s">
        <v>152</v>
      </c>
    </row>
    <row r="309" spans="3:59" ht="409.5" x14ac:dyDescent="0.25">
      <c r="C309" s="1">
        <v>45929</v>
      </c>
      <c r="D309" s="36">
        <v>280814.82</v>
      </c>
      <c r="E309" s="33">
        <v>4.7433333333333296</v>
      </c>
      <c r="F309" s="33">
        <v>3.88811033333333</v>
      </c>
      <c r="G309" s="2">
        <v>0.81969999999999998</v>
      </c>
      <c r="H309" s="2">
        <v>0.99</v>
      </c>
      <c r="I309" s="3">
        <v>56978</v>
      </c>
      <c r="J309" s="3">
        <v>57151</v>
      </c>
      <c r="K309" s="3">
        <v>39188</v>
      </c>
      <c r="L309" s="3">
        <v>51249</v>
      </c>
      <c r="M309" s="3">
        <v>49893</v>
      </c>
      <c r="N309" s="3">
        <v>254459</v>
      </c>
      <c r="O309" s="3">
        <v>291524</v>
      </c>
      <c r="P309" s="3">
        <v>37065</v>
      </c>
      <c r="Q309" s="3">
        <v>37065</v>
      </c>
      <c r="R309" s="3">
        <v>291524</v>
      </c>
      <c r="S309" s="3">
        <v>291524</v>
      </c>
      <c r="T309" s="3">
        <v>290795.19</v>
      </c>
      <c r="U309" s="3">
        <v>29320</v>
      </c>
      <c r="V309" s="3">
        <v>29550</v>
      </c>
      <c r="W309" s="3">
        <v>25210</v>
      </c>
      <c r="X309" s="3">
        <v>31940</v>
      </c>
      <c r="Y309" s="3">
        <v>31870</v>
      </c>
      <c r="Z309" s="3">
        <v>25730</v>
      </c>
      <c r="AA309" s="3">
        <v>21840</v>
      </c>
      <c r="AB309" s="3">
        <v>21920</v>
      </c>
      <c r="AC309" s="3">
        <v>24700</v>
      </c>
      <c r="AD309" s="3">
        <v>22540</v>
      </c>
      <c r="AE309" s="3">
        <v>264620</v>
      </c>
      <c r="AF309" s="3">
        <v>301685</v>
      </c>
      <c r="AG309" s="3">
        <v>1683.22</v>
      </c>
      <c r="AH309" s="40">
        <v>0.78539999999999999</v>
      </c>
      <c r="AI309" s="40">
        <v>0.79149999999999998</v>
      </c>
      <c r="AJ309" s="40">
        <v>0.75970000000000004</v>
      </c>
      <c r="AK309" s="40">
        <v>0.7581</v>
      </c>
      <c r="AL309" s="40">
        <v>0.77310000000000001</v>
      </c>
      <c r="AM309" s="40">
        <v>0.58150000000000002</v>
      </c>
      <c r="AN309" s="40">
        <v>0.57920000000000005</v>
      </c>
      <c r="AO309" s="40">
        <v>0.57210000000000005</v>
      </c>
      <c r="AP309" s="40">
        <v>0.56759999999999999</v>
      </c>
      <c r="AQ309" s="40">
        <v>0.58809999999999996</v>
      </c>
      <c r="AR309" s="31">
        <v>1.0399317768284899</v>
      </c>
      <c r="AS309" s="36">
        <v>4.0772587412587402</v>
      </c>
      <c r="AT309">
        <v>5.44</v>
      </c>
      <c r="AU309">
        <v>5.41</v>
      </c>
      <c r="AV309">
        <v>5.55</v>
      </c>
      <c r="AW309">
        <v>5.53</v>
      </c>
      <c r="AY309" s="6">
        <v>5.4824999999999999</v>
      </c>
      <c r="AZ309" s="2">
        <v>0.67559999999999998</v>
      </c>
      <c r="BA309" s="2">
        <v>0.743686044917235</v>
      </c>
      <c r="BB309" s="2">
        <v>0.99750000000000005</v>
      </c>
      <c r="BC309">
        <v>71500</v>
      </c>
      <c r="BD309">
        <v>56992</v>
      </c>
      <c r="BE309">
        <v>24000</v>
      </c>
      <c r="BF309">
        <v>23857</v>
      </c>
      <c r="BG309" s="9" t="s">
        <v>172</v>
      </c>
    </row>
    <row r="310" spans="3:59" ht="375" x14ac:dyDescent="0.25">
      <c r="C310" s="1">
        <v>45930</v>
      </c>
      <c r="D310" s="36">
        <v>280814.82</v>
      </c>
      <c r="E310" s="33">
        <v>4.7433333333333296</v>
      </c>
      <c r="F310" s="33">
        <v>3.88811033333333</v>
      </c>
      <c r="G310" s="2">
        <v>0.81969999999999998</v>
      </c>
      <c r="H310" s="2">
        <v>0.99</v>
      </c>
      <c r="I310" s="3">
        <v>66689</v>
      </c>
      <c r="J310" s="3">
        <v>66820</v>
      </c>
      <c r="K310" s="3">
        <v>47018</v>
      </c>
      <c r="L310" s="3">
        <v>51513</v>
      </c>
      <c r="M310" s="3">
        <v>52048</v>
      </c>
      <c r="N310" s="3">
        <v>284088</v>
      </c>
      <c r="O310" s="3">
        <v>270765.17</v>
      </c>
      <c r="P310" s="3">
        <v>-13322.83</v>
      </c>
      <c r="Q310" s="3">
        <v>0</v>
      </c>
      <c r="R310" s="3">
        <v>284088</v>
      </c>
      <c r="S310" s="3">
        <v>284088</v>
      </c>
      <c r="T310" s="3">
        <v>270765.17</v>
      </c>
      <c r="U310" s="3">
        <v>22620</v>
      </c>
      <c r="V310" s="3">
        <v>22230</v>
      </c>
      <c r="W310" s="3">
        <v>19940</v>
      </c>
      <c r="X310" s="3">
        <v>24970</v>
      </c>
      <c r="Y310" s="3">
        <v>25560</v>
      </c>
      <c r="Z310" s="3">
        <v>24140</v>
      </c>
      <c r="AA310" s="3">
        <v>22840</v>
      </c>
      <c r="AB310" s="3">
        <v>23030</v>
      </c>
      <c r="AC310" s="3">
        <v>27110</v>
      </c>
      <c r="AD310" s="3">
        <v>23580</v>
      </c>
      <c r="AE310" s="3">
        <v>236020</v>
      </c>
      <c r="AF310" s="3">
        <v>236020</v>
      </c>
      <c r="AG310" s="3">
        <v>1637.09</v>
      </c>
      <c r="AH310" s="40">
        <v>0.88190000000000002</v>
      </c>
      <c r="AI310" s="40">
        <v>0.86650000000000005</v>
      </c>
      <c r="AJ310" s="40">
        <v>0.87439999999999996</v>
      </c>
      <c r="AK310" s="40">
        <v>0.86229999999999996</v>
      </c>
      <c r="AL310" s="40">
        <v>0.86899999999999999</v>
      </c>
      <c r="AM310" s="40">
        <v>0.79400000000000004</v>
      </c>
      <c r="AN310" s="40">
        <v>0.89329999999999998</v>
      </c>
      <c r="AO310" s="40">
        <v>0.87450000000000006</v>
      </c>
      <c r="AP310" s="40">
        <v>0.91839999999999999</v>
      </c>
      <c r="AQ310" s="40">
        <v>0.89559999999999995</v>
      </c>
      <c r="AR310" s="31">
        <v>0.83079890738081197</v>
      </c>
      <c r="AS310" s="36">
        <v>3.9732587412587401</v>
      </c>
      <c r="AT310">
        <v>3.69</v>
      </c>
      <c r="AU310">
        <v>3.86</v>
      </c>
      <c r="AV310">
        <v>3.73</v>
      </c>
      <c r="AW310">
        <v>3.8</v>
      </c>
      <c r="AY310" s="6">
        <v>3.77</v>
      </c>
      <c r="AZ310" s="2">
        <v>0.873</v>
      </c>
      <c r="BA310" s="2">
        <v>1.0539147854797699</v>
      </c>
      <c r="BB310" s="2">
        <v>1</v>
      </c>
      <c r="BC310">
        <v>71500</v>
      </c>
      <c r="BD310">
        <v>56992</v>
      </c>
      <c r="BE310">
        <v>24000</v>
      </c>
      <c r="BF310">
        <v>30030</v>
      </c>
      <c r="BG310" s="9" t="s">
        <v>152</v>
      </c>
    </row>
    <row r="311" spans="3:59" ht="375" x14ac:dyDescent="0.25">
      <c r="C311" s="1">
        <v>45931</v>
      </c>
      <c r="D311" s="36">
        <v>267120.30967741902</v>
      </c>
      <c r="E311" s="33">
        <v>4.4903225806451603</v>
      </c>
      <c r="F311" s="33">
        <v>3.6807174193548402</v>
      </c>
      <c r="G311" s="2">
        <v>0.81969999999999998</v>
      </c>
      <c r="H311" s="2">
        <v>0.99</v>
      </c>
      <c r="I311" s="3">
        <v>74153</v>
      </c>
      <c r="J311" s="3">
        <v>74183</v>
      </c>
      <c r="K311" s="3">
        <v>56437</v>
      </c>
      <c r="L311" s="3">
        <v>60068</v>
      </c>
      <c r="M311" s="3">
        <v>60364</v>
      </c>
      <c r="N311" s="3">
        <v>325205</v>
      </c>
      <c r="O311" s="3"/>
      <c r="P311" s="3">
        <v>-325205</v>
      </c>
      <c r="Q311" s="3">
        <v>0</v>
      </c>
      <c r="R311" s="3">
        <v>325205</v>
      </c>
      <c r="S311" s="3">
        <v>325205</v>
      </c>
      <c r="T311" s="3">
        <v>0</v>
      </c>
      <c r="U311" s="3">
        <v>30140</v>
      </c>
      <c r="V311" s="3">
        <v>29070</v>
      </c>
      <c r="W311" s="3">
        <v>25640</v>
      </c>
      <c r="X311" s="3">
        <v>31530</v>
      </c>
      <c r="Y311" s="3">
        <v>33160</v>
      </c>
      <c r="Z311" s="3">
        <v>38100</v>
      </c>
      <c r="AA311" s="3">
        <v>32390</v>
      </c>
      <c r="AB311" s="3">
        <v>32920</v>
      </c>
      <c r="AC311" s="3">
        <v>38980</v>
      </c>
      <c r="AD311" s="3">
        <v>33340</v>
      </c>
      <c r="AE311" s="3">
        <v>325270</v>
      </c>
      <c r="AF311" s="3">
        <v>325270</v>
      </c>
      <c r="AG311" s="6"/>
      <c r="AH311" s="40">
        <v>0.75939999999999996</v>
      </c>
      <c r="AI311" s="40">
        <v>0.73240000000000005</v>
      </c>
      <c r="AJ311" s="40">
        <v>0.72660000000000002</v>
      </c>
      <c r="AK311" s="40">
        <v>0.70369999999999999</v>
      </c>
      <c r="AL311" s="40">
        <v>0.70750000000000002</v>
      </c>
      <c r="AM311" s="40">
        <v>0.80989999999999995</v>
      </c>
      <c r="AN311" s="40">
        <v>0.78690000000000004</v>
      </c>
      <c r="AO311" s="40">
        <v>0.80779999999999996</v>
      </c>
      <c r="AP311" s="40">
        <v>0.82030000000000003</v>
      </c>
      <c r="AQ311" s="40">
        <v>0.81820000000000004</v>
      </c>
      <c r="AR311" s="31">
        <v>1.0001998739256801</v>
      </c>
      <c r="AS311" s="36">
        <v>4.5483216783216802</v>
      </c>
      <c r="AT311">
        <v>5.94</v>
      </c>
      <c r="AU311">
        <v>6.15</v>
      </c>
      <c r="AV311">
        <v>5.91</v>
      </c>
      <c r="AW311">
        <v>5.88</v>
      </c>
      <c r="AY311" s="6">
        <v>5.97</v>
      </c>
      <c r="AZ311" s="2">
        <v>0.76729999999999998</v>
      </c>
      <c r="BA311" s="2">
        <v>0.76186292769207298</v>
      </c>
      <c r="BB311" s="2">
        <v>1</v>
      </c>
      <c r="BC311">
        <v>71500</v>
      </c>
      <c r="BD311">
        <v>56992</v>
      </c>
      <c r="BE311">
        <v>24000</v>
      </c>
      <c r="BF311">
        <v>30030</v>
      </c>
      <c r="BG311" s="9" t="s">
        <v>152</v>
      </c>
    </row>
    <row r="312" spans="3:59" ht="375" x14ac:dyDescent="0.25">
      <c r="C312" s="1">
        <v>45932</v>
      </c>
      <c r="D312" s="36">
        <v>267120.30967741902</v>
      </c>
      <c r="E312" s="33">
        <v>4.4903225806451603</v>
      </c>
      <c r="F312" s="33">
        <v>3.6807174193548402</v>
      </c>
      <c r="G312" s="2">
        <v>0.81969999999999998</v>
      </c>
      <c r="H312" s="2">
        <v>0.99</v>
      </c>
      <c r="I312" s="3">
        <v>75856</v>
      </c>
      <c r="J312" s="3">
        <v>75993</v>
      </c>
      <c r="K312" s="3">
        <v>55553</v>
      </c>
      <c r="L312" s="3">
        <v>60066</v>
      </c>
      <c r="M312" s="3">
        <v>60920</v>
      </c>
      <c r="N312" s="3">
        <v>328388</v>
      </c>
      <c r="O312" s="3"/>
      <c r="P312" s="3">
        <v>-328388</v>
      </c>
      <c r="Q312" s="3">
        <v>0</v>
      </c>
      <c r="R312" s="3">
        <v>328388</v>
      </c>
      <c r="S312" s="3">
        <v>328388</v>
      </c>
      <c r="T312" s="3">
        <v>0</v>
      </c>
      <c r="U312" s="3">
        <v>32040</v>
      </c>
      <c r="V312" s="3">
        <v>31180</v>
      </c>
      <c r="W312" s="3">
        <v>27240</v>
      </c>
      <c r="X312" s="3">
        <v>33940</v>
      </c>
      <c r="Y312" s="3">
        <v>31130</v>
      </c>
      <c r="Z312" s="3">
        <v>39360</v>
      </c>
      <c r="AA312" s="3">
        <v>32670</v>
      </c>
      <c r="AB312" s="3">
        <v>33110</v>
      </c>
      <c r="AC312" s="3">
        <v>38100</v>
      </c>
      <c r="AD312" s="3">
        <v>33590</v>
      </c>
      <c r="AE312" s="3">
        <v>332360</v>
      </c>
      <c r="AF312" s="3">
        <v>332360</v>
      </c>
      <c r="AG312" s="3"/>
      <c r="AH312" s="40">
        <v>0.75690000000000002</v>
      </c>
      <c r="AI312" s="40">
        <v>0.73670000000000002</v>
      </c>
      <c r="AJ312" s="40">
        <v>0.72399999999999998</v>
      </c>
      <c r="AK312" s="40">
        <v>0.71030000000000004</v>
      </c>
      <c r="AL312" s="40">
        <v>0.67310000000000003</v>
      </c>
      <c r="AM312" s="40">
        <v>0.78469999999999995</v>
      </c>
      <c r="AN312" s="40">
        <v>0.85389999999999999</v>
      </c>
      <c r="AO312" s="40">
        <v>0.76190000000000002</v>
      </c>
      <c r="AP312" s="40">
        <v>0.86280000000000001</v>
      </c>
      <c r="AQ312" s="40">
        <v>0.77300000000000002</v>
      </c>
      <c r="AR312" s="31">
        <v>1.0120954480675299</v>
      </c>
      <c r="AS312" s="36">
        <v>4.5928391608391603</v>
      </c>
      <c r="AT312">
        <v>5.52</v>
      </c>
      <c r="AU312">
        <v>6.07</v>
      </c>
      <c r="AV312">
        <v>6.28</v>
      </c>
      <c r="AW312">
        <v>6.27</v>
      </c>
      <c r="AY312" s="6">
        <v>6.0350000000000001</v>
      </c>
      <c r="AZ312" s="2">
        <v>0.76380000000000003</v>
      </c>
      <c r="BA312" s="2">
        <v>0.76103382946796405</v>
      </c>
      <c r="BB312" s="2">
        <v>1</v>
      </c>
      <c r="BC312">
        <v>71500</v>
      </c>
      <c r="BD312">
        <v>56992</v>
      </c>
      <c r="BE312">
        <v>24000</v>
      </c>
      <c r="BF312">
        <v>30030</v>
      </c>
      <c r="BG312" s="9" t="s">
        <v>152</v>
      </c>
    </row>
    <row r="313" spans="3:59" ht="375" x14ac:dyDescent="0.25">
      <c r="C313" s="1">
        <v>45933</v>
      </c>
      <c r="D313" s="36">
        <v>267120.30967741902</v>
      </c>
      <c r="E313" s="33">
        <v>4.4903225806451603</v>
      </c>
      <c r="F313" s="33">
        <v>3.6807174193548402</v>
      </c>
      <c r="G313" s="2">
        <v>0.81969999999999998</v>
      </c>
      <c r="H313" s="2">
        <v>0.99</v>
      </c>
      <c r="I313" s="3">
        <v>44157</v>
      </c>
      <c r="J313" s="3">
        <v>45119</v>
      </c>
      <c r="K313" s="3">
        <v>32684</v>
      </c>
      <c r="L313" s="3">
        <v>38143</v>
      </c>
      <c r="M313" s="3">
        <v>40086</v>
      </c>
      <c r="N313" s="3">
        <v>200189</v>
      </c>
      <c r="O313" s="3"/>
      <c r="P313" s="3">
        <v>-200189</v>
      </c>
      <c r="Q313" s="3">
        <v>0</v>
      </c>
      <c r="R313" s="3">
        <v>200189</v>
      </c>
      <c r="S313" s="3">
        <v>200189</v>
      </c>
      <c r="T313" s="3">
        <v>0</v>
      </c>
      <c r="U313" s="3">
        <v>26250</v>
      </c>
      <c r="V313" s="3">
        <v>25230</v>
      </c>
      <c r="W313" s="3">
        <v>22760</v>
      </c>
      <c r="X313" s="3">
        <v>27750</v>
      </c>
      <c r="Y313" s="3">
        <v>29170</v>
      </c>
      <c r="Z313" s="3">
        <v>32120</v>
      </c>
      <c r="AA313" s="3">
        <v>27090</v>
      </c>
      <c r="AB313" s="3">
        <v>27520</v>
      </c>
      <c r="AC313" s="3">
        <v>33270</v>
      </c>
      <c r="AD313" s="3">
        <v>27630</v>
      </c>
      <c r="AE313" s="3">
        <v>278790</v>
      </c>
      <c r="AF313" s="3">
        <v>278790</v>
      </c>
      <c r="AG313" s="3"/>
      <c r="AH313" s="40">
        <v>0.82909999999999995</v>
      </c>
      <c r="AI313" s="40">
        <v>0.79710000000000003</v>
      </c>
      <c r="AJ313" s="40">
        <v>0.80900000000000005</v>
      </c>
      <c r="AK313" s="40">
        <v>0.77649999999999997</v>
      </c>
      <c r="AL313" s="40">
        <v>0.7641</v>
      </c>
      <c r="AM313" s="40">
        <v>0.85599999999999998</v>
      </c>
      <c r="AN313" s="40">
        <v>0.84079999999999999</v>
      </c>
      <c r="AO313" s="40">
        <v>0.8468</v>
      </c>
      <c r="AP313" s="40">
        <v>0.89439999999999997</v>
      </c>
      <c r="AQ313" s="40">
        <v>0.85009999999999997</v>
      </c>
      <c r="AR313" s="31">
        <v>1.39263396090694</v>
      </c>
      <c r="AS313" s="36">
        <v>2.7998461538461501</v>
      </c>
      <c r="AT313">
        <v>4.6500000000000004</v>
      </c>
      <c r="AU313">
        <v>5.01</v>
      </c>
      <c r="AV313">
        <v>4.87</v>
      </c>
      <c r="AW313">
        <v>4.6900000000000004</v>
      </c>
      <c r="AY313" s="6">
        <v>4.8049999999999997</v>
      </c>
      <c r="AZ313" s="2">
        <v>0.82640000000000002</v>
      </c>
      <c r="BA313" s="2">
        <v>0.58269430881293505</v>
      </c>
      <c r="BB313" s="2">
        <v>1</v>
      </c>
      <c r="BC313">
        <v>71500</v>
      </c>
      <c r="BD313">
        <v>56992</v>
      </c>
      <c r="BE313">
        <v>24000</v>
      </c>
      <c r="BF313">
        <v>30030</v>
      </c>
      <c r="BG313" s="9" t="s">
        <v>152</v>
      </c>
    </row>
    <row r="314" spans="3:59" ht="409.5" x14ac:dyDescent="0.25">
      <c r="C314" s="1">
        <v>45934</v>
      </c>
      <c r="D314" s="36">
        <v>267120.30967741902</v>
      </c>
      <c r="E314" s="33">
        <v>4.4903225806451603</v>
      </c>
      <c r="F314" s="33">
        <v>3.6807174193548402</v>
      </c>
      <c r="G314" s="2">
        <v>0.81969999999999998</v>
      </c>
      <c r="H314" s="2">
        <v>0.99</v>
      </c>
      <c r="I314" s="3">
        <v>13147</v>
      </c>
      <c r="J314" s="3">
        <v>13952</v>
      </c>
      <c r="K314" s="3">
        <v>8846</v>
      </c>
      <c r="L314" s="3">
        <v>16266</v>
      </c>
      <c r="M314" s="3">
        <v>18486</v>
      </c>
      <c r="N314" s="3">
        <v>70697</v>
      </c>
      <c r="O314" s="3"/>
      <c r="P314" s="3">
        <v>-70697</v>
      </c>
      <c r="Q314" s="3">
        <v>0</v>
      </c>
      <c r="R314" s="3">
        <v>70697</v>
      </c>
      <c r="S314" s="3">
        <v>70697</v>
      </c>
      <c r="T314" s="3">
        <v>0</v>
      </c>
      <c r="U314" s="3">
        <v>2830</v>
      </c>
      <c r="V314" s="3">
        <v>2770</v>
      </c>
      <c r="W314" s="3">
        <v>2500</v>
      </c>
      <c r="X314" s="3">
        <v>3150</v>
      </c>
      <c r="Y314" s="3">
        <v>3240</v>
      </c>
      <c r="Z314" s="3">
        <v>2650</v>
      </c>
      <c r="AA314" s="3">
        <v>5530</v>
      </c>
      <c r="AB314" s="3">
        <v>7970</v>
      </c>
      <c r="AC314" s="3">
        <v>6490</v>
      </c>
      <c r="AD314" s="3">
        <v>7620</v>
      </c>
      <c r="AE314" s="3">
        <v>44750</v>
      </c>
      <c r="AF314" s="3">
        <v>44750</v>
      </c>
      <c r="AG314" s="3"/>
      <c r="AH314" s="40">
        <v>0.2591</v>
      </c>
      <c r="AI314" s="40">
        <v>0.2535</v>
      </c>
      <c r="AJ314" s="40">
        <v>0.25719999999999998</v>
      </c>
      <c r="AK314" s="40">
        <v>0.25519999999999998</v>
      </c>
      <c r="AL314" s="40">
        <v>0.26090000000000002</v>
      </c>
      <c r="AM314" s="40">
        <v>0.20480000000000001</v>
      </c>
      <c r="AN314" s="40">
        <v>0.51490000000000002</v>
      </c>
      <c r="AO314" s="40">
        <v>0.70989999999999998</v>
      </c>
      <c r="AP314" s="40">
        <v>0.52300000000000002</v>
      </c>
      <c r="AQ314" s="40">
        <v>0.67869999999999997</v>
      </c>
      <c r="AR314" s="31">
        <v>0.63298301200899598</v>
      </c>
      <c r="AS314" s="36">
        <v>0.98876923076923096</v>
      </c>
      <c r="AT314">
        <v>1.55</v>
      </c>
      <c r="AU314">
        <v>1.63</v>
      </c>
      <c r="AV314">
        <v>1.61</v>
      </c>
      <c r="AW314">
        <v>1.62</v>
      </c>
      <c r="AY314" s="6">
        <v>1.6025</v>
      </c>
      <c r="AZ314" s="2">
        <v>0.39169999999999999</v>
      </c>
      <c r="BA314" s="2">
        <v>0.61701668066722704</v>
      </c>
      <c r="BB314" s="2">
        <v>1</v>
      </c>
      <c r="BC314">
        <v>71500</v>
      </c>
      <c r="BD314">
        <v>56992</v>
      </c>
      <c r="BE314">
        <v>8500</v>
      </c>
      <c r="BF314">
        <v>30030</v>
      </c>
      <c r="BG314" s="9" t="s">
        <v>173</v>
      </c>
    </row>
    <row r="315" spans="3:59" ht="375" x14ac:dyDescent="0.25">
      <c r="C315" s="1">
        <v>45935</v>
      </c>
      <c r="D315" s="36">
        <v>267120.30967741902</v>
      </c>
      <c r="E315" s="33">
        <v>4.4903225806451603</v>
      </c>
      <c r="F315" s="33">
        <v>3.6807174193548402</v>
      </c>
      <c r="G315" s="2">
        <v>0.81969999999999998</v>
      </c>
      <c r="H315" s="2">
        <v>0.99</v>
      </c>
      <c r="I315" s="3">
        <v>50683</v>
      </c>
      <c r="J315" s="3">
        <v>50728</v>
      </c>
      <c r="K315" s="3">
        <v>35037</v>
      </c>
      <c r="L315" s="3">
        <v>40352</v>
      </c>
      <c r="M315" s="3">
        <v>40350</v>
      </c>
      <c r="N315" s="3">
        <v>217150</v>
      </c>
      <c r="O315" s="3"/>
      <c r="P315" s="3">
        <v>-217150</v>
      </c>
      <c r="Q315" s="3">
        <v>0</v>
      </c>
      <c r="R315" s="3">
        <v>217150</v>
      </c>
      <c r="S315" s="3">
        <v>217150</v>
      </c>
      <c r="T315" s="3">
        <v>0</v>
      </c>
      <c r="U315" s="3">
        <v>20260</v>
      </c>
      <c r="V315" s="3">
        <v>20280</v>
      </c>
      <c r="W315" s="3">
        <v>18010</v>
      </c>
      <c r="X315" s="3">
        <v>22860</v>
      </c>
      <c r="Y315" s="3">
        <v>22960</v>
      </c>
      <c r="Z315" s="3">
        <v>23960</v>
      </c>
      <c r="AA315" s="3">
        <v>20450</v>
      </c>
      <c r="AB315" s="3">
        <v>20020</v>
      </c>
      <c r="AC315" s="3">
        <v>22380</v>
      </c>
      <c r="AD315" s="3">
        <v>20600</v>
      </c>
      <c r="AE315" s="3">
        <v>211780</v>
      </c>
      <c r="AF315" s="3">
        <v>211780</v>
      </c>
      <c r="AG315" s="3"/>
      <c r="AH315" s="40">
        <v>0.90400000000000003</v>
      </c>
      <c r="AI315" s="40">
        <v>0.90480000000000005</v>
      </c>
      <c r="AJ315" s="40">
        <v>0.9042</v>
      </c>
      <c r="AK315" s="40">
        <v>0.90339999999999998</v>
      </c>
      <c r="AL315" s="40">
        <v>0.92710000000000004</v>
      </c>
      <c r="AM315" s="40">
        <v>0.90229999999999999</v>
      </c>
      <c r="AN315" s="40">
        <v>0.91910000000000003</v>
      </c>
      <c r="AO315" s="40">
        <v>0.87</v>
      </c>
      <c r="AP315" s="40">
        <v>0.87160000000000004</v>
      </c>
      <c r="AQ315" s="40">
        <v>0.89529999999999998</v>
      </c>
      <c r="AR315" s="31">
        <v>0.97527055031084497</v>
      </c>
      <c r="AS315" s="36">
        <v>3.0370629370629398</v>
      </c>
      <c r="AT315">
        <v>3.21</v>
      </c>
      <c r="AU315">
        <v>3.25</v>
      </c>
      <c r="AV315">
        <v>3.28</v>
      </c>
      <c r="AW315">
        <v>3.32</v>
      </c>
      <c r="AY315" s="6">
        <v>3.2650000000000001</v>
      </c>
      <c r="AZ315" s="2">
        <v>0.9002</v>
      </c>
      <c r="BA315" s="2">
        <v>0.93018772957517204</v>
      </c>
      <c r="BB315" s="2">
        <v>1</v>
      </c>
      <c r="BC315">
        <v>71500</v>
      </c>
      <c r="BD315">
        <v>56992</v>
      </c>
      <c r="BE315">
        <v>24000</v>
      </c>
      <c r="BF315">
        <v>30030</v>
      </c>
      <c r="BG315" s="9" t="s">
        <v>152</v>
      </c>
    </row>
    <row r="316" spans="3:59" ht="375" x14ac:dyDescent="0.25">
      <c r="C316" s="1">
        <v>45936</v>
      </c>
      <c r="D316" s="36">
        <v>267120.30967741902</v>
      </c>
      <c r="E316" s="33">
        <v>4.4903225806451603</v>
      </c>
      <c r="F316" s="33">
        <v>3.6807174193548402</v>
      </c>
      <c r="G316" s="2">
        <v>0.81969999999999998</v>
      </c>
      <c r="H316" s="2">
        <v>0.99</v>
      </c>
      <c r="I316" s="3">
        <v>45129</v>
      </c>
      <c r="J316" s="3">
        <v>45287</v>
      </c>
      <c r="K316" s="3">
        <v>28060</v>
      </c>
      <c r="L316" s="3">
        <v>33442</v>
      </c>
      <c r="M316" s="3">
        <v>36614</v>
      </c>
      <c r="N316" s="3">
        <v>188532</v>
      </c>
      <c r="O316" s="3"/>
      <c r="P316" s="3">
        <v>-188532</v>
      </c>
      <c r="Q316" s="3">
        <v>0</v>
      </c>
      <c r="R316" s="3">
        <v>188532</v>
      </c>
      <c r="S316" s="3">
        <v>188532</v>
      </c>
      <c r="T316" s="3">
        <v>0</v>
      </c>
      <c r="U316" s="3">
        <v>13330</v>
      </c>
      <c r="V316" s="3">
        <v>13080</v>
      </c>
      <c r="W316" s="3">
        <v>11740</v>
      </c>
      <c r="X316" s="3">
        <v>14780</v>
      </c>
      <c r="Y316" s="3">
        <v>15090</v>
      </c>
      <c r="Z316" s="3">
        <v>15040</v>
      </c>
      <c r="AA316" s="3">
        <v>12800</v>
      </c>
      <c r="AB316" s="3">
        <v>12930</v>
      </c>
      <c r="AC316" s="3">
        <v>14990</v>
      </c>
      <c r="AD316" s="3">
        <v>13170</v>
      </c>
      <c r="AE316" s="3">
        <v>136950</v>
      </c>
      <c r="AF316" s="3">
        <v>136950</v>
      </c>
      <c r="AG316" s="3"/>
      <c r="AH316" s="40">
        <v>0.96</v>
      </c>
      <c r="AI316" s="40">
        <v>0.95</v>
      </c>
      <c r="AJ316" s="40">
        <v>0.95</v>
      </c>
      <c r="AK316" s="40">
        <v>0.94</v>
      </c>
      <c r="AL316" s="40">
        <v>0.96</v>
      </c>
      <c r="AM316" s="40">
        <v>0.93910000000000005</v>
      </c>
      <c r="AN316" s="40">
        <v>0.9425</v>
      </c>
      <c r="AO316" s="40">
        <v>0.91</v>
      </c>
      <c r="AP316" s="40">
        <v>0.95569999999999999</v>
      </c>
      <c r="AQ316" s="40">
        <v>0.92710000000000004</v>
      </c>
      <c r="AR316" s="31">
        <v>0.72640188403029704</v>
      </c>
      <c r="AS316" s="36">
        <v>2.63681118881119</v>
      </c>
      <c r="AT316">
        <v>1.96</v>
      </c>
      <c r="AU316">
        <v>2.06</v>
      </c>
      <c r="AV316">
        <v>2.0499999999999998</v>
      </c>
      <c r="AW316">
        <v>2.0499999999999998</v>
      </c>
      <c r="AY316" s="6">
        <v>2.0299999999999998</v>
      </c>
      <c r="AZ316" s="2">
        <v>0.94440000000000002</v>
      </c>
      <c r="BA316" s="2">
        <v>1.29892176788729</v>
      </c>
      <c r="BB316" s="2">
        <v>1</v>
      </c>
      <c r="BC316">
        <v>71500</v>
      </c>
      <c r="BD316">
        <v>56992</v>
      </c>
      <c r="BE316">
        <v>24000</v>
      </c>
      <c r="BF316">
        <v>30030</v>
      </c>
      <c r="BG316" s="9" t="s">
        <v>152</v>
      </c>
    </row>
    <row r="317" spans="3:59" ht="375" x14ac:dyDescent="0.25">
      <c r="C317" s="1">
        <v>45937</v>
      </c>
      <c r="D317" s="36">
        <v>267120.30967741902</v>
      </c>
      <c r="E317" s="33">
        <v>4.4903225806451603</v>
      </c>
      <c r="F317" s="33">
        <v>3.6807174193548402</v>
      </c>
      <c r="G317" s="2">
        <v>0.81969999999999998</v>
      </c>
      <c r="H317" s="2">
        <v>0.99</v>
      </c>
      <c r="I317" s="3">
        <v>74219</v>
      </c>
      <c r="J317" s="3">
        <v>74348</v>
      </c>
      <c r="K317" s="3">
        <v>50585</v>
      </c>
      <c r="L317" s="3">
        <v>54868</v>
      </c>
      <c r="M317" s="3">
        <v>54886</v>
      </c>
      <c r="N317" s="3">
        <v>308906</v>
      </c>
      <c r="O317" s="3"/>
      <c r="P317" s="3">
        <v>-308906</v>
      </c>
      <c r="Q317" s="3">
        <v>0</v>
      </c>
      <c r="R317" s="3">
        <v>308906</v>
      </c>
      <c r="S317" s="3">
        <v>308906</v>
      </c>
      <c r="T317" s="3">
        <v>0</v>
      </c>
      <c r="U317" s="3">
        <v>28070</v>
      </c>
      <c r="V317" s="3">
        <v>27620</v>
      </c>
      <c r="W317" s="3">
        <v>24600</v>
      </c>
      <c r="X317" s="3">
        <v>31190</v>
      </c>
      <c r="Y317" s="3">
        <v>31440</v>
      </c>
      <c r="Z317" s="3">
        <v>33500</v>
      </c>
      <c r="AA317" s="3">
        <v>27430</v>
      </c>
      <c r="AB317" s="3">
        <v>28420</v>
      </c>
      <c r="AC317" s="3">
        <v>31630</v>
      </c>
      <c r="AD317" s="3">
        <v>28970</v>
      </c>
      <c r="AE317" s="3">
        <v>292870</v>
      </c>
      <c r="AF317" s="3">
        <v>292870</v>
      </c>
      <c r="AG317" s="3"/>
      <c r="AH317" s="40">
        <v>0.76300000000000001</v>
      </c>
      <c r="AI317" s="40">
        <v>0.75090000000000001</v>
      </c>
      <c r="AJ317" s="40">
        <v>0.75229999999999997</v>
      </c>
      <c r="AK317" s="40">
        <v>0.751</v>
      </c>
      <c r="AL317" s="40">
        <v>0.74880000000000002</v>
      </c>
      <c r="AM317" s="40">
        <v>0.76829999999999998</v>
      </c>
      <c r="AN317" s="40">
        <v>0.71189999999999998</v>
      </c>
      <c r="AO317" s="40">
        <v>0.75260000000000005</v>
      </c>
      <c r="AP317" s="40">
        <v>0.71120000000000005</v>
      </c>
      <c r="AQ317" s="40">
        <v>0.7671</v>
      </c>
      <c r="AR317" s="31">
        <v>0.94808776779991299</v>
      </c>
      <c r="AS317" s="36">
        <v>4.3203636363636404</v>
      </c>
      <c r="AT317">
        <v>5.56</v>
      </c>
      <c r="AU317">
        <v>5.51</v>
      </c>
      <c r="AV317">
        <v>5.81</v>
      </c>
      <c r="AW317">
        <v>5.45</v>
      </c>
      <c r="AY317" s="6">
        <v>5.5824999999999996</v>
      </c>
      <c r="AZ317" s="2">
        <v>0.74770000000000003</v>
      </c>
      <c r="BA317" s="2">
        <v>0.773911981435492</v>
      </c>
      <c r="BB317" s="2">
        <v>0.9919</v>
      </c>
      <c r="BC317">
        <v>71500</v>
      </c>
      <c r="BD317">
        <v>56992</v>
      </c>
      <c r="BE317">
        <v>24000</v>
      </c>
      <c r="BF317">
        <v>28654</v>
      </c>
      <c r="BG317" s="9" t="s">
        <v>152</v>
      </c>
    </row>
    <row r="318" spans="3:59" ht="375" x14ac:dyDescent="0.25">
      <c r="C318" s="1">
        <v>45938</v>
      </c>
      <c r="D318" s="36">
        <v>267120.30967741902</v>
      </c>
      <c r="E318" s="33">
        <v>4.4903225806451603</v>
      </c>
      <c r="F318" s="33">
        <v>3.6807174193548402</v>
      </c>
      <c r="G318" s="2">
        <v>0.81969999999999998</v>
      </c>
      <c r="H318" s="2">
        <v>0.99</v>
      </c>
      <c r="I318" s="3"/>
      <c r="J318" s="3"/>
      <c r="K318" s="3"/>
      <c r="L318" s="3"/>
      <c r="M318" s="3"/>
      <c r="N318" s="3">
        <v>0</v>
      </c>
      <c r="O318" s="3"/>
      <c r="P318" s="3">
        <v>0</v>
      </c>
      <c r="Q318" s="3">
        <v>0</v>
      </c>
      <c r="R318" s="3">
        <v>0</v>
      </c>
      <c r="S318" s="3">
        <v>0</v>
      </c>
      <c r="T318" s="3">
        <v>0</v>
      </c>
      <c r="U318" s="3">
        <v>26940</v>
      </c>
      <c r="V318" s="3">
        <v>2660</v>
      </c>
      <c r="W318" s="3">
        <v>23940</v>
      </c>
      <c r="X318" s="3">
        <v>30260</v>
      </c>
      <c r="Y318" s="3">
        <v>30660</v>
      </c>
      <c r="Z318" s="3">
        <v>33080</v>
      </c>
      <c r="AA318" s="3">
        <v>27380</v>
      </c>
      <c r="AB318" s="3">
        <v>28080</v>
      </c>
      <c r="AC318" s="3">
        <v>33070</v>
      </c>
      <c r="AD318" s="3">
        <v>28390</v>
      </c>
      <c r="AE318" s="3">
        <v>264460</v>
      </c>
      <c r="AF318" s="3">
        <v>264460</v>
      </c>
      <c r="AG318" s="3"/>
      <c r="AH318" s="40">
        <v>0.80469999999999997</v>
      </c>
      <c r="AI318" s="40">
        <v>0.7944</v>
      </c>
      <c r="AJ318" s="40">
        <v>0.8044</v>
      </c>
      <c r="AK318" s="40">
        <v>0.80069999999999997</v>
      </c>
      <c r="AL318" s="40">
        <v>0.8246</v>
      </c>
      <c r="AM318" s="40">
        <v>0.83360000000000001</v>
      </c>
      <c r="AN318" s="40">
        <v>0.81620000000000004</v>
      </c>
      <c r="AO318" s="40">
        <v>0.81689999999999996</v>
      </c>
      <c r="AP318" s="40">
        <v>0.85399999999999998</v>
      </c>
      <c r="AQ318" s="40">
        <v>0.82589999999999997</v>
      </c>
      <c r="AR318" s="31"/>
      <c r="AS318" s="36">
        <v>0</v>
      </c>
      <c r="AT318">
        <v>4.84</v>
      </c>
      <c r="AU318">
        <v>4.88</v>
      </c>
      <c r="AV318">
        <v>4.6500000000000004</v>
      </c>
      <c r="AW318">
        <v>4.96</v>
      </c>
      <c r="AY318" s="6">
        <v>4.8324999999999996</v>
      </c>
      <c r="AZ318" s="2">
        <v>0.8175</v>
      </c>
      <c r="BA318" s="2">
        <v>0</v>
      </c>
      <c r="BB318" s="2">
        <v>1</v>
      </c>
      <c r="BC318">
        <v>71500</v>
      </c>
      <c r="BD318">
        <v>56992</v>
      </c>
      <c r="BE318">
        <v>24000</v>
      </c>
      <c r="BF318">
        <v>30030</v>
      </c>
      <c r="BG318" s="9" t="s">
        <v>152</v>
      </c>
    </row>
    <row r="319" spans="3:59" x14ac:dyDescent="0.25">
      <c r="C319" s="1">
        <v>45939</v>
      </c>
      <c r="D319" s="36">
        <v>267120.30967741902</v>
      </c>
      <c r="E319" s="33">
        <v>4.4903225806451603</v>
      </c>
      <c r="F319" s="33">
        <v>3.6807174193548402</v>
      </c>
      <c r="G319" s="2">
        <v>0.81969999999999998</v>
      </c>
      <c r="H319" s="2">
        <v>0.99</v>
      </c>
      <c r="I319" s="3"/>
      <c r="J319" s="3"/>
      <c r="K319" s="3"/>
      <c r="L319" s="3"/>
      <c r="M319" s="3"/>
      <c r="N319" s="3">
        <v>0</v>
      </c>
      <c r="O319" s="3"/>
      <c r="P319" s="3">
        <v>0</v>
      </c>
      <c r="Q319" s="3">
        <v>0</v>
      </c>
      <c r="R319" s="3">
        <v>0</v>
      </c>
      <c r="S319" s="3">
        <v>0</v>
      </c>
      <c r="T319" s="3">
        <v>0</v>
      </c>
      <c r="U319" s="3"/>
      <c r="V319" s="3"/>
      <c r="W319" s="3"/>
      <c r="X319" s="3"/>
      <c r="Y319" s="3"/>
      <c r="Z319" s="3"/>
      <c r="AA319" s="3"/>
      <c r="AB319" s="3"/>
      <c r="AC319" s="3"/>
      <c r="AD319" s="3"/>
      <c r="AE319" s="3">
        <v>0</v>
      </c>
      <c r="AF319" s="3">
        <v>0</v>
      </c>
      <c r="AG319" s="3"/>
      <c r="AH319" s="40"/>
      <c r="AI319" s="40"/>
      <c r="AJ319" s="40"/>
      <c r="AK319" s="40"/>
      <c r="AL319" s="40"/>
      <c r="AM319" s="40"/>
      <c r="AN319" s="40"/>
      <c r="AO319" s="40"/>
      <c r="AP319" s="40"/>
      <c r="AQ319" s="40"/>
      <c r="AR319" s="31"/>
      <c r="AS319" s="36">
        <v>0</v>
      </c>
      <c r="AY319" s="6"/>
      <c r="AZ319" s="2"/>
      <c r="BA319" s="2"/>
      <c r="BB319" s="2"/>
      <c r="BC319">
        <v>71500</v>
      </c>
      <c r="BD319">
        <v>56992</v>
      </c>
    </row>
    <row r="320" spans="3:59" x14ac:dyDescent="0.25">
      <c r="C320" s="1">
        <v>45940</v>
      </c>
      <c r="D320" s="36">
        <v>267120.30967741902</v>
      </c>
      <c r="E320" s="33">
        <v>4.4903225806451603</v>
      </c>
      <c r="F320" s="33">
        <v>3.6807174193548402</v>
      </c>
      <c r="G320" s="2">
        <v>0.81969999999999998</v>
      </c>
      <c r="H320" s="2">
        <v>0.99</v>
      </c>
      <c r="I320" s="3"/>
      <c r="J320" s="3"/>
      <c r="K320" s="3"/>
      <c r="L320" s="3"/>
      <c r="M320" s="3"/>
      <c r="N320" s="3">
        <v>0</v>
      </c>
      <c r="O320" s="3"/>
      <c r="P320" s="3">
        <v>0</v>
      </c>
      <c r="Q320" s="3">
        <v>0</v>
      </c>
      <c r="R320" s="3">
        <v>0</v>
      </c>
      <c r="S320" s="3">
        <v>0</v>
      </c>
      <c r="T320" s="3">
        <v>0</v>
      </c>
      <c r="U320" s="3"/>
      <c r="V320" s="3"/>
      <c r="W320" s="3"/>
      <c r="X320" s="3"/>
      <c r="Y320" s="3"/>
      <c r="Z320" s="3"/>
      <c r="AA320" s="3"/>
      <c r="AB320" s="3"/>
      <c r="AC320" s="3"/>
      <c r="AD320" s="3"/>
      <c r="AE320" s="3">
        <v>0</v>
      </c>
      <c r="AF320" s="3">
        <v>0</v>
      </c>
      <c r="AG320" s="3"/>
      <c r="AH320" s="40"/>
      <c r="AI320" s="40"/>
      <c r="AJ320" s="40"/>
      <c r="AK320" s="40"/>
      <c r="AL320" s="40"/>
      <c r="AM320" s="40"/>
      <c r="AN320" s="40"/>
      <c r="AO320" s="40"/>
      <c r="AP320" s="40"/>
      <c r="AQ320" s="40"/>
      <c r="AR320" s="31"/>
      <c r="AS320" s="36">
        <v>0</v>
      </c>
      <c r="AY320" s="6"/>
      <c r="AZ320" s="2"/>
      <c r="BA320" s="2"/>
      <c r="BB320" s="2"/>
      <c r="BC320">
        <v>71500</v>
      </c>
      <c r="BD320">
        <v>56992</v>
      </c>
    </row>
    <row r="321" spans="3:56" x14ac:dyDescent="0.25">
      <c r="C321" s="1">
        <v>45941</v>
      </c>
      <c r="D321" s="36">
        <v>267120.30967741902</v>
      </c>
      <c r="E321" s="33">
        <v>4.4903225806451603</v>
      </c>
      <c r="F321" s="33">
        <v>3.6807174193548402</v>
      </c>
      <c r="G321" s="2">
        <v>0.81969999999999998</v>
      </c>
      <c r="H321" s="2">
        <v>0.99</v>
      </c>
      <c r="I321" s="3"/>
      <c r="J321" s="3"/>
      <c r="K321" s="3"/>
      <c r="L321" s="3"/>
      <c r="M321" s="3"/>
      <c r="N321" s="3">
        <v>0</v>
      </c>
      <c r="O321" s="3"/>
      <c r="P321" s="3">
        <v>0</v>
      </c>
      <c r="Q321" s="3">
        <v>0</v>
      </c>
      <c r="R321" s="3">
        <v>0</v>
      </c>
      <c r="S321" s="3">
        <v>0</v>
      </c>
      <c r="T321" s="3">
        <v>0</v>
      </c>
      <c r="U321" s="3"/>
      <c r="V321" s="3"/>
      <c r="W321" s="3"/>
      <c r="X321" s="3"/>
      <c r="Y321" s="3"/>
      <c r="Z321" s="3"/>
      <c r="AA321" s="3"/>
      <c r="AB321" s="3"/>
      <c r="AC321" s="3"/>
      <c r="AD321" s="3"/>
      <c r="AE321" s="3">
        <v>0</v>
      </c>
      <c r="AF321" s="3">
        <v>0</v>
      </c>
      <c r="AG321" s="3"/>
      <c r="AH321" s="40"/>
      <c r="AI321" s="40"/>
      <c r="AJ321" s="40"/>
      <c r="AK321" s="40"/>
      <c r="AL321" s="40"/>
      <c r="AM321" s="40"/>
      <c r="AN321" s="40"/>
      <c r="AO321" s="40"/>
      <c r="AP321" s="40"/>
      <c r="AQ321" s="40"/>
      <c r="AR321" s="31"/>
      <c r="AS321" s="36">
        <v>0</v>
      </c>
      <c r="AY321" s="6"/>
      <c r="AZ321" s="2"/>
      <c r="BA321" s="2"/>
      <c r="BB321" s="2"/>
      <c r="BC321">
        <v>71500</v>
      </c>
      <c r="BD321">
        <v>56992</v>
      </c>
    </row>
    <row r="322" spans="3:56" x14ac:dyDescent="0.25">
      <c r="C322" s="1">
        <v>45942</v>
      </c>
      <c r="D322" s="36">
        <v>267120.30967741902</v>
      </c>
      <c r="E322" s="33">
        <v>4.4903225806451603</v>
      </c>
      <c r="F322" s="33">
        <v>3.6807174193548402</v>
      </c>
      <c r="G322" s="2">
        <v>0.81969999999999998</v>
      </c>
      <c r="H322" s="2">
        <v>0.99</v>
      </c>
      <c r="I322" s="3"/>
      <c r="J322" s="3"/>
      <c r="K322" s="3"/>
      <c r="L322" s="3"/>
      <c r="M322" s="3"/>
      <c r="N322" s="3">
        <v>0</v>
      </c>
      <c r="O322" s="3"/>
      <c r="P322" s="3">
        <v>0</v>
      </c>
      <c r="Q322" s="3">
        <v>0</v>
      </c>
      <c r="R322" s="3">
        <v>0</v>
      </c>
      <c r="S322" s="3">
        <v>0</v>
      </c>
      <c r="T322" s="3">
        <v>0</v>
      </c>
      <c r="U322" s="3"/>
      <c r="V322" s="3"/>
      <c r="W322" s="3"/>
      <c r="X322" s="3"/>
      <c r="Y322" s="3"/>
      <c r="Z322" s="3"/>
      <c r="AA322" s="3"/>
      <c r="AB322" s="3"/>
      <c r="AC322" s="3"/>
      <c r="AD322" s="3"/>
      <c r="AE322" s="3">
        <v>0</v>
      </c>
      <c r="AF322" s="3">
        <v>0</v>
      </c>
      <c r="AG322" s="3"/>
      <c r="AH322" s="40"/>
      <c r="AI322" s="40"/>
      <c r="AJ322" s="40"/>
      <c r="AK322" s="40"/>
      <c r="AL322" s="40"/>
      <c r="AM322" s="40"/>
      <c r="AN322" s="40"/>
      <c r="AO322" s="40"/>
      <c r="AP322" s="40"/>
      <c r="AQ322" s="40"/>
      <c r="AR322" s="31"/>
      <c r="AS322" s="36">
        <v>0</v>
      </c>
      <c r="AY322" s="6"/>
      <c r="AZ322" s="2"/>
      <c r="BA322" s="2"/>
      <c r="BB322" s="2"/>
      <c r="BC322">
        <v>71500</v>
      </c>
      <c r="BD322">
        <v>56992</v>
      </c>
    </row>
    <row r="323" spans="3:56" x14ac:dyDescent="0.25">
      <c r="C323" s="1">
        <v>45943</v>
      </c>
      <c r="D323" s="36">
        <v>267120.30967741902</v>
      </c>
      <c r="E323" s="33">
        <v>4.4903225806451603</v>
      </c>
      <c r="F323" s="33">
        <v>3.6807174193548402</v>
      </c>
      <c r="G323" s="2">
        <v>0.81969999999999998</v>
      </c>
      <c r="H323" s="2">
        <v>0.99</v>
      </c>
      <c r="I323" s="3"/>
      <c r="J323" s="3"/>
      <c r="K323" s="3"/>
      <c r="L323" s="3"/>
      <c r="M323" s="3"/>
      <c r="N323" s="3">
        <v>0</v>
      </c>
      <c r="O323" s="3"/>
      <c r="P323" s="3">
        <v>0</v>
      </c>
      <c r="Q323" s="3">
        <v>0</v>
      </c>
      <c r="R323" s="3">
        <v>0</v>
      </c>
      <c r="S323" s="3">
        <v>0</v>
      </c>
      <c r="T323" s="3">
        <v>0</v>
      </c>
      <c r="U323" s="3"/>
      <c r="V323" s="3"/>
      <c r="W323" s="3"/>
      <c r="X323" s="3"/>
      <c r="Y323" s="3"/>
      <c r="Z323" s="3"/>
      <c r="AA323" s="3"/>
      <c r="AB323" s="3"/>
      <c r="AC323" s="3"/>
      <c r="AD323" s="3"/>
      <c r="AE323" s="3">
        <v>0</v>
      </c>
      <c r="AF323" s="3">
        <v>0</v>
      </c>
      <c r="AG323" s="3"/>
      <c r="AH323" s="40"/>
      <c r="AI323" s="40"/>
      <c r="AJ323" s="40"/>
      <c r="AK323" s="40"/>
      <c r="AL323" s="40"/>
      <c r="AM323" s="40"/>
      <c r="AN323" s="40"/>
      <c r="AO323" s="40"/>
      <c r="AP323" s="40"/>
      <c r="AQ323" s="40"/>
      <c r="AR323" s="31"/>
      <c r="AS323" s="36">
        <v>0</v>
      </c>
      <c r="AY323" s="6"/>
      <c r="AZ323" s="2"/>
      <c r="BA323" s="2"/>
      <c r="BB323" s="2"/>
      <c r="BC323">
        <v>71500</v>
      </c>
      <c r="BD323">
        <v>56992</v>
      </c>
    </row>
    <row r="324" spans="3:56" x14ac:dyDescent="0.25">
      <c r="C324" s="1">
        <v>45944</v>
      </c>
      <c r="D324" s="36">
        <v>267120.30967741902</v>
      </c>
      <c r="E324" s="33">
        <v>4.4903225806451603</v>
      </c>
      <c r="F324" s="33">
        <v>3.6807174193548402</v>
      </c>
      <c r="G324" s="2">
        <v>0.81969999999999998</v>
      </c>
      <c r="H324" s="2">
        <v>0.99</v>
      </c>
      <c r="I324" s="3"/>
      <c r="J324" s="3"/>
      <c r="K324" s="3"/>
      <c r="L324" s="3"/>
      <c r="M324" s="3"/>
      <c r="N324" s="3">
        <v>0</v>
      </c>
      <c r="O324" s="3"/>
      <c r="P324" s="3">
        <v>0</v>
      </c>
      <c r="Q324" s="3">
        <v>0</v>
      </c>
      <c r="R324" s="3">
        <v>0</v>
      </c>
      <c r="S324" s="3">
        <v>0</v>
      </c>
      <c r="T324" s="3">
        <v>0</v>
      </c>
      <c r="U324" s="3"/>
      <c r="V324" s="3"/>
      <c r="W324" s="3"/>
      <c r="X324" s="3"/>
      <c r="Y324" s="3"/>
      <c r="Z324" s="3"/>
      <c r="AA324" s="3"/>
      <c r="AB324" s="3"/>
      <c r="AC324" s="3"/>
      <c r="AD324" s="3"/>
      <c r="AE324" s="3">
        <v>0</v>
      </c>
      <c r="AF324" s="3">
        <v>0</v>
      </c>
      <c r="AG324" s="3"/>
      <c r="AH324" s="40"/>
      <c r="AI324" s="40"/>
      <c r="AJ324" s="40"/>
      <c r="AK324" s="40"/>
      <c r="AL324" s="40"/>
      <c r="AM324" s="40"/>
      <c r="AN324" s="40"/>
      <c r="AO324" s="40"/>
      <c r="AP324" s="40"/>
      <c r="AQ324" s="40"/>
      <c r="AR324" s="31"/>
      <c r="AS324" s="36">
        <v>0</v>
      </c>
      <c r="AY324" s="6"/>
      <c r="AZ324" s="2"/>
      <c r="BA324" s="2"/>
      <c r="BB324" s="2"/>
      <c r="BC324">
        <v>71500</v>
      </c>
      <c r="BD324">
        <v>56992</v>
      </c>
    </row>
    <row r="325" spans="3:56" x14ac:dyDescent="0.25">
      <c r="C325" s="1">
        <v>45945</v>
      </c>
      <c r="D325" s="36">
        <v>267120.30967741902</v>
      </c>
      <c r="E325" s="33">
        <v>4.4903225806451603</v>
      </c>
      <c r="F325" s="33">
        <v>3.6807174193548402</v>
      </c>
      <c r="G325" s="2">
        <v>0.81969999999999998</v>
      </c>
      <c r="H325" s="2">
        <v>0.99</v>
      </c>
      <c r="I325" s="3"/>
      <c r="J325" s="3"/>
      <c r="K325" s="3"/>
      <c r="L325" s="3"/>
      <c r="M325" s="3"/>
      <c r="N325" s="3">
        <v>0</v>
      </c>
      <c r="O325" s="3"/>
      <c r="P325" s="3">
        <v>0</v>
      </c>
      <c r="Q325" s="3">
        <v>0</v>
      </c>
      <c r="R325" s="3">
        <v>0</v>
      </c>
      <c r="S325" s="3">
        <v>0</v>
      </c>
      <c r="T325" s="3">
        <v>0</v>
      </c>
      <c r="U325" s="3"/>
      <c r="V325" s="3"/>
      <c r="W325" s="3"/>
      <c r="X325" s="3"/>
      <c r="Y325" s="3"/>
      <c r="Z325" s="3"/>
      <c r="AA325" s="3"/>
      <c r="AB325" s="3"/>
      <c r="AC325" s="3"/>
      <c r="AD325" s="3"/>
      <c r="AE325" s="3">
        <v>0</v>
      </c>
      <c r="AF325" s="3">
        <v>0</v>
      </c>
      <c r="AG325" s="3"/>
      <c r="AH325" s="40"/>
      <c r="AI325" s="40"/>
      <c r="AJ325" s="40"/>
      <c r="AK325" s="40"/>
      <c r="AL325" s="40"/>
      <c r="AM325" s="40"/>
      <c r="AN325" s="40"/>
      <c r="AO325" s="40"/>
      <c r="AP325" s="40"/>
      <c r="AQ325" s="40"/>
      <c r="AR325" s="31"/>
      <c r="AS325" s="36">
        <v>0</v>
      </c>
      <c r="AY325" s="6"/>
      <c r="AZ325" s="2"/>
      <c r="BA325" s="2"/>
      <c r="BB325" s="2"/>
      <c r="BC325">
        <v>71500</v>
      </c>
      <c r="BD325">
        <v>56992</v>
      </c>
    </row>
    <row r="326" spans="3:56" x14ac:dyDescent="0.25">
      <c r="C326" s="1">
        <v>45946</v>
      </c>
      <c r="D326" s="36">
        <v>267120.30967741902</v>
      </c>
      <c r="E326" s="33">
        <v>4.4903225806451603</v>
      </c>
      <c r="F326" s="33">
        <v>3.6807174193548402</v>
      </c>
      <c r="G326" s="2">
        <v>0.81969999999999998</v>
      </c>
      <c r="H326" s="2">
        <v>0.99</v>
      </c>
      <c r="I326" s="3"/>
      <c r="J326" s="3"/>
      <c r="K326" s="3"/>
      <c r="L326" s="3"/>
      <c r="M326" s="3"/>
      <c r="N326" s="3">
        <v>0</v>
      </c>
      <c r="O326" s="3"/>
      <c r="P326" s="3">
        <v>0</v>
      </c>
      <c r="Q326" s="3">
        <v>0</v>
      </c>
      <c r="R326" s="3">
        <v>0</v>
      </c>
      <c r="S326" s="3">
        <v>0</v>
      </c>
      <c r="T326" s="3">
        <v>0</v>
      </c>
      <c r="U326" s="3"/>
      <c r="V326" s="3"/>
      <c r="W326" s="3"/>
      <c r="X326" s="3"/>
      <c r="Y326" s="3"/>
      <c r="Z326" s="3"/>
      <c r="AA326" s="3"/>
      <c r="AB326" s="3"/>
      <c r="AC326" s="3"/>
      <c r="AD326" s="3"/>
      <c r="AE326" s="3">
        <v>0</v>
      </c>
      <c r="AF326" s="3">
        <v>0</v>
      </c>
      <c r="AG326" s="3"/>
      <c r="AH326" s="40"/>
      <c r="AI326" s="40"/>
      <c r="AJ326" s="40"/>
      <c r="AK326" s="40"/>
      <c r="AL326" s="40"/>
      <c r="AM326" s="40"/>
      <c r="AN326" s="40"/>
      <c r="AO326" s="40"/>
      <c r="AP326" s="40"/>
      <c r="AQ326" s="40"/>
      <c r="AR326" s="31"/>
      <c r="AS326" s="36">
        <v>0</v>
      </c>
      <c r="AY326" s="6"/>
      <c r="AZ326" s="2"/>
      <c r="BA326" s="2"/>
      <c r="BB326" s="2"/>
      <c r="BC326">
        <v>71500</v>
      </c>
      <c r="BD326">
        <v>56992</v>
      </c>
    </row>
    <row r="327" spans="3:56" x14ac:dyDescent="0.25">
      <c r="C327" s="1">
        <v>45947</v>
      </c>
      <c r="D327" s="36">
        <v>267120.30967741902</v>
      </c>
      <c r="E327" s="33">
        <v>4.4903225806451603</v>
      </c>
      <c r="F327" s="33">
        <v>3.6807174193548402</v>
      </c>
      <c r="G327" s="2">
        <v>0.81969999999999998</v>
      </c>
      <c r="H327" s="2">
        <v>0.99</v>
      </c>
      <c r="I327" s="3"/>
      <c r="J327" s="3"/>
      <c r="K327" s="3"/>
      <c r="L327" s="3"/>
      <c r="M327" s="3"/>
      <c r="N327" s="3">
        <v>0</v>
      </c>
      <c r="O327" s="3"/>
      <c r="P327" s="3">
        <v>0</v>
      </c>
      <c r="Q327" s="3">
        <v>0</v>
      </c>
      <c r="R327" s="3">
        <v>0</v>
      </c>
      <c r="S327" s="3">
        <v>0</v>
      </c>
      <c r="T327" s="3">
        <v>0</v>
      </c>
      <c r="U327" s="3"/>
      <c r="V327" s="3"/>
      <c r="W327" s="3"/>
      <c r="X327" s="3"/>
      <c r="Y327" s="3"/>
      <c r="Z327" s="3"/>
      <c r="AA327" s="3"/>
      <c r="AB327" s="3"/>
      <c r="AC327" s="3"/>
      <c r="AD327" s="3"/>
      <c r="AE327" s="3">
        <v>0</v>
      </c>
      <c r="AF327" s="3">
        <v>0</v>
      </c>
      <c r="AG327" s="3"/>
      <c r="AH327" s="40"/>
      <c r="AI327" s="40"/>
      <c r="AJ327" s="40"/>
      <c r="AK327" s="40"/>
      <c r="AL327" s="40"/>
      <c r="AM327" s="40"/>
      <c r="AN327" s="40"/>
      <c r="AO327" s="40"/>
      <c r="AP327" s="40"/>
      <c r="AQ327" s="40"/>
      <c r="AR327" s="31"/>
      <c r="AS327" s="36">
        <v>0</v>
      </c>
      <c r="AY327" s="6"/>
      <c r="AZ327" s="2"/>
      <c r="BA327" s="2"/>
      <c r="BB327" s="2"/>
      <c r="BC327">
        <v>71500</v>
      </c>
      <c r="BD327">
        <v>56992</v>
      </c>
    </row>
    <row r="328" spans="3:56" x14ac:dyDescent="0.25">
      <c r="C328" s="1">
        <v>45948</v>
      </c>
      <c r="D328" s="36">
        <v>267120.30967741902</v>
      </c>
      <c r="E328" s="33">
        <v>4.4903225806451603</v>
      </c>
      <c r="F328" s="33">
        <v>3.6807174193548402</v>
      </c>
      <c r="G328" s="2">
        <v>0.81969999999999998</v>
      </c>
      <c r="H328" s="2">
        <v>0.99</v>
      </c>
      <c r="I328" s="3"/>
      <c r="J328" s="3"/>
      <c r="K328" s="3"/>
      <c r="L328" s="3"/>
      <c r="M328" s="3"/>
      <c r="N328" s="3">
        <v>0</v>
      </c>
      <c r="O328" s="3"/>
      <c r="P328" s="3">
        <v>0</v>
      </c>
      <c r="Q328" s="3">
        <v>0</v>
      </c>
      <c r="R328" s="3">
        <v>0</v>
      </c>
      <c r="S328" s="3">
        <v>0</v>
      </c>
      <c r="T328" s="3">
        <v>0</v>
      </c>
      <c r="U328" s="3"/>
      <c r="V328" s="3"/>
      <c r="W328" s="3"/>
      <c r="X328" s="3"/>
      <c r="Y328" s="3"/>
      <c r="Z328" s="3"/>
      <c r="AA328" s="3"/>
      <c r="AB328" s="3"/>
      <c r="AC328" s="3"/>
      <c r="AD328" s="3"/>
      <c r="AE328" s="3">
        <v>0</v>
      </c>
      <c r="AF328" s="3">
        <v>0</v>
      </c>
      <c r="AG328" s="3"/>
      <c r="AH328" s="40"/>
      <c r="AI328" s="40"/>
      <c r="AJ328" s="40"/>
      <c r="AK328" s="40"/>
      <c r="AL328" s="40"/>
      <c r="AM328" s="40"/>
      <c r="AN328" s="40"/>
      <c r="AO328" s="40"/>
      <c r="AP328" s="40"/>
      <c r="AQ328" s="40"/>
      <c r="AR328" s="31"/>
      <c r="AS328" s="36">
        <v>0</v>
      </c>
      <c r="AY328" s="6"/>
      <c r="AZ328" s="2"/>
      <c r="BA328" s="2"/>
      <c r="BB328" s="2"/>
      <c r="BC328">
        <v>71500</v>
      </c>
      <c r="BD328">
        <v>56992</v>
      </c>
    </row>
    <row r="329" spans="3:56" x14ac:dyDescent="0.25">
      <c r="C329" s="1">
        <v>45949</v>
      </c>
      <c r="D329" s="36">
        <v>267120.30967741902</v>
      </c>
      <c r="E329" s="33">
        <v>4.4903225806451603</v>
      </c>
      <c r="F329" s="33">
        <v>3.6807174193548402</v>
      </c>
      <c r="G329" s="2">
        <v>0.81969999999999998</v>
      </c>
      <c r="H329" s="2">
        <v>0.99</v>
      </c>
      <c r="I329" s="3"/>
      <c r="J329" s="3"/>
      <c r="K329" s="3"/>
      <c r="L329" s="3"/>
      <c r="M329" s="3"/>
      <c r="N329" s="3">
        <v>0</v>
      </c>
      <c r="O329" s="3"/>
      <c r="P329" s="3">
        <v>0</v>
      </c>
      <c r="Q329" s="3">
        <v>0</v>
      </c>
      <c r="R329" s="3">
        <v>0</v>
      </c>
      <c r="S329" s="3">
        <v>0</v>
      </c>
      <c r="T329" s="3">
        <v>0</v>
      </c>
      <c r="U329" s="3"/>
      <c r="V329" s="3"/>
      <c r="W329" s="3"/>
      <c r="X329" s="3"/>
      <c r="Y329" s="3"/>
      <c r="Z329" s="3"/>
      <c r="AA329" s="3"/>
      <c r="AB329" s="3"/>
      <c r="AC329" s="3"/>
      <c r="AD329" s="3"/>
      <c r="AE329" s="3">
        <v>0</v>
      </c>
      <c r="AF329" s="3">
        <v>0</v>
      </c>
      <c r="AG329" s="3"/>
      <c r="AH329" s="40"/>
      <c r="AI329" s="40"/>
      <c r="AJ329" s="40"/>
      <c r="AK329" s="40"/>
      <c r="AL329" s="40"/>
      <c r="AM329" s="40"/>
      <c r="AN329" s="40"/>
      <c r="AO329" s="40"/>
      <c r="AP329" s="40"/>
      <c r="AQ329" s="40"/>
      <c r="AR329" s="31"/>
      <c r="AS329" s="36">
        <v>0</v>
      </c>
      <c r="AY329" s="6"/>
      <c r="AZ329" s="2"/>
      <c r="BA329" s="2"/>
      <c r="BB329" s="2"/>
      <c r="BC329">
        <v>71500</v>
      </c>
      <c r="BD329">
        <v>56992</v>
      </c>
    </row>
    <row r="330" spans="3:56" x14ac:dyDescent="0.25">
      <c r="C330" s="1">
        <v>45950</v>
      </c>
      <c r="D330" s="36">
        <v>267120.30967741902</v>
      </c>
      <c r="E330" s="33">
        <v>4.4903225806451603</v>
      </c>
      <c r="F330" s="33">
        <v>3.6807174193548402</v>
      </c>
      <c r="G330" s="2">
        <v>0.81969999999999998</v>
      </c>
      <c r="H330" s="2">
        <v>0.99</v>
      </c>
      <c r="I330" s="3"/>
      <c r="J330" s="3"/>
      <c r="K330" s="3"/>
      <c r="L330" s="3"/>
      <c r="M330" s="3"/>
      <c r="N330" s="3">
        <v>0</v>
      </c>
      <c r="O330" s="3"/>
      <c r="P330" s="3">
        <v>0</v>
      </c>
      <c r="Q330" s="3">
        <v>0</v>
      </c>
      <c r="R330" s="3">
        <v>0</v>
      </c>
      <c r="S330" s="3">
        <v>0</v>
      </c>
      <c r="T330" s="3">
        <v>0</v>
      </c>
      <c r="U330" s="3"/>
      <c r="V330" s="3"/>
      <c r="W330" s="3"/>
      <c r="X330" s="3"/>
      <c r="Y330" s="3"/>
      <c r="Z330" s="3"/>
      <c r="AA330" s="3"/>
      <c r="AB330" s="3"/>
      <c r="AC330" s="3"/>
      <c r="AD330" s="3"/>
      <c r="AE330" s="3">
        <v>0</v>
      </c>
      <c r="AF330" s="3">
        <v>0</v>
      </c>
      <c r="AG330" s="3"/>
      <c r="AH330" s="40"/>
      <c r="AI330" s="40"/>
      <c r="AJ330" s="40"/>
      <c r="AK330" s="40"/>
      <c r="AL330" s="40"/>
      <c r="AM330" s="40"/>
      <c r="AN330" s="40"/>
      <c r="AO330" s="40"/>
      <c r="AP330" s="40"/>
      <c r="AQ330" s="40"/>
      <c r="AR330" s="31"/>
      <c r="AS330" s="36">
        <v>0</v>
      </c>
      <c r="AY330" s="6"/>
      <c r="AZ330" s="2"/>
      <c r="BA330" s="2"/>
      <c r="BB330" s="2"/>
      <c r="BC330">
        <v>71500</v>
      </c>
      <c r="BD330">
        <v>56992</v>
      </c>
    </row>
    <row r="331" spans="3:56" x14ac:dyDescent="0.25">
      <c r="C331" s="1">
        <v>45951</v>
      </c>
      <c r="D331" s="36">
        <v>267120.30967741902</v>
      </c>
      <c r="E331" s="33">
        <v>4.4903225806451603</v>
      </c>
      <c r="F331" s="33">
        <v>3.6807174193548402</v>
      </c>
      <c r="G331" s="2">
        <v>0.81969999999999998</v>
      </c>
      <c r="H331" s="2">
        <v>0.99</v>
      </c>
      <c r="I331" s="3"/>
      <c r="J331" s="3"/>
      <c r="K331" s="3"/>
      <c r="L331" s="3"/>
      <c r="M331" s="3"/>
      <c r="N331" s="3">
        <v>0</v>
      </c>
      <c r="O331" s="3"/>
      <c r="P331" s="3">
        <v>0</v>
      </c>
      <c r="Q331" s="3">
        <v>0</v>
      </c>
      <c r="R331" s="3">
        <v>0</v>
      </c>
      <c r="S331" s="3">
        <v>0</v>
      </c>
      <c r="T331" s="3">
        <v>0</v>
      </c>
      <c r="U331" s="3"/>
      <c r="V331" s="3"/>
      <c r="W331" s="3"/>
      <c r="X331" s="3"/>
      <c r="Y331" s="3"/>
      <c r="Z331" s="3"/>
      <c r="AA331" s="3"/>
      <c r="AB331" s="3"/>
      <c r="AC331" s="3"/>
      <c r="AD331" s="3"/>
      <c r="AE331" s="3">
        <v>0</v>
      </c>
      <c r="AF331" s="3">
        <v>0</v>
      </c>
      <c r="AG331" s="3"/>
      <c r="AH331" s="40"/>
      <c r="AI331" s="40"/>
      <c r="AJ331" s="40"/>
      <c r="AK331" s="40"/>
      <c r="AL331" s="40"/>
      <c r="AM331" s="40"/>
      <c r="AN331" s="40"/>
      <c r="AO331" s="40"/>
      <c r="AP331" s="40"/>
      <c r="AQ331" s="40"/>
      <c r="AR331" s="31"/>
      <c r="AS331" s="36">
        <v>0</v>
      </c>
      <c r="AY331" s="6"/>
      <c r="AZ331" s="2"/>
      <c r="BA331" s="2"/>
      <c r="BB331" s="2"/>
      <c r="BC331">
        <v>71500</v>
      </c>
      <c r="BD331">
        <v>56992</v>
      </c>
    </row>
    <row r="332" spans="3:56" x14ac:dyDescent="0.25">
      <c r="C332" s="1">
        <v>45952</v>
      </c>
      <c r="D332" s="36">
        <v>267120.30967741902</v>
      </c>
      <c r="E332" s="33">
        <v>4.4903225806451603</v>
      </c>
      <c r="F332" s="33">
        <v>3.6807174193548402</v>
      </c>
      <c r="G332" s="2">
        <v>0.81969999999999998</v>
      </c>
      <c r="H332" s="2">
        <v>0.99</v>
      </c>
      <c r="I332" s="3"/>
      <c r="J332" s="3"/>
      <c r="K332" s="3"/>
      <c r="L332" s="3"/>
      <c r="M332" s="3"/>
      <c r="N332" s="3">
        <v>0</v>
      </c>
      <c r="O332" s="3"/>
      <c r="P332" s="3">
        <v>0</v>
      </c>
      <c r="Q332" s="3">
        <v>0</v>
      </c>
      <c r="R332" s="3">
        <v>0</v>
      </c>
      <c r="S332" s="3">
        <v>0</v>
      </c>
      <c r="T332" s="3">
        <v>0</v>
      </c>
      <c r="U332" s="3"/>
      <c r="V332" s="3"/>
      <c r="W332" s="3"/>
      <c r="X332" s="3"/>
      <c r="Y332" s="3"/>
      <c r="Z332" s="3"/>
      <c r="AA332" s="3"/>
      <c r="AB332" s="3"/>
      <c r="AC332" s="3"/>
      <c r="AD332" s="3"/>
      <c r="AE332" s="3">
        <v>0</v>
      </c>
      <c r="AF332" s="3">
        <v>0</v>
      </c>
      <c r="AG332" s="3"/>
      <c r="AH332" s="40"/>
      <c r="AI332" s="40"/>
      <c r="AJ332" s="40"/>
      <c r="AK332" s="40"/>
      <c r="AL332" s="40"/>
      <c r="AM332" s="40"/>
      <c r="AN332" s="40"/>
      <c r="AO332" s="40"/>
      <c r="AP332" s="40"/>
      <c r="AQ332" s="40"/>
      <c r="AR332" s="31"/>
      <c r="AS332" s="36">
        <v>0</v>
      </c>
      <c r="AY332" s="6"/>
      <c r="AZ332" s="2"/>
      <c r="BA332" s="2"/>
      <c r="BB332" s="2"/>
      <c r="BC332">
        <v>71500</v>
      </c>
      <c r="BD332">
        <v>56992</v>
      </c>
    </row>
    <row r="333" spans="3:56" x14ac:dyDescent="0.25">
      <c r="C333" s="1">
        <v>45953</v>
      </c>
      <c r="D333" s="36">
        <v>267120.30967741902</v>
      </c>
      <c r="E333" s="33">
        <v>4.4903225806451603</v>
      </c>
      <c r="F333" s="33">
        <v>3.6807174193548402</v>
      </c>
      <c r="G333" s="2">
        <v>0.81969999999999998</v>
      </c>
      <c r="H333" s="2">
        <v>0.99</v>
      </c>
      <c r="I333" s="3"/>
      <c r="J333" s="3"/>
      <c r="K333" s="3"/>
      <c r="L333" s="3"/>
      <c r="M333" s="3"/>
      <c r="N333" s="3">
        <v>0</v>
      </c>
      <c r="O333" s="3"/>
      <c r="P333" s="3">
        <v>0</v>
      </c>
      <c r="Q333" s="3">
        <v>0</v>
      </c>
      <c r="R333" s="3">
        <v>0</v>
      </c>
      <c r="S333" s="3">
        <v>0</v>
      </c>
      <c r="T333" s="3">
        <v>0</v>
      </c>
      <c r="U333" s="3"/>
      <c r="V333" s="3"/>
      <c r="W333" s="3"/>
      <c r="X333" s="3"/>
      <c r="Y333" s="3"/>
      <c r="Z333" s="3"/>
      <c r="AA333" s="3"/>
      <c r="AB333" s="3"/>
      <c r="AC333" s="3"/>
      <c r="AD333" s="3"/>
      <c r="AE333" s="3">
        <v>0</v>
      </c>
      <c r="AF333" s="3">
        <v>0</v>
      </c>
      <c r="AG333" s="3"/>
      <c r="AH333" s="40"/>
      <c r="AI333" s="40"/>
      <c r="AJ333" s="40"/>
      <c r="AK333" s="40"/>
      <c r="AL333" s="40"/>
      <c r="AM333" s="40"/>
      <c r="AN333" s="40"/>
      <c r="AO333" s="40"/>
      <c r="AP333" s="40"/>
      <c r="AQ333" s="40"/>
      <c r="AR333" s="31"/>
      <c r="AS333" s="36">
        <v>0</v>
      </c>
      <c r="AY333" s="6"/>
      <c r="AZ333" s="2"/>
      <c r="BA333" s="2"/>
      <c r="BB333" s="2"/>
      <c r="BC333">
        <v>71500</v>
      </c>
      <c r="BD333">
        <v>56992</v>
      </c>
    </row>
    <row r="334" spans="3:56" x14ac:dyDescent="0.25">
      <c r="C334" s="1">
        <v>45954</v>
      </c>
      <c r="D334" s="36">
        <v>267120.30967741902</v>
      </c>
      <c r="E334" s="33">
        <v>4.4903225806451603</v>
      </c>
      <c r="F334" s="33">
        <v>3.6807174193548402</v>
      </c>
      <c r="G334" s="2">
        <v>0.81969999999999998</v>
      </c>
      <c r="H334" s="2">
        <v>0.99</v>
      </c>
      <c r="I334" s="3"/>
      <c r="J334" s="3"/>
      <c r="K334" s="3"/>
      <c r="L334" s="3"/>
      <c r="M334" s="3"/>
      <c r="N334" s="3">
        <v>0</v>
      </c>
      <c r="O334" s="3"/>
      <c r="P334" s="3">
        <v>0</v>
      </c>
      <c r="Q334" s="3">
        <v>0</v>
      </c>
      <c r="R334" s="3">
        <v>0</v>
      </c>
      <c r="S334" s="3">
        <v>0</v>
      </c>
      <c r="T334" s="3">
        <v>0</v>
      </c>
      <c r="U334" s="3"/>
      <c r="V334" s="3"/>
      <c r="W334" s="3"/>
      <c r="X334" s="3"/>
      <c r="Y334" s="3"/>
      <c r="Z334" s="3"/>
      <c r="AA334" s="3"/>
      <c r="AB334" s="3"/>
      <c r="AC334" s="3"/>
      <c r="AD334" s="3"/>
      <c r="AE334" s="3">
        <v>0</v>
      </c>
      <c r="AF334" s="3">
        <v>0</v>
      </c>
      <c r="AG334" s="3"/>
      <c r="AH334" s="40"/>
      <c r="AI334" s="40"/>
      <c r="AJ334" s="40"/>
      <c r="AK334" s="40"/>
      <c r="AL334" s="40"/>
      <c r="AM334" s="40"/>
      <c r="AN334" s="40"/>
      <c r="AO334" s="40"/>
      <c r="AP334" s="40"/>
      <c r="AQ334" s="40"/>
      <c r="AR334" s="31"/>
      <c r="AS334" s="36">
        <v>0</v>
      </c>
      <c r="AY334" s="6"/>
      <c r="AZ334" s="2"/>
      <c r="BA334" s="2"/>
      <c r="BB334" s="2"/>
      <c r="BC334">
        <v>71500</v>
      </c>
      <c r="BD334">
        <v>56992</v>
      </c>
    </row>
    <row r="335" spans="3:56" x14ac:dyDescent="0.25">
      <c r="C335" s="1">
        <v>45955</v>
      </c>
      <c r="D335" s="36">
        <v>267120.30967741902</v>
      </c>
      <c r="E335" s="33">
        <v>4.4903225806451603</v>
      </c>
      <c r="F335" s="33">
        <v>3.6807174193548402</v>
      </c>
      <c r="G335" s="2">
        <v>0.81969999999999998</v>
      </c>
      <c r="H335" s="2">
        <v>0.99</v>
      </c>
      <c r="I335" s="3"/>
      <c r="J335" s="3"/>
      <c r="K335" s="3"/>
      <c r="L335" s="3"/>
      <c r="M335" s="3"/>
      <c r="N335" s="3">
        <v>0</v>
      </c>
      <c r="O335" s="3"/>
      <c r="P335" s="3">
        <v>0</v>
      </c>
      <c r="Q335" s="3">
        <v>0</v>
      </c>
      <c r="R335" s="3">
        <v>0</v>
      </c>
      <c r="S335" s="3">
        <v>0</v>
      </c>
      <c r="T335" s="3">
        <v>0</v>
      </c>
      <c r="U335" s="3"/>
      <c r="V335" s="3"/>
      <c r="W335" s="3"/>
      <c r="X335" s="3"/>
      <c r="Y335" s="3"/>
      <c r="Z335" s="3"/>
      <c r="AA335" s="3"/>
      <c r="AB335" s="3"/>
      <c r="AC335" s="3"/>
      <c r="AD335" s="3"/>
      <c r="AE335" s="3">
        <v>0</v>
      </c>
      <c r="AF335" s="3">
        <v>0</v>
      </c>
      <c r="AG335" s="3"/>
      <c r="AH335" s="40"/>
      <c r="AI335" s="40"/>
      <c r="AJ335" s="40"/>
      <c r="AK335" s="40"/>
      <c r="AL335" s="40"/>
      <c r="AM335" s="40"/>
      <c r="AN335" s="40"/>
      <c r="AO335" s="40"/>
      <c r="AP335" s="40"/>
      <c r="AQ335" s="40"/>
      <c r="AR335" s="31"/>
      <c r="AS335" s="36">
        <v>0</v>
      </c>
      <c r="AY335" s="6"/>
      <c r="AZ335" s="2"/>
      <c r="BA335" s="2"/>
      <c r="BB335" s="2"/>
      <c r="BC335">
        <v>71500</v>
      </c>
      <c r="BD335">
        <v>56992</v>
      </c>
    </row>
    <row r="336" spans="3:56" x14ac:dyDescent="0.25">
      <c r="C336" s="1">
        <v>45956</v>
      </c>
      <c r="D336" s="36">
        <v>267120.30967741902</v>
      </c>
      <c r="E336" s="33">
        <v>4.4903225806451603</v>
      </c>
      <c r="F336" s="33">
        <v>3.6807174193548402</v>
      </c>
      <c r="G336" s="2">
        <v>0.81969999999999998</v>
      </c>
      <c r="H336" s="2">
        <v>0.99</v>
      </c>
      <c r="I336" s="3"/>
      <c r="J336" s="3"/>
      <c r="K336" s="3"/>
      <c r="L336" s="3"/>
      <c r="M336" s="3"/>
      <c r="N336" s="3">
        <v>0</v>
      </c>
      <c r="O336" s="3"/>
      <c r="P336" s="3">
        <v>0</v>
      </c>
      <c r="Q336" s="3">
        <v>0</v>
      </c>
      <c r="R336" s="3">
        <v>0</v>
      </c>
      <c r="S336" s="3">
        <v>0</v>
      </c>
      <c r="T336" s="3">
        <v>0</v>
      </c>
      <c r="U336" s="3"/>
      <c r="V336" s="3"/>
      <c r="W336" s="3"/>
      <c r="X336" s="3"/>
      <c r="Y336" s="3"/>
      <c r="Z336" s="3"/>
      <c r="AA336" s="3"/>
      <c r="AB336" s="3"/>
      <c r="AC336" s="3"/>
      <c r="AD336" s="3"/>
      <c r="AE336" s="3">
        <v>0</v>
      </c>
      <c r="AF336" s="3">
        <v>0</v>
      </c>
      <c r="AG336" s="3"/>
      <c r="AH336" s="40"/>
      <c r="AI336" s="40"/>
      <c r="AJ336" s="40"/>
      <c r="AK336" s="40"/>
      <c r="AL336" s="40"/>
      <c r="AM336" s="40"/>
      <c r="AN336" s="40"/>
      <c r="AO336" s="40"/>
      <c r="AP336" s="40"/>
      <c r="AQ336" s="40"/>
      <c r="AR336" s="31"/>
      <c r="AS336" s="36">
        <v>0</v>
      </c>
      <c r="AY336" s="6"/>
      <c r="AZ336" s="2"/>
      <c r="BA336" s="2"/>
      <c r="BB336" s="2"/>
      <c r="BC336">
        <v>71500</v>
      </c>
      <c r="BD336">
        <v>56992</v>
      </c>
    </row>
    <row r="337" spans="3:56" x14ac:dyDescent="0.25">
      <c r="C337" s="1">
        <v>45957</v>
      </c>
      <c r="D337" s="36">
        <v>267120.30967741902</v>
      </c>
      <c r="E337" s="33">
        <v>4.4903225806451603</v>
      </c>
      <c r="F337" s="33">
        <v>3.6807174193548402</v>
      </c>
      <c r="G337" s="2">
        <v>0.81969999999999998</v>
      </c>
      <c r="H337" s="2">
        <v>0.99</v>
      </c>
      <c r="I337" s="3"/>
      <c r="J337" s="3"/>
      <c r="K337" s="3"/>
      <c r="L337" s="3"/>
      <c r="M337" s="3"/>
      <c r="N337" s="3">
        <v>0</v>
      </c>
      <c r="O337" s="3"/>
      <c r="P337" s="3">
        <v>0</v>
      </c>
      <c r="Q337" s="3">
        <v>0</v>
      </c>
      <c r="R337" s="3">
        <v>0</v>
      </c>
      <c r="S337" s="3">
        <v>0</v>
      </c>
      <c r="T337" s="3">
        <v>0</v>
      </c>
      <c r="U337" s="3"/>
      <c r="V337" s="3"/>
      <c r="W337" s="3"/>
      <c r="X337" s="3"/>
      <c r="Y337" s="3"/>
      <c r="Z337" s="3"/>
      <c r="AA337" s="3"/>
      <c r="AB337" s="3"/>
      <c r="AC337" s="3"/>
      <c r="AD337" s="3"/>
      <c r="AE337" s="3">
        <v>0</v>
      </c>
      <c r="AF337" s="3">
        <v>0</v>
      </c>
      <c r="AG337" s="3"/>
      <c r="AH337" s="40"/>
      <c r="AI337" s="40"/>
      <c r="AJ337" s="40"/>
      <c r="AK337" s="40"/>
      <c r="AL337" s="40"/>
      <c r="AM337" s="40"/>
      <c r="AN337" s="40"/>
      <c r="AO337" s="40"/>
      <c r="AP337" s="40"/>
      <c r="AQ337" s="40"/>
      <c r="AR337" s="31"/>
      <c r="AS337" s="36">
        <v>0</v>
      </c>
      <c r="AY337" s="6"/>
      <c r="AZ337" s="2"/>
      <c r="BA337" s="2"/>
      <c r="BB337" s="2"/>
      <c r="BC337">
        <v>71500</v>
      </c>
      <c r="BD337">
        <v>56992</v>
      </c>
    </row>
    <row r="338" spans="3:56" x14ac:dyDescent="0.25">
      <c r="C338" s="1">
        <v>45958</v>
      </c>
      <c r="D338" s="36">
        <v>267120.30967741902</v>
      </c>
      <c r="E338" s="33">
        <v>4.4903225806451603</v>
      </c>
      <c r="F338" s="33">
        <v>3.6807174193548402</v>
      </c>
      <c r="G338" s="2">
        <v>0.81969999999999998</v>
      </c>
      <c r="H338" s="2">
        <v>0.99</v>
      </c>
      <c r="I338" s="3"/>
      <c r="J338" s="3"/>
      <c r="K338" s="3"/>
      <c r="L338" s="3"/>
      <c r="M338" s="3"/>
      <c r="N338" s="3">
        <v>0</v>
      </c>
      <c r="O338" s="3"/>
      <c r="P338" s="3">
        <v>0</v>
      </c>
      <c r="Q338" s="3">
        <v>0</v>
      </c>
      <c r="R338" s="3">
        <v>0</v>
      </c>
      <c r="S338" s="3">
        <v>0</v>
      </c>
      <c r="T338" s="3">
        <v>0</v>
      </c>
      <c r="U338" s="3"/>
      <c r="V338" s="3"/>
      <c r="W338" s="3"/>
      <c r="X338" s="3"/>
      <c r="Y338" s="3"/>
      <c r="Z338" s="3"/>
      <c r="AA338" s="3"/>
      <c r="AB338" s="3"/>
      <c r="AC338" s="3"/>
      <c r="AD338" s="3"/>
      <c r="AE338" s="3">
        <v>0</v>
      </c>
      <c r="AF338" s="3">
        <v>0</v>
      </c>
      <c r="AG338" s="3"/>
      <c r="AH338" s="40"/>
      <c r="AI338" s="40"/>
      <c r="AJ338" s="40"/>
      <c r="AK338" s="40"/>
      <c r="AL338" s="40"/>
      <c r="AM338" s="40"/>
      <c r="AN338" s="40"/>
      <c r="AO338" s="40"/>
      <c r="AP338" s="40"/>
      <c r="AQ338" s="40"/>
      <c r="AR338" s="31"/>
      <c r="AS338" s="36">
        <v>0</v>
      </c>
      <c r="AY338" s="6"/>
      <c r="AZ338" s="2"/>
      <c r="BA338" s="2"/>
      <c r="BB338" s="2"/>
      <c r="BC338">
        <v>71500</v>
      </c>
      <c r="BD338">
        <v>56992</v>
      </c>
    </row>
    <row r="339" spans="3:56" x14ac:dyDescent="0.25">
      <c r="C339" s="1">
        <v>45959</v>
      </c>
      <c r="D339" s="36">
        <v>267120.30967741902</v>
      </c>
      <c r="E339" s="33">
        <v>4.4903225806451603</v>
      </c>
      <c r="F339" s="33">
        <v>3.6807174193548402</v>
      </c>
      <c r="G339" s="2">
        <v>0.81969999999999998</v>
      </c>
      <c r="H339" s="2">
        <v>0.99</v>
      </c>
      <c r="I339" s="3"/>
      <c r="J339" s="3"/>
      <c r="K339" s="3"/>
      <c r="L339" s="3"/>
      <c r="M339" s="3"/>
      <c r="N339" s="3">
        <v>0</v>
      </c>
      <c r="O339" s="3"/>
      <c r="P339" s="3">
        <v>0</v>
      </c>
      <c r="Q339" s="3">
        <v>0</v>
      </c>
      <c r="R339" s="3">
        <v>0</v>
      </c>
      <c r="S339" s="3">
        <v>0</v>
      </c>
      <c r="T339" s="3">
        <v>0</v>
      </c>
      <c r="U339" s="3"/>
      <c r="V339" s="3"/>
      <c r="W339" s="3"/>
      <c r="X339" s="3"/>
      <c r="Y339" s="3"/>
      <c r="Z339" s="3"/>
      <c r="AA339" s="3"/>
      <c r="AB339" s="3"/>
      <c r="AC339" s="3"/>
      <c r="AD339" s="3"/>
      <c r="AE339" s="3">
        <v>0</v>
      </c>
      <c r="AF339" s="3">
        <v>0</v>
      </c>
      <c r="AG339" s="3"/>
      <c r="AH339" s="40"/>
      <c r="AI339" s="40"/>
      <c r="AJ339" s="40"/>
      <c r="AK339" s="40"/>
      <c r="AL339" s="40"/>
      <c r="AM339" s="40"/>
      <c r="AN339" s="40"/>
      <c r="AO339" s="40"/>
      <c r="AP339" s="40"/>
      <c r="AQ339" s="40"/>
      <c r="AR339" s="31"/>
      <c r="AS339" s="36">
        <v>0</v>
      </c>
      <c r="AY339" s="6"/>
      <c r="AZ339" s="2"/>
      <c r="BA339" s="2"/>
      <c r="BB339" s="2"/>
      <c r="BC339">
        <v>71500</v>
      </c>
      <c r="BD339">
        <v>56992</v>
      </c>
    </row>
    <row r="340" spans="3:56" x14ac:dyDescent="0.25">
      <c r="C340" s="1">
        <v>45960</v>
      </c>
      <c r="D340" s="36">
        <v>267120.30967741902</v>
      </c>
      <c r="E340" s="33">
        <v>4.4903225806451603</v>
      </c>
      <c r="F340" s="33">
        <v>3.6807174193548402</v>
      </c>
      <c r="G340" s="2">
        <v>0.81969999999999998</v>
      </c>
      <c r="H340" s="2">
        <v>0.99</v>
      </c>
      <c r="I340" s="3"/>
      <c r="J340" s="3"/>
      <c r="K340" s="3"/>
      <c r="L340" s="3"/>
      <c r="M340" s="3"/>
      <c r="N340" s="3">
        <v>0</v>
      </c>
      <c r="O340" s="3"/>
      <c r="P340" s="3">
        <v>0</v>
      </c>
      <c r="Q340" s="3">
        <v>0</v>
      </c>
      <c r="R340" s="3">
        <v>0</v>
      </c>
      <c r="S340" s="3">
        <v>0</v>
      </c>
      <c r="T340" s="3">
        <v>0</v>
      </c>
      <c r="U340" s="3"/>
      <c r="V340" s="3"/>
      <c r="W340" s="3"/>
      <c r="X340" s="3"/>
      <c r="Y340" s="3"/>
      <c r="Z340" s="3"/>
      <c r="AA340" s="3"/>
      <c r="AB340" s="3"/>
      <c r="AC340" s="3"/>
      <c r="AD340" s="3"/>
      <c r="AE340" s="3">
        <v>0</v>
      </c>
      <c r="AF340" s="3">
        <v>0</v>
      </c>
      <c r="AG340" s="3"/>
      <c r="AH340" s="40"/>
      <c r="AI340" s="40"/>
      <c r="AJ340" s="40"/>
      <c r="AK340" s="40"/>
      <c r="AL340" s="40"/>
      <c r="AM340" s="40"/>
      <c r="AN340" s="40"/>
      <c r="AO340" s="40"/>
      <c r="AP340" s="40"/>
      <c r="AQ340" s="40"/>
      <c r="AR340" s="31"/>
      <c r="AS340" s="36">
        <v>0</v>
      </c>
      <c r="AY340" s="6"/>
      <c r="AZ340" s="2"/>
      <c r="BA340" s="2"/>
      <c r="BB340" s="2"/>
      <c r="BC340">
        <v>71500</v>
      </c>
      <c r="BD340">
        <v>56992</v>
      </c>
    </row>
    <row r="341" spans="3:56" x14ac:dyDescent="0.25">
      <c r="C341" s="1">
        <v>45961</v>
      </c>
      <c r="D341" s="36">
        <v>267120.30967741902</v>
      </c>
      <c r="E341" s="33">
        <v>4.4903225806451603</v>
      </c>
      <c r="F341" s="33">
        <v>3.6807174193548402</v>
      </c>
      <c r="G341" s="2">
        <v>0.81969999999999998</v>
      </c>
      <c r="H341" s="2">
        <v>0.99</v>
      </c>
      <c r="I341" s="3"/>
      <c r="J341" s="3"/>
      <c r="K341" s="3"/>
      <c r="L341" s="3"/>
      <c r="M341" s="3"/>
      <c r="N341" s="3">
        <v>0</v>
      </c>
      <c r="O341" s="3"/>
      <c r="P341" s="3">
        <v>0</v>
      </c>
      <c r="Q341" s="3">
        <v>0</v>
      </c>
      <c r="R341" s="3">
        <v>0</v>
      </c>
      <c r="S341" s="3">
        <v>0</v>
      </c>
      <c r="T341" s="3">
        <v>0</v>
      </c>
      <c r="U341" s="3"/>
      <c r="V341" s="3"/>
      <c r="W341" s="3"/>
      <c r="X341" s="3"/>
      <c r="Y341" s="3"/>
      <c r="Z341" s="3"/>
      <c r="AA341" s="3"/>
      <c r="AB341" s="3"/>
      <c r="AC341" s="3"/>
      <c r="AD341" s="3"/>
      <c r="AE341" s="3">
        <v>0</v>
      </c>
      <c r="AF341" s="3">
        <v>0</v>
      </c>
      <c r="AG341" s="3"/>
      <c r="AH341" s="40"/>
      <c r="AI341" s="40"/>
      <c r="AJ341" s="40"/>
      <c r="AK341" s="40"/>
      <c r="AL341" s="40"/>
      <c r="AM341" s="40"/>
      <c r="AN341" s="40"/>
      <c r="AO341" s="40"/>
      <c r="AP341" s="40"/>
      <c r="AQ341" s="40"/>
      <c r="AR341" s="31"/>
      <c r="AS341" s="36">
        <v>0</v>
      </c>
      <c r="AY341" s="6"/>
      <c r="AZ341" s="2"/>
      <c r="BA341" s="2"/>
      <c r="BB341" s="2"/>
      <c r="BC341">
        <v>71500</v>
      </c>
      <c r="BD341">
        <v>56992</v>
      </c>
    </row>
    <row r="342" spans="3:56" x14ac:dyDescent="0.25">
      <c r="C342" s="1">
        <v>45962</v>
      </c>
      <c r="D342" s="36">
        <v>247960.808333333</v>
      </c>
      <c r="E342" s="33">
        <v>4.18333333333333</v>
      </c>
      <c r="F342" s="33">
        <v>3.4290783333333299</v>
      </c>
      <c r="G342" s="2">
        <v>0.81969999999999998</v>
      </c>
      <c r="H342" s="2">
        <v>0.99</v>
      </c>
      <c r="I342" s="3"/>
      <c r="J342" s="3"/>
      <c r="K342" s="3"/>
      <c r="L342" s="3"/>
      <c r="M342" s="3"/>
      <c r="N342" s="3">
        <v>0</v>
      </c>
      <c r="O342" s="3"/>
      <c r="P342" s="3">
        <v>0</v>
      </c>
      <c r="Q342" s="3">
        <v>0</v>
      </c>
      <c r="R342" s="3">
        <v>0</v>
      </c>
      <c r="S342" s="3">
        <v>0</v>
      </c>
      <c r="T342" s="3">
        <v>0</v>
      </c>
      <c r="U342" s="3"/>
      <c r="V342" s="3"/>
      <c r="W342" s="3"/>
      <c r="X342" s="3"/>
      <c r="Y342" s="3"/>
      <c r="Z342" s="3"/>
      <c r="AA342" s="3"/>
      <c r="AB342" s="3"/>
      <c r="AC342" s="3"/>
      <c r="AD342" s="3"/>
      <c r="AE342" s="3">
        <v>0</v>
      </c>
      <c r="AF342" s="3">
        <v>0</v>
      </c>
      <c r="AG342" s="3"/>
      <c r="AH342" s="40"/>
      <c r="AI342" s="40"/>
      <c r="AJ342" s="40"/>
      <c r="AK342" s="40"/>
      <c r="AL342" s="40"/>
      <c r="AM342" s="40"/>
      <c r="AN342" s="40"/>
      <c r="AO342" s="40"/>
      <c r="AP342" s="40"/>
      <c r="AQ342" s="40"/>
      <c r="AR342" s="31"/>
      <c r="AS342" s="36">
        <v>0</v>
      </c>
      <c r="AY342" s="6"/>
      <c r="AZ342" s="2"/>
      <c r="BA342" s="2"/>
      <c r="BB342" s="2"/>
      <c r="BC342">
        <v>71500</v>
      </c>
      <c r="BD342">
        <v>56992</v>
      </c>
    </row>
    <row r="343" spans="3:56" x14ac:dyDescent="0.25">
      <c r="C343" s="1">
        <v>45963</v>
      </c>
      <c r="D343" s="36">
        <v>247960.808333333</v>
      </c>
      <c r="E343" s="33">
        <v>4.18333333333333</v>
      </c>
      <c r="F343" s="33">
        <v>3.4290783333333299</v>
      </c>
      <c r="G343" s="2">
        <v>0.81969999999999998</v>
      </c>
      <c r="H343" s="2">
        <v>0.99</v>
      </c>
      <c r="I343" s="3"/>
      <c r="J343" s="3"/>
      <c r="K343" s="3"/>
      <c r="L343" s="3"/>
      <c r="M343" s="3"/>
      <c r="N343" s="3">
        <v>0</v>
      </c>
      <c r="O343" s="3"/>
      <c r="P343" s="3">
        <v>0</v>
      </c>
      <c r="Q343" s="3">
        <v>0</v>
      </c>
      <c r="R343" s="3">
        <v>0</v>
      </c>
      <c r="S343" s="3">
        <v>0</v>
      </c>
      <c r="T343" s="3">
        <v>0</v>
      </c>
      <c r="U343" s="3"/>
      <c r="V343" s="3"/>
      <c r="W343" s="3"/>
      <c r="X343" s="3"/>
      <c r="Y343" s="3"/>
      <c r="Z343" s="3"/>
      <c r="AA343" s="3"/>
      <c r="AB343" s="3"/>
      <c r="AC343" s="3"/>
      <c r="AD343" s="3"/>
      <c r="AE343" s="3">
        <v>0</v>
      </c>
      <c r="AF343" s="3">
        <v>0</v>
      </c>
      <c r="AG343" s="3"/>
      <c r="AH343" s="40"/>
      <c r="AI343" s="40"/>
      <c r="AJ343" s="40"/>
      <c r="AK343" s="40"/>
      <c r="AL343" s="40"/>
      <c r="AM343" s="40"/>
      <c r="AN343" s="40"/>
      <c r="AO343" s="40"/>
      <c r="AP343" s="40"/>
      <c r="AQ343" s="40"/>
      <c r="AR343" s="31"/>
      <c r="AS343" s="36">
        <v>0</v>
      </c>
      <c r="AY343" s="6"/>
      <c r="AZ343" s="2"/>
      <c r="BA343" s="2"/>
      <c r="BB343" s="2"/>
      <c r="BC343">
        <v>71500</v>
      </c>
      <c r="BD343">
        <v>56992</v>
      </c>
    </row>
    <row r="344" spans="3:56" x14ac:dyDescent="0.25">
      <c r="C344" s="1">
        <v>45964</v>
      </c>
      <c r="D344" s="36">
        <v>247960.808333333</v>
      </c>
      <c r="E344" s="33">
        <v>4.18333333333333</v>
      </c>
      <c r="F344" s="33">
        <v>3.4290783333333299</v>
      </c>
      <c r="G344" s="2">
        <v>0.81969999999999998</v>
      </c>
      <c r="H344" s="2">
        <v>0.99</v>
      </c>
      <c r="I344" s="3"/>
      <c r="J344" s="3"/>
      <c r="K344" s="3"/>
      <c r="L344" s="3"/>
      <c r="M344" s="3"/>
      <c r="N344" s="3">
        <v>0</v>
      </c>
      <c r="O344" s="3"/>
      <c r="P344" s="3">
        <v>0</v>
      </c>
      <c r="Q344" s="3">
        <v>0</v>
      </c>
      <c r="R344" s="3">
        <v>0</v>
      </c>
      <c r="S344" s="3">
        <v>0</v>
      </c>
      <c r="T344" s="3">
        <v>0</v>
      </c>
      <c r="U344" s="3"/>
      <c r="V344" s="3"/>
      <c r="W344" s="3"/>
      <c r="X344" s="3"/>
      <c r="Y344" s="3"/>
      <c r="Z344" s="3"/>
      <c r="AA344" s="3"/>
      <c r="AB344" s="3"/>
      <c r="AC344" s="3"/>
      <c r="AD344" s="3"/>
      <c r="AE344" s="3">
        <v>0</v>
      </c>
      <c r="AF344" s="3">
        <v>0</v>
      </c>
      <c r="AG344" s="3"/>
      <c r="AH344" s="40"/>
      <c r="AI344" s="40"/>
      <c r="AJ344" s="40"/>
      <c r="AK344" s="40"/>
      <c r="AL344" s="40"/>
      <c r="AM344" s="40"/>
      <c r="AN344" s="40"/>
      <c r="AO344" s="40"/>
      <c r="AP344" s="40"/>
      <c r="AQ344" s="40"/>
      <c r="AR344" s="31"/>
      <c r="AS344" s="36">
        <v>0</v>
      </c>
      <c r="AY344" s="6"/>
      <c r="AZ344" s="2"/>
      <c r="BA344" s="2"/>
      <c r="BB344" s="2"/>
      <c r="BC344">
        <v>71500</v>
      </c>
      <c r="BD344">
        <v>56992</v>
      </c>
    </row>
    <row r="345" spans="3:56" x14ac:dyDescent="0.25">
      <c r="C345" s="1">
        <v>45965</v>
      </c>
      <c r="D345" s="36">
        <v>247960.808333333</v>
      </c>
      <c r="E345" s="33">
        <v>4.18333333333333</v>
      </c>
      <c r="F345" s="33">
        <v>3.4290783333333299</v>
      </c>
      <c r="G345" s="2">
        <v>0.81969999999999998</v>
      </c>
      <c r="H345" s="2">
        <v>0.99</v>
      </c>
      <c r="I345" s="3"/>
      <c r="J345" s="3"/>
      <c r="K345" s="3"/>
      <c r="L345" s="3"/>
      <c r="M345" s="3"/>
      <c r="N345" s="3">
        <v>0</v>
      </c>
      <c r="O345" s="3"/>
      <c r="P345" s="3">
        <v>0</v>
      </c>
      <c r="Q345" s="3">
        <v>0</v>
      </c>
      <c r="R345" s="3">
        <v>0</v>
      </c>
      <c r="S345" s="3">
        <v>0</v>
      </c>
      <c r="T345" s="3">
        <v>0</v>
      </c>
      <c r="U345" s="3"/>
      <c r="V345" s="3"/>
      <c r="W345" s="3"/>
      <c r="X345" s="3"/>
      <c r="Y345" s="3"/>
      <c r="Z345" s="3"/>
      <c r="AA345" s="3"/>
      <c r="AB345" s="3"/>
      <c r="AC345" s="3"/>
      <c r="AD345" s="3"/>
      <c r="AE345" s="3">
        <v>0</v>
      </c>
      <c r="AF345" s="3">
        <v>0</v>
      </c>
      <c r="AG345" s="3"/>
      <c r="AH345" s="40"/>
      <c r="AI345" s="40"/>
      <c r="AJ345" s="40"/>
      <c r="AK345" s="40"/>
      <c r="AL345" s="40"/>
      <c r="AM345" s="40"/>
      <c r="AN345" s="40"/>
      <c r="AO345" s="40"/>
      <c r="AP345" s="40"/>
      <c r="AQ345" s="40"/>
      <c r="AR345" s="31"/>
      <c r="AS345" s="36">
        <v>0</v>
      </c>
      <c r="AY345" s="6"/>
      <c r="AZ345" s="2"/>
      <c r="BA345" s="2"/>
      <c r="BB345" s="2"/>
      <c r="BC345">
        <v>71500</v>
      </c>
      <c r="BD345">
        <v>56992</v>
      </c>
    </row>
    <row r="346" spans="3:56" x14ac:dyDescent="0.25">
      <c r="C346" s="1">
        <v>45966</v>
      </c>
      <c r="D346" s="36">
        <v>247960.808333333</v>
      </c>
      <c r="E346" s="33">
        <v>4.18333333333333</v>
      </c>
      <c r="F346" s="33">
        <v>3.4290783333333299</v>
      </c>
      <c r="G346" s="2">
        <v>0.81969999999999998</v>
      </c>
      <c r="H346" s="2">
        <v>0.99</v>
      </c>
      <c r="I346" s="3"/>
      <c r="J346" s="3"/>
      <c r="K346" s="3"/>
      <c r="L346" s="3"/>
      <c r="M346" s="3"/>
      <c r="N346" s="3">
        <v>0</v>
      </c>
      <c r="O346" s="3"/>
      <c r="P346" s="3">
        <v>0</v>
      </c>
      <c r="Q346" s="3">
        <v>0</v>
      </c>
      <c r="R346" s="3">
        <v>0</v>
      </c>
      <c r="S346" s="3">
        <v>0</v>
      </c>
      <c r="T346" s="3">
        <v>0</v>
      </c>
      <c r="U346" s="3"/>
      <c r="V346" s="3"/>
      <c r="W346" s="3"/>
      <c r="X346" s="3"/>
      <c r="Y346" s="3"/>
      <c r="Z346" s="3"/>
      <c r="AA346" s="3"/>
      <c r="AB346" s="3"/>
      <c r="AC346" s="3"/>
      <c r="AD346" s="3"/>
      <c r="AE346" s="3">
        <v>0</v>
      </c>
      <c r="AF346" s="3">
        <v>0</v>
      </c>
      <c r="AG346" s="3"/>
      <c r="AH346" s="40"/>
      <c r="AI346" s="40"/>
      <c r="AJ346" s="40"/>
      <c r="AK346" s="40"/>
      <c r="AL346" s="40"/>
      <c r="AM346" s="40"/>
      <c r="AN346" s="40"/>
      <c r="AO346" s="40"/>
      <c r="AP346" s="40"/>
      <c r="AQ346" s="40"/>
      <c r="AR346" s="31"/>
      <c r="AS346" s="36">
        <v>0</v>
      </c>
      <c r="AY346" s="6"/>
      <c r="AZ346" s="2"/>
      <c r="BA346" s="2"/>
      <c r="BB346" s="2"/>
      <c r="BC346">
        <v>71500</v>
      </c>
      <c r="BD346">
        <v>56992</v>
      </c>
    </row>
    <row r="347" spans="3:56" x14ac:dyDescent="0.25">
      <c r="C347" s="1">
        <v>45967</v>
      </c>
      <c r="D347" s="36">
        <v>247960.808333333</v>
      </c>
      <c r="E347" s="33">
        <v>4.18333333333333</v>
      </c>
      <c r="F347" s="33">
        <v>3.4290783333333299</v>
      </c>
      <c r="G347" s="2">
        <v>0.81969999999999998</v>
      </c>
      <c r="H347" s="2">
        <v>0.99</v>
      </c>
      <c r="I347" s="3"/>
      <c r="J347" s="3"/>
      <c r="K347" s="3"/>
      <c r="L347" s="3"/>
      <c r="M347" s="3"/>
      <c r="N347" s="3">
        <v>0</v>
      </c>
      <c r="O347" s="3"/>
      <c r="P347" s="3">
        <v>0</v>
      </c>
      <c r="Q347" s="3">
        <v>0</v>
      </c>
      <c r="R347" s="3">
        <v>0</v>
      </c>
      <c r="S347" s="3">
        <v>0</v>
      </c>
      <c r="T347" s="3">
        <v>0</v>
      </c>
      <c r="U347" s="3"/>
      <c r="V347" s="3"/>
      <c r="W347" s="3"/>
      <c r="X347" s="3"/>
      <c r="Y347" s="3"/>
      <c r="Z347" s="3"/>
      <c r="AA347" s="3"/>
      <c r="AB347" s="3"/>
      <c r="AC347" s="3"/>
      <c r="AD347" s="3"/>
      <c r="AE347" s="3">
        <v>0</v>
      </c>
      <c r="AF347" s="3">
        <v>0</v>
      </c>
      <c r="AG347" s="3"/>
      <c r="AH347" s="40"/>
      <c r="AI347" s="40"/>
      <c r="AJ347" s="40"/>
      <c r="AK347" s="40"/>
      <c r="AL347" s="40"/>
      <c r="AM347" s="40"/>
      <c r="AN347" s="40"/>
      <c r="AO347" s="40"/>
      <c r="AP347" s="40"/>
      <c r="AQ347" s="40"/>
      <c r="AR347" s="31"/>
      <c r="AS347" s="36">
        <v>0</v>
      </c>
      <c r="AY347" s="6"/>
      <c r="AZ347" s="2"/>
      <c r="BA347" s="2"/>
      <c r="BB347" s="2"/>
      <c r="BC347">
        <v>71500</v>
      </c>
      <c r="BD347">
        <v>56992</v>
      </c>
    </row>
    <row r="348" spans="3:56" x14ac:dyDescent="0.25">
      <c r="C348" s="1">
        <v>45968</v>
      </c>
      <c r="D348" s="36">
        <v>247960.808333333</v>
      </c>
      <c r="E348" s="33">
        <v>4.18333333333333</v>
      </c>
      <c r="F348" s="33">
        <v>3.4290783333333299</v>
      </c>
      <c r="G348" s="2">
        <v>0.81969999999999998</v>
      </c>
      <c r="H348" s="2">
        <v>0.99</v>
      </c>
      <c r="I348" s="3"/>
      <c r="J348" s="3"/>
      <c r="K348" s="3"/>
      <c r="L348" s="3"/>
      <c r="M348" s="3"/>
      <c r="N348" s="3">
        <v>0</v>
      </c>
      <c r="O348" s="3"/>
      <c r="P348" s="3">
        <v>0</v>
      </c>
      <c r="Q348" s="3">
        <v>0</v>
      </c>
      <c r="R348" s="3">
        <v>0</v>
      </c>
      <c r="S348" s="3">
        <v>0</v>
      </c>
      <c r="T348" s="3">
        <v>0</v>
      </c>
      <c r="U348" s="3"/>
      <c r="V348" s="3"/>
      <c r="W348" s="3"/>
      <c r="X348" s="3"/>
      <c r="Y348" s="3"/>
      <c r="Z348" s="3"/>
      <c r="AA348" s="3"/>
      <c r="AB348" s="3"/>
      <c r="AC348" s="3"/>
      <c r="AD348" s="3"/>
      <c r="AE348" s="3">
        <v>0</v>
      </c>
      <c r="AF348" s="3">
        <v>0</v>
      </c>
      <c r="AG348" s="3"/>
      <c r="AH348" s="40"/>
      <c r="AI348" s="40"/>
      <c r="AJ348" s="40"/>
      <c r="AK348" s="40"/>
      <c r="AL348" s="40"/>
      <c r="AM348" s="40"/>
      <c r="AN348" s="40"/>
      <c r="AO348" s="40"/>
      <c r="AP348" s="40"/>
      <c r="AQ348" s="40"/>
      <c r="AR348" s="31"/>
      <c r="AS348" s="36">
        <v>0</v>
      </c>
      <c r="AY348" s="6"/>
      <c r="AZ348" s="2"/>
      <c r="BA348" s="2"/>
      <c r="BB348" s="2"/>
      <c r="BC348">
        <v>71500</v>
      </c>
      <c r="BD348">
        <v>56992</v>
      </c>
    </row>
    <row r="349" spans="3:56" x14ac:dyDescent="0.25">
      <c r="C349" s="1">
        <v>45969</v>
      </c>
      <c r="D349" s="36">
        <v>247960.808333333</v>
      </c>
      <c r="E349" s="33">
        <v>4.18333333333333</v>
      </c>
      <c r="F349" s="33">
        <v>3.4290783333333299</v>
      </c>
      <c r="G349" s="2">
        <v>0.81969999999999998</v>
      </c>
      <c r="H349" s="2">
        <v>0.99</v>
      </c>
      <c r="I349" s="3"/>
      <c r="J349" s="3"/>
      <c r="K349" s="3"/>
      <c r="L349" s="3"/>
      <c r="M349" s="3"/>
      <c r="N349" s="3">
        <v>0</v>
      </c>
      <c r="O349" s="3"/>
      <c r="P349" s="3">
        <v>0</v>
      </c>
      <c r="Q349" s="3">
        <v>0</v>
      </c>
      <c r="R349" s="3">
        <v>0</v>
      </c>
      <c r="S349" s="3">
        <v>0</v>
      </c>
      <c r="T349" s="3">
        <v>0</v>
      </c>
      <c r="U349" s="3"/>
      <c r="V349" s="3"/>
      <c r="W349" s="3"/>
      <c r="X349" s="3"/>
      <c r="Y349" s="3"/>
      <c r="Z349" s="3"/>
      <c r="AA349" s="3"/>
      <c r="AB349" s="3"/>
      <c r="AC349" s="3"/>
      <c r="AD349" s="3"/>
      <c r="AE349" s="3">
        <v>0</v>
      </c>
      <c r="AF349" s="3">
        <v>0</v>
      </c>
      <c r="AG349" s="3"/>
      <c r="AH349" s="40"/>
      <c r="AI349" s="40"/>
      <c r="AJ349" s="40"/>
      <c r="AK349" s="40"/>
      <c r="AL349" s="40"/>
      <c r="AM349" s="40"/>
      <c r="AN349" s="40"/>
      <c r="AO349" s="40"/>
      <c r="AP349" s="40"/>
      <c r="AQ349" s="40"/>
      <c r="AR349" s="31"/>
      <c r="AS349" s="36">
        <v>0</v>
      </c>
      <c r="AY349" s="6"/>
      <c r="AZ349" s="2"/>
      <c r="BA349" s="2"/>
      <c r="BB349" s="2"/>
      <c r="BC349">
        <v>71500</v>
      </c>
      <c r="BD349">
        <v>56992</v>
      </c>
    </row>
    <row r="350" spans="3:56" x14ac:dyDescent="0.25">
      <c r="C350" s="1">
        <v>45970</v>
      </c>
      <c r="D350" s="36">
        <v>247960.808333333</v>
      </c>
      <c r="E350" s="33">
        <v>4.18333333333333</v>
      </c>
      <c r="F350" s="33">
        <v>3.4290783333333299</v>
      </c>
      <c r="G350" s="2">
        <v>0.81969999999999998</v>
      </c>
      <c r="H350" s="2">
        <v>0.99</v>
      </c>
      <c r="I350" s="3"/>
      <c r="J350" s="3"/>
      <c r="K350" s="3"/>
      <c r="L350" s="3"/>
      <c r="M350" s="3"/>
      <c r="N350" s="3">
        <v>0</v>
      </c>
      <c r="O350" s="3"/>
      <c r="P350" s="3">
        <v>0</v>
      </c>
      <c r="Q350" s="3">
        <v>0</v>
      </c>
      <c r="R350" s="3">
        <v>0</v>
      </c>
      <c r="S350" s="3">
        <v>0</v>
      </c>
      <c r="T350" s="3">
        <v>0</v>
      </c>
      <c r="U350" s="3"/>
      <c r="V350" s="3"/>
      <c r="W350" s="3"/>
      <c r="X350" s="3"/>
      <c r="Y350" s="3"/>
      <c r="Z350" s="3"/>
      <c r="AA350" s="3"/>
      <c r="AB350" s="3"/>
      <c r="AC350" s="3"/>
      <c r="AD350" s="3"/>
      <c r="AE350" s="3">
        <v>0</v>
      </c>
      <c r="AF350" s="3">
        <v>0</v>
      </c>
      <c r="AG350" s="3"/>
      <c r="AH350" s="40"/>
      <c r="AI350" s="40"/>
      <c r="AJ350" s="40"/>
      <c r="AK350" s="40"/>
      <c r="AL350" s="40"/>
      <c r="AM350" s="40"/>
      <c r="AN350" s="40"/>
      <c r="AO350" s="40"/>
      <c r="AP350" s="40"/>
      <c r="AQ350" s="40"/>
      <c r="AR350" s="31"/>
      <c r="AS350" s="36">
        <v>0</v>
      </c>
      <c r="AY350" s="6"/>
      <c r="AZ350" s="2"/>
      <c r="BA350" s="2"/>
      <c r="BB350" s="2"/>
      <c r="BC350">
        <v>71500</v>
      </c>
      <c r="BD350">
        <v>56992</v>
      </c>
    </row>
    <row r="351" spans="3:56" x14ac:dyDescent="0.25">
      <c r="C351" s="1">
        <v>45971</v>
      </c>
      <c r="D351" s="36">
        <v>247960.808333333</v>
      </c>
      <c r="E351" s="33">
        <v>4.18333333333333</v>
      </c>
      <c r="F351" s="33">
        <v>3.4290783333333299</v>
      </c>
      <c r="G351" s="2">
        <v>0.81969999999999998</v>
      </c>
      <c r="H351" s="2">
        <v>0.99</v>
      </c>
      <c r="I351" s="3"/>
      <c r="J351" s="3"/>
      <c r="K351" s="3"/>
      <c r="L351" s="3"/>
      <c r="M351" s="3"/>
      <c r="N351" s="3">
        <v>0</v>
      </c>
      <c r="O351" s="3"/>
      <c r="P351" s="3">
        <v>0</v>
      </c>
      <c r="Q351" s="3">
        <v>0</v>
      </c>
      <c r="R351" s="3">
        <v>0</v>
      </c>
      <c r="S351" s="3">
        <v>0</v>
      </c>
      <c r="T351" s="3">
        <v>0</v>
      </c>
      <c r="U351" s="3"/>
      <c r="V351" s="3"/>
      <c r="W351" s="3"/>
      <c r="X351" s="3"/>
      <c r="Y351" s="3"/>
      <c r="Z351" s="3"/>
      <c r="AA351" s="3"/>
      <c r="AB351" s="3"/>
      <c r="AC351" s="3"/>
      <c r="AD351" s="3"/>
      <c r="AE351" s="3">
        <v>0</v>
      </c>
      <c r="AF351" s="3">
        <v>0</v>
      </c>
      <c r="AG351" s="3"/>
      <c r="AH351" s="40"/>
      <c r="AI351" s="40"/>
      <c r="AJ351" s="40"/>
      <c r="AK351" s="40"/>
      <c r="AL351" s="40"/>
      <c r="AM351" s="40"/>
      <c r="AN351" s="40"/>
      <c r="AO351" s="40"/>
      <c r="AP351" s="40"/>
      <c r="AQ351" s="40"/>
      <c r="AR351" s="31"/>
      <c r="AS351" s="36">
        <v>0</v>
      </c>
      <c r="AY351" s="6"/>
      <c r="AZ351" s="2"/>
      <c r="BA351" s="2"/>
      <c r="BB351" s="2"/>
      <c r="BC351">
        <v>71500</v>
      </c>
      <c r="BD351">
        <v>56992</v>
      </c>
    </row>
    <row r="352" spans="3:56" x14ac:dyDescent="0.25">
      <c r="C352" s="1">
        <v>45972</v>
      </c>
      <c r="D352" s="36">
        <v>247960.808333333</v>
      </c>
      <c r="E352" s="33">
        <v>4.18333333333333</v>
      </c>
      <c r="F352" s="33">
        <v>3.4290783333333299</v>
      </c>
      <c r="G352" s="2">
        <v>0.81969999999999998</v>
      </c>
      <c r="H352" s="2">
        <v>0.99</v>
      </c>
      <c r="I352" s="3"/>
      <c r="J352" s="3"/>
      <c r="K352" s="3"/>
      <c r="L352" s="3"/>
      <c r="M352" s="3"/>
      <c r="N352" s="3">
        <v>0</v>
      </c>
      <c r="O352" s="3"/>
      <c r="P352" s="3">
        <v>0</v>
      </c>
      <c r="Q352" s="3">
        <v>0</v>
      </c>
      <c r="R352" s="3">
        <v>0</v>
      </c>
      <c r="S352" s="3">
        <v>0</v>
      </c>
      <c r="T352" s="3">
        <v>0</v>
      </c>
      <c r="U352" s="3"/>
      <c r="V352" s="3"/>
      <c r="W352" s="3"/>
      <c r="X352" s="3"/>
      <c r="Y352" s="3"/>
      <c r="Z352" s="3"/>
      <c r="AA352" s="3"/>
      <c r="AB352" s="3"/>
      <c r="AC352" s="3"/>
      <c r="AD352" s="3"/>
      <c r="AE352" s="3">
        <v>0</v>
      </c>
      <c r="AF352" s="3">
        <v>0</v>
      </c>
      <c r="AG352" s="3"/>
      <c r="AH352" s="40"/>
      <c r="AI352" s="40"/>
      <c r="AJ352" s="40"/>
      <c r="AK352" s="40"/>
      <c r="AL352" s="40"/>
      <c r="AM352" s="40"/>
      <c r="AN352" s="40"/>
      <c r="AO352" s="40"/>
      <c r="AP352" s="40"/>
      <c r="AQ352" s="40"/>
      <c r="AR352" s="31"/>
      <c r="AS352" s="36">
        <v>0</v>
      </c>
      <c r="AY352" s="6"/>
      <c r="AZ352" s="2"/>
      <c r="BA352" s="2"/>
      <c r="BB352" s="2"/>
      <c r="BC352">
        <v>71500</v>
      </c>
      <c r="BD352">
        <v>56992</v>
      </c>
    </row>
    <row r="353" spans="3:56" x14ac:dyDescent="0.25">
      <c r="C353" s="1">
        <v>45973</v>
      </c>
      <c r="D353" s="36">
        <v>247960.808333333</v>
      </c>
      <c r="E353" s="33">
        <v>4.18333333333333</v>
      </c>
      <c r="F353" s="33">
        <v>3.4290783333333299</v>
      </c>
      <c r="G353" s="2">
        <v>0.81969999999999998</v>
      </c>
      <c r="H353" s="2">
        <v>0.99</v>
      </c>
      <c r="I353" s="3"/>
      <c r="J353" s="3"/>
      <c r="K353" s="3"/>
      <c r="L353" s="3"/>
      <c r="M353" s="3"/>
      <c r="N353" s="3">
        <v>0</v>
      </c>
      <c r="O353" s="3"/>
      <c r="P353" s="3">
        <v>0</v>
      </c>
      <c r="Q353" s="3">
        <v>0</v>
      </c>
      <c r="R353" s="3">
        <v>0</v>
      </c>
      <c r="S353" s="3">
        <v>0</v>
      </c>
      <c r="T353" s="3">
        <v>0</v>
      </c>
      <c r="U353" s="3"/>
      <c r="V353" s="3"/>
      <c r="W353" s="3"/>
      <c r="X353" s="3"/>
      <c r="Y353" s="3"/>
      <c r="Z353" s="3"/>
      <c r="AA353" s="3"/>
      <c r="AB353" s="3"/>
      <c r="AC353" s="3"/>
      <c r="AD353" s="3"/>
      <c r="AE353" s="3">
        <v>0</v>
      </c>
      <c r="AF353" s="3">
        <v>0</v>
      </c>
      <c r="AG353" s="3"/>
      <c r="AH353" s="40"/>
      <c r="AI353" s="40"/>
      <c r="AJ353" s="40"/>
      <c r="AK353" s="40"/>
      <c r="AL353" s="40"/>
      <c r="AM353" s="40"/>
      <c r="AN353" s="40"/>
      <c r="AO353" s="40"/>
      <c r="AP353" s="40"/>
      <c r="AQ353" s="40"/>
      <c r="AR353" s="31"/>
      <c r="AS353" s="36">
        <v>0</v>
      </c>
      <c r="AY353" s="6"/>
      <c r="AZ353" s="2"/>
      <c r="BA353" s="2"/>
      <c r="BB353" s="2"/>
      <c r="BC353">
        <v>71500</v>
      </c>
      <c r="BD353">
        <v>56992</v>
      </c>
    </row>
    <row r="354" spans="3:56" x14ac:dyDescent="0.25">
      <c r="C354" s="1">
        <v>45974</v>
      </c>
      <c r="D354" s="36">
        <v>247960.808333333</v>
      </c>
      <c r="E354" s="33">
        <v>4.18333333333333</v>
      </c>
      <c r="F354" s="33">
        <v>3.4290783333333299</v>
      </c>
      <c r="G354" s="2">
        <v>0.81969999999999998</v>
      </c>
      <c r="H354" s="2">
        <v>0.99</v>
      </c>
      <c r="I354" s="3"/>
      <c r="J354" s="3"/>
      <c r="K354" s="3"/>
      <c r="L354" s="3"/>
      <c r="M354" s="3"/>
      <c r="N354" s="3">
        <v>0</v>
      </c>
      <c r="O354" s="3"/>
      <c r="P354" s="3">
        <v>0</v>
      </c>
      <c r="Q354" s="3">
        <v>0</v>
      </c>
      <c r="R354" s="3">
        <v>0</v>
      </c>
      <c r="S354" s="3">
        <v>0</v>
      </c>
      <c r="T354" s="3">
        <v>0</v>
      </c>
      <c r="U354" s="3"/>
      <c r="V354" s="3"/>
      <c r="W354" s="3"/>
      <c r="X354" s="3"/>
      <c r="Y354" s="3"/>
      <c r="Z354" s="3"/>
      <c r="AA354" s="3"/>
      <c r="AB354" s="3"/>
      <c r="AC354" s="3"/>
      <c r="AD354" s="3"/>
      <c r="AE354" s="3">
        <v>0</v>
      </c>
      <c r="AF354" s="3">
        <v>0</v>
      </c>
      <c r="AG354" s="3"/>
      <c r="AH354" s="40"/>
      <c r="AI354" s="40"/>
      <c r="AJ354" s="40"/>
      <c r="AK354" s="40"/>
      <c r="AL354" s="40"/>
      <c r="AM354" s="40"/>
      <c r="AN354" s="40"/>
      <c r="AO354" s="40"/>
      <c r="AP354" s="40"/>
      <c r="AQ354" s="40"/>
      <c r="AR354" s="31"/>
      <c r="AS354" s="36">
        <v>0</v>
      </c>
      <c r="AY354" s="6"/>
      <c r="AZ354" s="2"/>
      <c r="BA354" s="2"/>
      <c r="BB354" s="2"/>
      <c r="BC354">
        <v>71500</v>
      </c>
      <c r="BD354">
        <v>56992</v>
      </c>
    </row>
    <row r="355" spans="3:56" x14ac:dyDescent="0.25">
      <c r="C355" s="1">
        <v>45975</v>
      </c>
      <c r="D355" s="36">
        <v>247960.808333333</v>
      </c>
      <c r="E355" s="33">
        <v>4.18333333333333</v>
      </c>
      <c r="F355" s="33">
        <v>3.4290783333333299</v>
      </c>
      <c r="G355" s="2">
        <v>0.81969999999999998</v>
      </c>
      <c r="H355" s="2">
        <v>0.99</v>
      </c>
      <c r="I355" s="3"/>
      <c r="J355" s="3"/>
      <c r="K355" s="3"/>
      <c r="L355" s="3"/>
      <c r="M355" s="3"/>
      <c r="N355" s="3">
        <v>0</v>
      </c>
      <c r="O355" s="3"/>
      <c r="P355" s="3">
        <v>0</v>
      </c>
      <c r="Q355" s="3">
        <v>0</v>
      </c>
      <c r="R355" s="3">
        <v>0</v>
      </c>
      <c r="S355" s="3">
        <v>0</v>
      </c>
      <c r="T355" s="3">
        <v>0</v>
      </c>
      <c r="U355" s="3"/>
      <c r="V355" s="3"/>
      <c r="W355" s="3"/>
      <c r="X355" s="3"/>
      <c r="Y355" s="3"/>
      <c r="Z355" s="3"/>
      <c r="AA355" s="3"/>
      <c r="AB355" s="3"/>
      <c r="AC355" s="3"/>
      <c r="AD355" s="3"/>
      <c r="AE355" s="3">
        <v>0</v>
      </c>
      <c r="AF355" s="3">
        <v>0</v>
      </c>
      <c r="AG355" s="3"/>
      <c r="AH355" s="40"/>
      <c r="AI355" s="40"/>
      <c r="AJ355" s="40"/>
      <c r="AK355" s="40"/>
      <c r="AL355" s="40"/>
      <c r="AM355" s="40"/>
      <c r="AN355" s="40"/>
      <c r="AO355" s="40"/>
      <c r="AP355" s="40"/>
      <c r="AQ355" s="40"/>
      <c r="AR355" s="31"/>
      <c r="AS355" s="36">
        <v>0</v>
      </c>
      <c r="AY355" s="6"/>
      <c r="AZ355" s="2"/>
      <c r="BA355" s="2"/>
      <c r="BB355" s="2"/>
      <c r="BC355">
        <v>71500</v>
      </c>
      <c r="BD355">
        <v>56992</v>
      </c>
    </row>
    <row r="356" spans="3:56" x14ac:dyDescent="0.25">
      <c r="C356" s="1">
        <v>45976</v>
      </c>
      <c r="D356" s="36">
        <v>247960.808333333</v>
      </c>
      <c r="E356" s="33">
        <v>4.18333333333333</v>
      </c>
      <c r="F356" s="33">
        <v>3.4290783333333299</v>
      </c>
      <c r="G356" s="2">
        <v>0.81969999999999998</v>
      </c>
      <c r="H356" s="2">
        <v>0.99</v>
      </c>
      <c r="I356" s="3"/>
      <c r="J356" s="3"/>
      <c r="K356" s="3"/>
      <c r="L356" s="3"/>
      <c r="M356" s="3"/>
      <c r="N356" s="3">
        <v>0</v>
      </c>
      <c r="O356" s="3"/>
      <c r="P356" s="3">
        <v>0</v>
      </c>
      <c r="Q356" s="3">
        <v>0</v>
      </c>
      <c r="R356" s="3">
        <v>0</v>
      </c>
      <c r="S356" s="3">
        <v>0</v>
      </c>
      <c r="T356" s="3">
        <v>0</v>
      </c>
      <c r="U356" s="3"/>
      <c r="V356" s="3"/>
      <c r="W356" s="3"/>
      <c r="X356" s="3"/>
      <c r="Y356" s="3"/>
      <c r="Z356" s="3"/>
      <c r="AA356" s="3"/>
      <c r="AB356" s="3"/>
      <c r="AC356" s="3"/>
      <c r="AD356" s="3"/>
      <c r="AE356" s="3">
        <v>0</v>
      </c>
      <c r="AF356" s="3">
        <v>0</v>
      </c>
      <c r="AG356" s="3"/>
      <c r="AH356" s="40"/>
      <c r="AI356" s="40"/>
      <c r="AJ356" s="40"/>
      <c r="AK356" s="40"/>
      <c r="AL356" s="40"/>
      <c r="AM356" s="40"/>
      <c r="AN356" s="40"/>
      <c r="AO356" s="40"/>
      <c r="AP356" s="40"/>
      <c r="AQ356" s="40"/>
      <c r="AR356" s="31"/>
      <c r="AS356" s="36">
        <v>0</v>
      </c>
      <c r="AY356" s="6"/>
      <c r="AZ356" s="2"/>
      <c r="BA356" s="2"/>
      <c r="BB356" s="2"/>
      <c r="BC356">
        <v>71500</v>
      </c>
      <c r="BD356">
        <v>56992</v>
      </c>
    </row>
    <row r="357" spans="3:56" x14ac:dyDescent="0.25">
      <c r="C357" s="1">
        <v>45977</v>
      </c>
      <c r="D357" s="36">
        <v>247960.808333333</v>
      </c>
      <c r="E357" s="33">
        <v>4.18333333333333</v>
      </c>
      <c r="F357" s="33">
        <v>3.4290783333333299</v>
      </c>
      <c r="G357" s="2">
        <v>0.81969999999999998</v>
      </c>
      <c r="H357" s="2">
        <v>0.99</v>
      </c>
      <c r="I357" s="3"/>
      <c r="J357" s="3"/>
      <c r="K357" s="3"/>
      <c r="L357" s="3"/>
      <c r="M357" s="3"/>
      <c r="N357" s="3">
        <v>0</v>
      </c>
      <c r="O357" s="3"/>
      <c r="P357" s="3">
        <v>0</v>
      </c>
      <c r="Q357" s="3">
        <v>0</v>
      </c>
      <c r="R357" s="3">
        <v>0</v>
      </c>
      <c r="S357" s="3">
        <v>0</v>
      </c>
      <c r="T357" s="3">
        <v>0</v>
      </c>
      <c r="U357" s="3"/>
      <c r="V357" s="3"/>
      <c r="W357" s="3"/>
      <c r="X357" s="3"/>
      <c r="Y357" s="3"/>
      <c r="Z357" s="3"/>
      <c r="AA357" s="3"/>
      <c r="AB357" s="3"/>
      <c r="AC357" s="3"/>
      <c r="AD357" s="3"/>
      <c r="AE357" s="3">
        <v>0</v>
      </c>
      <c r="AF357" s="3">
        <v>0</v>
      </c>
      <c r="AG357" s="3"/>
      <c r="AH357" s="40"/>
      <c r="AI357" s="40"/>
      <c r="AJ357" s="40"/>
      <c r="AK357" s="40"/>
      <c r="AL357" s="40"/>
      <c r="AM357" s="40"/>
      <c r="AN357" s="40"/>
      <c r="AO357" s="40"/>
      <c r="AP357" s="40"/>
      <c r="AQ357" s="40"/>
      <c r="AR357" s="31"/>
      <c r="AS357" s="36">
        <v>0</v>
      </c>
      <c r="AY357" s="6"/>
      <c r="AZ357" s="2"/>
      <c r="BA357" s="2"/>
      <c r="BB357" s="2"/>
      <c r="BC357">
        <v>71500</v>
      </c>
      <c r="BD357">
        <v>56992</v>
      </c>
    </row>
    <row r="358" spans="3:56" x14ac:dyDescent="0.25">
      <c r="C358" s="1">
        <v>45978</v>
      </c>
      <c r="D358" s="36">
        <v>247960.808333333</v>
      </c>
      <c r="E358" s="33">
        <v>4.18333333333333</v>
      </c>
      <c r="F358" s="33">
        <v>3.4290783333333299</v>
      </c>
      <c r="G358" s="2">
        <v>0.81969999999999998</v>
      </c>
      <c r="H358" s="2">
        <v>0.99</v>
      </c>
      <c r="I358" s="3"/>
      <c r="J358" s="3"/>
      <c r="K358" s="3"/>
      <c r="L358" s="3"/>
      <c r="M358" s="3"/>
      <c r="N358" s="3">
        <v>0</v>
      </c>
      <c r="O358" s="3"/>
      <c r="P358" s="3">
        <v>0</v>
      </c>
      <c r="Q358" s="3">
        <v>0</v>
      </c>
      <c r="R358" s="3">
        <v>0</v>
      </c>
      <c r="S358" s="3">
        <v>0</v>
      </c>
      <c r="T358" s="3">
        <v>0</v>
      </c>
      <c r="U358" s="3"/>
      <c r="V358" s="3"/>
      <c r="W358" s="3"/>
      <c r="X358" s="3"/>
      <c r="Y358" s="3"/>
      <c r="Z358" s="3"/>
      <c r="AA358" s="3"/>
      <c r="AB358" s="3"/>
      <c r="AC358" s="3"/>
      <c r="AD358" s="3"/>
      <c r="AE358" s="3">
        <v>0</v>
      </c>
      <c r="AF358" s="3">
        <v>0</v>
      </c>
      <c r="AG358" s="3"/>
      <c r="AH358" s="40"/>
      <c r="AI358" s="40"/>
      <c r="AJ358" s="40"/>
      <c r="AK358" s="40"/>
      <c r="AL358" s="40"/>
      <c r="AM358" s="40"/>
      <c r="AN358" s="40"/>
      <c r="AO358" s="40"/>
      <c r="AP358" s="40"/>
      <c r="AQ358" s="40"/>
      <c r="AR358" s="31"/>
      <c r="AS358" s="36">
        <v>0</v>
      </c>
      <c r="AY358" s="6"/>
      <c r="AZ358" s="2"/>
      <c r="BA358" s="2"/>
      <c r="BB358" s="2"/>
      <c r="BC358">
        <v>71500</v>
      </c>
      <c r="BD358">
        <v>56992</v>
      </c>
    </row>
    <row r="359" spans="3:56" x14ac:dyDescent="0.25">
      <c r="C359" s="1">
        <v>45979</v>
      </c>
      <c r="D359" s="36">
        <v>247960.808333333</v>
      </c>
      <c r="E359" s="33">
        <v>4.18333333333333</v>
      </c>
      <c r="F359" s="33">
        <v>3.4290783333333299</v>
      </c>
      <c r="G359" s="2">
        <v>0.81969999999999998</v>
      </c>
      <c r="H359" s="2">
        <v>0.99</v>
      </c>
      <c r="I359" s="3"/>
      <c r="J359" s="3"/>
      <c r="K359" s="3"/>
      <c r="L359" s="3"/>
      <c r="M359" s="3"/>
      <c r="N359" s="3">
        <v>0</v>
      </c>
      <c r="O359" s="3"/>
      <c r="P359" s="3">
        <v>0</v>
      </c>
      <c r="Q359" s="3">
        <v>0</v>
      </c>
      <c r="R359" s="3">
        <v>0</v>
      </c>
      <c r="S359" s="3">
        <v>0</v>
      </c>
      <c r="T359" s="3">
        <v>0</v>
      </c>
      <c r="U359" s="3"/>
      <c r="V359" s="3"/>
      <c r="W359" s="3"/>
      <c r="X359" s="3"/>
      <c r="Y359" s="3"/>
      <c r="Z359" s="3"/>
      <c r="AA359" s="3"/>
      <c r="AB359" s="3"/>
      <c r="AC359" s="3"/>
      <c r="AD359" s="3"/>
      <c r="AE359" s="3">
        <v>0</v>
      </c>
      <c r="AF359" s="3">
        <v>0</v>
      </c>
      <c r="AG359" s="3"/>
      <c r="AH359" s="40"/>
      <c r="AI359" s="40"/>
      <c r="AJ359" s="40"/>
      <c r="AK359" s="40"/>
      <c r="AL359" s="40"/>
      <c r="AM359" s="40"/>
      <c r="AN359" s="40"/>
      <c r="AO359" s="40"/>
      <c r="AP359" s="40"/>
      <c r="AQ359" s="40"/>
      <c r="AR359" s="31"/>
      <c r="AS359" s="36">
        <v>0</v>
      </c>
      <c r="AY359" s="6"/>
      <c r="AZ359" s="2"/>
      <c r="BA359" s="2"/>
      <c r="BB359" s="2"/>
      <c r="BC359">
        <v>71500</v>
      </c>
      <c r="BD359">
        <v>56992</v>
      </c>
    </row>
    <row r="360" spans="3:56" x14ac:dyDescent="0.25">
      <c r="C360" s="1">
        <v>45980</v>
      </c>
      <c r="D360" s="36">
        <v>247960.808333333</v>
      </c>
      <c r="E360" s="33">
        <v>4.18333333333333</v>
      </c>
      <c r="F360" s="33">
        <v>3.4290783333333299</v>
      </c>
      <c r="G360" s="2">
        <v>0.81969999999999998</v>
      </c>
      <c r="H360" s="2">
        <v>0.99</v>
      </c>
      <c r="I360" s="3"/>
      <c r="J360" s="3"/>
      <c r="K360" s="3"/>
      <c r="L360" s="3"/>
      <c r="M360" s="3"/>
      <c r="N360" s="3">
        <v>0</v>
      </c>
      <c r="O360" s="3"/>
      <c r="P360" s="3">
        <v>0</v>
      </c>
      <c r="Q360" s="3">
        <v>0</v>
      </c>
      <c r="R360" s="3">
        <v>0</v>
      </c>
      <c r="S360" s="3">
        <v>0</v>
      </c>
      <c r="T360" s="3">
        <v>0</v>
      </c>
      <c r="U360" s="3"/>
      <c r="V360" s="3"/>
      <c r="W360" s="3"/>
      <c r="X360" s="3"/>
      <c r="Y360" s="3"/>
      <c r="Z360" s="3"/>
      <c r="AA360" s="3"/>
      <c r="AB360" s="3"/>
      <c r="AC360" s="3"/>
      <c r="AD360" s="3"/>
      <c r="AE360" s="3">
        <v>0</v>
      </c>
      <c r="AF360" s="3">
        <v>0</v>
      </c>
      <c r="AG360" s="3"/>
      <c r="AH360" s="40"/>
      <c r="AI360" s="40"/>
      <c r="AJ360" s="40"/>
      <c r="AK360" s="40"/>
      <c r="AL360" s="40"/>
      <c r="AM360" s="40"/>
      <c r="AN360" s="40"/>
      <c r="AO360" s="40"/>
      <c r="AP360" s="40"/>
      <c r="AQ360" s="40"/>
      <c r="AR360" s="31"/>
      <c r="AS360" s="36">
        <v>0</v>
      </c>
      <c r="AY360" s="6"/>
      <c r="AZ360" s="2"/>
      <c r="BA360" s="2"/>
      <c r="BB360" s="2"/>
      <c r="BC360">
        <v>71500</v>
      </c>
      <c r="BD360">
        <v>56992</v>
      </c>
    </row>
    <row r="361" spans="3:56" x14ac:dyDescent="0.25">
      <c r="C361" s="1">
        <v>45981</v>
      </c>
      <c r="D361" s="36">
        <v>247960.808333333</v>
      </c>
      <c r="E361" s="33">
        <v>4.18333333333333</v>
      </c>
      <c r="F361" s="33">
        <v>3.4290783333333299</v>
      </c>
      <c r="G361" s="2">
        <v>0.81969999999999998</v>
      </c>
      <c r="H361" s="2">
        <v>0.99</v>
      </c>
      <c r="I361" s="3"/>
      <c r="J361" s="3"/>
      <c r="K361" s="3"/>
      <c r="L361" s="3"/>
      <c r="M361" s="3"/>
      <c r="N361" s="3">
        <v>0</v>
      </c>
      <c r="O361" s="3"/>
      <c r="P361" s="3">
        <v>0</v>
      </c>
      <c r="Q361" s="3">
        <v>0</v>
      </c>
      <c r="R361" s="3">
        <v>0</v>
      </c>
      <c r="S361" s="3">
        <v>0</v>
      </c>
      <c r="T361" s="3">
        <v>0</v>
      </c>
      <c r="U361" s="3"/>
      <c r="V361" s="3"/>
      <c r="W361" s="3"/>
      <c r="X361" s="3"/>
      <c r="Y361" s="3"/>
      <c r="Z361" s="3"/>
      <c r="AA361" s="3"/>
      <c r="AB361" s="3"/>
      <c r="AC361" s="3"/>
      <c r="AD361" s="3"/>
      <c r="AE361" s="3">
        <v>0</v>
      </c>
      <c r="AF361" s="3">
        <v>0</v>
      </c>
      <c r="AG361" s="3"/>
      <c r="AH361" s="40"/>
      <c r="AI361" s="40"/>
      <c r="AJ361" s="40"/>
      <c r="AK361" s="40"/>
      <c r="AL361" s="40"/>
      <c r="AM361" s="40"/>
      <c r="AN361" s="40"/>
      <c r="AO361" s="40"/>
      <c r="AP361" s="40"/>
      <c r="AQ361" s="40"/>
      <c r="AR361" s="31"/>
      <c r="AS361" s="36">
        <v>0</v>
      </c>
      <c r="AY361" s="6"/>
      <c r="AZ361" s="2"/>
      <c r="BA361" s="2"/>
      <c r="BB361" s="2"/>
      <c r="BC361">
        <v>71500</v>
      </c>
      <c r="BD361">
        <v>56992</v>
      </c>
    </row>
    <row r="362" spans="3:56" x14ac:dyDescent="0.25">
      <c r="C362" s="1">
        <v>45982</v>
      </c>
      <c r="D362" s="36">
        <v>247960.808333333</v>
      </c>
      <c r="E362" s="33">
        <v>4.18333333333333</v>
      </c>
      <c r="F362" s="33">
        <v>3.4290783333333299</v>
      </c>
      <c r="G362" s="2">
        <v>0.81969999999999998</v>
      </c>
      <c r="H362" s="2">
        <v>0.99</v>
      </c>
      <c r="I362" s="3"/>
      <c r="J362" s="3"/>
      <c r="K362" s="3"/>
      <c r="L362" s="3"/>
      <c r="M362" s="3"/>
      <c r="N362" s="3">
        <v>0</v>
      </c>
      <c r="O362" s="3"/>
      <c r="P362" s="3">
        <v>0</v>
      </c>
      <c r="Q362" s="3">
        <v>0</v>
      </c>
      <c r="R362" s="3">
        <v>0</v>
      </c>
      <c r="S362" s="3">
        <v>0</v>
      </c>
      <c r="T362" s="3">
        <v>0</v>
      </c>
      <c r="U362" s="3"/>
      <c r="V362" s="3"/>
      <c r="W362" s="3"/>
      <c r="X362" s="3"/>
      <c r="Y362" s="3"/>
      <c r="Z362" s="3"/>
      <c r="AA362" s="3"/>
      <c r="AB362" s="3"/>
      <c r="AC362" s="3"/>
      <c r="AD362" s="3"/>
      <c r="AE362" s="3">
        <v>0</v>
      </c>
      <c r="AF362" s="3">
        <v>0</v>
      </c>
      <c r="AG362" s="3"/>
      <c r="AH362" s="40"/>
      <c r="AI362" s="40"/>
      <c r="AJ362" s="40"/>
      <c r="AK362" s="40"/>
      <c r="AL362" s="40"/>
      <c r="AM362" s="40"/>
      <c r="AN362" s="40"/>
      <c r="AO362" s="40"/>
      <c r="AP362" s="40"/>
      <c r="AQ362" s="40"/>
      <c r="AR362" s="31"/>
      <c r="AS362" s="36">
        <v>0</v>
      </c>
      <c r="AY362" s="6"/>
      <c r="AZ362" s="2"/>
      <c r="BA362" s="2"/>
      <c r="BB362" s="2"/>
      <c r="BC362">
        <v>71500</v>
      </c>
      <c r="BD362">
        <v>56992</v>
      </c>
    </row>
    <row r="363" spans="3:56" x14ac:dyDescent="0.25">
      <c r="C363" s="1">
        <v>45983</v>
      </c>
      <c r="D363" s="36">
        <v>247960.808333333</v>
      </c>
      <c r="E363" s="33">
        <v>4.18333333333333</v>
      </c>
      <c r="F363" s="33">
        <v>3.4290783333333299</v>
      </c>
      <c r="G363" s="2">
        <v>0.81969999999999998</v>
      </c>
      <c r="H363" s="2">
        <v>0.99</v>
      </c>
      <c r="I363" s="3"/>
      <c r="J363" s="3"/>
      <c r="K363" s="3"/>
      <c r="L363" s="3"/>
      <c r="M363" s="3"/>
      <c r="N363" s="3">
        <v>0</v>
      </c>
      <c r="O363" s="3"/>
      <c r="P363" s="3">
        <v>0</v>
      </c>
      <c r="Q363" s="3">
        <v>0</v>
      </c>
      <c r="R363" s="3">
        <v>0</v>
      </c>
      <c r="S363" s="3">
        <v>0</v>
      </c>
      <c r="T363" s="3">
        <v>0</v>
      </c>
      <c r="U363" s="3"/>
      <c r="V363" s="3"/>
      <c r="W363" s="3"/>
      <c r="X363" s="3"/>
      <c r="Y363" s="3"/>
      <c r="Z363" s="3"/>
      <c r="AA363" s="3"/>
      <c r="AB363" s="3"/>
      <c r="AC363" s="3"/>
      <c r="AD363" s="3"/>
      <c r="AE363" s="3">
        <v>0</v>
      </c>
      <c r="AF363" s="3">
        <v>0</v>
      </c>
      <c r="AG363" s="3"/>
      <c r="AH363" s="40"/>
      <c r="AI363" s="40"/>
      <c r="AJ363" s="40"/>
      <c r="AK363" s="40"/>
      <c r="AL363" s="40"/>
      <c r="AM363" s="40"/>
      <c r="AN363" s="40"/>
      <c r="AO363" s="40"/>
      <c r="AP363" s="40"/>
      <c r="AQ363" s="40"/>
      <c r="AR363" s="31"/>
      <c r="AS363" s="36">
        <v>0</v>
      </c>
      <c r="AY363" s="6"/>
      <c r="AZ363" s="2"/>
      <c r="BA363" s="2"/>
      <c r="BB363" s="2"/>
      <c r="BC363">
        <v>71500</v>
      </c>
      <c r="BD363">
        <v>56992</v>
      </c>
    </row>
    <row r="364" spans="3:56" x14ac:dyDescent="0.25">
      <c r="C364" s="1">
        <v>45984</v>
      </c>
      <c r="D364" s="36">
        <v>247960.808333333</v>
      </c>
      <c r="E364" s="33">
        <v>4.18333333333333</v>
      </c>
      <c r="F364" s="33">
        <v>3.4290783333333299</v>
      </c>
      <c r="G364" s="2">
        <v>0.81969999999999998</v>
      </c>
      <c r="H364" s="2">
        <v>0.99</v>
      </c>
      <c r="I364" s="3"/>
      <c r="J364" s="3"/>
      <c r="K364" s="3"/>
      <c r="L364" s="3"/>
      <c r="M364" s="3"/>
      <c r="N364" s="3">
        <v>0</v>
      </c>
      <c r="O364" s="3"/>
      <c r="P364" s="3">
        <v>0</v>
      </c>
      <c r="Q364" s="3">
        <v>0</v>
      </c>
      <c r="R364" s="3">
        <v>0</v>
      </c>
      <c r="S364" s="3">
        <v>0</v>
      </c>
      <c r="T364" s="3">
        <v>0</v>
      </c>
      <c r="U364" s="3"/>
      <c r="V364" s="3"/>
      <c r="W364" s="3"/>
      <c r="X364" s="3"/>
      <c r="Y364" s="3"/>
      <c r="Z364" s="3"/>
      <c r="AA364" s="3"/>
      <c r="AB364" s="3"/>
      <c r="AC364" s="3"/>
      <c r="AD364" s="3"/>
      <c r="AE364" s="3">
        <v>0</v>
      </c>
      <c r="AF364" s="3">
        <v>0</v>
      </c>
      <c r="AG364" s="3"/>
      <c r="AH364" s="40"/>
      <c r="AI364" s="40"/>
      <c r="AJ364" s="40"/>
      <c r="AK364" s="40"/>
      <c r="AL364" s="40"/>
      <c r="AM364" s="40"/>
      <c r="AN364" s="40"/>
      <c r="AO364" s="40"/>
      <c r="AP364" s="40"/>
      <c r="AQ364" s="40"/>
      <c r="AR364" s="31"/>
      <c r="AS364" s="36">
        <v>0</v>
      </c>
      <c r="AY364" s="6"/>
      <c r="AZ364" s="2"/>
      <c r="BA364" s="2"/>
      <c r="BB364" s="2"/>
      <c r="BC364">
        <v>71500</v>
      </c>
      <c r="BD364">
        <v>56992</v>
      </c>
    </row>
    <row r="365" spans="3:56" x14ac:dyDescent="0.25">
      <c r="C365" s="1">
        <v>45985</v>
      </c>
      <c r="D365" s="36">
        <v>247960.808333333</v>
      </c>
      <c r="E365" s="33">
        <v>4.18333333333333</v>
      </c>
      <c r="F365" s="33">
        <v>3.4290783333333299</v>
      </c>
      <c r="G365" s="2">
        <v>0.81969999999999998</v>
      </c>
      <c r="H365" s="2">
        <v>0.99</v>
      </c>
      <c r="I365" s="3"/>
      <c r="J365" s="3"/>
      <c r="K365" s="3"/>
      <c r="L365" s="3"/>
      <c r="M365" s="3"/>
      <c r="N365" s="3">
        <v>0</v>
      </c>
      <c r="O365" s="3"/>
      <c r="P365" s="3">
        <v>0</v>
      </c>
      <c r="Q365" s="3">
        <v>0</v>
      </c>
      <c r="R365" s="3">
        <v>0</v>
      </c>
      <c r="S365" s="3">
        <v>0</v>
      </c>
      <c r="T365" s="3">
        <v>0</v>
      </c>
      <c r="U365" s="3"/>
      <c r="V365" s="3"/>
      <c r="W365" s="3"/>
      <c r="X365" s="3"/>
      <c r="Y365" s="3"/>
      <c r="Z365" s="3"/>
      <c r="AA365" s="3"/>
      <c r="AB365" s="3"/>
      <c r="AC365" s="3"/>
      <c r="AD365" s="3"/>
      <c r="AE365" s="3">
        <v>0</v>
      </c>
      <c r="AF365" s="3">
        <v>0</v>
      </c>
      <c r="AG365" s="3"/>
      <c r="AH365" s="40"/>
      <c r="AI365" s="40"/>
      <c r="AJ365" s="40"/>
      <c r="AK365" s="40"/>
      <c r="AL365" s="40"/>
      <c r="AM365" s="40"/>
      <c r="AN365" s="40"/>
      <c r="AO365" s="40"/>
      <c r="AP365" s="40"/>
      <c r="AQ365" s="40"/>
      <c r="AR365" s="31"/>
      <c r="AS365" s="36">
        <v>0</v>
      </c>
      <c r="AY365" s="6"/>
      <c r="AZ365" s="2"/>
      <c r="BA365" s="2"/>
      <c r="BB365" s="2"/>
      <c r="BC365">
        <v>71500</v>
      </c>
      <c r="BD365">
        <v>56992</v>
      </c>
    </row>
    <row r="366" spans="3:56" x14ac:dyDescent="0.25">
      <c r="C366" s="1">
        <v>45986</v>
      </c>
      <c r="D366" s="36">
        <v>247960.808333333</v>
      </c>
      <c r="E366" s="33">
        <v>4.18333333333333</v>
      </c>
      <c r="F366" s="33">
        <v>3.4290783333333299</v>
      </c>
      <c r="G366" s="2">
        <v>0.81969999999999998</v>
      </c>
      <c r="H366" s="2">
        <v>0.99</v>
      </c>
      <c r="I366" s="3"/>
      <c r="J366" s="3"/>
      <c r="K366" s="3"/>
      <c r="L366" s="3"/>
      <c r="M366" s="3"/>
      <c r="N366" s="3">
        <v>0</v>
      </c>
      <c r="O366" s="3"/>
      <c r="P366" s="3">
        <v>0</v>
      </c>
      <c r="Q366" s="3">
        <v>0</v>
      </c>
      <c r="R366" s="3">
        <v>0</v>
      </c>
      <c r="S366" s="3">
        <v>0</v>
      </c>
      <c r="T366" s="3">
        <v>0</v>
      </c>
      <c r="U366" s="3"/>
      <c r="V366" s="3"/>
      <c r="W366" s="3"/>
      <c r="X366" s="3"/>
      <c r="Y366" s="3"/>
      <c r="Z366" s="3"/>
      <c r="AA366" s="3"/>
      <c r="AB366" s="3"/>
      <c r="AC366" s="3"/>
      <c r="AD366" s="3"/>
      <c r="AE366" s="3">
        <v>0</v>
      </c>
      <c r="AF366" s="3">
        <v>0</v>
      </c>
      <c r="AG366" s="3"/>
      <c r="AH366" s="40"/>
      <c r="AI366" s="40"/>
      <c r="AJ366" s="40"/>
      <c r="AK366" s="40"/>
      <c r="AL366" s="40"/>
      <c r="AM366" s="40"/>
      <c r="AN366" s="40"/>
      <c r="AO366" s="40"/>
      <c r="AP366" s="40"/>
      <c r="AQ366" s="40"/>
      <c r="AR366" s="31"/>
      <c r="AS366" s="36">
        <v>0</v>
      </c>
      <c r="AY366" s="6"/>
      <c r="AZ366" s="2"/>
      <c r="BA366" s="2"/>
      <c r="BB366" s="2"/>
      <c r="BC366">
        <v>71500</v>
      </c>
      <c r="BD366">
        <v>56992</v>
      </c>
    </row>
    <row r="367" spans="3:56" x14ac:dyDescent="0.25">
      <c r="C367" s="1">
        <v>45987</v>
      </c>
      <c r="D367" s="36">
        <v>247960.808333333</v>
      </c>
      <c r="E367" s="33">
        <v>4.18333333333333</v>
      </c>
      <c r="F367" s="33">
        <v>3.4290783333333299</v>
      </c>
      <c r="G367" s="2">
        <v>0.81969999999999998</v>
      </c>
      <c r="H367" s="2">
        <v>0.99</v>
      </c>
      <c r="I367" s="3"/>
      <c r="J367" s="3"/>
      <c r="K367" s="3"/>
      <c r="L367" s="3"/>
      <c r="M367" s="3"/>
      <c r="N367" s="3">
        <v>0</v>
      </c>
      <c r="O367" s="3"/>
      <c r="P367" s="3">
        <v>0</v>
      </c>
      <c r="Q367" s="3">
        <v>0</v>
      </c>
      <c r="R367" s="3">
        <v>0</v>
      </c>
      <c r="S367" s="3">
        <v>0</v>
      </c>
      <c r="T367" s="3">
        <v>0</v>
      </c>
      <c r="U367" s="3"/>
      <c r="V367" s="3"/>
      <c r="W367" s="3"/>
      <c r="X367" s="3"/>
      <c r="Y367" s="3"/>
      <c r="Z367" s="3"/>
      <c r="AA367" s="3"/>
      <c r="AB367" s="3"/>
      <c r="AC367" s="3"/>
      <c r="AD367" s="3"/>
      <c r="AE367" s="3">
        <v>0</v>
      </c>
      <c r="AF367" s="3">
        <v>0</v>
      </c>
      <c r="AG367" s="3"/>
      <c r="AH367" s="40"/>
      <c r="AI367" s="40"/>
      <c r="AJ367" s="40"/>
      <c r="AK367" s="40"/>
      <c r="AL367" s="40"/>
      <c r="AM367" s="40"/>
      <c r="AN367" s="40"/>
      <c r="AO367" s="40"/>
      <c r="AP367" s="40"/>
      <c r="AQ367" s="40"/>
      <c r="AR367" s="31"/>
      <c r="AS367" s="36">
        <v>0</v>
      </c>
      <c r="AY367" s="6"/>
      <c r="AZ367" s="2"/>
      <c r="BA367" s="2"/>
      <c r="BB367" s="2"/>
      <c r="BC367">
        <v>71500</v>
      </c>
      <c r="BD367">
        <v>56992</v>
      </c>
    </row>
    <row r="368" spans="3:56" x14ac:dyDescent="0.25">
      <c r="C368" s="1">
        <v>45988</v>
      </c>
      <c r="D368" s="36">
        <v>247960.808333333</v>
      </c>
      <c r="E368" s="33">
        <v>4.18333333333333</v>
      </c>
      <c r="F368" s="33">
        <v>3.4290783333333299</v>
      </c>
      <c r="G368" s="2">
        <v>0.81969999999999998</v>
      </c>
      <c r="H368" s="2">
        <v>0.99</v>
      </c>
      <c r="I368" s="3"/>
      <c r="J368" s="3"/>
      <c r="K368" s="3"/>
      <c r="L368" s="3"/>
      <c r="M368" s="3"/>
      <c r="N368" s="3">
        <v>0</v>
      </c>
      <c r="O368" s="3"/>
      <c r="P368" s="3">
        <v>0</v>
      </c>
      <c r="Q368" s="3">
        <v>0</v>
      </c>
      <c r="R368" s="3">
        <v>0</v>
      </c>
      <c r="S368" s="3">
        <v>0</v>
      </c>
      <c r="T368" s="3">
        <v>0</v>
      </c>
      <c r="U368" s="3"/>
      <c r="V368" s="3"/>
      <c r="W368" s="3"/>
      <c r="X368" s="3"/>
      <c r="Y368" s="3"/>
      <c r="Z368" s="3"/>
      <c r="AA368" s="3"/>
      <c r="AB368" s="3"/>
      <c r="AC368" s="3"/>
      <c r="AD368" s="3"/>
      <c r="AE368" s="3">
        <v>0</v>
      </c>
      <c r="AF368" s="3">
        <v>0</v>
      </c>
      <c r="AG368" s="3"/>
      <c r="AH368" s="40"/>
      <c r="AI368" s="40"/>
      <c r="AJ368" s="40"/>
      <c r="AK368" s="40"/>
      <c r="AL368" s="40"/>
      <c r="AM368" s="40"/>
      <c r="AN368" s="40"/>
      <c r="AO368" s="40"/>
      <c r="AP368" s="40"/>
      <c r="AQ368" s="40"/>
      <c r="AR368" s="31"/>
      <c r="AS368" s="36">
        <v>0</v>
      </c>
      <c r="AY368" s="6"/>
      <c r="AZ368" s="2"/>
      <c r="BA368" s="2"/>
      <c r="BB368" s="2"/>
      <c r="BC368">
        <v>71500</v>
      </c>
      <c r="BD368">
        <v>56992</v>
      </c>
    </row>
    <row r="369" spans="3:56" x14ac:dyDescent="0.25">
      <c r="C369" s="1">
        <v>45989</v>
      </c>
      <c r="D369" s="36">
        <v>247960.808333333</v>
      </c>
      <c r="E369" s="33">
        <v>4.18333333333333</v>
      </c>
      <c r="F369" s="33">
        <v>3.4290783333333299</v>
      </c>
      <c r="G369" s="2">
        <v>0.81969999999999998</v>
      </c>
      <c r="H369" s="2">
        <v>0.99</v>
      </c>
      <c r="I369" s="3"/>
      <c r="J369" s="3"/>
      <c r="K369" s="3"/>
      <c r="L369" s="3"/>
      <c r="M369" s="3"/>
      <c r="N369" s="3">
        <v>0</v>
      </c>
      <c r="O369" s="3"/>
      <c r="P369" s="3">
        <v>0</v>
      </c>
      <c r="Q369" s="3">
        <v>0</v>
      </c>
      <c r="R369" s="3">
        <v>0</v>
      </c>
      <c r="S369" s="3">
        <v>0</v>
      </c>
      <c r="T369" s="3">
        <v>0</v>
      </c>
      <c r="U369" s="3"/>
      <c r="V369" s="3"/>
      <c r="W369" s="3"/>
      <c r="X369" s="3"/>
      <c r="Y369" s="3"/>
      <c r="Z369" s="3"/>
      <c r="AA369" s="3"/>
      <c r="AB369" s="3"/>
      <c r="AC369" s="3"/>
      <c r="AD369" s="3"/>
      <c r="AE369" s="3">
        <v>0</v>
      </c>
      <c r="AF369" s="3">
        <v>0</v>
      </c>
      <c r="AG369" s="3"/>
      <c r="AH369" s="40"/>
      <c r="AI369" s="40"/>
      <c r="AJ369" s="40"/>
      <c r="AK369" s="40"/>
      <c r="AL369" s="40"/>
      <c r="AM369" s="40"/>
      <c r="AN369" s="40"/>
      <c r="AO369" s="40"/>
      <c r="AP369" s="40"/>
      <c r="AQ369" s="40"/>
      <c r="AR369" s="31"/>
      <c r="AS369" s="36">
        <v>0</v>
      </c>
      <c r="AY369" s="6"/>
      <c r="AZ369" s="2"/>
      <c r="BA369" s="2"/>
      <c r="BB369" s="2"/>
      <c r="BC369">
        <v>71500</v>
      </c>
      <c r="BD369">
        <v>56992</v>
      </c>
    </row>
    <row r="370" spans="3:56" x14ac:dyDescent="0.25">
      <c r="C370" s="1">
        <v>45990</v>
      </c>
      <c r="D370" s="36">
        <v>247960.808333333</v>
      </c>
      <c r="E370" s="33">
        <v>4.18333333333333</v>
      </c>
      <c r="F370" s="33">
        <v>3.4290783333333299</v>
      </c>
      <c r="G370" s="2">
        <v>0.81969999999999998</v>
      </c>
      <c r="H370" s="2">
        <v>0.99</v>
      </c>
      <c r="I370" s="3"/>
      <c r="J370" s="3"/>
      <c r="K370" s="3"/>
      <c r="L370" s="3"/>
      <c r="M370" s="3"/>
      <c r="N370" s="3">
        <v>0</v>
      </c>
      <c r="O370" s="3"/>
      <c r="P370" s="3">
        <v>0</v>
      </c>
      <c r="Q370" s="3">
        <v>0</v>
      </c>
      <c r="R370" s="3">
        <v>0</v>
      </c>
      <c r="S370" s="3">
        <v>0</v>
      </c>
      <c r="T370" s="3">
        <v>0</v>
      </c>
      <c r="U370" s="3"/>
      <c r="V370" s="3"/>
      <c r="W370" s="3"/>
      <c r="X370" s="3"/>
      <c r="Y370" s="3"/>
      <c r="Z370" s="3"/>
      <c r="AA370" s="3"/>
      <c r="AB370" s="3"/>
      <c r="AC370" s="3"/>
      <c r="AD370" s="3"/>
      <c r="AE370" s="3">
        <v>0</v>
      </c>
      <c r="AF370" s="3">
        <v>0</v>
      </c>
      <c r="AG370" s="3"/>
      <c r="AH370" s="40"/>
      <c r="AI370" s="40"/>
      <c r="AJ370" s="40"/>
      <c r="AK370" s="40"/>
      <c r="AL370" s="40"/>
      <c r="AM370" s="40"/>
      <c r="AN370" s="40"/>
      <c r="AO370" s="40"/>
      <c r="AP370" s="40"/>
      <c r="AQ370" s="40"/>
      <c r="AR370" s="31"/>
      <c r="AS370" s="36">
        <v>0</v>
      </c>
      <c r="AY370" s="6"/>
      <c r="AZ370" s="2"/>
      <c r="BA370" s="2"/>
      <c r="BB370" s="2"/>
      <c r="BC370">
        <v>71500</v>
      </c>
      <c r="BD370">
        <v>56992</v>
      </c>
    </row>
    <row r="371" spans="3:56" x14ac:dyDescent="0.25">
      <c r="C371" s="1">
        <v>45991</v>
      </c>
      <c r="D371" s="36">
        <v>247960.808333333</v>
      </c>
      <c r="E371" s="33">
        <v>4.18333333333333</v>
      </c>
      <c r="F371" s="33">
        <v>3.4290783333333299</v>
      </c>
      <c r="G371" s="2">
        <v>0.81969999999999998</v>
      </c>
      <c r="H371" s="2">
        <v>0.99</v>
      </c>
      <c r="I371" s="3"/>
      <c r="J371" s="3"/>
      <c r="K371" s="3"/>
      <c r="L371" s="3"/>
      <c r="M371" s="3"/>
      <c r="N371" s="3">
        <v>0</v>
      </c>
      <c r="O371" s="3"/>
      <c r="P371" s="3">
        <v>0</v>
      </c>
      <c r="Q371" s="3">
        <v>0</v>
      </c>
      <c r="R371" s="3">
        <v>0</v>
      </c>
      <c r="S371" s="3">
        <v>0</v>
      </c>
      <c r="T371" s="3">
        <v>0</v>
      </c>
      <c r="U371" s="3"/>
      <c r="V371" s="3"/>
      <c r="W371" s="3"/>
      <c r="X371" s="3"/>
      <c r="Y371" s="3"/>
      <c r="Z371" s="3"/>
      <c r="AA371" s="3"/>
      <c r="AB371" s="3"/>
      <c r="AC371" s="3"/>
      <c r="AD371" s="3"/>
      <c r="AE371" s="3">
        <v>0</v>
      </c>
      <c r="AF371" s="3">
        <v>0</v>
      </c>
      <c r="AG371" s="3"/>
      <c r="AH371" s="40"/>
      <c r="AI371" s="40"/>
      <c r="AJ371" s="40"/>
      <c r="AK371" s="40"/>
      <c r="AL371" s="40"/>
      <c r="AM371" s="40"/>
      <c r="AN371" s="40"/>
      <c r="AO371" s="40"/>
      <c r="AP371" s="40"/>
      <c r="AQ371" s="40"/>
      <c r="AR371" s="31"/>
      <c r="AS371" s="36">
        <v>0</v>
      </c>
      <c r="AY371" s="6"/>
      <c r="AZ371" s="2"/>
      <c r="BA371" s="2"/>
      <c r="BB371" s="2"/>
      <c r="BC371">
        <v>71500</v>
      </c>
      <c r="BD371">
        <v>56992</v>
      </c>
    </row>
    <row r="372" spans="3:56" x14ac:dyDescent="0.25">
      <c r="C372" s="1">
        <v>45992</v>
      </c>
      <c r="D372" s="36">
        <v>235895.33709677399</v>
      </c>
      <c r="E372" s="33">
        <v>4.1709677419354803</v>
      </c>
      <c r="F372" s="33">
        <v>3.4189422580645199</v>
      </c>
      <c r="G372" s="2">
        <v>0.81969999999999998</v>
      </c>
      <c r="H372" s="2">
        <v>0.99</v>
      </c>
      <c r="I372" s="3"/>
      <c r="J372" s="3"/>
      <c r="K372" s="3"/>
      <c r="L372" s="3"/>
      <c r="M372" s="3"/>
      <c r="N372" s="3">
        <v>0</v>
      </c>
      <c r="O372" s="3"/>
      <c r="P372" s="3">
        <v>0</v>
      </c>
      <c r="Q372" s="3">
        <v>0</v>
      </c>
      <c r="R372" s="3">
        <v>0</v>
      </c>
      <c r="S372" s="3">
        <v>0</v>
      </c>
      <c r="T372" s="3">
        <v>0</v>
      </c>
      <c r="U372" s="3"/>
      <c r="V372" s="3"/>
      <c r="W372" s="3"/>
      <c r="X372" s="3"/>
      <c r="Y372" s="3"/>
      <c r="Z372" s="3"/>
      <c r="AA372" s="3"/>
      <c r="AB372" s="3"/>
      <c r="AC372" s="3"/>
      <c r="AD372" s="3"/>
      <c r="AE372" s="3">
        <v>0</v>
      </c>
      <c r="AF372" s="3">
        <v>0</v>
      </c>
      <c r="AG372" s="3"/>
      <c r="AH372" s="40"/>
      <c r="AI372" s="40"/>
      <c r="AJ372" s="40"/>
      <c r="AK372" s="40"/>
      <c r="AL372" s="40"/>
      <c r="AM372" s="40"/>
      <c r="AN372" s="40"/>
      <c r="AO372" s="40"/>
      <c r="AP372" s="40"/>
      <c r="AQ372" s="40"/>
      <c r="AR372" s="31"/>
      <c r="AS372" s="36">
        <v>0</v>
      </c>
      <c r="AY372" s="6"/>
      <c r="AZ372" s="2"/>
      <c r="BA372" s="2"/>
      <c r="BB372" s="2"/>
      <c r="BC372">
        <v>71500</v>
      </c>
      <c r="BD372">
        <v>56992</v>
      </c>
    </row>
    <row r="373" spans="3:56" x14ac:dyDescent="0.25">
      <c r="C373" s="1">
        <v>45993</v>
      </c>
      <c r="D373" s="36">
        <v>235895.33709677399</v>
      </c>
      <c r="E373" s="33">
        <v>4.1709677419354803</v>
      </c>
      <c r="F373" s="33">
        <v>3.4189422580645199</v>
      </c>
      <c r="G373" s="2">
        <v>0.81969999999999998</v>
      </c>
      <c r="H373" s="2">
        <v>0.99</v>
      </c>
      <c r="I373" s="3"/>
      <c r="J373" s="3"/>
      <c r="K373" s="3"/>
      <c r="L373" s="3"/>
      <c r="M373" s="3"/>
      <c r="N373" s="3">
        <v>0</v>
      </c>
      <c r="O373" s="3"/>
      <c r="P373" s="3">
        <v>0</v>
      </c>
      <c r="Q373" s="3">
        <v>0</v>
      </c>
      <c r="R373" s="3">
        <v>0</v>
      </c>
      <c r="S373" s="3">
        <v>0</v>
      </c>
      <c r="T373" s="3">
        <v>0</v>
      </c>
      <c r="U373" s="3"/>
      <c r="V373" s="3"/>
      <c r="W373" s="3"/>
      <c r="X373" s="3"/>
      <c r="Y373" s="3"/>
      <c r="Z373" s="3"/>
      <c r="AA373" s="3"/>
      <c r="AB373" s="3"/>
      <c r="AC373" s="3"/>
      <c r="AD373" s="3"/>
      <c r="AE373" s="3">
        <v>0</v>
      </c>
      <c r="AF373" s="3">
        <v>0</v>
      </c>
      <c r="AG373" s="3"/>
      <c r="AH373" s="40"/>
      <c r="AI373" s="40"/>
      <c r="AJ373" s="40"/>
      <c r="AK373" s="40"/>
      <c r="AL373" s="40"/>
      <c r="AM373" s="40"/>
      <c r="AN373" s="40"/>
      <c r="AO373" s="40"/>
      <c r="AP373" s="40"/>
      <c r="AQ373" s="40"/>
      <c r="AR373" s="31"/>
      <c r="AS373" s="36">
        <v>0</v>
      </c>
      <c r="AY373" s="6"/>
      <c r="AZ373" s="2"/>
      <c r="BA373" s="2"/>
      <c r="BB373" s="2"/>
      <c r="BC373">
        <v>71500</v>
      </c>
      <c r="BD373">
        <v>56992</v>
      </c>
    </row>
    <row r="374" spans="3:56" x14ac:dyDescent="0.25">
      <c r="C374" s="1">
        <v>45994</v>
      </c>
      <c r="D374" s="36">
        <v>235895.33709677399</v>
      </c>
      <c r="E374" s="33">
        <v>4.1709677419354803</v>
      </c>
      <c r="F374" s="33">
        <v>3.4189422580645199</v>
      </c>
      <c r="G374" s="2">
        <v>0.81969999999999998</v>
      </c>
      <c r="H374" s="2">
        <v>0.99</v>
      </c>
      <c r="I374" s="3"/>
      <c r="J374" s="3"/>
      <c r="K374" s="3"/>
      <c r="L374" s="3"/>
      <c r="M374" s="3"/>
      <c r="N374" s="3">
        <v>0</v>
      </c>
      <c r="O374" s="3"/>
      <c r="P374" s="3">
        <v>0</v>
      </c>
      <c r="Q374" s="3">
        <v>0</v>
      </c>
      <c r="R374" s="3">
        <v>0</v>
      </c>
      <c r="S374" s="3">
        <v>0</v>
      </c>
      <c r="T374" s="3">
        <v>0</v>
      </c>
      <c r="U374" s="3"/>
      <c r="V374" s="3"/>
      <c r="W374" s="3"/>
      <c r="X374" s="3"/>
      <c r="Y374" s="3"/>
      <c r="Z374" s="3"/>
      <c r="AA374" s="3"/>
      <c r="AB374" s="3"/>
      <c r="AC374" s="3"/>
      <c r="AD374" s="3"/>
      <c r="AE374" s="3">
        <v>0</v>
      </c>
      <c r="AF374" s="3">
        <v>0</v>
      </c>
      <c r="AG374" s="3"/>
      <c r="AH374" s="40"/>
      <c r="AI374" s="40"/>
      <c r="AJ374" s="40"/>
      <c r="AK374" s="40"/>
      <c r="AL374" s="40"/>
      <c r="AM374" s="40"/>
      <c r="AN374" s="40"/>
      <c r="AO374" s="40"/>
      <c r="AP374" s="40"/>
      <c r="AQ374" s="40"/>
      <c r="AR374" s="31"/>
      <c r="AS374" s="36">
        <v>0</v>
      </c>
      <c r="AY374" s="6"/>
      <c r="AZ374" s="2"/>
      <c r="BA374" s="2"/>
      <c r="BB374" s="2"/>
      <c r="BC374">
        <v>71500</v>
      </c>
      <c r="BD374">
        <v>56992</v>
      </c>
    </row>
    <row r="375" spans="3:56" x14ac:dyDescent="0.25">
      <c r="C375" s="1">
        <v>45995</v>
      </c>
      <c r="D375" s="36">
        <v>235895.33709677399</v>
      </c>
      <c r="E375" s="33">
        <v>4.1709677419354803</v>
      </c>
      <c r="F375" s="33">
        <v>3.4189422580645199</v>
      </c>
      <c r="G375" s="2">
        <v>0.81969999999999998</v>
      </c>
      <c r="H375" s="2">
        <v>0.99</v>
      </c>
      <c r="I375" s="3"/>
      <c r="J375" s="3"/>
      <c r="K375" s="3"/>
      <c r="L375" s="3"/>
      <c r="M375" s="3"/>
      <c r="N375" s="3">
        <v>0</v>
      </c>
      <c r="O375" s="3"/>
      <c r="P375" s="3">
        <v>0</v>
      </c>
      <c r="Q375" s="3">
        <v>0</v>
      </c>
      <c r="R375" s="3">
        <v>0</v>
      </c>
      <c r="S375" s="3">
        <v>0</v>
      </c>
      <c r="T375" s="3">
        <v>0</v>
      </c>
      <c r="U375" s="3"/>
      <c r="V375" s="3"/>
      <c r="W375" s="3"/>
      <c r="X375" s="3"/>
      <c r="Y375" s="3"/>
      <c r="Z375" s="3"/>
      <c r="AA375" s="3"/>
      <c r="AB375" s="3"/>
      <c r="AC375" s="3"/>
      <c r="AD375" s="3"/>
      <c r="AE375" s="3">
        <v>0</v>
      </c>
      <c r="AF375" s="3">
        <v>0</v>
      </c>
      <c r="AG375" s="3"/>
      <c r="AH375" s="40"/>
      <c r="AI375" s="40"/>
      <c r="AJ375" s="40"/>
      <c r="AK375" s="40"/>
      <c r="AL375" s="40"/>
      <c r="AM375" s="40"/>
      <c r="AN375" s="40"/>
      <c r="AO375" s="40"/>
      <c r="AP375" s="40"/>
      <c r="AQ375" s="40"/>
      <c r="AR375" s="31"/>
      <c r="AS375" s="36">
        <v>0</v>
      </c>
      <c r="AY375" s="6"/>
      <c r="AZ375" s="2"/>
      <c r="BA375" s="2"/>
      <c r="BB375" s="2"/>
      <c r="BC375">
        <v>71500</v>
      </c>
      <c r="BD375">
        <v>56992</v>
      </c>
    </row>
    <row r="376" spans="3:56" x14ac:dyDescent="0.25">
      <c r="C376" s="1">
        <v>45996</v>
      </c>
      <c r="D376" s="36">
        <v>235895.33709677399</v>
      </c>
      <c r="E376" s="33">
        <v>4.1709677419354803</v>
      </c>
      <c r="F376" s="33">
        <v>3.4189422580645199</v>
      </c>
      <c r="G376" s="2">
        <v>0.81969999999999998</v>
      </c>
      <c r="H376" s="2">
        <v>0.99</v>
      </c>
      <c r="I376" s="3"/>
      <c r="J376" s="3"/>
      <c r="K376" s="3"/>
      <c r="L376" s="3"/>
      <c r="M376" s="3"/>
      <c r="N376" s="3">
        <v>0</v>
      </c>
      <c r="O376" s="3"/>
      <c r="P376" s="3">
        <v>0</v>
      </c>
      <c r="Q376" s="3">
        <v>0</v>
      </c>
      <c r="R376" s="3">
        <v>0</v>
      </c>
      <c r="S376" s="3">
        <v>0</v>
      </c>
      <c r="T376" s="3">
        <v>0</v>
      </c>
      <c r="U376" s="3"/>
      <c r="V376" s="3"/>
      <c r="W376" s="3"/>
      <c r="X376" s="3"/>
      <c r="Y376" s="3"/>
      <c r="Z376" s="3"/>
      <c r="AA376" s="3"/>
      <c r="AB376" s="3"/>
      <c r="AC376" s="3"/>
      <c r="AD376" s="3"/>
      <c r="AE376" s="3">
        <v>0</v>
      </c>
      <c r="AF376" s="3">
        <v>0</v>
      </c>
      <c r="AG376" s="3"/>
      <c r="AH376" s="40"/>
      <c r="AI376" s="40"/>
      <c r="AJ376" s="40"/>
      <c r="AK376" s="40"/>
      <c r="AL376" s="40"/>
      <c r="AM376" s="40"/>
      <c r="AN376" s="40"/>
      <c r="AO376" s="40"/>
      <c r="AP376" s="40"/>
      <c r="AQ376" s="40"/>
      <c r="AR376" s="31"/>
      <c r="AS376" s="36">
        <v>0</v>
      </c>
      <c r="AY376" s="6"/>
      <c r="AZ376" s="2"/>
      <c r="BA376" s="2"/>
      <c r="BB376" s="2"/>
      <c r="BC376">
        <v>71500</v>
      </c>
      <c r="BD376">
        <v>56992</v>
      </c>
    </row>
    <row r="377" spans="3:56" x14ac:dyDescent="0.25">
      <c r="C377" s="1">
        <v>45997</v>
      </c>
      <c r="D377" s="36">
        <v>235895.33709677399</v>
      </c>
      <c r="E377" s="33">
        <v>4.1709677419354803</v>
      </c>
      <c r="F377" s="33">
        <v>3.4189422580645199</v>
      </c>
      <c r="G377" s="2">
        <v>0.81969999999999998</v>
      </c>
      <c r="H377" s="2">
        <v>0.99</v>
      </c>
      <c r="I377" s="3"/>
      <c r="J377" s="3"/>
      <c r="K377" s="3"/>
      <c r="L377" s="3"/>
      <c r="M377" s="3"/>
      <c r="N377" s="3">
        <v>0</v>
      </c>
      <c r="O377" s="3"/>
      <c r="P377" s="3">
        <v>0</v>
      </c>
      <c r="Q377" s="3">
        <v>0</v>
      </c>
      <c r="R377" s="3">
        <v>0</v>
      </c>
      <c r="S377" s="3">
        <v>0</v>
      </c>
      <c r="T377" s="3">
        <v>0</v>
      </c>
      <c r="U377" s="3"/>
      <c r="V377" s="3"/>
      <c r="W377" s="3"/>
      <c r="X377" s="3"/>
      <c r="Y377" s="3"/>
      <c r="Z377" s="3"/>
      <c r="AA377" s="3"/>
      <c r="AB377" s="3"/>
      <c r="AC377" s="3"/>
      <c r="AD377" s="3"/>
      <c r="AE377" s="3">
        <v>0</v>
      </c>
      <c r="AF377" s="3">
        <v>0</v>
      </c>
      <c r="AG377" s="3"/>
      <c r="AH377" s="40"/>
      <c r="AI377" s="40"/>
      <c r="AJ377" s="40"/>
      <c r="AK377" s="40"/>
      <c r="AL377" s="40"/>
      <c r="AM377" s="40"/>
      <c r="AN377" s="40"/>
      <c r="AO377" s="40"/>
      <c r="AP377" s="40"/>
      <c r="AQ377" s="40"/>
      <c r="AR377" s="31"/>
      <c r="AS377" s="36">
        <v>0</v>
      </c>
      <c r="AY377" s="6"/>
      <c r="AZ377" s="2"/>
      <c r="BA377" s="2"/>
      <c r="BB377" s="2"/>
      <c r="BC377">
        <v>71500</v>
      </c>
      <c r="BD377">
        <v>56992</v>
      </c>
    </row>
    <row r="378" spans="3:56" x14ac:dyDescent="0.25">
      <c r="C378" s="1">
        <v>45998</v>
      </c>
      <c r="D378" s="36">
        <v>235895.33709677399</v>
      </c>
      <c r="E378" s="33">
        <v>4.1709677419354803</v>
      </c>
      <c r="F378" s="33">
        <v>3.4189422580645199</v>
      </c>
      <c r="G378" s="2">
        <v>0.81969999999999998</v>
      </c>
      <c r="H378" s="2">
        <v>0.99</v>
      </c>
      <c r="I378" s="3"/>
      <c r="J378" s="3"/>
      <c r="K378" s="3"/>
      <c r="L378" s="3"/>
      <c r="M378" s="3"/>
      <c r="N378" s="3">
        <v>0</v>
      </c>
      <c r="O378" s="3"/>
      <c r="P378" s="3">
        <v>0</v>
      </c>
      <c r="Q378" s="3">
        <v>0</v>
      </c>
      <c r="R378" s="3">
        <v>0</v>
      </c>
      <c r="S378" s="3">
        <v>0</v>
      </c>
      <c r="T378" s="3">
        <v>0</v>
      </c>
      <c r="U378" s="3"/>
      <c r="V378" s="3"/>
      <c r="W378" s="3"/>
      <c r="X378" s="3"/>
      <c r="Y378" s="3"/>
      <c r="Z378" s="3"/>
      <c r="AA378" s="3"/>
      <c r="AB378" s="3"/>
      <c r="AC378" s="3"/>
      <c r="AD378" s="3"/>
      <c r="AE378" s="3">
        <v>0</v>
      </c>
      <c r="AF378" s="3">
        <v>0</v>
      </c>
      <c r="AG378" s="3"/>
      <c r="AH378" s="40"/>
      <c r="AI378" s="40"/>
      <c r="AJ378" s="40"/>
      <c r="AK378" s="40"/>
      <c r="AL378" s="40"/>
      <c r="AM378" s="40"/>
      <c r="AN378" s="40"/>
      <c r="AO378" s="40"/>
      <c r="AP378" s="40"/>
      <c r="AQ378" s="40"/>
      <c r="AR378" s="31"/>
      <c r="AS378" s="36">
        <v>0</v>
      </c>
      <c r="AY378" s="6"/>
      <c r="AZ378" s="2"/>
      <c r="BA378" s="2"/>
      <c r="BB378" s="2"/>
      <c r="BC378">
        <v>71500</v>
      </c>
      <c r="BD378">
        <v>56992</v>
      </c>
    </row>
    <row r="379" spans="3:56" x14ac:dyDescent="0.25">
      <c r="C379" s="1">
        <v>45999</v>
      </c>
      <c r="D379" s="36">
        <v>235895.33709677399</v>
      </c>
      <c r="E379" s="33">
        <v>4.1709677419354803</v>
      </c>
      <c r="F379" s="33">
        <v>3.4189422580645199</v>
      </c>
      <c r="G379" s="2">
        <v>0.81969999999999998</v>
      </c>
      <c r="H379" s="2">
        <v>0.99</v>
      </c>
      <c r="I379" s="3"/>
      <c r="J379" s="3"/>
      <c r="K379" s="3"/>
      <c r="L379" s="3"/>
      <c r="M379" s="3"/>
      <c r="N379" s="3">
        <v>0</v>
      </c>
      <c r="O379" s="3"/>
      <c r="P379" s="3">
        <v>0</v>
      </c>
      <c r="Q379" s="3">
        <v>0</v>
      </c>
      <c r="R379" s="3">
        <v>0</v>
      </c>
      <c r="S379" s="3">
        <v>0</v>
      </c>
      <c r="T379" s="3">
        <v>0</v>
      </c>
      <c r="U379" s="3"/>
      <c r="V379" s="3"/>
      <c r="W379" s="3"/>
      <c r="X379" s="3"/>
      <c r="Y379" s="3"/>
      <c r="Z379" s="3"/>
      <c r="AA379" s="3"/>
      <c r="AB379" s="3"/>
      <c r="AC379" s="3"/>
      <c r="AD379" s="3"/>
      <c r="AE379" s="3">
        <v>0</v>
      </c>
      <c r="AF379" s="3">
        <v>0</v>
      </c>
      <c r="AG379" s="3"/>
      <c r="AH379" s="40"/>
      <c r="AI379" s="40"/>
      <c r="AJ379" s="40"/>
      <c r="AK379" s="40"/>
      <c r="AL379" s="40"/>
      <c r="AM379" s="40"/>
      <c r="AN379" s="40"/>
      <c r="AO379" s="40"/>
      <c r="AP379" s="40"/>
      <c r="AQ379" s="40"/>
      <c r="AR379" s="31"/>
      <c r="AS379" s="36">
        <v>0</v>
      </c>
      <c r="AY379" s="6"/>
      <c r="AZ379" s="2"/>
      <c r="BA379" s="2"/>
      <c r="BB379" s="2"/>
      <c r="BC379">
        <v>71500</v>
      </c>
      <c r="BD379">
        <v>56992</v>
      </c>
    </row>
    <row r="380" spans="3:56" x14ac:dyDescent="0.25">
      <c r="C380" s="1">
        <v>46000</v>
      </c>
      <c r="D380" s="36">
        <v>235895.33709677399</v>
      </c>
      <c r="E380" s="33">
        <v>4.1709677419354803</v>
      </c>
      <c r="F380" s="33">
        <v>3.4189422580645199</v>
      </c>
      <c r="G380" s="2">
        <v>0.81969999999999998</v>
      </c>
      <c r="H380" s="2">
        <v>0.99</v>
      </c>
      <c r="I380" s="3"/>
      <c r="J380" s="3"/>
      <c r="K380" s="3"/>
      <c r="L380" s="3"/>
      <c r="M380" s="3"/>
      <c r="N380" s="3">
        <v>0</v>
      </c>
      <c r="O380" s="3"/>
      <c r="P380" s="3">
        <v>0</v>
      </c>
      <c r="Q380" s="3">
        <v>0</v>
      </c>
      <c r="R380" s="3">
        <v>0</v>
      </c>
      <c r="S380" s="3">
        <v>0</v>
      </c>
      <c r="T380" s="3">
        <v>0</v>
      </c>
      <c r="U380" s="3"/>
      <c r="V380" s="3"/>
      <c r="W380" s="3"/>
      <c r="X380" s="3"/>
      <c r="Y380" s="3"/>
      <c r="Z380" s="3"/>
      <c r="AA380" s="3"/>
      <c r="AB380" s="3"/>
      <c r="AC380" s="3"/>
      <c r="AD380" s="3"/>
      <c r="AE380" s="3">
        <v>0</v>
      </c>
      <c r="AF380" s="3">
        <v>0</v>
      </c>
      <c r="AG380" s="3"/>
      <c r="AH380" s="40"/>
      <c r="AI380" s="40"/>
      <c r="AJ380" s="40"/>
      <c r="AK380" s="40"/>
      <c r="AL380" s="40"/>
      <c r="AM380" s="40"/>
      <c r="AN380" s="40"/>
      <c r="AO380" s="40"/>
      <c r="AP380" s="40"/>
      <c r="AQ380" s="40"/>
      <c r="AR380" s="31"/>
      <c r="AS380" s="36">
        <v>0</v>
      </c>
      <c r="AY380" s="6"/>
      <c r="AZ380" s="2"/>
      <c r="BA380" s="2"/>
      <c r="BB380" s="2"/>
      <c r="BC380">
        <v>71500</v>
      </c>
      <c r="BD380">
        <v>56992</v>
      </c>
    </row>
    <row r="381" spans="3:56" x14ac:dyDescent="0.25">
      <c r="C381" s="1">
        <v>46001</v>
      </c>
      <c r="D381" s="36">
        <v>235895.33709677399</v>
      </c>
      <c r="E381" s="33">
        <v>4.1709677419354803</v>
      </c>
      <c r="F381" s="33">
        <v>3.4189422580645199</v>
      </c>
      <c r="G381" s="2">
        <v>0.81969999999999998</v>
      </c>
      <c r="H381" s="2">
        <v>0.99</v>
      </c>
      <c r="I381" s="3"/>
      <c r="J381" s="3"/>
      <c r="K381" s="3"/>
      <c r="L381" s="3"/>
      <c r="M381" s="3"/>
      <c r="N381" s="3">
        <v>0</v>
      </c>
      <c r="O381" s="3"/>
      <c r="P381" s="3">
        <v>0</v>
      </c>
      <c r="Q381" s="3">
        <v>0</v>
      </c>
      <c r="R381" s="3">
        <v>0</v>
      </c>
      <c r="S381" s="3">
        <v>0</v>
      </c>
      <c r="T381" s="3">
        <v>0</v>
      </c>
      <c r="U381" s="3"/>
      <c r="V381" s="3"/>
      <c r="W381" s="3"/>
      <c r="X381" s="3"/>
      <c r="Y381" s="3"/>
      <c r="Z381" s="3"/>
      <c r="AA381" s="3"/>
      <c r="AB381" s="3"/>
      <c r="AC381" s="3"/>
      <c r="AD381" s="3"/>
      <c r="AE381" s="3">
        <v>0</v>
      </c>
      <c r="AF381" s="3">
        <v>0</v>
      </c>
      <c r="AG381" s="3"/>
      <c r="AH381" s="40"/>
      <c r="AI381" s="40"/>
      <c r="AJ381" s="40"/>
      <c r="AK381" s="40"/>
      <c r="AL381" s="40"/>
      <c r="AM381" s="40"/>
      <c r="AN381" s="40"/>
      <c r="AO381" s="40"/>
      <c r="AP381" s="40"/>
      <c r="AQ381" s="40"/>
      <c r="AR381" s="31"/>
      <c r="AS381" s="36">
        <v>0</v>
      </c>
      <c r="AY381" s="6"/>
      <c r="AZ381" s="2"/>
      <c r="BA381" s="2"/>
      <c r="BB381" s="2"/>
      <c r="BC381">
        <v>71500</v>
      </c>
      <c r="BD381">
        <v>56992</v>
      </c>
    </row>
    <row r="382" spans="3:56" x14ac:dyDescent="0.25">
      <c r="C382" s="1">
        <v>46002</v>
      </c>
      <c r="D382" s="36">
        <v>235895.33709677399</v>
      </c>
      <c r="E382" s="33">
        <v>4.1709677419354803</v>
      </c>
      <c r="F382" s="33">
        <v>3.4189422580645199</v>
      </c>
      <c r="G382" s="2">
        <v>0.81969999999999998</v>
      </c>
      <c r="H382" s="2">
        <v>0.99</v>
      </c>
      <c r="I382" s="3"/>
      <c r="J382" s="3"/>
      <c r="K382" s="3"/>
      <c r="L382" s="3"/>
      <c r="M382" s="3"/>
      <c r="N382" s="3">
        <v>0</v>
      </c>
      <c r="O382" s="3"/>
      <c r="P382" s="3">
        <v>0</v>
      </c>
      <c r="Q382" s="3">
        <v>0</v>
      </c>
      <c r="R382" s="3">
        <v>0</v>
      </c>
      <c r="S382" s="3">
        <v>0</v>
      </c>
      <c r="T382" s="3">
        <v>0</v>
      </c>
      <c r="U382" s="3"/>
      <c r="V382" s="3"/>
      <c r="W382" s="3"/>
      <c r="X382" s="3"/>
      <c r="Y382" s="3"/>
      <c r="Z382" s="3"/>
      <c r="AA382" s="3"/>
      <c r="AB382" s="3"/>
      <c r="AC382" s="3"/>
      <c r="AD382" s="3"/>
      <c r="AE382" s="3">
        <v>0</v>
      </c>
      <c r="AF382" s="3">
        <v>0</v>
      </c>
      <c r="AG382" s="3"/>
      <c r="AH382" s="40"/>
      <c r="AI382" s="40"/>
      <c r="AJ382" s="40"/>
      <c r="AK382" s="40"/>
      <c r="AL382" s="40"/>
      <c r="AM382" s="40"/>
      <c r="AN382" s="40"/>
      <c r="AO382" s="40"/>
      <c r="AP382" s="40"/>
      <c r="AQ382" s="40"/>
      <c r="AR382" s="31"/>
      <c r="AS382" s="36">
        <v>0</v>
      </c>
      <c r="AY382" s="6"/>
      <c r="AZ382" s="2"/>
      <c r="BA382" s="2"/>
      <c r="BB382" s="2"/>
      <c r="BC382">
        <v>71500</v>
      </c>
      <c r="BD382">
        <v>56992</v>
      </c>
    </row>
    <row r="383" spans="3:56" x14ac:dyDescent="0.25">
      <c r="C383" s="1">
        <v>46003</v>
      </c>
      <c r="D383" s="36">
        <v>235895.33709677399</v>
      </c>
      <c r="E383" s="33">
        <v>4.1709677419354803</v>
      </c>
      <c r="F383" s="33">
        <v>3.4189422580645199</v>
      </c>
      <c r="G383" s="2">
        <v>0.81969999999999998</v>
      </c>
      <c r="H383" s="2">
        <v>0.99</v>
      </c>
      <c r="I383" s="3"/>
      <c r="J383" s="3"/>
      <c r="K383" s="3"/>
      <c r="L383" s="3"/>
      <c r="M383" s="3"/>
      <c r="N383" s="3">
        <v>0</v>
      </c>
      <c r="O383" s="3"/>
      <c r="P383" s="3">
        <v>0</v>
      </c>
      <c r="Q383" s="3">
        <v>0</v>
      </c>
      <c r="R383" s="3">
        <v>0</v>
      </c>
      <c r="S383" s="3">
        <v>0</v>
      </c>
      <c r="T383" s="3">
        <v>0</v>
      </c>
      <c r="U383" s="3"/>
      <c r="V383" s="3"/>
      <c r="W383" s="3"/>
      <c r="X383" s="3"/>
      <c r="Y383" s="3"/>
      <c r="Z383" s="3"/>
      <c r="AA383" s="3"/>
      <c r="AB383" s="3"/>
      <c r="AC383" s="3"/>
      <c r="AD383" s="3"/>
      <c r="AE383" s="3">
        <v>0</v>
      </c>
      <c r="AF383" s="3">
        <v>0</v>
      </c>
      <c r="AG383" s="3"/>
      <c r="AH383" s="40"/>
      <c r="AI383" s="40"/>
      <c r="AJ383" s="40"/>
      <c r="AK383" s="40"/>
      <c r="AL383" s="40"/>
      <c r="AM383" s="40"/>
      <c r="AN383" s="40"/>
      <c r="AO383" s="40"/>
      <c r="AP383" s="40"/>
      <c r="AQ383" s="40"/>
      <c r="AR383" s="31"/>
      <c r="AS383" s="36">
        <v>0</v>
      </c>
      <c r="AY383" s="6"/>
      <c r="AZ383" s="2"/>
      <c r="BA383" s="2"/>
      <c r="BB383" s="2"/>
      <c r="BC383">
        <v>71500</v>
      </c>
      <c r="BD383">
        <v>56992</v>
      </c>
    </row>
    <row r="384" spans="3:56" x14ac:dyDescent="0.25">
      <c r="C384" s="1">
        <v>46004</v>
      </c>
      <c r="D384" s="36">
        <v>235895.33709677399</v>
      </c>
      <c r="E384" s="33">
        <v>4.1709677419354803</v>
      </c>
      <c r="F384" s="33">
        <v>3.4189422580645199</v>
      </c>
      <c r="G384" s="2">
        <v>0.81969999999999998</v>
      </c>
      <c r="H384" s="2">
        <v>0.99</v>
      </c>
      <c r="I384" s="3"/>
      <c r="J384" s="3"/>
      <c r="K384" s="3"/>
      <c r="L384" s="3"/>
      <c r="M384" s="3"/>
      <c r="N384" s="3">
        <v>0</v>
      </c>
      <c r="O384" s="3"/>
      <c r="P384" s="3">
        <v>0</v>
      </c>
      <c r="Q384" s="3">
        <v>0</v>
      </c>
      <c r="R384" s="3">
        <v>0</v>
      </c>
      <c r="S384" s="3">
        <v>0</v>
      </c>
      <c r="T384" s="3">
        <v>0</v>
      </c>
      <c r="U384" s="3"/>
      <c r="V384" s="3"/>
      <c r="W384" s="3"/>
      <c r="X384" s="3"/>
      <c r="Y384" s="3"/>
      <c r="Z384" s="3"/>
      <c r="AA384" s="3"/>
      <c r="AB384" s="3"/>
      <c r="AC384" s="3"/>
      <c r="AD384" s="3"/>
      <c r="AE384" s="3">
        <v>0</v>
      </c>
      <c r="AF384" s="3">
        <v>0</v>
      </c>
      <c r="AG384" s="3"/>
      <c r="AH384" s="40"/>
      <c r="AI384" s="40"/>
      <c r="AJ384" s="40"/>
      <c r="AK384" s="40"/>
      <c r="AL384" s="40"/>
      <c r="AM384" s="40"/>
      <c r="AN384" s="40"/>
      <c r="AO384" s="40"/>
      <c r="AP384" s="40"/>
      <c r="AQ384" s="40"/>
      <c r="AR384" s="31"/>
      <c r="AS384" s="36">
        <v>0</v>
      </c>
      <c r="AY384" s="6"/>
      <c r="AZ384" s="2"/>
      <c r="BA384" s="2"/>
      <c r="BB384" s="2"/>
      <c r="BC384">
        <v>71500</v>
      </c>
      <c r="BD384">
        <v>56992</v>
      </c>
    </row>
    <row r="385" spans="3:56" x14ac:dyDescent="0.25">
      <c r="C385" s="1">
        <v>46005</v>
      </c>
      <c r="D385" s="36">
        <v>235895.33709677399</v>
      </c>
      <c r="E385" s="33">
        <v>4.1709677419354803</v>
      </c>
      <c r="F385" s="33">
        <v>3.4189422580645199</v>
      </c>
      <c r="G385" s="2">
        <v>0.81969999999999998</v>
      </c>
      <c r="H385" s="2">
        <v>0.99</v>
      </c>
      <c r="I385" s="3"/>
      <c r="J385" s="3"/>
      <c r="K385" s="3"/>
      <c r="L385" s="3"/>
      <c r="M385" s="3"/>
      <c r="N385" s="3">
        <v>0</v>
      </c>
      <c r="O385" s="3"/>
      <c r="P385" s="3">
        <v>0</v>
      </c>
      <c r="Q385" s="3">
        <v>0</v>
      </c>
      <c r="R385" s="3">
        <v>0</v>
      </c>
      <c r="S385" s="3">
        <v>0</v>
      </c>
      <c r="T385" s="3">
        <v>0</v>
      </c>
      <c r="U385" s="3"/>
      <c r="V385" s="3"/>
      <c r="W385" s="3"/>
      <c r="X385" s="3"/>
      <c r="Y385" s="3"/>
      <c r="Z385" s="3"/>
      <c r="AA385" s="3"/>
      <c r="AB385" s="3"/>
      <c r="AC385" s="3"/>
      <c r="AD385" s="3"/>
      <c r="AE385" s="3">
        <v>0</v>
      </c>
      <c r="AF385" s="3">
        <v>0</v>
      </c>
      <c r="AG385" s="3"/>
      <c r="AH385" s="40"/>
      <c r="AI385" s="40"/>
      <c r="AJ385" s="40"/>
      <c r="AK385" s="40"/>
      <c r="AL385" s="40"/>
      <c r="AM385" s="40"/>
      <c r="AN385" s="40"/>
      <c r="AO385" s="40"/>
      <c r="AP385" s="40"/>
      <c r="AQ385" s="40"/>
      <c r="AR385" s="31"/>
      <c r="AS385" s="36">
        <v>0</v>
      </c>
      <c r="AY385" s="6"/>
      <c r="AZ385" s="2"/>
      <c r="BA385" s="2"/>
      <c r="BB385" s="2"/>
      <c r="BC385">
        <v>71500</v>
      </c>
      <c r="BD385">
        <v>56992</v>
      </c>
    </row>
    <row r="386" spans="3:56" x14ac:dyDescent="0.25">
      <c r="C386" s="1">
        <v>46006</v>
      </c>
      <c r="D386" s="36">
        <v>235895.33709677399</v>
      </c>
      <c r="E386" s="33">
        <v>4.1709677419354803</v>
      </c>
      <c r="F386" s="33">
        <v>3.4189422580645199</v>
      </c>
      <c r="G386" s="2">
        <v>0.81969999999999998</v>
      </c>
      <c r="H386" s="2">
        <v>0.99</v>
      </c>
      <c r="I386" s="3"/>
      <c r="J386" s="3"/>
      <c r="K386" s="3"/>
      <c r="L386" s="3"/>
      <c r="M386" s="3"/>
      <c r="N386" s="3">
        <v>0</v>
      </c>
      <c r="O386" s="3"/>
      <c r="P386" s="3">
        <v>0</v>
      </c>
      <c r="Q386" s="3">
        <v>0</v>
      </c>
      <c r="R386" s="3">
        <v>0</v>
      </c>
      <c r="S386" s="3">
        <v>0</v>
      </c>
      <c r="T386" s="3">
        <v>0</v>
      </c>
      <c r="U386" s="3"/>
      <c r="V386" s="3"/>
      <c r="W386" s="3"/>
      <c r="X386" s="3"/>
      <c r="Y386" s="3"/>
      <c r="Z386" s="3"/>
      <c r="AA386" s="3"/>
      <c r="AB386" s="3"/>
      <c r="AC386" s="3"/>
      <c r="AD386" s="3"/>
      <c r="AE386" s="3">
        <v>0</v>
      </c>
      <c r="AF386" s="3">
        <v>0</v>
      </c>
      <c r="AG386" s="3"/>
      <c r="AH386" s="40"/>
      <c r="AI386" s="40"/>
      <c r="AJ386" s="40"/>
      <c r="AK386" s="40"/>
      <c r="AL386" s="40"/>
      <c r="AM386" s="40"/>
      <c r="AN386" s="40"/>
      <c r="AO386" s="40"/>
      <c r="AP386" s="40"/>
      <c r="AQ386" s="40"/>
      <c r="AR386" s="31"/>
      <c r="AS386" s="36">
        <v>0</v>
      </c>
      <c r="AY386" s="6"/>
      <c r="AZ386" s="2"/>
      <c r="BA386" s="2"/>
      <c r="BB386" s="2"/>
      <c r="BC386">
        <v>71500</v>
      </c>
      <c r="BD386">
        <v>56992</v>
      </c>
    </row>
    <row r="387" spans="3:56" x14ac:dyDescent="0.25">
      <c r="C387" s="1">
        <v>46007</v>
      </c>
      <c r="D387" s="36">
        <v>235895.33709677399</v>
      </c>
      <c r="E387" s="33">
        <v>4.1709677419354803</v>
      </c>
      <c r="F387" s="33">
        <v>3.4189422580645199</v>
      </c>
      <c r="G387" s="2">
        <v>0.81969999999999998</v>
      </c>
      <c r="H387" s="2">
        <v>0.99</v>
      </c>
      <c r="I387" s="3"/>
      <c r="J387" s="3"/>
      <c r="K387" s="3"/>
      <c r="L387" s="3"/>
      <c r="M387" s="3"/>
      <c r="N387" s="3">
        <v>0</v>
      </c>
      <c r="O387" s="3"/>
      <c r="P387" s="3">
        <v>0</v>
      </c>
      <c r="Q387" s="3">
        <v>0</v>
      </c>
      <c r="R387" s="3">
        <v>0</v>
      </c>
      <c r="S387" s="3">
        <v>0</v>
      </c>
      <c r="T387" s="3">
        <v>0</v>
      </c>
      <c r="U387" s="3"/>
      <c r="V387" s="3"/>
      <c r="W387" s="3"/>
      <c r="X387" s="3"/>
      <c r="Y387" s="3"/>
      <c r="Z387" s="3"/>
      <c r="AA387" s="3"/>
      <c r="AB387" s="3"/>
      <c r="AC387" s="3"/>
      <c r="AD387" s="3"/>
      <c r="AE387" s="3">
        <v>0</v>
      </c>
      <c r="AF387" s="3">
        <v>0</v>
      </c>
      <c r="AG387" s="3"/>
      <c r="AH387" s="40"/>
      <c r="AI387" s="40"/>
      <c r="AJ387" s="40"/>
      <c r="AK387" s="40"/>
      <c r="AL387" s="40"/>
      <c r="AM387" s="40"/>
      <c r="AN387" s="40"/>
      <c r="AO387" s="40"/>
      <c r="AP387" s="40"/>
      <c r="AQ387" s="40"/>
      <c r="AR387" s="31"/>
      <c r="AS387" s="36">
        <v>0</v>
      </c>
      <c r="AY387" s="6"/>
      <c r="AZ387" s="2"/>
      <c r="BA387" s="2"/>
      <c r="BB387" s="2"/>
      <c r="BC387">
        <v>71500</v>
      </c>
      <c r="BD387">
        <v>56992</v>
      </c>
    </row>
    <row r="388" spans="3:56" x14ac:dyDescent="0.25">
      <c r="C388" s="1">
        <v>46008</v>
      </c>
      <c r="D388" s="36">
        <v>235895.33709677399</v>
      </c>
      <c r="E388" s="33">
        <v>4.1709677419354803</v>
      </c>
      <c r="F388" s="33">
        <v>3.4189422580645199</v>
      </c>
      <c r="G388" s="2">
        <v>0.81969999999999998</v>
      </c>
      <c r="H388" s="2">
        <v>0.99</v>
      </c>
      <c r="I388" s="3"/>
      <c r="J388" s="3"/>
      <c r="K388" s="3"/>
      <c r="L388" s="3"/>
      <c r="M388" s="3"/>
      <c r="N388" s="3">
        <v>0</v>
      </c>
      <c r="O388" s="3"/>
      <c r="P388" s="3">
        <v>0</v>
      </c>
      <c r="Q388" s="3">
        <v>0</v>
      </c>
      <c r="R388" s="3">
        <v>0</v>
      </c>
      <c r="S388" s="3">
        <v>0</v>
      </c>
      <c r="T388" s="3">
        <v>0</v>
      </c>
      <c r="U388" s="3"/>
      <c r="V388" s="3"/>
      <c r="W388" s="3"/>
      <c r="X388" s="3"/>
      <c r="Y388" s="3"/>
      <c r="Z388" s="3"/>
      <c r="AA388" s="3"/>
      <c r="AB388" s="3"/>
      <c r="AC388" s="3"/>
      <c r="AD388" s="3"/>
      <c r="AE388" s="3">
        <v>0</v>
      </c>
      <c r="AF388" s="3">
        <v>0</v>
      </c>
      <c r="AG388" s="3"/>
      <c r="AH388" s="40"/>
      <c r="AI388" s="40"/>
      <c r="AJ388" s="40"/>
      <c r="AK388" s="40"/>
      <c r="AL388" s="40"/>
      <c r="AM388" s="40"/>
      <c r="AN388" s="40"/>
      <c r="AO388" s="40"/>
      <c r="AP388" s="40"/>
      <c r="AQ388" s="40"/>
      <c r="AR388" s="31"/>
      <c r="AS388" s="36">
        <v>0</v>
      </c>
      <c r="AY388" s="6"/>
      <c r="AZ388" s="2"/>
      <c r="BA388" s="2"/>
      <c r="BB388" s="2"/>
      <c r="BC388">
        <v>71500</v>
      </c>
      <c r="BD388">
        <v>56992</v>
      </c>
    </row>
    <row r="389" spans="3:56" x14ac:dyDescent="0.25">
      <c r="C389" s="1">
        <v>46009</v>
      </c>
      <c r="D389" s="36">
        <v>235895.33709677399</v>
      </c>
      <c r="E389" s="33">
        <v>4.1709677419354803</v>
      </c>
      <c r="F389" s="33">
        <v>3.4189422580645199</v>
      </c>
      <c r="G389" s="2">
        <v>0.81969999999999998</v>
      </c>
      <c r="H389" s="2">
        <v>0.99</v>
      </c>
      <c r="I389" s="3"/>
      <c r="J389" s="3"/>
      <c r="K389" s="3"/>
      <c r="L389" s="3"/>
      <c r="M389" s="3"/>
      <c r="N389" s="3">
        <v>0</v>
      </c>
      <c r="O389" s="3"/>
      <c r="P389" s="3">
        <v>0</v>
      </c>
      <c r="Q389" s="3">
        <v>0</v>
      </c>
      <c r="R389" s="3">
        <v>0</v>
      </c>
      <c r="S389" s="3">
        <v>0</v>
      </c>
      <c r="T389" s="3">
        <v>0</v>
      </c>
      <c r="U389" s="3"/>
      <c r="V389" s="3"/>
      <c r="W389" s="3"/>
      <c r="X389" s="3"/>
      <c r="Y389" s="3"/>
      <c r="Z389" s="3"/>
      <c r="AA389" s="3"/>
      <c r="AB389" s="3"/>
      <c r="AC389" s="3"/>
      <c r="AD389" s="3"/>
      <c r="AE389" s="3">
        <v>0</v>
      </c>
      <c r="AF389" s="3">
        <v>0</v>
      </c>
      <c r="AG389" s="3"/>
      <c r="AH389" s="40"/>
      <c r="AI389" s="40"/>
      <c r="AJ389" s="40"/>
      <c r="AK389" s="40"/>
      <c r="AL389" s="40"/>
      <c r="AM389" s="40"/>
      <c r="AN389" s="40"/>
      <c r="AO389" s="40"/>
      <c r="AP389" s="40"/>
      <c r="AQ389" s="40"/>
      <c r="AR389" s="31"/>
      <c r="AS389" s="36">
        <v>0</v>
      </c>
      <c r="AY389" s="6"/>
      <c r="AZ389" s="2"/>
      <c r="BA389" s="2"/>
      <c r="BB389" s="2"/>
      <c r="BC389">
        <v>71500</v>
      </c>
      <c r="BD389">
        <v>56992</v>
      </c>
    </row>
    <row r="390" spans="3:56" x14ac:dyDescent="0.25">
      <c r="C390" s="1">
        <v>46010</v>
      </c>
      <c r="D390" s="36">
        <v>235895.33709677399</v>
      </c>
      <c r="E390" s="33">
        <v>4.1709677419354803</v>
      </c>
      <c r="F390" s="33">
        <v>3.4189422580645199</v>
      </c>
      <c r="G390" s="2">
        <v>0.81969999999999998</v>
      </c>
      <c r="H390" s="2">
        <v>0.99</v>
      </c>
      <c r="I390" s="3"/>
      <c r="J390" s="3"/>
      <c r="K390" s="3"/>
      <c r="L390" s="3"/>
      <c r="M390" s="3"/>
      <c r="N390" s="3">
        <v>0</v>
      </c>
      <c r="O390" s="3"/>
      <c r="P390" s="3">
        <v>0</v>
      </c>
      <c r="Q390" s="3">
        <v>0</v>
      </c>
      <c r="R390" s="3">
        <v>0</v>
      </c>
      <c r="S390" s="3">
        <v>0</v>
      </c>
      <c r="T390" s="3">
        <v>0</v>
      </c>
      <c r="U390" s="3"/>
      <c r="V390" s="3"/>
      <c r="W390" s="3"/>
      <c r="X390" s="3"/>
      <c r="Y390" s="3"/>
      <c r="Z390" s="3"/>
      <c r="AA390" s="3"/>
      <c r="AB390" s="3"/>
      <c r="AC390" s="3"/>
      <c r="AD390" s="3"/>
      <c r="AE390" s="3">
        <v>0</v>
      </c>
      <c r="AF390" s="3">
        <v>0</v>
      </c>
      <c r="AG390" s="3"/>
      <c r="AH390" s="40"/>
      <c r="AI390" s="40"/>
      <c r="AJ390" s="40"/>
      <c r="AK390" s="40"/>
      <c r="AL390" s="40"/>
      <c r="AM390" s="40"/>
      <c r="AN390" s="40"/>
      <c r="AO390" s="40"/>
      <c r="AP390" s="40"/>
      <c r="AQ390" s="40"/>
      <c r="AR390" s="31"/>
      <c r="AS390" s="36">
        <v>0</v>
      </c>
      <c r="AY390" s="6"/>
      <c r="AZ390" s="2"/>
      <c r="BA390" s="2"/>
      <c r="BB390" s="2"/>
      <c r="BC390">
        <v>71500</v>
      </c>
      <c r="BD390">
        <v>56992</v>
      </c>
    </row>
    <row r="391" spans="3:56" x14ac:dyDescent="0.25">
      <c r="C391" s="1">
        <v>46011</v>
      </c>
      <c r="D391" s="36">
        <v>235895.33709677399</v>
      </c>
      <c r="E391" s="33">
        <v>4.1709677419354803</v>
      </c>
      <c r="F391" s="33">
        <v>3.4189422580645199</v>
      </c>
      <c r="G391" s="2">
        <v>0.81969999999999998</v>
      </c>
      <c r="H391" s="2">
        <v>0.99</v>
      </c>
      <c r="I391" s="3"/>
      <c r="J391" s="3"/>
      <c r="K391" s="3"/>
      <c r="L391" s="3"/>
      <c r="M391" s="3"/>
      <c r="N391" s="3">
        <v>0</v>
      </c>
      <c r="O391" s="3"/>
      <c r="P391" s="3">
        <v>0</v>
      </c>
      <c r="Q391" s="3">
        <v>0</v>
      </c>
      <c r="R391" s="3">
        <v>0</v>
      </c>
      <c r="S391" s="3">
        <v>0</v>
      </c>
      <c r="T391" s="3">
        <v>0</v>
      </c>
      <c r="U391" s="3"/>
      <c r="V391" s="3"/>
      <c r="W391" s="3"/>
      <c r="X391" s="3"/>
      <c r="Y391" s="3"/>
      <c r="Z391" s="3"/>
      <c r="AA391" s="3"/>
      <c r="AB391" s="3"/>
      <c r="AC391" s="3"/>
      <c r="AD391" s="3"/>
      <c r="AE391" s="3">
        <v>0</v>
      </c>
      <c r="AF391" s="3">
        <v>0</v>
      </c>
      <c r="AG391" s="3"/>
      <c r="AH391" s="40"/>
      <c r="AI391" s="40"/>
      <c r="AJ391" s="40"/>
      <c r="AK391" s="40"/>
      <c r="AL391" s="40"/>
      <c r="AM391" s="40"/>
      <c r="AN391" s="40"/>
      <c r="AO391" s="40"/>
      <c r="AP391" s="40"/>
      <c r="AQ391" s="40"/>
      <c r="AR391" s="31"/>
      <c r="AS391" s="36">
        <v>0</v>
      </c>
      <c r="AY391" s="6"/>
      <c r="AZ391" s="2"/>
      <c r="BA391" s="2"/>
      <c r="BB391" s="2"/>
      <c r="BC391">
        <v>71500</v>
      </c>
      <c r="BD391">
        <v>56992</v>
      </c>
    </row>
    <row r="392" spans="3:56" x14ac:dyDescent="0.25">
      <c r="C392" s="1">
        <v>46012</v>
      </c>
      <c r="D392" s="36">
        <v>235895.33709677399</v>
      </c>
      <c r="E392" s="33">
        <v>4.1709677419354803</v>
      </c>
      <c r="F392" s="33">
        <v>3.4189422580645199</v>
      </c>
      <c r="G392" s="2">
        <v>0.81969999999999998</v>
      </c>
      <c r="H392" s="2">
        <v>0.99</v>
      </c>
      <c r="I392" s="3"/>
      <c r="J392" s="3"/>
      <c r="K392" s="3"/>
      <c r="L392" s="3"/>
      <c r="M392" s="3"/>
      <c r="N392" s="3">
        <v>0</v>
      </c>
      <c r="O392" s="3"/>
      <c r="P392" s="3">
        <v>0</v>
      </c>
      <c r="Q392" s="3">
        <v>0</v>
      </c>
      <c r="R392" s="3">
        <v>0</v>
      </c>
      <c r="S392" s="3">
        <v>0</v>
      </c>
      <c r="T392" s="3">
        <v>0</v>
      </c>
      <c r="U392" s="3"/>
      <c r="V392" s="3"/>
      <c r="W392" s="3"/>
      <c r="X392" s="3"/>
      <c r="Y392" s="3"/>
      <c r="Z392" s="3"/>
      <c r="AA392" s="3"/>
      <c r="AB392" s="3"/>
      <c r="AC392" s="3"/>
      <c r="AD392" s="3"/>
      <c r="AE392" s="3">
        <v>0</v>
      </c>
      <c r="AF392" s="3">
        <v>0</v>
      </c>
      <c r="AG392" s="3"/>
      <c r="AH392" s="40"/>
      <c r="AI392" s="40"/>
      <c r="AJ392" s="40"/>
      <c r="AK392" s="40"/>
      <c r="AL392" s="40"/>
      <c r="AM392" s="40"/>
      <c r="AN392" s="40"/>
      <c r="AO392" s="40"/>
      <c r="AP392" s="40"/>
      <c r="AQ392" s="40"/>
      <c r="AR392" s="31"/>
      <c r="AS392" s="36">
        <v>0</v>
      </c>
      <c r="AY392" s="6"/>
      <c r="AZ392" s="2"/>
      <c r="BA392" s="2"/>
      <c r="BB392" s="2"/>
      <c r="BC392">
        <v>71500</v>
      </c>
      <c r="BD392">
        <v>56992</v>
      </c>
    </row>
    <row r="393" spans="3:56" x14ac:dyDescent="0.25">
      <c r="C393" s="1">
        <v>46013</v>
      </c>
      <c r="D393" s="36">
        <v>235895.33709677399</v>
      </c>
      <c r="E393" s="33">
        <v>4.1709677419354803</v>
      </c>
      <c r="F393" s="33">
        <v>3.4189422580645199</v>
      </c>
      <c r="G393" s="2">
        <v>0.81969999999999998</v>
      </c>
      <c r="H393" s="2">
        <v>0.99</v>
      </c>
      <c r="I393" s="3"/>
      <c r="J393" s="3"/>
      <c r="K393" s="3"/>
      <c r="L393" s="3"/>
      <c r="M393" s="3"/>
      <c r="N393" s="3">
        <v>0</v>
      </c>
      <c r="O393" s="3"/>
      <c r="P393" s="3">
        <v>0</v>
      </c>
      <c r="Q393" s="3">
        <v>0</v>
      </c>
      <c r="R393" s="3">
        <v>0</v>
      </c>
      <c r="S393" s="3">
        <v>0</v>
      </c>
      <c r="T393" s="3">
        <v>0</v>
      </c>
      <c r="U393" s="3"/>
      <c r="V393" s="3"/>
      <c r="W393" s="3"/>
      <c r="X393" s="3"/>
      <c r="Y393" s="3"/>
      <c r="Z393" s="3"/>
      <c r="AA393" s="3"/>
      <c r="AB393" s="3"/>
      <c r="AC393" s="3"/>
      <c r="AD393" s="3"/>
      <c r="AE393" s="3">
        <v>0</v>
      </c>
      <c r="AF393" s="3">
        <v>0</v>
      </c>
      <c r="AG393" s="3"/>
      <c r="AH393" s="40"/>
      <c r="AI393" s="40"/>
      <c r="AJ393" s="40"/>
      <c r="AK393" s="40"/>
      <c r="AL393" s="40"/>
      <c r="AM393" s="40"/>
      <c r="AN393" s="40"/>
      <c r="AO393" s="40"/>
      <c r="AP393" s="40"/>
      <c r="AQ393" s="40"/>
      <c r="AR393" s="31"/>
      <c r="AS393" s="36">
        <v>0</v>
      </c>
      <c r="AY393" s="6"/>
      <c r="AZ393" s="2"/>
      <c r="BA393" s="2"/>
      <c r="BB393" s="2"/>
      <c r="BC393">
        <v>71500</v>
      </c>
      <c r="BD393">
        <v>56992</v>
      </c>
    </row>
    <row r="394" spans="3:56" x14ac:dyDescent="0.25">
      <c r="C394" s="1">
        <v>46014</v>
      </c>
      <c r="D394" s="36">
        <v>235895.33709677399</v>
      </c>
      <c r="E394" s="33">
        <v>4.1709677419354803</v>
      </c>
      <c r="F394" s="33">
        <v>3.4189422580645199</v>
      </c>
      <c r="G394" s="2">
        <v>0.81969999999999998</v>
      </c>
      <c r="H394" s="2">
        <v>0.99</v>
      </c>
      <c r="I394" s="3"/>
      <c r="J394" s="3"/>
      <c r="K394" s="3"/>
      <c r="L394" s="3"/>
      <c r="M394" s="3"/>
      <c r="N394" s="3">
        <v>0</v>
      </c>
      <c r="O394" s="3"/>
      <c r="P394" s="3">
        <v>0</v>
      </c>
      <c r="Q394" s="3">
        <v>0</v>
      </c>
      <c r="R394" s="3">
        <v>0</v>
      </c>
      <c r="S394" s="3">
        <v>0</v>
      </c>
      <c r="T394" s="3">
        <v>0</v>
      </c>
      <c r="U394" s="3"/>
      <c r="V394" s="3"/>
      <c r="W394" s="3"/>
      <c r="X394" s="3"/>
      <c r="Y394" s="3"/>
      <c r="Z394" s="3"/>
      <c r="AA394" s="3"/>
      <c r="AB394" s="3"/>
      <c r="AC394" s="3"/>
      <c r="AD394" s="3"/>
      <c r="AE394" s="3">
        <v>0</v>
      </c>
      <c r="AF394" s="3">
        <v>0</v>
      </c>
      <c r="AG394" s="3"/>
      <c r="AH394" s="40"/>
      <c r="AI394" s="40"/>
      <c r="AJ394" s="40"/>
      <c r="AK394" s="40"/>
      <c r="AL394" s="40"/>
      <c r="AM394" s="40"/>
      <c r="AN394" s="40"/>
      <c r="AO394" s="40"/>
      <c r="AP394" s="40"/>
      <c r="AQ394" s="40"/>
      <c r="AR394" s="31"/>
      <c r="AS394" s="36">
        <v>0</v>
      </c>
      <c r="AY394" s="6"/>
      <c r="AZ394" s="2"/>
      <c r="BA394" s="2"/>
      <c r="BB394" s="2"/>
      <c r="BC394">
        <v>71500</v>
      </c>
      <c r="BD394">
        <v>56992</v>
      </c>
    </row>
    <row r="395" spans="3:56" x14ac:dyDescent="0.25">
      <c r="C395" s="1">
        <v>46015</v>
      </c>
      <c r="D395" s="36">
        <v>235895.33709677399</v>
      </c>
      <c r="E395" s="33">
        <v>4.1709677419354803</v>
      </c>
      <c r="F395" s="33">
        <v>3.4189422580645199</v>
      </c>
      <c r="G395" s="2">
        <v>0.81969999999999998</v>
      </c>
      <c r="H395" s="2">
        <v>0.99</v>
      </c>
      <c r="I395" s="3"/>
      <c r="J395" s="3"/>
      <c r="K395" s="3"/>
      <c r="L395" s="3"/>
      <c r="M395" s="3"/>
      <c r="N395" s="3">
        <v>0</v>
      </c>
      <c r="O395" s="3"/>
      <c r="P395" s="3">
        <v>0</v>
      </c>
      <c r="Q395" s="3">
        <v>0</v>
      </c>
      <c r="R395" s="3">
        <v>0</v>
      </c>
      <c r="S395" s="3">
        <v>0</v>
      </c>
      <c r="T395" s="3">
        <v>0</v>
      </c>
      <c r="U395" s="3"/>
      <c r="V395" s="3"/>
      <c r="W395" s="3"/>
      <c r="X395" s="3"/>
      <c r="Y395" s="3"/>
      <c r="Z395" s="3"/>
      <c r="AA395" s="3"/>
      <c r="AB395" s="3"/>
      <c r="AC395" s="3"/>
      <c r="AD395" s="3"/>
      <c r="AE395" s="3">
        <v>0</v>
      </c>
      <c r="AF395" s="3">
        <v>0</v>
      </c>
      <c r="AG395" s="3"/>
      <c r="AH395" s="40"/>
      <c r="AI395" s="40"/>
      <c r="AJ395" s="40"/>
      <c r="AK395" s="40"/>
      <c r="AL395" s="40"/>
      <c r="AM395" s="40"/>
      <c r="AN395" s="40"/>
      <c r="AO395" s="40"/>
      <c r="AP395" s="40"/>
      <c r="AQ395" s="40"/>
      <c r="AR395" s="31"/>
      <c r="AS395" s="36">
        <v>0</v>
      </c>
      <c r="AY395" s="6"/>
      <c r="AZ395" s="2"/>
      <c r="BA395" s="2"/>
      <c r="BB395" s="2"/>
      <c r="BC395">
        <v>71500</v>
      </c>
      <c r="BD395">
        <v>56992</v>
      </c>
    </row>
    <row r="396" spans="3:56" x14ac:dyDescent="0.25">
      <c r="C396" s="1">
        <v>46016</v>
      </c>
      <c r="D396" s="36">
        <v>235895.33709677399</v>
      </c>
      <c r="E396" s="33">
        <v>4.1709677419354803</v>
      </c>
      <c r="F396" s="33">
        <v>3.4189422580645199</v>
      </c>
      <c r="G396" s="2">
        <v>0.81969999999999998</v>
      </c>
      <c r="H396" s="2">
        <v>0.99</v>
      </c>
      <c r="I396" s="3"/>
      <c r="J396" s="3"/>
      <c r="K396" s="3"/>
      <c r="L396" s="3"/>
      <c r="M396" s="3"/>
      <c r="N396" s="3">
        <v>0</v>
      </c>
      <c r="O396" s="3"/>
      <c r="P396" s="3">
        <v>0</v>
      </c>
      <c r="Q396" s="3">
        <v>0</v>
      </c>
      <c r="R396" s="3">
        <v>0</v>
      </c>
      <c r="S396" s="3">
        <v>0</v>
      </c>
      <c r="T396" s="3">
        <v>0</v>
      </c>
      <c r="U396" s="3"/>
      <c r="V396" s="3"/>
      <c r="W396" s="3"/>
      <c r="X396" s="3"/>
      <c r="Y396" s="3"/>
      <c r="Z396" s="3"/>
      <c r="AA396" s="3"/>
      <c r="AB396" s="3"/>
      <c r="AC396" s="3"/>
      <c r="AD396" s="3"/>
      <c r="AE396" s="3">
        <v>0</v>
      </c>
      <c r="AF396" s="3">
        <v>0</v>
      </c>
      <c r="AG396" s="3"/>
      <c r="AH396" s="40"/>
      <c r="AI396" s="40"/>
      <c r="AJ396" s="40"/>
      <c r="AK396" s="40"/>
      <c r="AL396" s="40"/>
      <c r="AM396" s="40"/>
      <c r="AN396" s="40"/>
      <c r="AO396" s="40"/>
      <c r="AP396" s="40"/>
      <c r="AQ396" s="40"/>
      <c r="AR396" s="31"/>
      <c r="AS396" s="36">
        <v>0</v>
      </c>
      <c r="AY396" s="6"/>
      <c r="AZ396" s="2"/>
      <c r="BA396" s="2"/>
      <c r="BB396" s="2"/>
      <c r="BC396">
        <v>71500</v>
      </c>
      <c r="BD396">
        <v>56992</v>
      </c>
    </row>
    <row r="397" spans="3:56" x14ac:dyDescent="0.25">
      <c r="C397" s="1">
        <v>46017</v>
      </c>
      <c r="D397" s="36">
        <v>235895.33709677399</v>
      </c>
      <c r="E397" s="33">
        <v>4.1709677419354803</v>
      </c>
      <c r="F397" s="33">
        <v>3.4189422580645199</v>
      </c>
      <c r="G397" s="2">
        <v>0.81969999999999998</v>
      </c>
      <c r="H397" s="2">
        <v>0.99</v>
      </c>
      <c r="I397" s="3"/>
      <c r="J397" s="3"/>
      <c r="K397" s="3"/>
      <c r="L397" s="3"/>
      <c r="M397" s="3"/>
      <c r="N397" s="3">
        <v>0</v>
      </c>
      <c r="O397" s="3"/>
      <c r="P397" s="3">
        <v>0</v>
      </c>
      <c r="Q397" s="3">
        <v>0</v>
      </c>
      <c r="R397" s="3">
        <v>0</v>
      </c>
      <c r="S397" s="3">
        <v>0</v>
      </c>
      <c r="T397" s="3">
        <v>0</v>
      </c>
      <c r="U397" s="3"/>
      <c r="V397" s="3"/>
      <c r="W397" s="3"/>
      <c r="X397" s="3"/>
      <c r="Y397" s="3"/>
      <c r="Z397" s="3"/>
      <c r="AA397" s="3"/>
      <c r="AB397" s="3"/>
      <c r="AC397" s="3"/>
      <c r="AD397" s="3"/>
      <c r="AE397" s="3">
        <v>0</v>
      </c>
      <c r="AF397" s="3">
        <v>0</v>
      </c>
      <c r="AG397" s="3"/>
      <c r="AH397" s="40"/>
      <c r="AI397" s="40"/>
      <c r="AJ397" s="40"/>
      <c r="AK397" s="40"/>
      <c r="AL397" s="40"/>
      <c r="AM397" s="40"/>
      <c r="AN397" s="40"/>
      <c r="AO397" s="40"/>
      <c r="AP397" s="40"/>
      <c r="AQ397" s="40"/>
      <c r="AR397" s="31"/>
      <c r="AS397" s="36">
        <v>0</v>
      </c>
      <c r="AY397" s="6"/>
      <c r="AZ397" s="2"/>
      <c r="BA397" s="2"/>
      <c r="BB397" s="2"/>
      <c r="BC397">
        <v>71500</v>
      </c>
      <c r="BD397">
        <v>56992</v>
      </c>
    </row>
    <row r="398" spans="3:56" x14ac:dyDescent="0.25">
      <c r="C398" s="1">
        <v>46018</v>
      </c>
      <c r="D398" s="36">
        <v>235895.33709677399</v>
      </c>
      <c r="E398" s="33">
        <v>4.1709677419354803</v>
      </c>
      <c r="F398" s="33">
        <v>3.4189422580645199</v>
      </c>
      <c r="G398" s="2">
        <v>0.81969999999999998</v>
      </c>
      <c r="H398" s="2">
        <v>0.99</v>
      </c>
      <c r="I398" s="3"/>
      <c r="J398" s="3"/>
      <c r="K398" s="3"/>
      <c r="L398" s="3"/>
      <c r="M398" s="3"/>
      <c r="N398" s="3">
        <v>0</v>
      </c>
      <c r="O398" s="3"/>
      <c r="P398" s="3">
        <v>0</v>
      </c>
      <c r="Q398" s="3">
        <v>0</v>
      </c>
      <c r="R398" s="3">
        <v>0</v>
      </c>
      <c r="S398" s="3">
        <v>0</v>
      </c>
      <c r="T398" s="3">
        <v>0</v>
      </c>
      <c r="U398" s="3"/>
      <c r="V398" s="3"/>
      <c r="W398" s="3"/>
      <c r="X398" s="3"/>
      <c r="Y398" s="3"/>
      <c r="Z398" s="3"/>
      <c r="AA398" s="3"/>
      <c r="AB398" s="3"/>
      <c r="AC398" s="3"/>
      <c r="AD398" s="3"/>
      <c r="AE398" s="3">
        <v>0</v>
      </c>
      <c r="AF398" s="3">
        <v>0</v>
      </c>
      <c r="AG398" s="3"/>
      <c r="AH398" s="40"/>
      <c r="AI398" s="40"/>
      <c r="AJ398" s="40"/>
      <c r="AK398" s="40"/>
      <c r="AL398" s="40"/>
      <c r="AM398" s="40"/>
      <c r="AN398" s="40"/>
      <c r="AO398" s="40"/>
      <c r="AP398" s="40"/>
      <c r="AQ398" s="40"/>
      <c r="AR398" s="31"/>
      <c r="AS398" s="36">
        <v>0</v>
      </c>
      <c r="AY398" s="6"/>
      <c r="AZ398" s="2"/>
      <c r="BA398" s="2"/>
      <c r="BB398" s="2"/>
      <c r="BC398">
        <v>71500</v>
      </c>
      <c r="BD398">
        <v>56992</v>
      </c>
    </row>
    <row r="399" spans="3:56" x14ac:dyDescent="0.25">
      <c r="C399" s="1">
        <v>46019</v>
      </c>
      <c r="D399" s="36">
        <v>235895.33709677399</v>
      </c>
      <c r="E399" s="33">
        <v>4.1709677419354803</v>
      </c>
      <c r="F399" s="33">
        <v>3.4189422580645199</v>
      </c>
      <c r="G399" s="2">
        <v>0.81969999999999998</v>
      </c>
      <c r="H399" s="2">
        <v>0.99</v>
      </c>
      <c r="I399" s="3"/>
      <c r="J399" s="3"/>
      <c r="K399" s="3"/>
      <c r="L399" s="3"/>
      <c r="M399" s="3"/>
      <c r="N399" s="3">
        <v>0</v>
      </c>
      <c r="O399" s="3"/>
      <c r="P399" s="3">
        <v>0</v>
      </c>
      <c r="Q399" s="3">
        <v>0</v>
      </c>
      <c r="R399" s="3">
        <v>0</v>
      </c>
      <c r="S399" s="3">
        <v>0</v>
      </c>
      <c r="T399" s="3">
        <v>0</v>
      </c>
      <c r="U399" s="3"/>
      <c r="V399" s="3"/>
      <c r="W399" s="3"/>
      <c r="X399" s="3"/>
      <c r="Y399" s="3"/>
      <c r="Z399" s="3"/>
      <c r="AA399" s="3"/>
      <c r="AB399" s="3"/>
      <c r="AC399" s="3"/>
      <c r="AD399" s="3"/>
      <c r="AE399" s="3">
        <v>0</v>
      </c>
      <c r="AF399" s="3">
        <v>0</v>
      </c>
      <c r="AG399" s="3"/>
      <c r="AH399" s="40"/>
      <c r="AI399" s="40"/>
      <c r="AJ399" s="40"/>
      <c r="AK399" s="40"/>
      <c r="AL399" s="40"/>
      <c r="AM399" s="40"/>
      <c r="AN399" s="40"/>
      <c r="AO399" s="40"/>
      <c r="AP399" s="40"/>
      <c r="AQ399" s="40"/>
      <c r="AR399" s="31"/>
      <c r="AS399" s="36">
        <v>0</v>
      </c>
      <c r="AY399" s="6"/>
      <c r="AZ399" s="2"/>
      <c r="BA399" s="2"/>
      <c r="BB399" s="2"/>
      <c r="BC399">
        <v>71500</v>
      </c>
      <c r="BD399">
        <v>56992</v>
      </c>
    </row>
    <row r="400" spans="3:56" x14ac:dyDescent="0.25">
      <c r="C400" s="1">
        <v>46020</v>
      </c>
      <c r="D400" s="36">
        <v>235895.33709677399</v>
      </c>
      <c r="E400" s="33">
        <v>4.1709677419354803</v>
      </c>
      <c r="F400" s="33">
        <v>3.4188959139784898</v>
      </c>
      <c r="G400" s="2">
        <v>0.81968888888888902</v>
      </c>
      <c r="H400" s="2">
        <v>0.99</v>
      </c>
      <c r="I400" s="3"/>
      <c r="J400" s="3"/>
      <c r="K400" s="3"/>
      <c r="L400" s="3"/>
      <c r="M400" s="3"/>
      <c r="N400" s="3">
        <v>0</v>
      </c>
      <c r="O400" s="3"/>
      <c r="P400" s="3">
        <v>0</v>
      </c>
      <c r="Q400" s="3">
        <v>0</v>
      </c>
      <c r="R400" s="3">
        <v>0</v>
      </c>
      <c r="S400" s="3">
        <v>0</v>
      </c>
      <c r="T400" s="3">
        <v>0</v>
      </c>
      <c r="U400" s="3"/>
      <c r="V400" s="3"/>
      <c r="W400" s="3"/>
      <c r="X400" s="3"/>
      <c r="Y400" s="3"/>
      <c r="Z400" s="3"/>
      <c r="AA400" s="3"/>
      <c r="AB400" s="3"/>
      <c r="AC400" s="3"/>
      <c r="AD400" s="3"/>
      <c r="AE400" s="3">
        <v>0</v>
      </c>
      <c r="AF400" s="3">
        <v>0</v>
      </c>
      <c r="AG400" s="3"/>
      <c r="AH400" s="40"/>
      <c r="AI400" s="40"/>
      <c r="AJ400" s="40"/>
      <c r="AK400" s="40"/>
      <c r="AL400" s="40"/>
      <c r="AM400" s="40"/>
      <c r="AN400" s="40"/>
      <c r="AO400" s="40"/>
      <c r="AP400" s="40"/>
      <c r="AQ400" s="40"/>
      <c r="AR400" s="31"/>
      <c r="AS400" s="36">
        <v>0</v>
      </c>
      <c r="AY400" s="6"/>
      <c r="AZ400" s="2"/>
      <c r="BA400" s="2"/>
      <c r="BB400" s="2"/>
      <c r="BC400">
        <v>71500</v>
      </c>
      <c r="BD400">
        <v>56992</v>
      </c>
    </row>
    <row r="401" spans="3:56" x14ac:dyDescent="0.25">
      <c r="C401" s="1">
        <v>46021</v>
      </c>
      <c r="D401" s="36">
        <v>235895.33709677399</v>
      </c>
      <c r="E401" s="33">
        <v>4.1709677419354803</v>
      </c>
      <c r="F401" s="33">
        <v>3.4188495698924699</v>
      </c>
      <c r="G401" s="2">
        <v>0.81967777777777795</v>
      </c>
      <c r="H401" s="2">
        <v>0.99</v>
      </c>
      <c r="I401" s="3"/>
      <c r="J401" s="3"/>
      <c r="K401" s="3"/>
      <c r="L401" s="3"/>
      <c r="M401" s="3"/>
      <c r="N401" s="3">
        <v>0</v>
      </c>
      <c r="O401" s="3"/>
      <c r="P401" s="3">
        <v>0</v>
      </c>
      <c r="Q401" s="3">
        <v>0</v>
      </c>
      <c r="R401" s="3">
        <v>0</v>
      </c>
      <c r="S401" s="3">
        <v>0</v>
      </c>
      <c r="T401" s="3">
        <v>0</v>
      </c>
      <c r="U401" s="3"/>
      <c r="V401" s="3"/>
      <c r="W401" s="3"/>
      <c r="X401" s="3"/>
      <c r="Y401" s="3"/>
      <c r="Z401" s="3"/>
      <c r="AA401" s="3"/>
      <c r="AB401" s="3"/>
      <c r="AC401" s="3"/>
      <c r="AD401" s="3"/>
      <c r="AE401" s="3">
        <v>0</v>
      </c>
      <c r="AF401" s="3">
        <v>0</v>
      </c>
      <c r="AG401" s="3"/>
      <c r="AH401" s="40"/>
      <c r="AI401" s="40"/>
      <c r="AJ401" s="40"/>
      <c r="AK401" s="40"/>
      <c r="AL401" s="40"/>
      <c r="AM401" s="40"/>
      <c r="AN401" s="40"/>
      <c r="AO401" s="40"/>
      <c r="AP401" s="40"/>
      <c r="AQ401" s="40"/>
      <c r="AR401" s="31"/>
      <c r="AS401" s="36">
        <v>0</v>
      </c>
      <c r="AY401" s="6"/>
      <c r="AZ401" s="2"/>
      <c r="BA401" s="2"/>
      <c r="BB401" s="2"/>
      <c r="BC401">
        <v>71500</v>
      </c>
      <c r="BD401">
        <v>56992</v>
      </c>
    </row>
    <row r="402" spans="3:56" x14ac:dyDescent="0.25">
      <c r="C402" s="1">
        <v>46022</v>
      </c>
      <c r="D402" s="36">
        <v>235895.33709677399</v>
      </c>
      <c r="E402" s="33">
        <v>4.1709677419354803</v>
      </c>
      <c r="F402" s="33">
        <v>3.41880322580645</v>
      </c>
      <c r="G402" s="2">
        <v>0.81966666666666699</v>
      </c>
      <c r="H402" s="2">
        <v>0.99</v>
      </c>
      <c r="I402" s="3"/>
      <c r="J402" s="3"/>
      <c r="K402" s="3"/>
      <c r="L402" s="3"/>
      <c r="M402" s="3"/>
      <c r="N402" s="3">
        <v>0</v>
      </c>
      <c r="O402" s="3"/>
      <c r="P402" s="3">
        <v>0</v>
      </c>
      <c r="Q402" s="3">
        <v>0</v>
      </c>
      <c r="R402" s="3">
        <v>0</v>
      </c>
      <c r="S402" s="3">
        <v>0</v>
      </c>
      <c r="T402" s="3">
        <v>0</v>
      </c>
      <c r="U402" s="3"/>
      <c r="V402" s="3"/>
      <c r="W402" s="3"/>
      <c r="X402" s="3"/>
      <c r="Y402" s="3"/>
      <c r="Z402" s="3"/>
      <c r="AA402" s="3"/>
      <c r="AB402" s="3"/>
      <c r="AC402" s="3"/>
      <c r="AD402" s="3"/>
      <c r="AE402" s="3">
        <v>0</v>
      </c>
      <c r="AF402" s="3">
        <v>0</v>
      </c>
      <c r="AG402" s="3"/>
      <c r="AH402" s="40"/>
      <c r="AI402" s="40"/>
      <c r="AJ402" s="40"/>
      <c r="AK402" s="40"/>
      <c r="AL402" s="40"/>
      <c r="AM402" s="40"/>
      <c r="AN402" s="40"/>
      <c r="AO402" s="40"/>
      <c r="AP402" s="40"/>
      <c r="AQ402" s="40"/>
      <c r="AR402" s="31"/>
      <c r="AS402" s="36">
        <v>0</v>
      </c>
      <c r="AY402" s="6"/>
      <c r="AZ402" s="2"/>
      <c r="BA402" s="2"/>
      <c r="BB402" s="2"/>
      <c r="BC402">
        <v>71500</v>
      </c>
      <c r="BD402">
        <v>56992</v>
      </c>
    </row>
    <row r="403" spans="3:56" x14ac:dyDescent="0.25">
      <c r="C403" s="1">
        <v>46023</v>
      </c>
      <c r="D403" s="36">
        <v>249932.632258064</v>
      </c>
      <c r="E403" s="33">
        <v>4.2064516129032299</v>
      </c>
      <c r="F403" s="33">
        <v>3.4478881720430099</v>
      </c>
      <c r="G403" s="2">
        <v>0.81966666666666699</v>
      </c>
      <c r="H403" s="2">
        <v>0.99</v>
      </c>
      <c r="I403" s="3"/>
      <c r="J403" s="3"/>
      <c r="K403" s="3"/>
      <c r="L403" s="3"/>
      <c r="M403" s="3"/>
      <c r="N403" s="3">
        <v>0</v>
      </c>
      <c r="O403" s="3"/>
      <c r="P403" s="3">
        <v>0</v>
      </c>
      <c r="Q403" s="3">
        <v>0</v>
      </c>
      <c r="R403" s="3">
        <v>0</v>
      </c>
      <c r="S403" s="3">
        <v>0</v>
      </c>
      <c r="T403" s="3">
        <v>0</v>
      </c>
      <c r="U403" s="3"/>
      <c r="V403" s="3"/>
      <c r="W403" s="3"/>
      <c r="X403" s="3"/>
      <c r="Y403" s="3"/>
      <c r="Z403" s="3"/>
      <c r="AA403" s="3"/>
      <c r="AB403" s="3"/>
      <c r="AC403" s="3"/>
      <c r="AD403" s="3"/>
      <c r="AE403" s="3">
        <v>0</v>
      </c>
      <c r="AF403" s="3">
        <v>0</v>
      </c>
      <c r="AG403" s="3"/>
      <c r="AH403" s="40"/>
      <c r="AI403" s="40"/>
      <c r="AJ403" s="40"/>
      <c r="AK403" s="40"/>
      <c r="AL403" s="40"/>
      <c r="AM403" s="40"/>
      <c r="AN403" s="40"/>
      <c r="AO403" s="40"/>
      <c r="AP403" s="40"/>
      <c r="AQ403" s="40"/>
      <c r="AR403" s="31"/>
      <c r="AS403" s="36">
        <v>0</v>
      </c>
      <c r="AY403" s="6"/>
      <c r="AZ403" s="2"/>
      <c r="BA403" s="2"/>
      <c r="BB403" s="2"/>
      <c r="BC403">
        <v>71500</v>
      </c>
      <c r="BD403">
        <v>56992</v>
      </c>
    </row>
    <row r="404" spans="3:56" x14ac:dyDescent="0.25">
      <c r="C404" s="1">
        <v>46024</v>
      </c>
      <c r="D404" s="36">
        <v>249932.632258064</v>
      </c>
      <c r="E404" s="33">
        <v>4.2064516129032299</v>
      </c>
      <c r="F404" s="33">
        <v>3.4478414336917602</v>
      </c>
      <c r="G404" s="2">
        <v>0.81965555555555603</v>
      </c>
      <c r="H404" s="2">
        <v>0.99</v>
      </c>
      <c r="I404" s="3"/>
      <c r="J404" s="3"/>
      <c r="K404" s="3"/>
      <c r="L404" s="3"/>
      <c r="M404" s="3"/>
      <c r="N404" s="3">
        <v>0</v>
      </c>
      <c r="O404" s="3"/>
      <c r="P404" s="3">
        <v>0</v>
      </c>
      <c r="Q404" s="3">
        <v>0</v>
      </c>
      <c r="R404" s="3">
        <v>0</v>
      </c>
      <c r="S404" s="3">
        <v>0</v>
      </c>
      <c r="T404" s="3">
        <v>0</v>
      </c>
      <c r="U404" s="3"/>
      <c r="V404" s="3"/>
      <c r="W404" s="3"/>
      <c r="X404" s="3"/>
      <c r="Y404" s="3"/>
      <c r="Z404" s="3"/>
      <c r="AA404" s="3"/>
      <c r="AB404" s="3"/>
      <c r="AC404" s="3"/>
      <c r="AD404" s="3"/>
      <c r="AE404" s="3">
        <v>0</v>
      </c>
      <c r="AF404" s="3">
        <v>0</v>
      </c>
      <c r="AG404" s="3"/>
      <c r="AH404" s="40"/>
      <c r="AI404" s="40"/>
      <c r="AJ404" s="40"/>
      <c r="AK404" s="40"/>
      <c r="AL404" s="40"/>
      <c r="AM404" s="40"/>
      <c r="AN404" s="40"/>
      <c r="AO404" s="40"/>
      <c r="AP404" s="40"/>
      <c r="AQ404" s="40"/>
      <c r="AR404" s="31"/>
      <c r="AS404" s="36">
        <v>0</v>
      </c>
      <c r="AY404" s="6"/>
      <c r="AZ404" s="2"/>
      <c r="BA404" s="2"/>
      <c r="BB404" s="2"/>
      <c r="BC404">
        <v>71500</v>
      </c>
      <c r="BD404">
        <v>56992</v>
      </c>
    </row>
    <row r="405" spans="3:56" x14ac:dyDescent="0.25">
      <c r="C405" s="1">
        <v>46025</v>
      </c>
      <c r="D405" s="36">
        <v>249932.632258064</v>
      </c>
      <c r="E405" s="33">
        <v>4.2064516129032299</v>
      </c>
      <c r="F405" s="33">
        <v>3.4477946953404999</v>
      </c>
      <c r="G405" s="2">
        <v>0.81964444444444395</v>
      </c>
      <c r="H405" s="2">
        <v>0.99</v>
      </c>
      <c r="I405" s="3"/>
      <c r="J405" s="3"/>
      <c r="K405" s="3"/>
      <c r="L405" s="3"/>
      <c r="M405" s="3"/>
      <c r="N405" s="3">
        <v>0</v>
      </c>
      <c r="O405" s="3"/>
      <c r="P405" s="3">
        <v>0</v>
      </c>
      <c r="Q405" s="3">
        <v>0</v>
      </c>
      <c r="R405" s="3">
        <v>0</v>
      </c>
      <c r="S405" s="3">
        <v>0</v>
      </c>
      <c r="T405" s="3">
        <v>0</v>
      </c>
      <c r="U405" s="3"/>
      <c r="V405" s="3"/>
      <c r="W405" s="3"/>
      <c r="X405" s="3"/>
      <c r="Y405" s="3"/>
      <c r="Z405" s="3"/>
      <c r="AA405" s="3"/>
      <c r="AB405" s="3"/>
      <c r="AC405" s="3"/>
      <c r="AD405" s="3"/>
      <c r="AE405" s="3">
        <v>0</v>
      </c>
      <c r="AF405" s="3">
        <v>0</v>
      </c>
      <c r="AG405" s="3"/>
      <c r="AH405" s="40"/>
      <c r="AI405" s="40"/>
      <c r="AJ405" s="40"/>
      <c r="AK405" s="40"/>
      <c r="AL405" s="40"/>
      <c r="AM405" s="40"/>
      <c r="AN405" s="40"/>
      <c r="AO405" s="40"/>
      <c r="AP405" s="40"/>
      <c r="AQ405" s="40"/>
      <c r="AR405" s="31"/>
      <c r="AS405" s="36">
        <v>0</v>
      </c>
      <c r="AY405" s="6"/>
      <c r="AZ405" s="2"/>
      <c r="BA405" s="2"/>
      <c r="BB405" s="2"/>
      <c r="BC405">
        <v>71500</v>
      </c>
      <c r="BD405">
        <v>56992</v>
      </c>
    </row>
    <row r="406" spans="3:56" x14ac:dyDescent="0.25">
      <c r="C406" s="1">
        <v>46026</v>
      </c>
      <c r="D406" s="36">
        <v>249932.632258064</v>
      </c>
      <c r="E406" s="33">
        <v>4.2064516129032299</v>
      </c>
      <c r="F406" s="33">
        <v>3.4477479569892502</v>
      </c>
      <c r="G406" s="2">
        <v>0.81963333333333299</v>
      </c>
      <c r="H406" s="2">
        <v>0.99</v>
      </c>
      <c r="I406" s="3"/>
      <c r="J406" s="3"/>
      <c r="K406" s="3"/>
      <c r="L406" s="3"/>
      <c r="M406" s="3"/>
      <c r="N406" s="3">
        <v>0</v>
      </c>
      <c r="O406" s="3"/>
      <c r="P406" s="3">
        <v>0</v>
      </c>
      <c r="Q406" s="3">
        <v>0</v>
      </c>
      <c r="R406" s="3">
        <v>0</v>
      </c>
      <c r="S406" s="3">
        <v>0</v>
      </c>
      <c r="T406" s="3">
        <v>0</v>
      </c>
      <c r="U406" s="3"/>
      <c r="V406" s="3"/>
      <c r="W406" s="3"/>
      <c r="X406" s="3"/>
      <c r="Y406" s="3"/>
      <c r="Z406" s="3"/>
      <c r="AA406" s="3"/>
      <c r="AB406" s="3"/>
      <c r="AC406" s="3"/>
      <c r="AD406" s="3"/>
      <c r="AE406" s="3">
        <v>0</v>
      </c>
      <c r="AF406" s="3">
        <v>0</v>
      </c>
      <c r="AG406" s="3"/>
      <c r="AH406" s="40"/>
      <c r="AI406" s="40"/>
      <c r="AJ406" s="40"/>
      <c r="AK406" s="40"/>
      <c r="AL406" s="40"/>
      <c r="AM406" s="40"/>
      <c r="AN406" s="40"/>
      <c r="AO406" s="40"/>
      <c r="AP406" s="40"/>
      <c r="AQ406" s="40"/>
      <c r="AR406" s="31"/>
      <c r="AS406" s="36">
        <v>0</v>
      </c>
      <c r="AY406" s="6"/>
      <c r="AZ406" s="2"/>
      <c r="BA406" s="2"/>
      <c r="BB406" s="2"/>
      <c r="BC406">
        <v>71500</v>
      </c>
      <c r="BD406">
        <v>56992</v>
      </c>
    </row>
    <row r="407" spans="3:56" x14ac:dyDescent="0.25">
      <c r="C407" s="1">
        <v>46027</v>
      </c>
      <c r="D407" s="36">
        <v>249932.632258064</v>
      </c>
      <c r="E407" s="33">
        <v>4.2064516129032299</v>
      </c>
      <c r="F407" s="33">
        <v>3.4477012186379898</v>
      </c>
      <c r="G407" s="2">
        <v>0.81962222222222203</v>
      </c>
      <c r="H407" s="2">
        <v>0.99</v>
      </c>
      <c r="I407" s="3"/>
      <c r="J407" s="3"/>
      <c r="K407" s="3"/>
      <c r="L407" s="3"/>
      <c r="M407" s="3"/>
      <c r="N407" s="3">
        <v>0</v>
      </c>
      <c r="O407" s="3"/>
      <c r="P407" s="3">
        <v>0</v>
      </c>
      <c r="Q407" s="3">
        <v>0</v>
      </c>
      <c r="R407" s="3">
        <v>0</v>
      </c>
      <c r="S407" s="3">
        <v>0</v>
      </c>
      <c r="T407" s="3">
        <v>0</v>
      </c>
      <c r="U407" s="3"/>
      <c r="V407" s="3"/>
      <c r="W407" s="3"/>
      <c r="X407" s="3"/>
      <c r="Y407" s="3"/>
      <c r="Z407" s="3"/>
      <c r="AA407" s="3"/>
      <c r="AB407" s="3"/>
      <c r="AC407" s="3"/>
      <c r="AD407" s="3"/>
      <c r="AE407" s="3">
        <v>0</v>
      </c>
      <c r="AF407" s="3">
        <v>0</v>
      </c>
      <c r="AG407" s="3"/>
      <c r="AH407" s="40"/>
      <c r="AI407" s="40"/>
      <c r="AJ407" s="40"/>
      <c r="AK407" s="40"/>
      <c r="AL407" s="40"/>
      <c r="AM407" s="40"/>
      <c r="AN407" s="40"/>
      <c r="AO407" s="40"/>
      <c r="AP407" s="40"/>
      <c r="AQ407" s="40"/>
      <c r="AR407" s="31"/>
      <c r="AS407" s="36">
        <v>0</v>
      </c>
      <c r="AY407" s="6"/>
      <c r="AZ407" s="2"/>
      <c r="BA407" s="2"/>
      <c r="BB407" s="2"/>
      <c r="BC407">
        <v>71500</v>
      </c>
      <c r="BD407">
        <v>56992</v>
      </c>
    </row>
    <row r="408" spans="3:56" x14ac:dyDescent="0.25">
      <c r="C408" s="1">
        <v>46028</v>
      </c>
      <c r="D408" s="36">
        <v>249932.632258064</v>
      </c>
      <c r="E408" s="33">
        <v>4.2064516129032299</v>
      </c>
      <c r="F408" s="33">
        <v>3.4476544802867402</v>
      </c>
      <c r="G408" s="2">
        <v>0.81961111111111096</v>
      </c>
      <c r="H408" s="2">
        <v>0.99</v>
      </c>
      <c r="I408" s="3"/>
      <c r="J408" s="3"/>
      <c r="K408" s="3"/>
      <c r="L408" s="3"/>
      <c r="M408" s="3"/>
      <c r="N408" s="3">
        <v>0</v>
      </c>
      <c r="O408" s="3"/>
      <c r="P408" s="3">
        <v>0</v>
      </c>
      <c r="Q408" s="3">
        <v>0</v>
      </c>
      <c r="R408" s="3">
        <v>0</v>
      </c>
      <c r="S408" s="3">
        <v>0</v>
      </c>
      <c r="T408" s="3">
        <v>0</v>
      </c>
      <c r="U408" s="3"/>
      <c r="V408" s="3"/>
      <c r="W408" s="3"/>
      <c r="X408" s="3"/>
      <c r="Y408" s="3"/>
      <c r="Z408" s="3"/>
      <c r="AA408" s="3"/>
      <c r="AB408" s="3"/>
      <c r="AC408" s="3"/>
      <c r="AD408" s="3"/>
      <c r="AE408" s="3">
        <v>0</v>
      </c>
      <c r="AF408" s="3">
        <v>0</v>
      </c>
      <c r="AG408" s="3"/>
      <c r="AH408" s="40"/>
      <c r="AI408" s="40"/>
      <c r="AJ408" s="40"/>
      <c r="AK408" s="40"/>
      <c r="AL408" s="40"/>
      <c r="AM408" s="40"/>
      <c r="AN408" s="40"/>
      <c r="AO408" s="40"/>
      <c r="AP408" s="40"/>
      <c r="AQ408" s="40"/>
      <c r="AR408" s="31"/>
      <c r="AS408" s="36">
        <v>0</v>
      </c>
      <c r="AY408" s="6"/>
      <c r="AZ408" s="2"/>
      <c r="BA408" s="2"/>
      <c r="BB408" s="2"/>
      <c r="BC408">
        <v>71500</v>
      </c>
      <c r="BD408">
        <v>56992</v>
      </c>
    </row>
    <row r="409" spans="3:56" x14ac:dyDescent="0.25">
      <c r="C409" s="1">
        <v>46029</v>
      </c>
      <c r="D409" s="36">
        <v>249932.632258064</v>
      </c>
      <c r="E409" s="33">
        <v>4.2064516129032299</v>
      </c>
      <c r="F409" s="33">
        <v>3.4476077419354798</v>
      </c>
      <c r="G409" s="2">
        <v>0.8196</v>
      </c>
      <c r="H409" s="2">
        <v>0.99</v>
      </c>
      <c r="I409" s="3"/>
      <c r="J409" s="3"/>
      <c r="K409" s="3"/>
      <c r="L409" s="3"/>
      <c r="M409" s="3"/>
      <c r="N409" s="3">
        <v>0</v>
      </c>
      <c r="O409" s="3"/>
      <c r="P409" s="3">
        <v>0</v>
      </c>
      <c r="Q409" s="3">
        <v>0</v>
      </c>
      <c r="R409" s="3">
        <v>0</v>
      </c>
      <c r="S409" s="3">
        <v>0</v>
      </c>
      <c r="T409" s="3">
        <v>0</v>
      </c>
      <c r="U409" s="3"/>
      <c r="V409" s="3"/>
      <c r="W409" s="3"/>
      <c r="X409" s="3"/>
      <c r="Y409" s="3"/>
      <c r="Z409" s="3"/>
      <c r="AA409" s="3"/>
      <c r="AB409" s="3"/>
      <c r="AC409" s="3"/>
      <c r="AD409" s="3"/>
      <c r="AE409" s="3">
        <v>0</v>
      </c>
      <c r="AF409" s="3">
        <v>0</v>
      </c>
      <c r="AG409" s="3"/>
      <c r="AH409" s="40"/>
      <c r="AI409" s="40"/>
      <c r="AJ409" s="40"/>
      <c r="AK409" s="40"/>
      <c r="AL409" s="40"/>
      <c r="AM409" s="40"/>
      <c r="AN409" s="40"/>
      <c r="AO409" s="40"/>
      <c r="AP409" s="40"/>
      <c r="AQ409" s="40"/>
      <c r="AR409" s="31"/>
      <c r="AS409" s="36">
        <v>0</v>
      </c>
      <c r="AY409" s="6"/>
      <c r="AZ409" s="2"/>
      <c r="BA409" s="2"/>
      <c r="BB409" s="2"/>
      <c r="BC409">
        <v>71500</v>
      </c>
      <c r="BD409">
        <v>56992</v>
      </c>
    </row>
    <row r="410" spans="3:56" x14ac:dyDescent="0.25">
      <c r="C410" s="1">
        <v>46030</v>
      </c>
      <c r="D410" s="36">
        <v>249932.632258064</v>
      </c>
      <c r="E410" s="33">
        <v>4.2064516129032299</v>
      </c>
      <c r="F410" s="33">
        <v>3.4475610035842301</v>
      </c>
      <c r="G410" s="2">
        <v>0.81958888888888903</v>
      </c>
      <c r="H410" s="2">
        <v>0.99</v>
      </c>
      <c r="I410" s="3"/>
      <c r="J410" s="3"/>
      <c r="K410" s="3"/>
      <c r="L410" s="3"/>
      <c r="M410" s="3"/>
      <c r="N410" s="3">
        <v>0</v>
      </c>
      <c r="O410" s="3"/>
      <c r="P410" s="3">
        <v>0</v>
      </c>
      <c r="Q410" s="3">
        <v>0</v>
      </c>
      <c r="R410" s="3">
        <v>0</v>
      </c>
      <c r="S410" s="3">
        <v>0</v>
      </c>
      <c r="T410" s="3">
        <v>0</v>
      </c>
      <c r="U410" s="3"/>
      <c r="V410" s="3"/>
      <c r="W410" s="3"/>
      <c r="X410" s="3"/>
      <c r="Y410" s="3"/>
      <c r="Z410" s="3"/>
      <c r="AA410" s="3"/>
      <c r="AB410" s="3"/>
      <c r="AC410" s="3"/>
      <c r="AD410" s="3"/>
      <c r="AE410" s="3">
        <v>0</v>
      </c>
      <c r="AF410" s="3">
        <v>0</v>
      </c>
      <c r="AG410" s="3"/>
      <c r="AH410" s="40"/>
      <c r="AI410" s="40"/>
      <c r="AJ410" s="40"/>
      <c r="AK410" s="40"/>
      <c r="AL410" s="40"/>
      <c r="AM410" s="40"/>
      <c r="AN410" s="40"/>
      <c r="AO410" s="40"/>
      <c r="AP410" s="40"/>
      <c r="AQ410" s="40"/>
      <c r="AR410" s="31"/>
      <c r="AS410" s="36">
        <v>0</v>
      </c>
      <c r="AY410" s="6"/>
      <c r="AZ410" s="2"/>
      <c r="BA410" s="2"/>
      <c r="BB410" s="2"/>
      <c r="BC410">
        <v>71500</v>
      </c>
      <c r="BD410">
        <v>56992</v>
      </c>
    </row>
    <row r="411" spans="3:56" x14ac:dyDescent="0.25">
      <c r="C411" s="1">
        <v>46031</v>
      </c>
      <c r="D411" s="36">
        <v>249932.632258064</v>
      </c>
      <c r="E411" s="33">
        <v>4.2064516129032299</v>
      </c>
      <c r="F411" s="33">
        <v>3.44751426523298</v>
      </c>
      <c r="G411" s="2">
        <v>0.81957777777777796</v>
      </c>
      <c r="H411" s="2">
        <v>0.99</v>
      </c>
      <c r="I411" s="3"/>
      <c r="J411" s="3"/>
      <c r="K411" s="3"/>
      <c r="L411" s="3"/>
      <c r="M411" s="3"/>
      <c r="N411" s="3">
        <v>0</v>
      </c>
      <c r="O411" s="3"/>
      <c r="P411" s="3">
        <v>0</v>
      </c>
      <c r="Q411" s="3">
        <v>0</v>
      </c>
      <c r="R411" s="3">
        <v>0</v>
      </c>
      <c r="S411" s="3">
        <v>0</v>
      </c>
      <c r="T411" s="3">
        <v>0</v>
      </c>
      <c r="U411" s="3"/>
      <c r="V411" s="3"/>
      <c r="W411" s="3"/>
      <c r="X411" s="3"/>
      <c r="Y411" s="3"/>
      <c r="Z411" s="3"/>
      <c r="AA411" s="3"/>
      <c r="AB411" s="3"/>
      <c r="AC411" s="3"/>
      <c r="AD411" s="3"/>
      <c r="AE411" s="3">
        <v>0</v>
      </c>
      <c r="AF411" s="3">
        <v>0</v>
      </c>
      <c r="AG411" s="3"/>
      <c r="AH411" s="40"/>
      <c r="AI411" s="40"/>
      <c r="AJ411" s="40"/>
      <c r="AK411" s="40"/>
      <c r="AL411" s="40"/>
      <c r="AM411" s="40"/>
      <c r="AN411" s="40"/>
      <c r="AO411" s="40"/>
      <c r="AP411" s="40"/>
      <c r="AQ411" s="40"/>
      <c r="AR411" s="31"/>
      <c r="AS411" s="36">
        <v>0</v>
      </c>
      <c r="AY411" s="6"/>
      <c r="AZ411" s="2"/>
      <c r="BA411" s="2"/>
      <c r="BB411" s="2"/>
      <c r="BC411">
        <v>71500</v>
      </c>
      <c r="BD411">
        <v>56992</v>
      </c>
    </row>
    <row r="412" spans="3:56" x14ac:dyDescent="0.25">
      <c r="C412" s="1">
        <v>46032</v>
      </c>
      <c r="D412" s="36">
        <v>249932.632258064</v>
      </c>
      <c r="E412" s="33">
        <v>4.2064516129032299</v>
      </c>
      <c r="F412" s="33">
        <v>3.4474675268817201</v>
      </c>
      <c r="G412" s="2">
        <v>0.819566666666667</v>
      </c>
      <c r="H412" s="2">
        <v>0.99</v>
      </c>
      <c r="I412" s="3"/>
      <c r="J412" s="3"/>
      <c r="K412" s="3"/>
      <c r="L412" s="3"/>
      <c r="M412" s="3"/>
      <c r="N412" s="3">
        <v>0</v>
      </c>
      <c r="O412" s="3"/>
      <c r="P412" s="3">
        <v>0</v>
      </c>
      <c r="Q412" s="3">
        <v>0</v>
      </c>
      <c r="R412" s="3">
        <v>0</v>
      </c>
      <c r="S412" s="3">
        <v>0</v>
      </c>
      <c r="T412" s="3">
        <v>0</v>
      </c>
      <c r="U412" s="3"/>
      <c r="V412" s="3"/>
      <c r="W412" s="3"/>
      <c r="X412" s="3"/>
      <c r="Y412" s="3"/>
      <c r="Z412" s="3"/>
      <c r="AA412" s="3"/>
      <c r="AB412" s="3"/>
      <c r="AC412" s="3"/>
      <c r="AD412" s="3"/>
      <c r="AE412" s="3">
        <v>0</v>
      </c>
      <c r="AF412" s="3">
        <v>0</v>
      </c>
      <c r="AG412" s="3"/>
      <c r="AH412" s="40"/>
      <c r="AI412" s="40"/>
      <c r="AJ412" s="40"/>
      <c r="AK412" s="40"/>
      <c r="AL412" s="40"/>
      <c r="AM412" s="40"/>
      <c r="AN412" s="40"/>
      <c r="AO412" s="40"/>
      <c r="AP412" s="40"/>
      <c r="AQ412" s="40"/>
      <c r="AR412" s="31"/>
      <c r="AS412" s="36">
        <v>0</v>
      </c>
      <c r="AY412" s="6"/>
      <c r="AZ412" s="2"/>
      <c r="BA412" s="2"/>
      <c r="BB412" s="2"/>
      <c r="BC412">
        <v>71500</v>
      </c>
      <c r="BD412">
        <v>56992</v>
      </c>
    </row>
    <row r="413" spans="3:56" x14ac:dyDescent="0.25">
      <c r="C413" s="1">
        <v>46033</v>
      </c>
      <c r="D413" s="36">
        <v>249932.632258064</v>
      </c>
      <c r="E413" s="33">
        <v>4.2064516129032299</v>
      </c>
      <c r="F413" s="33">
        <v>3.44742078853047</v>
      </c>
      <c r="G413" s="2">
        <v>0.81955555555555604</v>
      </c>
      <c r="H413" s="2">
        <v>0.99</v>
      </c>
      <c r="I413" s="3"/>
      <c r="J413" s="3"/>
      <c r="K413" s="3"/>
      <c r="L413" s="3"/>
      <c r="M413" s="3"/>
      <c r="N413" s="3">
        <v>0</v>
      </c>
      <c r="O413" s="3"/>
      <c r="P413" s="3">
        <v>0</v>
      </c>
      <c r="Q413" s="3">
        <v>0</v>
      </c>
      <c r="R413" s="3">
        <v>0</v>
      </c>
      <c r="S413" s="3">
        <v>0</v>
      </c>
      <c r="T413" s="3">
        <v>0</v>
      </c>
      <c r="U413" s="3"/>
      <c r="V413" s="3"/>
      <c r="W413" s="3"/>
      <c r="X413" s="3"/>
      <c r="Y413" s="3"/>
      <c r="Z413" s="3"/>
      <c r="AA413" s="3"/>
      <c r="AB413" s="3"/>
      <c r="AC413" s="3"/>
      <c r="AD413" s="3"/>
      <c r="AE413" s="3">
        <v>0</v>
      </c>
      <c r="AF413" s="3">
        <v>0</v>
      </c>
      <c r="AG413" s="3"/>
      <c r="AH413" s="40"/>
      <c r="AI413" s="40"/>
      <c r="AJ413" s="40"/>
      <c r="AK413" s="40"/>
      <c r="AL413" s="40"/>
      <c r="AM413" s="40"/>
      <c r="AN413" s="40"/>
      <c r="AO413" s="40"/>
      <c r="AP413" s="40"/>
      <c r="AQ413" s="40"/>
      <c r="AR413" s="31"/>
      <c r="AS413" s="36">
        <v>0</v>
      </c>
      <c r="AY413" s="6"/>
      <c r="AZ413" s="2"/>
      <c r="BA413" s="2"/>
      <c r="BB413" s="2"/>
      <c r="BC413">
        <v>71500</v>
      </c>
      <c r="BD413">
        <v>56992</v>
      </c>
    </row>
    <row r="414" spans="3:56" x14ac:dyDescent="0.25">
      <c r="C414" s="1">
        <v>46034</v>
      </c>
      <c r="D414" s="36">
        <v>249932.632258064</v>
      </c>
      <c r="E414" s="33">
        <v>4.2064516129032299</v>
      </c>
      <c r="F414" s="33">
        <v>3.4473740501792101</v>
      </c>
      <c r="G414" s="2">
        <v>0.81954444444444396</v>
      </c>
      <c r="H414" s="2">
        <v>0.99</v>
      </c>
      <c r="I414" s="3"/>
      <c r="J414" s="3"/>
      <c r="K414" s="3"/>
      <c r="L414" s="3"/>
      <c r="M414" s="3"/>
      <c r="N414" s="3">
        <v>0</v>
      </c>
      <c r="O414" s="3"/>
      <c r="P414" s="3">
        <v>0</v>
      </c>
      <c r="Q414" s="3">
        <v>0</v>
      </c>
      <c r="R414" s="3">
        <v>0</v>
      </c>
      <c r="S414" s="3">
        <v>0</v>
      </c>
      <c r="T414" s="3">
        <v>0</v>
      </c>
      <c r="U414" s="3"/>
      <c r="V414" s="3"/>
      <c r="W414" s="3"/>
      <c r="X414" s="3"/>
      <c r="Y414" s="3"/>
      <c r="Z414" s="3"/>
      <c r="AA414" s="3"/>
      <c r="AB414" s="3"/>
      <c r="AC414" s="3"/>
      <c r="AD414" s="3"/>
      <c r="AE414" s="3">
        <v>0</v>
      </c>
      <c r="AF414" s="3">
        <v>0</v>
      </c>
      <c r="AG414" s="3"/>
      <c r="AH414" s="40"/>
      <c r="AI414" s="40"/>
      <c r="AJ414" s="40"/>
      <c r="AK414" s="40"/>
      <c r="AL414" s="40"/>
      <c r="AM414" s="40"/>
      <c r="AN414" s="40"/>
      <c r="AO414" s="40"/>
      <c r="AP414" s="40"/>
      <c r="AQ414" s="40"/>
      <c r="AR414" s="31"/>
      <c r="AS414" s="36">
        <v>0</v>
      </c>
      <c r="AY414" s="6"/>
      <c r="AZ414" s="2"/>
      <c r="BA414" s="2"/>
      <c r="BB414" s="2"/>
      <c r="BC414">
        <v>71500</v>
      </c>
      <c r="BD414">
        <v>56992</v>
      </c>
    </row>
    <row r="415" spans="3:56" x14ac:dyDescent="0.25">
      <c r="C415" s="1">
        <v>46035</v>
      </c>
      <c r="D415" s="36">
        <v>249932.632258064</v>
      </c>
      <c r="E415" s="33">
        <v>4.2064516129032299</v>
      </c>
      <c r="F415" s="33">
        <v>3.4473273118279599</v>
      </c>
      <c r="G415" s="2">
        <v>0.819533333333333</v>
      </c>
      <c r="H415" s="2">
        <v>0.99</v>
      </c>
      <c r="I415" s="3"/>
      <c r="J415" s="3"/>
      <c r="K415" s="3"/>
      <c r="L415" s="3"/>
      <c r="M415" s="3"/>
      <c r="N415" s="3">
        <v>0</v>
      </c>
      <c r="O415" s="3"/>
      <c r="P415" s="3">
        <v>0</v>
      </c>
      <c r="Q415" s="3">
        <v>0</v>
      </c>
      <c r="R415" s="3">
        <v>0</v>
      </c>
      <c r="S415" s="3">
        <v>0</v>
      </c>
      <c r="T415" s="3">
        <v>0</v>
      </c>
      <c r="U415" s="3"/>
      <c r="V415" s="3"/>
      <c r="W415" s="3"/>
      <c r="X415" s="3"/>
      <c r="Y415" s="3"/>
      <c r="Z415" s="3"/>
      <c r="AA415" s="3"/>
      <c r="AB415" s="3"/>
      <c r="AC415" s="3"/>
      <c r="AD415" s="3"/>
      <c r="AE415" s="3">
        <v>0</v>
      </c>
      <c r="AF415" s="3">
        <v>0</v>
      </c>
      <c r="AG415" s="3"/>
      <c r="AH415" s="40"/>
      <c r="AI415" s="40"/>
      <c r="AJ415" s="40"/>
      <c r="AK415" s="40"/>
      <c r="AL415" s="40"/>
      <c r="AM415" s="40"/>
      <c r="AN415" s="40"/>
      <c r="AO415" s="40"/>
      <c r="AP415" s="40"/>
      <c r="AQ415" s="40"/>
      <c r="AR415" s="31"/>
      <c r="AS415" s="36">
        <v>0</v>
      </c>
      <c r="AY415" s="6"/>
      <c r="AZ415" s="2"/>
      <c r="BA415" s="2"/>
      <c r="BB415" s="2"/>
      <c r="BC415">
        <v>71500</v>
      </c>
      <c r="BD415">
        <v>56992</v>
      </c>
    </row>
    <row r="416" spans="3:56" x14ac:dyDescent="0.25">
      <c r="C416" s="1">
        <v>46036</v>
      </c>
      <c r="D416" s="36">
        <v>249932.632258064</v>
      </c>
      <c r="E416" s="33">
        <v>4.2064516129032299</v>
      </c>
      <c r="F416" s="33">
        <v>3.4472805734767</v>
      </c>
      <c r="G416" s="2">
        <v>0.81952222222222204</v>
      </c>
      <c r="H416" s="2">
        <v>0.99</v>
      </c>
      <c r="I416" s="3"/>
      <c r="J416" s="3"/>
      <c r="K416" s="3"/>
      <c r="L416" s="3"/>
      <c r="M416" s="3"/>
      <c r="N416" s="3">
        <v>0</v>
      </c>
      <c r="O416" s="3"/>
      <c r="P416" s="3">
        <v>0</v>
      </c>
      <c r="Q416" s="3">
        <v>0</v>
      </c>
      <c r="R416" s="3">
        <v>0</v>
      </c>
      <c r="S416" s="3">
        <v>0</v>
      </c>
      <c r="T416" s="3">
        <v>0</v>
      </c>
      <c r="U416" s="3"/>
      <c r="V416" s="3"/>
      <c r="W416" s="3"/>
      <c r="X416" s="3"/>
      <c r="Y416" s="3"/>
      <c r="Z416" s="3"/>
      <c r="AA416" s="3"/>
      <c r="AB416" s="3"/>
      <c r="AC416" s="3"/>
      <c r="AD416" s="3"/>
      <c r="AE416" s="3">
        <v>0</v>
      </c>
      <c r="AF416" s="3">
        <v>0</v>
      </c>
      <c r="AG416" s="3"/>
      <c r="AH416" s="40"/>
      <c r="AI416" s="40"/>
      <c r="AJ416" s="40"/>
      <c r="AK416" s="40"/>
      <c r="AL416" s="40"/>
      <c r="AM416" s="40"/>
      <c r="AN416" s="40"/>
      <c r="AO416" s="40"/>
      <c r="AP416" s="40"/>
      <c r="AQ416" s="40"/>
      <c r="AR416" s="31"/>
      <c r="AS416" s="36">
        <v>0</v>
      </c>
      <c r="AY416" s="6"/>
      <c r="AZ416" s="2"/>
      <c r="BA416" s="2"/>
      <c r="BB416" s="2"/>
      <c r="BC416">
        <v>71500</v>
      </c>
      <c r="BD416">
        <v>56992</v>
      </c>
    </row>
    <row r="417" spans="3:56" x14ac:dyDescent="0.25">
      <c r="C417" s="1">
        <v>46037</v>
      </c>
      <c r="D417" s="36">
        <v>249932.632258064</v>
      </c>
      <c r="E417" s="33">
        <v>4.2064516129032299</v>
      </c>
      <c r="F417" s="33">
        <v>3.4472338351254499</v>
      </c>
      <c r="G417" s="2">
        <v>0.81951111111111097</v>
      </c>
      <c r="H417" s="2">
        <v>0.99</v>
      </c>
      <c r="I417" s="3"/>
      <c r="J417" s="3"/>
      <c r="K417" s="3"/>
      <c r="L417" s="3"/>
      <c r="M417" s="3"/>
      <c r="N417" s="3">
        <v>0</v>
      </c>
      <c r="O417" s="3"/>
      <c r="P417" s="3">
        <v>0</v>
      </c>
      <c r="Q417" s="3">
        <v>0</v>
      </c>
      <c r="R417" s="3">
        <v>0</v>
      </c>
      <c r="S417" s="3">
        <v>0</v>
      </c>
      <c r="T417" s="3">
        <v>0</v>
      </c>
      <c r="U417" s="3"/>
      <c r="V417" s="3"/>
      <c r="W417" s="3"/>
      <c r="X417" s="3"/>
      <c r="Y417" s="3"/>
      <c r="Z417" s="3"/>
      <c r="AA417" s="3"/>
      <c r="AB417" s="3"/>
      <c r="AC417" s="3"/>
      <c r="AD417" s="3"/>
      <c r="AE417" s="3">
        <v>0</v>
      </c>
      <c r="AF417" s="3">
        <v>0</v>
      </c>
      <c r="AG417" s="3"/>
      <c r="AH417" s="40"/>
      <c r="AI417" s="40"/>
      <c r="AJ417" s="40"/>
      <c r="AK417" s="40"/>
      <c r="AL417" s="40"/>
      <c r="AM417" s="40"/>
      <c r="AN417" s="40"/>
      <c r="AO417" s="40"/>
      <c r="AP417" s="40"/>
      <c r="AQ417" s="40"/>
      <c r="AR417" s="31"/>
      <c r="AS417" s="36">
        <v>0</v>
      </c>
      <c r="AY417" s="6"/>
      <c r="AZ417" s="2"/>
      <c r="BA417" s="2"/>
      <c r="BB417" s="2"/>
      <c r="BC417">
        <v>71500</v>
      </c>
      <c r="BD417">
        <v>56992</v>
      </c>
    </row>
    <row r="418" spans="3:56" x14ac:dyDescent="0.25">
      <c r="C418" s="1">
        <v>46038</v>
      </c>
      <c r="D418" s="36">
        <v>249932.632258064</v>
      </c>
      <c r="E418" s="33">
        <v>4.2064516129032299</v>
      </c>
      <c r="F418" s="33">
        <v>3.44718709677419</v>
      </c>
      <c r="G418" s="2">
        <v>0.81950000000000001</v>
      </c>
      <c r="H418" s="2">
        <v>0.99</v>
      </c>
      <c r="I418" s="3"/>
      <c r="J418" s="3"/>
      <c r="K418" s="3"/>
      <c r="L418" s="3"/>
      <c r="M418" s="3"/>
      <c r="N418" s="3">
        <v>0</v>
      </c>
      <c r="O418" s="3"/>
      <c r="P418" s="3">
        <v>0</v>
      </c>
      <c r="Q418" s="3">
        <v>0</v>
      </c>
      <c r="R418" s="3">
        <v>0</v>
      </c>
      <c r="S418" s="3">
        <v>0</v>
      </c>
      <c r="T418" s="3">
        <v>0</v>
      </c>
      <c r="U418" s="3"/>
      <c r="V418" s="3"/>
      <c r="W418" s="3"/>
      <c r="X418" s="3"/>
      <c r="Y418" s="3"/>
      <c r="Z418" s="3"/>
      <c r="AA418" s="3"/>
      <c r="AB418" s="3"/>
      <c r="AC418" s="3"/>
      <c r="AD418" s="3"/>
      <c r="AE418" s="3">
        <v>0</v>
      </c>
      <c r="AF418" s="3">
        <v>0</v>
      </c>
      <c r="AG418" s="3"/>
      <c r="AH418" s="40"/>
      <c r="AI418" s="40"/>
      <c r="AJ418" s="40"/>
      <c r="AK418" s="40"/>
      <c r="AL418" s="40"/>
      <c r="AM418" s="40"/>
      <c r="AN418" s="40"/>
      <c r="AO418" s="40"/>
      <c r="AP418" s="40"/>
      <c r="AQ418" s="40"/>
      <c r="AR418" s="31"/>
      <c r="AS418" s="36">
        <v>0</v>
      </c>
      <c r="AY418" s="6"/>
      <c r="AZ418" s="2"/>
      <c r="BA418" s="2"/>
      <c r="BB418" s="2"/>
      <c r="BC418">
        <v>71500</v>
      </c>
      <c r="BD418">
        <v>56992</v>
      </c>
    </row>
    <row r="419" spans="3:56" x14ac:dyDescent="0.25">
      <c r="C419" s="1">
        <v>46039</v>
      </c>
      <c r="D419" s="36">
        <v>249932.632258064</v>
      </c>
      <c r="E419" s="33">
        <v>4.2064516129032299</v>
      </c>
      <c r="F419" s="33">
        <v>3.4471403584229399</v>
      </c>
      <c r="G419" s="2">
        <v>0.81948888888888904</v>
      </c>
      <c r="H419" s="2">
        <v>0.99</v>
      </c>
      <c r="I419" s="3"/>
      <c r="J419" s="3"/>
      <c r="K419" s="3"/>
      <c r="L419" s="3"/>
      <c r="M419" s="3"/>
      <c r="N419" s="3">
        <v>0</v>
      </c>
      <c r="O419" s="3"/>
      <c r="P419" s="3">
        <v>0</v>
      </c>
      <c r="Q419" s="3">
        <v>0</v>
      </c>
      <c r="R419" s="3">
        <v>0</v>
      </c>
      <c r="S419" s="3">
        <v>0</v>
      </c>
      <c r="T419" s="3">
        <v>0</v>
      </c>
      <c r="U419" s="3"/>
      <c r="V419" s="3"/>
      <c r="W419" s="3"/>
      <c r="X419" s="3"/>
      <c r="Y419" s="3"/>
      <c r="Z419" s="3"/>
      <c r="AA419" s="3"/>
      <c r="AB419" s="3"/>
      <c r="AC419" s="3"/>
      <c r="AD419" s="3"/>
      <c r="AE419" s="3">
        <v>0</v>
      </c>
      <c r="AF419" s="3">
        <v>0</v>
      </c>
      <c r="AG419" s="3"/>
      <c r="AH419" s="40"/>
      <c r="AI419" s="40"/>
      <c r="AJ419" s="40"/>
      <c r="AK419" s="40"/>
      <c r="AL419" s="40"/>
      <c r="AM419" s="40"/>
      <c r="AN419" s="40"/>
      <c r="AO419" s="40"/>
      <c r="AP419" s="40"/>
      <c r="AQ419" s="40"/>
      <c r="AR419" s="31"/>
      <c r="AS419" s="36">
        <v>0</v>
      </c>
      <c r="AY419" s="6"/>
      <c r="AZ419" s="2"/>
      <c r="BA419" s="2"/>
      <c r="BB419" s="2"/>
      <c r="BC419">
        <v>71500</v>
      </c>
      <c r="BD419">
        <v>56992</v>
      </c>
    </row>
    <row r="420" spans="3:56" x14ac:dyDescent="0.25">
      <c r="C420" s="1">
        <v>46040</v>
      </c>
      <c r="D420" s="36">
        <v>249932.632258064</v>
      </c>
      <c r="E420" s="33">
        <v>4.2064516129032299</v>
      </c>
      <c r="F420" s="33">
        <v>3.44709362007168</v>
      </c>
      <c r="G420" s="2">
        <v>0.81947777777777797</v>
      </c>
      <c r="H420" s="2">
        <v>0.99</v>
      </c>
      <c r="I420" s="3"/>
      <c r="J420" s="3"/>
      <c r="K420" s="3"/>
      <c r="L420" s="3"/>
      <c r="M420" s="3"/>
      <c r="N420" s="3">
        <v>0</v>
      </c>
      <c r="O420" s="3"/>
      <c r="P420" s="3">
        <v>0</v>
      </c>
      <c r="Q420" s="3">
        <v>0</v>
      </c>
      <c r="R420" s="3">
        <v>0</v>
      </c>
      <c r="S420" s="3">
        <v>0</v>
      </c>
      <c r="T420" s="3">
        <v>0</v>
      </c>
      <c r="U420" s="3"/>
      <c r="V420" s="3"/>
      <c r="W420" s="3"/>
      <c r="X420" s="3"/>
      <c r="Y420" s="3"/>
      <c r="Z420" s="3"/>
      <c r="AA420" s="3"/>
      <c r="AB420" s="3"/>
      <c r="AC420" s="3"/>
      <c r="AD420" s="3"/>
      <c r="AE420" s="3">
        <v>0</v>
      </c>
      <c r="AF420" s="3">
        <v>0</v>
      </c>
      <c r="AG420" s="3"/>
      <c r="AH420" s="40"/>
      <c r="AI420" s="40"/>
      <c r="AJ420" s="40"/>
      <c r="AK420" s="40"/>
      <c r="AL420" s="40"/>
      <c r="AM420" s="40"/>
      <c r="AN420" s="40"/>
      <c r="AO420" s="40"/>
      <c r="AP420" s="40"/>
      <c r="AQ420" s="40"/>
      <c r="AR420" s="31"/>
      <c r="AS420" s="36">
        <v>0</v>
      </c>
      <c r="AY420" s="6"/>
      <c r="AZ420" s="2"/>
      <c r="BA420" s="2"/>
      <c r="BB420" s="2"/>
      <c r="BC420">
        <v>71500</v>
      </c>
      <c r="BD420">
        <v>56992</v>
      </c>
    </row>
    <row r="421" spans="3:56" x14ac:dyDescent="0.25">
      <c r="C421" s="1">
        <v>46041</v>
      </c>
      <c r="D421" s="36">
        <v>249932.632258064</v>
      </c>
      <c r="E421" s="33">
        <v>4.2064516129032299</v>
      </c>
      <c r="F421" s="33">
        <v>3.4470468817204298</v>
      </c>
      <c r="G421" s="2">
        <v>0.81946666666666701</v>
      </c>
      <c r="H421" s="2">
        <v>0.99</v>
      </c>
      <c r="I421" s="3"/>
      <c r="J421" s="3"/>
      <c r="K421" s="3"/>
      <c r="L421" s="3"/>
      <c r="M421" s="3"/>
      <c r="N421" s="3">
        <v>0</v>
      </c>
      <c r="O421" s="3"/>
      <c r="P421" s="3">
        <v>0</v>
      </c>
      <c r="Q421" s="3">
        <v>0</v>
      </c>
      <c r="R421" s="3">
        <v>0</v>
      </c>
      <c r="S421" s="3">
        <v>0</v>
      </c>
      <c r="T421" s="3">
        <v>0</v>
      </c>
      <c r="U421" s="3"/>
      <c r="V421" s="3"/>
      <c r="W421" s="3"/>
      <c r="X421" s="3"/>
      <c r="Y421" s="3"/>
      <c r="Z421" s="3"/>
      <c r="AA421" s="3"/>
      <c r="AB421" s="3"/>
      <c r="AC421" s="3"/>
      <c r="AD421" s="3"/>
      <c r="AE421" s="3">
        <v>0</v>
      </c>
      <c r="AF421" s="3">
        <v>0</v>
      </c>
      <c r="AG421" s="3"/>
      <c r="AH421" s="40"/>
      <c r="AI421" s="40"/>
      <c r="AJ421" s="40"/>
      <c r="AK421" s="40"/>
      <c r="AL421" s="40"/>
      <c r="AM421" s="40"/>
      <c r="AN421" s="40"/>
      <c r="AO421" s="40"/>
      <c r="AP421" s="40"/>
      <c r="AQ421" s="40"/>
      <c r="AR421" s="31"/>
      <c r="AS421" s="36">
        <v>0</v>
      </c>
      <c r="AY421" s="6"/>
      <c r="AZ421" s="2"/>
      <c r="BA421" s="2"/>
      <c r="BB421" s="2"/>
      <c r="BC421">
        <v>71500</v>
      </c>
      <c r="BD421">
        <v>56992</v>
      </c>
    </row>
    <row r="422" spans="3:56" x14ac:dyDescent="0.25">
      <c r="C422" s="1">
        <v>46042</v>
      </c>
      <c r="D422" s="36">
        <v>249932.632258064</v>
      </c>
      <c r="E422" s="33">
        <v>4.2064516129032299</v>
      </c>
      <c r="F422" s="33">
        <v>3.4470001433691801</v>
      </c>
      <c r="G422" s="2">
        <v>0.81945555555555505</v>
      </c>
      <c r="H422" s="2">
        <v>0.99</v>
      </c>
      <c r="I422" s="3"/>
      <c r="J422" s="3"/>
      <c r="K422" s="3"/>
      <c r="L422" s="3"/>
      <c r="M422" s="3"/>
      <c r="N422" s="3">
        <v>0</v>
      </c>
      <c r="O422" s="3"/>
      <c r="P422" s="3">
        <v>0</v>
      </c>
      <c r="Q422" s="3">
        <v>0</v>
      </c>
      <c r="R422" s="3">
        <v>0</v>
      </c>
      <c r="S422" s="3">
        <v>0</v>
      </c>
      <c r="T422" s="3">
        <v>0</v>
      </c>
      <c r="U422" s="3"/>
      <c r="V422" s="3"/>
      <c r="W422" s="3"/>
      <c r="X422" s="3"/>
      <c r="Y422" s="3"/>
      <c r="Z422" s="3"/>
      <c r="AA422" s="3"/>
      <c r="AB422" s="3"/>
      <c r="AC422" s="3"/>
      <c r="AD422" s="3"/>
      <c r="AE422" s="3">
        <v>0</v>
      </c>
      <c r="AF422" s="3">
        <v>0</v>
      </c>
      <c r="AG422" s="3"/>
      <c r="AH422" s="40"/>
      <c r="AI422" s="40"/>
      <c r="AJ422" s="40"/>
      <c r="AK422" s="40"/>
      <c r="AL422" s="40"/>
      <c r="AM422" s="40"/>
      <c r="AN422" s="40"/>
      <c r="AO422" s="40"/>
      <c r="AP422" s="40"/>
      <c r="AQ422" s="40"/>
      <c r="AR422" s="31"/>
      <c r="AS422" s="36">
        <v>0</v>
      </c>
      <c r="AY422" s="6"/>
      <c r="AZ422" s="2"/>
      <c r="BA422" s="2"/>
      <c r="BB422" s="2"/>
      <c r="BC422">
        <v>71500</v>
      </c>
      <c r="BD422">
        <v>56992</v>
      </c>
    </row>
    <row r="423" spans="3:56" x14ac:dyDescent="0.25">
      <c r="C423" s="1">
        <v>46043</v>
      </c>
      <c r="D423" s="36">
        <v>249932.632258064</v>
      </c>
      <c r="E423" s="33">
        <v>4.2064516129032299</v>
      </c>
      <c r="F423" s="33">
        <v>3.4469534050179198</v>
      </c>
      <c r="G423" s="2">
        <v>0.81944444444444398</v>
      </c>
      <c r="H423" s="2">
        <v>0.99</v>
      </c>
      <c r="I423" s="3"/>
      <c r="J423" s="3"/>
      <c r="K423" s="3"/>
      <c r="L423" s="3"/>
      <c r="M423" s="3"/>
      <c r="N423" s="3">
        <v>0</v>
      </c>
      <c r="O423" s="3"/>
      <c r="P423" s="3">
        <v>0</v>
      </c>
      <c r="Q423" s="3">
        <v>0</v>
      </c>
      <c r="R423" s="3">
        <v>0</v>
      </c>
      <c r="S423" s="3">
        <v>0</v>
      </c>
      <c r="T423" s="3">
        <v>0</v>
      </c>
      <c r="U423" s="3"/>
      <c r="V423" s="3"/>
      <c r="W423" s="3"/>
      <c r="X423" s="3"/>
      <c r="Y423" s="3"/>
      <c r="Z423" s="3"/>
      <c r="AA423" s="3"/>
      <c r="AB423" s="3"/>
      <c r="AC423" s="3"/>
      <c r="AD423" s="3"/>
      <c r="AE423" s="3">
        <v>0</v>
      </c>
      <c r="AF423" s="3">
        <v>0</v>
      </c>
      <c r="AG423" s="3"/>
      <c r="AH423" s="40"/>
      <c r="AI423" s="40"/>
      <c r="AJ423" s="40"/>
      <c r="AK423" s="40"/>
      <c r="AL423" s="40"/>
      <c r="AM423" s="40"/>
      <c r="AN423" s="40"/>
      <c r="AO423" s="40"/>
      <c r="AP423" s="40"/>
      <c r="AQ423" s="40"/>
      <c r="AR423" s="31"/>
      <c r="AS423" s="36">
        <v>0</v>
      </c>
      <c r="AY423" s="6"/>
      <c r="AZ423" s="2"/>
      <c r="BA423" s="2"/>
      <c r="BB423" s="2"/>
      <c r="BC423">
        <v>71500</v>
      </c>
      <c r="BD423">
        <v>56992</v>
      </c>
    </row>
    <row r="424" spans="3:56" x14ac:dyDescent="0.25">
      <c r="C424" s="1">
        <v>46044</v>
      </c>
      <c r="D424" s="36">
        <v>249932.632258064</v>
      </c>
      <c r="E424" s="33">
        <v>4.2064516129032299</v>
      </c>
      <c r="F424" s="33">
        <v>3.4469066666666701</v>
      </c>
      <c r="G424" s="2">
        <v>0.81943333333333301</v>
      </c>
      <c r="H424" s="2">
        <v>0.99</v>
      </c>
      <c r="I424" s="3"/>
      <c r="J424" s="3"/>
      <c r="K424" s="3"/>
      <c r="L424" s="3"/>
      <c r="M424" s="3"/>
      <c r="N424" s="3">
        <v>0</v>
      </c>
      <c r="O424" s="3"/>
      <c r="P424" s="3">
        <v>0</v>
      </c>
      <c r="Q424" s="3">
        <v>0</v>
      </c>
      <c r="R424" s="3">
        <v>0</v>
      </c>
      <c r="S424" s="3">
        <v>0</v>
      </c>
      <c r="T424" s="3">
        <v>0</v>
      </c>
      <c r="U424" s="3"/>
      <c r="V424" s="3"/>
      <c r="W424" s="3"/>
      <c r="X424" s="3"/>
      <c r="Y424" s="3"/>
      <c r="Z424" s="3"/>
      <c r="AA424" s="3"/>
      <c r="AB424" s="3"/>
      <c r="AC424" s="3"/>
      <c r="AD424" s="3"/>
      <c r="AE424" s="3">
        <v>0</v>
      </c>
      <c r="AF424" s="3">
        <v>0</v>
      </c>
      <c r="AG424" s="3"/>
      <c r="AH424" s="40"/>
      <c r="AI424" s="40"/>
      <c r="AJ424" s="40"/>
      <c r="AK424" s="40"/>
      <c r="AL424" s="40"/>
      <c r="AM424" s="40"/>
      <c r="AN424" s="40"/>
      <c r="AO424" s="40"/>
      <c r="AP424" s="40"/>
      <c r="AQ424" s="40"/>
      <c r="AR424" s="31"/>
      <c r="AS424" s="36">
        <v>0</v>
      </c>
      <c r="AY424" s="6"/>
      <c r="AZ424" s="2"/>
      <c r="BA424" s="2"/>
      <c r="BB424" s="2"/>
      <c r="BC424">
        <v>71500</v>
      </c>
      <c r="BD424">
        <v>56992</v>
      </c>
    </row>
    <row r="425" spans="3:56" x14ac:dyDescent="0.25">
      <c r="C425" s="1">
        <v>46045</v>
      </c>
      <c r="D425" s="36">
        <v>249932.632258064</v>
      </c>
      <c r="E425" s="33">
        <v>4.2064516129032299</v>
      </c>
      <c r="F425" s="33">
        <v>3.4468599283154102</v>
      </c>
      <c r="G425" s="2">
        <v>0.81942222222222205</v>
      </c>
      <c r="H425" s="2">
        <v>0.99</v>
      </c>
      <c r="I425" s="3"/>
      <c r="J425" s="3"/>
      <c r="K425" s="3"/>
      <c r="L425" s="3"/>
      <c r="M425" s="3"/>
      <c r="N425" s="3">
        <v>0</v>
      </c>
      <c r="O425" s="3"/>
      <c r="P425" s="3">
        <v>0</v>
      </c>
      <c r="Q425" s="3">
        <v>0</v>
      </c>
      <c r="R425" s="3">
        <v>0</v>
      </c>
      <c r="S425" s="3">
        <v>0</v>
      </c>
      <c r="T425" s="3">
        <v>0</v>
      </c>
      <c r="U425" s="3"/>
      <c r="V425" s="3"/>
      <c r="W425" s="3"/>
      <c r="X425" s="3"/>
      <c r="Y425" s="3"/>
      <c r="Z425" s="3"/>
      <c r="AA425" s="3"/>
      <c r="AB425" s="3"/>
      <c r="AC425" s="3"/>
      <c r="AD425" s="3"/>
      <c r="AE425" s="3">
        <v>0</v>
      </c>
      <c r="AF425" s="3">
        <v>0</v>
      </c>
      <c r="AG425" s="3"/>
      <c r="AH425" s="40"/>
      <c r="AI425" s="40"/>
      <c r="AJ425" s="40"/>
      <c r="AK425" s="40"/>
      <c r="AL425" s="40"/>
      <c r="AM425" s="40"/>
      <c r="AN425" s="40"/>
      <c r="AO425" s="40"/>
      <c r="AP425" s="40"/>
      <c r="AQ425" s="40"/>
      <c r="AR425" s="31"/>
      <c r="AS425" s="36">
        <v>0</v>
      </c>
      <c r="AY425" s="6"/>
      <c r="AZ425" s="2"/>
      <c r="BA425" s="2"/>
      <c r="BB425" s="2"/>
      <c r="BC425">
        <v>71500</v>
      </c>
      <c r="BD425">
        <v>56992</v>
      </c>
    </row>
    <row r="426" spans="3:56" x14ac:dyDescent="0.25">
      <c r="C426" s="1">
        <v>46046</v>
      </c>
      <c r="D426" s="36">
        <v>249932.632258064</v>
      </c>
      <c r="E426" s="33">
        <v>4.2064516129032299</v>
      </c>
      <c r="F426" s="33">
        <v>3.4468131899641601</v>
      </c>
      <c r="G426" s="2">
        <v>0.81941111111111098</v>
      </c>
      <c r="H426" s="2">
        <v>0.99</v>
      </c>
      <c r="I426" s="3"/>
      <c r="J426" s="3"/>
      <c r="K426" s="3"/>
      <c r="L426" s="3"/>
      <c r="M426" s="3"/>
      <c r="N426" s="3">
        <v>0</v>
      </c>
      <c r="O426" s="3"/>
      <c r="P426" s="3">
        <v>0</v>
      </c>
      <c r="Q426" s="3">
        <v>0</v>
      </c>
      <c r="R426" s="3">
        <v>0</v>
      </c>
      <c r="S426" s="3">
        <v>0</v>
      </c>
      <c r="T426" s="3">
        <v>0</v>
      </c>
      <c r="U426" s="3"/>
      <c r="V426" s="3"/>
      <c r="W426" s="3"/>
      <c r="X426" s="3"/>
      <c r="Y426" s="3"/>
      <c r="Z426" s="3"/>
      <c r="AA426" s="3"/>
      <c r="AB426" s="3"/>
      <c r="AC426" s="3"/>
      <c r="AD426" s="3"/>
      <c r="AE426" s="3">
        <v>0</v>
      </c>
      <c r="AF426" s="3">
        <v>0</v>
      </c>
      <c r="AG426" s="3"/>
      <c r="AH426" s="40"/>
      <c r="AI426" s="40"/>
      <c r="AJ426" s="40"/>
      <c r="AK426" s="40"/>
      <c r="AL426" s="40"/>
      <c r="AM426" s="40"/>
      <c r="AN426" s="40"/>
      <c r="AO426" s="40"/>
      <c r="AP426" s="40"/>
      <c r="AQ426" s="40"/>
      <c r="AR426" s="31"/>
      <c r="AS426" s="36">
        <v>0</v>
      </c>
      <c r="AY426" s="6"/>
      <c r="AZ426" s="2"/>
      <c r="BA426" s="2"/>
      <c r="BB426" s="2"/>
      <c r="BC426">
        <v>71500</v>
      </c>
      <c r="BD426">
        <v>56992</v>
      </c>
    </row>
    <row r="427" spans="3:56" x14ac:dyDescent="0.25">
      <c r="C427" s="1">
        <v>46047</v>
      </c>
      <c r="D427" s="36">
        <v>249932.632258064</v>
      </c>
      <c r="E427" s="33">
        <v>4.2064516129032299</v>
      </c>
      <c r="F427" s="33">
        <v>3.4467664516129002</v>
      </c>
      <c r="G427" s="2">
        <v>0.81940000000000002</v>
      </c>
      <c r="H427" s="2">
        <v>0.99</v>
      </c>
      <c r="I427" s="3"/>
      <c r="J427" s="3"/>
      <c r="K427" s="3"/>
      <c r="L427" s="3"/>
      <c r="M427" s="3"/>
      <c r="N427" s="3">
        <v>0</v>
      </c>
      <c r="O427" s="3"/>
      <c r="P427" s="3">
        <v>0</v>
      </c>
      <c r="Q427" s="3">
        <v>0</v>
      </c>
      <c r="R427" s="3">
        <v>0</v>
      </c>
      <c r="S427" s="3">
        <v>0</v>
      </c>
      <c r="T427" s="3">
        <v>0</v>
      </c>
      <c r="U427" s="3"/>
      <c r="V427" s="3"/>
      <c r="W427" s="3"/>
      <c r="X427" s="3"/>
      <c r="Y427" s="3"/>
      <c r="Z427" s="3"/>
      <c r="AA427" s="3"/>
      <c r="AB427" s="3"/>
      <c r="AC427" s="3"/>
      <c r="AD427" s="3"/>
      <c r="AE427" s="3">
        <v>0</v>
      </c>
      <c r="AF427" s="3">
        <v>0</v>
      </c>
      <c r="AG427" s="3"/>
      <c r="AH427" s="40"/>
      <c r="AI427" s="40"/>
      <c r="AJ427" s="40"/>
      <c r="AK427" s="40"/>
      <c r="AL427" s="40"/>
      <c r="AM427" s="40"/>
      <c r="AN427" s="40"/>
      <c r="AO427" s="40"/>
      <c r="AP427" s="40"/>
      <c r="AQ427" s="40"/>
      <c r="AR427" s="31"/>
      <c r="AS427" s="36">
        <v>0</v>
      </c>
      <c r="AY427" s="6"/>
      <c r="AZ427" s="2"/>
      <c r="BA427" s="2"/>
      <c r="BB427" s="2"/>
      <c r="BC427">
        <v>71500</v>
      </c>
      <c r="BD427">
        <v>56992</v>
      </c>
    </row>
    <row r="428" spans="3:56" x14ac:dyDescent="0.25">
      <c r="C428" s="1">
        <v>46048</v>
      </c>
      <c r="D428" s="36">
        <v>249932.632258064</v>
      </c>
      <c r="E428" s="33">
        <v>4.2064516129032299</v>
      </c>
      <c r="F428" s="33">
        <v>3.4467197132616501</v>
      </c>
      <c r="G428" s="2">
        <v>0.81938888888888906</v>
      </c>
      <c r="H428" s="2">
        <v>0.99</v>
      </c>
      <c r="I428" s="3"/>
      <c r="J428" s="3"/>
      <c r="K428" s="3"/>
      <c r="L428" s="3"/>
      <c r="M428" s="3"/>
      <c r="N428" s="3">
        <v>0</v>
      </c>
      <c r="O428" s="3"/>
      <c r="P428" s="3">
        <v>0</v>
      </c>
      <c r="Q428" s="3">
        <v>0</v>
      </c>
      <c r="R428" s="3">
        <v>0</v>
      </c>
      <c r="S428" s="3">
        <v>0</v>
      </c>
      <c r="T428" s="3">
        <v>0</v>
      </c>
      <c r="U428" s="3"/>
      <c r="V428" s="3"/>
      <c r="W428" s="3"/>
      <c r="X428" s="3"/>
      <c r="Y428" s="3"/>
      <c r="Z428" s="3"/>
      <c r="AA428" s="3"/>
      <c r="AB428" s="3"/>
      <c r="AC428" s="3"/>
      <c r="AD428" s="3"/>
      <c r="AE428" s="3">
        <v>0</v>
      </c>
      <c r="AF428" s="3">
        <v>0</v>
      </c>
      <c r="AG428" s="3"/>
      <c r="AH428" s="40"/>
      <c r="AI428" s="40"/>
      <c r="AJ428" s="40"/>
      <c r="AK428" s="40"/>
      <c r="AL428" s="40"/>
      <c r="AM428" s="40"/>
      <c r="AN428" s="40"/>
      <c r="AO428" s="40"/>
      <c r="AP428" s="40"/>
      <c r="AQ428" s="40"/>
      <c r="AR428" s="31"/>
      <c r="AS428" s="36">
        <v>0</v>
      </c>
      <c r="AY428" s="6"/>
      <c r="AZ428" s="2"/>
      <c r="BA428" s="2"/>
      <c r="BB428" s="2"/>
      <c r="BC428">
        <v>71500</v>
      </c>
      <c r="BD428">
        <v>56992</v>
      </c>
    </row>
    <row r="429" spans="3:56" x14ac:dyDescent="0.25">
      <c r="C429" s="1">
        <v>46049</v>
      </c>
      <c r="D429" s="36">
        <v>249932.632258064</v>
      </c>
      <c r="E429" s="33">
        <v>4.2064516129032299</v>
      </c>
      <c r="F429" s="33">
        <v>3.4466729749103902</v>
      </c>
      <c r="G429" s="2">
        <v>0.81937777777777798</v>
      </c>
      <c r="H429" s="2">
        <v>0.99</v>
      </c>
      <c r="I429" s="3"/>
      <c r="J429" s="3"/>
      <c r="K429" s="3"/>
      <c r="L429" s="3"/>
      <c r="M429" s="3"/>
      <c r="N429" s="3">
        <v>0</v>
      </c>
      <c r="O429" s="3"/>
      <c r="P429" s="3">
        <v>0</v>
      </c>
      <c r="Q429" s="3">
        <v>0</v>
      </c>
      <c r="R429" s="3">
        <v>0</v>
      </c>
      <c r="S429" s="3">
        <v>0</v>
      </c>
      <c r="T429" s="3">
        <v>0</v>
      </c>
      <c r="U429" s="3"/>
      <c r="V429" s="3"/>
      <c r="W429" s="3"/>
      <c r="X429" s="3"/>
      <c r="Y429" s="3"/>
      <c r="Z429" s="3"/>
      <c r="AA429" s="3"/>
      <c r="AB429" s="3"/>
      <c r="AC429" s="3"/>
      <c r="AD429" s="3"/>
      <c r="AE429" s="3">
        <v>0</v>
      </c>
      <c r="AF429" s="3">
        <v>0</v>
      </c>
      <c r="AG429" s="3"/>
      <c r="AH429" s="40"/>
      <c r="AI429" s="40"/>
      <c r="AJ429" s="40"/>
      <c r="AK429" s="40"/>
      <c r="AL429" s="40"/>
      <c r="AM429" s="40"/>
      <c r="AN429" s="40"/>
      <c r="AO429" s="40"/>
      <c r="AP429" s="40"/>
      <c r="AQ429" s="40"/>
      <c r="AR429" s="31"/>
      <c r="AS429" s="36">
        <v>0</v>
      </c>
      <c r="AY429" s="6"/>
      <c r="AZ429" s="2"/>
      <c r="BA429" s="2"/>
      <c r="BB429" s="2"/>
      <c r="BC429">
        <v>71500</v>
      </c>
      <c r="BD429">
        <v>56992</v>
      </c>
    </row>
    <row r="430" spans="3:56" x14ac:dyDescent="0.25">
      <c r="C430" s="1">
        <v>46050</v>
      </c>
      <c r="D430" s="36">
        <v>249932.632258064</v>
      </c>
      <c r="E430" s="33">
        <v>4.2064516129032299</v>
      </c>
      <c r="F430" s="33">
        <v>3.44662623655914</v>
      </c>
      <c r="G430" s="2">
        <v>0.81936666666666702</v>
      </c>
      <c r="H430" s="2">
        <v>0.99</v>
      </c>
      <c r="I430" s="3"/>
      <c r="J430" s="3"/>
      <c r="K430" s="3"/>
      <c r="L430" s="3"/>
      <c r="M430" s="3"/>
      <c r="N430" s="3">
        <v>0</v>
      </c>
      <c r="O430" s="3"/>
      <c r="P430" s="3">
        <v>0</v>
      </c>
      <c r="Q430" s="3">
        <v>0</v>
      </c>
      <c r="R430" s="3">
        <v>0</v>
      </c>
      <c r="S430" s="3">
        <v>0</v>
      </c>
      <c r="T430" s="3">
        <v>0</v>
      </c>
      <c r="U430" s="3"/>
      <c r="V430" s="3"/>
      <c r="W430" s="3"/>
      <c r="X430" s="3"/>
      <c r="Y430" s="3"/>
      <c r="Z430" s="3"/>
      <c r="AA430" s="3"/>
      <c r="AB430" s="3"/>
      <c r="AC430" s="3"/>
      <c r="AD430" s="3"/>
      <c r="AE430" s="3">
        <v>0</v>
      </c>
      <c r="AF430" s="3">
        <v>0</v>
      </c>
      <c r="AG430" s="3"/>
      <c r="AH430" s="40"/>
      <c r="AI430" s="40"/>
      <c r="AJ430" s="40"/>
      <c r="AK430" s="40"/>
      <c r="AL430" s="40"/>
      <c r="AM430" s="40"/>
      <c r="AN430" s="40"/>
      <c r="AO430" s="40"/>
      <c r="AP430" s="40"/>
      <c r="AQ430" s="40"/>
      <c r="AR430" s="31"/>
      <c r="AS430" s="36">
        <v>0</v>
      </c>
      <c r="AY430" s="6"/>
      <c r="AZ430" s="2"/>
      <c r="BA430" s="2"/>
      <c r="BB430" s="2"/>
      <c r="BC430">
        <v>71500</v>
      </c>
      <c r="BD430">
        <v>56992</v>
      </c>
    </row>
    <row r="431" spans="3:56" x14ac:dyDescent="0.25">
      <c r="C431" s="1">
        <v>46051</v>
      </c>
      <c r="D431" s="36">
        <v>249932.632258064</v>
      </c>
      <c r="E431" s="33">
        <v>4.2064516129032299</v>
      </c>
      <c r="F431" s="33">
        <v>3.4465794982078899</v>
      </c>
      <c r="G431" s="2">
        <v>0.81935555555555595</v>
      </c>
      <c r="H431" s="2">
        <v>0.99</v>
      </c>
      <c r="I431" s="3"/>
      <c r="J431" s="3"/>
      <c r="K431" s="3"/>
      <c r="L431" s="3"/>
      <c r="M431" s="3"/>
      <c r="N431" s="3">
        <v>0</v>
      </c>
      <c r="O431" s="3"/>
      <c r="P431" s="3">
        <v>0</v>
      </c>
      <c r="Q431" s="3">
        <v>0</v>
      </c>
      <c r="R431" s="3">
        <v>0</v>
      </c>
      <c r="S431" s="3">
        <v>0</v>
      </c>
      <c r="T431" s="3">
        <v>0</v>
      </c>
      <c r="U431" s="3"/>
      <c r="V431" s="3"/>
      <c r="W431" s="3"/>
      <c r="X431" s="3"/>
      <c r="Y431" s="3"/>
      <c r="Z431" s="3"/>
      <c r="AA431" s="3"/>
      <c r="AB431" s="3"/>
      <c r="AC431" s="3"/>
      <c r="AD431" s="3"/>
      <c r="AE431" s="3">
        <v>0</v>
      </c>
      <c r="AF431" s="3">
        <v>0</v>
      </c>
      <c r="AG431" s="3"/>
      <c r="AH431" s="40"/>
      <c r="AI431" s="40"/>
      <c r="AJ431" s="40"/>
      <c r="AK431" s="40"/>
      <c r="AL431" s="40"/>
      <c r="AM431" s="40"/>
      <c r="AN431" s="40"/>
      <c r="AO431" s="40"/>
      <c r="AP431" s="40"/>
      <c r="AQ431" s="40"/>
      <c r="AR431" s="31"/>
      <c r="AS431" s="36">
        <v>0</v>
      </c>
      <c r="AY431" s="6"/>
      <c r="AZ431" s="2"/>
      <c r="BA431" s="2"/>
      <c r="BB431" s="2"/>
      <c r="BC431">
        <v>71500</v>
      </c>
      <c r="BD431">
        <v>56992</v>
      </c>
    </row>
    <row r="432" spans="3:56" x14ac:dyDescent="0.25">
      <c r="C432" s="1">
        <v>46052</v>
      </c>
      <c r="D432" s="36">
        <v>249932.632258064</v>
      </c>
      <c r="E432" s="33">
        <v>4.2064516129032299</v>
      </c>
      <c r="F432" s="33">
        <v>3.44653275985663</v>
      </c>
      <c r="G432" s="2">
        <v>0.81934444444444399</v>
      </c>
      <c r="H432" s="2">
        <v>0.99</v>
      </c>
      <c r="I432" s="3"/>
      <c r="J432" s="3"/>
      <c r="K432" s="3"/>
      <c r="L432" s="3"/>
      <c r="M432" s="3"/>
      <c r="N432" s="3">
        <v>0</v>
      </c>
      <c r="O432" s="3"/>
      <c r="P432" s="3">
        <v>0</v>
      </c>
      <c r="Q432" s="3">
        <v>0</v>
      </c>
      <c r="R432" s="3">
        <v>0</v>
      </c>
      <c r="S432" s="3">
        <v>0</v>
      </c>
      <c r="T432" s="3">
        <v>0</v>
      </c>
      <c r="U432" s="3"/>
      <c r="V432" s="3"/>
      <c r="W432" s="3"/>
      <c r="X432" s="3"/>
      <c r="Y432" s="3"/>
      <c r="Z432" s="3"/>
      <c r="AA432" s="3"/>
      <c r="AB432" s="3"/>
      <c r="AC432" s="3"/>
      <c r="AD432" s="3"/>
      <c r="AE432" s="3">
        <v>0</v>
      </c>
      <c r="AF432" s="3">
        <v>0</v>
      </c>
      <c r="AG432" s="3"/>
      <c r="AH432" s="40"/>
      <c r="AI432" s="40"/>
      <c r="AJ432" s="40"/>
      <c r="AK432" s="40"/>
      <c r="AL432" s="40"/>
      <c r="AM432" s="40"/>
      <c r="AN432" s="40"/>
      <c r="AO432" s="40"/>
      <c r="AP432" s="40"/>
      <c r="AQ432" s="40"/>
      <c r="AR432" s="31"/>
      <c r="AS432" s="36">
        <v>0</v>
      </c>
      <c r="AY432" s="6"/>
      <c r="AZ432" s="2"/>
      <c r="BA432" s="2"/>
      <c r="BB432" s="2"/>
      <c r="BC432">
        <v>71500</v>
      </c>
      <c r="BD432">
        <v>56992</v>
      </c>
    </row>
    <row r="433" spans="3:56" x14ac:dyDescent="0.25">
      <c r="C433" s="1">
        <v>46053</v>
      </c>
      <c r="D433" s="36">
        <v>249932.632258064</v>
      </c>
      <c r="E433" s="33">
        <v>4.2064516129032299</v>
      </c>
      <c r="F433" s="33">
        <v>3.4464860215053799</v>
      </c>
      <c r="G433" s="2">
        <v>0.81933333333333302</v>
      </c>
      <c r="H433" s="2">
        <v>0.99</v>
      </c>
      <c r="I433" s="3"/>
      <c r="J433" s="3"/>
      <c r="K433" s="3"/>
      <c r="L433" s="3"/>
      <c r="M433" s="3"/>
      <c r="N433" s="3">
        <v>0</v>
      </c>
      <c r="O433" s="3"/>
      <c r="P433" s="3">
        <v>0</v>
      </c>
      <c r="Q433" s="3">
        <v>0</v>
      </c>
      <c r="R433" s="3">
        <v>0</v>
      </c>
      <c r="S433" s="3">
        <v>0</v>
      </c>
      <c r="T433" s="3">
        <v>0</v>
      </c>
      <c r="U433" s="3"/>
      <c r="V433" s="3"/>
      <c r="W433" s="3"/>
      <c r="X433" s="3"/>
      <c r="Y433" s="3"/>
      <c r="Z433" s="3"/>
      <c r="AA433" s="3"/>
      <c r="AB433" s="3"/>
      <c r="AC433" s="3"/>
      <c r="AD433" s="3"/>
      <c r="AE433" s="3">
        <v>0</v>
      </c>
      <c r="AF433" s="3">
        <v>0</v>
      </c>
      <c r="AG433" s="3"/>
      <c r="AH433" s="40"/>
      <c r="AI433" s="40"/>
      <c r="AJ433" s="40"/>
      <c r="AK433" s="40"/>
      <c r="AL433" s="40"/>
      <c r="AM433" s="40"/>
      <c r="AN433" s="40"/>
      <c r="AO433" s="40"/>
      <c r="AP433" s="40"/>
      <c r="AQ433" s="40"/>
      <c r="AR433" s="31"/>
      <c r="AS433" s="36">
        <v>0</v>
      </c>
      <c r="AY433" s="6"/>
      <c r="AZ433" s="2"/>
      <c r="BA433" s="2"/>
      <c r="BB433" s="2"/>
      <c r="BC433">
        <v>71500</v>
      </c>
      <c r="BD433">
        <v>56992</v>
      </c>
    </row>
    <row r="434" spans="3:56" x14ac:dyDescent="0.25">
      <c r="C434" s="1">
        <v>46054</v>
      </c>
      <c r="D434" s="36">
        <v>266565.27857142902</v>
      </c>
      <c r="E434" s="33">
        <v>4.5857142857142899</v>
      </c>
      <c r="F434" s="33">
        <v>3.7572285714285698</v>
      </c>
      <c r="G434" s="2">
        <v>0.81933333333333302</v>
      </c>
      <c r="H434" s="2">
        <v>0.99</v>
      </c>
      <c r="I434" s="3"/>
      <c r="J434" s="3"/>
      <c r="K434" s="3"/>
      <c r="L434" s="3"/>
      <c r="M434" s="3"/>
      <c r="N434" s="3">
        <v>0</v>
      </c>
      <c r="O434" s="3"/>
      <c r="P434" s="3">
        <v>0</v>
      </c>
      <c r="Q434" s="3">
        <v>0</v>
      </c>
      <c r="R434" s="3">
        <v>0</v>
      </c>
      <c r="S434" s="3">
        <v>0</v>
      </c>
      <c r="T434" s="3">
        <v>0</v>
      </c>
      <c r="U434" s="3"/>
      <c r="V434" s="3"/>
      <c r="W434" s="3"/>
      <c r="X434" s="3"/>
      <c r="Y434" s="3"/>
      <c r="Z434" s="3"/>
      <c r="AA434" s="3"/>
      <c r="AB434" s="3"/>
      <c r="AC434" s="3"/>
      <c r="AD434" s="3"/>
      <c r="AE434" s="3">
        <v>0</v>
      </c>
      <c r="AF434" s="3">
        <v>0</v>
      </c>
      <c r="AG434" s="3"/>
      <c r="AH434" s="40"/>
      <c r="AI434" s="40"/>
      <c r="AJ434" s="40"/>
      <c r="AK434" s="40"/>
      <c r="AL434" s="40"/>
      <c r="AM434" s="40"/>
      <c r="AN434" s="40"/>
      <c r="AO434" s="40"/>
      <c r="AP434" s="40"/>
      <c r="AQ434" s="40"/>
      <c r="AR434" s="31"/>
      <c r="AS434" s="36">
        <v>0</v>
      </c>
      <c r="AY434" s="6"/>
      <c r="AZ434" s="2"/>
      <c r="BA434" s="2"/>
      <c r="BB434" s="2"/>
      <c r="BC434">
        <v>71500</v>
      </c>
      <c r="BD434">
        <v>56992</v>
      </c>
    </row>
    <row r="435" spans="3:56" x14ac:dyDescent="0.25">
      <c r="C435" s="1">
        <v>46055</v>
      </c>
      <c r="D435" s="36">
        <v>266565.27857142902</v>
      </c>
      <c r="E435" s="33">
        <v>4.5857142857142899</v>
      </c>
      <c r="F435" s="33">
        <v>3.7571776190476198</v>
      </c>
      <c r="G435" s="2">
        <v>0.81932222222222195</v>
      </c>
      <c r="H435" s="2">
        <v>0.99</v>
      </c>
      <c r="I435" s="3"/>
      <c r="J435" s="3"/>
      <c r="K435" s="3"/>
      <c r="L435" s="3"/>
      <c r="M435" s="3"/>
      <c r="N435" s="3">
        <v>0</v>
      </c>
      <c r="O435" s="3"/>
      <c r="P435" s="3">
        <v>0</v>
      </c>
      <c r="Q435" s="3">
        <v>0</v>
      </c>
      <c r="R435" s="3">
        <v>0</v>
      </c>
      <c r="S435" s="3">
        <v>0</v>
      </c>
      <c r="T435" s="3">
        <v>0</v>
      </c>
      <c r="U435" s="3"/>
      <c r="V435" s="3"/>
      <c r="W435" s="3"/>
      <c r="X435" s="3"/>
      <c r="Y435" s="3"/>
      <c r="Z435" s="3"/>
      <c r="AA435" s="3"/>
      <c r="AB435" s="3"/>
      <c r="AC435" s="3"/>
      <c r="AD435" s="3"/>
      <c r="AE435" s="3">
        <v>0</v>
      </c>
      <c r="AF435" s="3">
        <v>0</v>
      </c>
      <c r="AG435" s="3"/>
      <c r="AH435" s="40"/>
      <c r="AI435" s="40"/>
      <c r="AJ435" s="40"/>
      <c r="AK435" s="40"/>
      <c r="AL435" s="40"/>
      <c r="AM435" s="40"/>
      <c r="AN435" s="40"/>
      <c r="AO435" s="40"/>
      <c r="AP435" s="40"/>
      <c r="AQ435" s="40"/>
      <c r="AR435" s="31"/>
      <c r="AS435" s="36">
        <v>0</v>
      </c>
      <c r="AY435" s="6"/>
      <c r="AZ435" s="2"/>
      <c r="BA435" s="2"/>
      <c r="BB435" s="2"/>
      <c r="BC435">
        <v>71500</v>
      </c>
      <c r="BD435">
        <v>56992</v>
      </c>
    </row>
    <row r="436" spans="3:56" x14ac:dyDescent="0.25">
      <c r="C436" s="1">
        <v>46056</v>
      </c>
      <c r="D436" s="36">
        <v>266565.27857142902</v>
      </c>
      <c r="E436" s="33">
        <v>4.5857142857142899</v>
      </c>
      <c r="F436" s="33">
        <v>3.7571266666666698</v>
      </c>
      <c r="G436" s="2">
        <v>0.81931111111111099</v>
      </c>
      <c r="H436" s="2">
        <v>0.99</v>
      </c>
      <c r="I436" s="3"/>
      <c r="J436" s="3"/>
      <c r="K436" s="3"/>
      <c r="L436" s="3"/>
      <c r="M436" s="3"/>
      <c r="N436" s="3">
        <v>0</v>
      </c>
      <c r="O436" s="3"/>
      <c r="P436" s="3">
        <v>0</v>
      </c>
      <c r="Q436" s="3">
        <v>0</v>
      </c>
      <c r="R436" s="3">
        <v>0</v>
      </c>
      <c r="S436" s="3">
        <v>0</v>
      </c>
      <c r="T436" s="3">
        <v>0</v>
      </c>
      <c r="U436" s="3"/>
      <c r="V436" s="3"/>
      <c r="W436" s="3"/>
      <c r="X436" s="3"/>
      <c r="Y436" s="3"/>
      <c r="Z436" s="3"/>
      <c r="AA436" s="3"/>
      <c r="AB436" s="3"/>
      <c r="AC436" s="3"/>
      <c r="AD436" s="3"/>
      <c r="AE436" s="3">
        <v>0</v>
      </c>
      <c r="AF436" s="3">
        <v>0</v>
      </c>
      <c r="AG436" s="3"/>
      <c r="AH436" s="40"/>
      <c r="AI436" s="40"/>
      <c r="AJ436" s="40"/>
      <c r="AK436" s="40"/>
      <c r="AL436" s="40"/>
      <c r="AM436" s="40"/>
      <c r="AN436" s="40"/>
      <c r="AO436" s="40"/>
      <c r="AP436" s="40"/>
      <c r="AQ436" s="40"/>
      <c r="AR436" s="31"/>
      <c r="AS436" s="36">
        <v>0</v>
      </c>
      <c r="AY436" s="6"/>
      <c r="AZ436" s="2"/>
      <c r="BA436" s="2"/>
      <c r="BB436" s="2"/>
      <c r="BC436">
        <v>71500</v>
      </c>
      <c r="BD436">
        <v>56992</v>
      </c>
    </row>
    <row r="437" spans="3:56" x14ac:dyDescent="0.25">
      <c r="C437" s="1">
        <v>46057</v>
      </c>
      <c r="D437" s="36">
        <v>266565.27857142902</v>
      </c>
      <c r="E437" s="33">
        <v>4.5857142857142899</v>
      </c>
      <c r="F437" s="33">
        <v>3.7570757142857101</v>
      </c>
      <c r="G437" s="2">
        <v>0.81930000000000003</v>
      </c>
      <c r="H437" s="2">
        <v>0.99</v>
      </c>
      <c r="I437" s="3"/>
      <c r="J437" s="3"/>
      <c r="K437" s="3"/>
      <c r="L437" s="3"/>
      <c r="M437" s="3"/>
      <c r="N437" s="3">
        <v>0</v>
      </c>
      <c r="O437" s="3"/>
      <c r="P437" s="3">
        <v>0</v>
      </c>
      <c r="Q437" s="3">
        <v>0</v>
      </c>
      <c r="R437" s="3">
        <v>0</v>
      </c>
      <c r="S437" s="3">
        <v>0</v>
      </c>
      <c r="T437" s="3">
        <v>0</v>
      </c>
      <c r="U437" s="3"/>
      <c r="V437" s="3"/>
      <c r="W437" s="3"/>
      <c r="X437" s="3"/>
      <c r="Y437" s="3"/>
      <c r="Z437" s="3"/>
      <c r="AA437" s="3"/>
      <c r="AB437" s="3"/>
      <c r="AC437" s="3"/>
      <c r="AD437" s="3"/>
      <c r="AE437" s="3">
        <v>0</v>
      </c>
      <c r="AF437" s="3">
        <v>0</v>
      </c>
      <c r="AG437" s="3"/>
      <c r="AH437" s="40"/>
      <c r="AI437" s="40"/>
      <c r="AJ437" s="40"/>
      <c r="AK437" s="40"/>
      <c r="AL437" s="40"/>
      <c r="AM437" s="40"/>
      <c r="AN437" s="40"/>
      <c r="AO437" s="40"/>
      <c r="AP437" s="40"/>
      <c r="AQ437" s="40"/>
      <c r="AR437" s="31"/>
      <c r="AS437" s="36">
        <v>0</v>
      </c>
      <c r="AY437" s="6"/>
      <c r="AZ437" s="2"/>
      <c r="BA437" s="2"/>
      <c r="BB437" s="2"/>
      <c r="BC437">
        <v>71500</v>
      </c>
      <c r="BD437">
        <v>56992</v>
      </c>
    </row>
    <row r="438" spans="3:56" x14ac:dyDescent="0.25">
      <c r="C438" s="1">
        <v>46058</v>
      </c>
      <c r="D438" s="36">
        <v>266565.27857142902</v>
      </c>
      <c r="E438" s="33">
        <v>4.5857142857142899</v>
      </c>
      <c r="F438" s="33">
        <v>3.7570247619047601</v>
      </c>
      <c r="G438" s="2">
        <v>0.81928888888888896</v>
      </c>
      <c r="H438" s="2">
        <v>0.99</v>
      </c>
      <c r="I438" s="3"/>
      <c r="J438" s="3"/>
      <c r="K438" s="3"/>
      <c r="L438" s="3"/>
      <c r="M438" s="3"/>
      <c r="N438" s="3">
        <v>0</v>
      </c>
      <c r="O438" s="3"/>
      <c r="P438" s="3">
        <v>0</v>
      </c>
      <c r="Q438" s="3">
        <v>0</v>
      </c>
      <c r="R438" s="3">
        <v>0</v>
      </c>
      <c r="S438" s="3">
        <v>0</v>
      </c>
      <c r="T438" s="3">
        <v>0</v>
      </c>
      <c r="U438" s="3"/>
      <c r="V438" s="3"/>
      <c r="W438" s="3"/>
      <c r="X438" s="3"/>
      <c r="Y438" s="3"/>
      <c r="Z438" s="3"/>
      <c r="AA438" s="3"/>
      <c r="AB438" s="3"/>
      <c r="AC438" s="3"/>
      <c r="AD438" s="3"/>
      <c r="AE438" s="3">
        <v>0</v>
      </c>
      <c r="AF438" s="3">
        <v>0</v>
      </c>
      <c r="AG438" s="3"/>
      <c r="AH438" s="40"/>
      <c r="AI438" s="40"/>
      <c r="AJ438" s="40"/>
      <c r="AK438" s="40"/>
      <c r="AL438" s="40"/>
      <c r="AM438" s="40"/>
      <c r="AN438" s="40"/>
      <c r="AO438" s="40"/>
      <c r="AP438" s="40"/>
      <c r="AQ438" s="40"/>
      <c r="AR438" s="31"/>
      <c r="AS438" s="36">
        <v>0</v>
      </c>
      <c r="AY438" s="6"/>
      <c r="AZ438" s="2"/>
      <c r="BA438" s="2"/>
      <c r="BB438" s="2"/>
      <c r="BC438">
        <v>71500</v>
      </c>
      <c r="BD438">
        <v>56992</v>
      </c>
    </row>
    <row r="439" spans="3:56" x14ac:dyDescent="0.25">
      <c r="C439" s="1">
        <v>46059</v>
      </c>
      <c r="D439" s="36">
        <v>266565.27857142902</v>
      </c>
      <c r="E439" s="33">
        <v>4.5857142857142899</v>
      </c>
      <c r="F439" s="33">
        <v>3.7569738095238101</v>
      </c>
      <c r="G439" s="2">
        <v>0.81927777777777799</v>
      </c>
      <c r="H439" s="2">
        <v>0.99</v>
      </c>
      <c r="I439" s="3"/>
      <c r="J439" s="3"/>
      <c r="K439" s="3"/>
      <c r="L439" s="3"/>
      <c r="M439" s="3"/>
      <c r="N439" s="3">
        <v>0</v>
      </c>
      <c r="O439" s="3"/>
      <c r="P439" s="3">
        <v>0</v>
      </c>
      <c r="Q439" s="3">
        <v>0</v>
      </c>
      <c r="R439" s="3">
        <v>0</v>
      </c>
      <c r="S439" s="3">
        <v>0</v>
      </c>
      <c r="T439" s="3">
        <v>0</v>
      </c>
      <c r="U439" s="3"/>
      <c r="V439" s="3"/>
      <c r="W439" s="3"/>
      <c r="X439" s="3"/>
      <c r="Y439" s="3"/>
      <c r="Z439" s="3"/>
      <c r="AA439" s="3"/>
      <c r="AB439" s="3"/>
      <c r="AC439" s="3"/>
      <c r="AD439" s="3"/>
      <c r="AE439" s="3">
        <v>0</v>
      </c>
      <c r="AF439" s="3">
        <v>0</v>
      </c>
      <c r="AG439" s="3"/>
      <c r="AH439" s="40"/>
      <c r="AI439" s="40"/>
      <c r="AJ439" s="40"/>
      <c r="AK439" s="40"/>
      <c r="AL439" s="40"/>
      <c r="AM439" s="40"/>
      <c r="AN439" s="40"/>
      <c r="AO439" s="40"/>
      <c r="AP439" s="40"/>
      <c r="AQ439" s="40"/>
      <c r="AR439" s="31"/>
      <c r="AS439" s="36">
        <v>0</v>
      </c>
      <c r="AY439" s="6"/>
      <c r="AZ439" s="2"/>
      <c r="BA439" s="2"/>
      <c r="BB439" s="2"/>
      <c r="BC439">
        <v>71500</v>
      </c>
      <c r="BD439">
        <v>56992</v>
      </c>
    </row>
    <row r="440" spans="3:56" x14ac:dyDescent="0.25">
      <c r="C440" s="1">
        <v>46060</v>
      </c>
      <c r="D440" s="36">
        <v>266565.27857142902</v>
      </c>
      <c r="E440" s="33">
        <v>4.5857142857142899</v>
      </c>
      <c r="F440" s="33">
        <v>3.7569228571428601</v>
      </c>
      <c r="G440" s="2">
        <v>0.81926666666666703</v>
      </c>
      <c r="H440" s="2">
        <v>0.99</v>
      </c>
      <c r="I440" s="3"/>
      <c r="J440" s="3"/>
      <c r="K440" s="3"/>
      <c r="L440" s="3"/>
      <c r="M440" s="3"/>
      <c r="N440" s="3">
        <v>0</v>
      </c>
      <c r="O440" s="3"/>
      <c r="P440" s="3">
        <v>0</v>
      </c>
      <c r="Q440" s="3">
        <v>0</v>
      </c>
      <c r="R440" s="3">
        <v>0</v>
      </c>
      <c r="S440" s="3">
        <v>0</v>
      </c>
      <c r="T440" s="3">
        <v>0</v>
      </c>
      <c r="U440" s="3"/>
      <c r="V440" s="3"/>
      <c r="W440" s="3"/>
      <c r="X440" s="3"/>
      <c r="Y440" s="3"/>
      <c r="Z440" s="3"/>
      <c r="AA440" s="3"/>
      <c r="AB440" s="3"/>
      <c r="AC440" s="3"/>
      <c r="AD440" s="3"/>
      <c r="AE440" s="3">
        <v>0</v>
      </c>
      <c r="AF440" s="3">
        <v>0</v>
      </c>
      <c r="AG440" s="3"/>
      <c r="AH440" s="40"/>
      <c r="AI440" s="40"/>
      <c r="AJ440" s="40"/>
      <c r="AK440" s="40"/>
      <c r="AL440" s="40"/>
      <c r="AM440" s="40"/>
      <c r="AN440" s="40"/>
      <c r="AO440" s="40"/>
      <c r="AP440" s="40"/>
      <c r="AQ440" s="40"/>
      <c r="AR440" s="31"/>
      <c r="AS440" s="36">
        <v>0</v>
      </c>
      <c r="AY440" s="6"/>
      <c r="AZ440" s="2"/>
      <c r="BA440" s="2"/>
      <c r="BB440" s="2"/>
      <c r="BC440">
        <v>71500</v>
      </c>
      <c r="BD440">
        <v>56992</v>
      </c>
    </row>
    <row r="441" spans="3:56" x14ac:dyDescent="0.25">
      <c r="C441" s="1">
        <v>46061</v>
      </c>
      <c r="D441" s="36">
        <v>266565.27857142902</v>
      </c>
      <c r="E441" s="33">
        <v>4.5857142857142899</v>
      </c>
      <c r="F441" s="33">
        <v>3.7568719047619101</v>
      </c>
      <c r="G441" s="2">
        <v>0.81925555555555596</v>
      </c>
      <c r="H441" s="2">
        <v>0.99</v>
      </c>
      <c r="I441" s="3"/>
      <c r="J441" s="3"/>
      <c r="K441" s="3"/>
      <c r="L441" s="3"/>
      <c r="M441" s="3"/>
      <c r="N441" s="3">
        <v>0</v>
      </c>
      <c r="O441" s="3"/>
      <c r="P441" s="3">
        <v>0</v>
      </c>
      <c r="Q441" s="3">
        <v>0</v>
      </c>
      <c r="R441" s="3">
        <v>0</v>
      </c>
      <c r="S441" s="3">
        <v>0</v>
      </c>
      <c r="T441" s="3">
        <v>0</v>
      </c>
      <c r="U441" s="3"/>
      <c r="V441" s="3"/>
      <c r="W441" s="3"/>
      <c r="X441" s="3"/>
      <c r="Y441" s="3"/>
      <c r="Z441" s="3"/>
      <c r="AA441" s="3"/>
      <c r="AB441" s="3"/>
      <c r="AC441" s="3"/>
      <c r="AD441" s="3"/>
      <c r="AE441" s="3">
        <v>0</v>
      </c>
      <c r="AF441" s="3">
        <v>0</v>
      </c>
      <c r="AG441" s="3"/>
      <c r="AH441" s="40"/>
      <c r="AI441" s="40"/>
      <c r="AJ441" s="40"/>
      <c r="AK441" s="40"/>
      <c r="AL441" s="40"/>
      <c r="AM441" s="40"/>
      <c r="AN441" s="40"/>
      <c r="AO441" s="40"/>
      <c r="AP441" s="40"/>
      <c r="AQ441" s="40"/>
      <c r="AR441" s="31"/>
      <c r="AS441" s="36">
        <v>0</v>
      </c>
      <c r="AY441" s="6"/>
      <c r="AZ441" s="2"/>
      <c r="BA441" s="2"/>
      <c r="BB441" s="2"/>
      <c r="BC441">
        <v>71500</v>
      </c>
      <c r="BD441">
        <v>56992</v>
      </c>
    </row>
    <row r="442" spans="3:56" x14ac:dyDescent="0.25">
      <c r="C442" s="1">
        <v>46062</v>
      </c>
      <c r="D442" s="36">
        <v>266565.27857142902</v>
      </c>
      <c r="E442" s="33">
        <v>4.5857142857142899</v>
      </c>
      <c r="F442" s="33">
        <v>3.7568209523809499</v>
      </c>
      <c r="G442" s="2">
        <v>0.819244444444444</v>
      </c>
      <c r="H442" s="2">
        <v>0.99</v>
      </c>
      <c r="I442" s="3"/>
      <c r="J442" s="3"/>
      <c r="K442" s="3"/>
      <c r="L442" s="3"/>
      <c r="M442" s="3"/>
      <c r="N442" s="3">
        <v>0</v>
      </c>
      <c r="O442" s="3"/>
      <c r="P442" s="3">
        <v>0</v>
      </c>
      <c r="Q442" s="3">
        <v>0</v>
      </c>
      <c r="R442" s="3">
        <v>0</v>
      </c>
      <c r="S442" s="3">
        <v>0</v>
      </c>
      <c r="T442" s="3">
        <v>0</v>
      </c>
      <c r="U442" s="3"/>
      <c r="V442" s="3"/>
      <c r="W442" s="3"/>
      <c r="X442" s="3"/>
      <c r="Y442" s="3"/>
      <c r="Z442" s="3"/>
      <c r="AA442" s="3"/>
      <c r="AB442" s="3"/>
      <c r="AC442" s="3"/>
      <c r="AD442" s="3"/>
      <c r="AE442" s="3">
        <v>0</v>
      </c>
      <c r="AF442" s="3">
        <v>0</v>
      </c>
      <c r="AG442" s="3"/>
      <c r="AH442" s="40"/>
      <c r="AI442" s="40"/>
      <c r="AJ442" s="40"/>
      <c r="AK442" s="40"/>
      <c r="AL442" s="40"/>
      <c r="AM442" s="40"/>
      <c r="AN442" s="40"/>
      <c r="AO442" s="40"/>
      <c r="AP442" s="40"/>
      <c r="AQ442" s="40"/>
      <c r="AR442" s="31"/>
      <c r="AS442" s="36">
        <v>0</v>
      </c>
      <c r="AY442" s="6"/>
      <c r="AZ442" s="2"/>
      <c r="BA442" s="2"/>
      <c r="BB442" s="2"/>
      <c r="BC442">
        <v>71500</v>
      </c>
      <c r="BD442">
        <v>56992</v>
      </c>
    </row>
    <row r="443" spans="3:56" x14ac:dyDescent="0.25">
      <c r="C443" s="1">
        <v>46063</v>
      </c>
      <c r="D443" s="36">
        <v>266565.27857142902</v>
      </c>
      <c r="E443" s="33">
        <v>4.5857142857142899</v>
      </c>
      <c r="F443" s="33">
        <v>3.7567699999999999</v>
      </c>
      <c r="G443" s="2">
        <v>0.81923333333333304</v>
      </c>
      <c r="H443" s="2">
        <v>0.99</v>
      </c>
      <c r="I443" s="3"/>
      <c r="J443" s="3"/>
      <c r="K443" s="3"/>
      <c r="L443" s="3"/>
      <c r="M443" s="3"/>
      <c r="N443" s="3">
        <v>0</v>
      </c>
      <c r="O443" s="3"/>
      <c r="P443" s="3">
        <v>0</v>
      </c>
      <c r="Q443" s="3">
        <v>0</v>
      </c>
      <c r="R443" s="3">
        <v>0</v>
      </c>
      <c r="S443" s="3">
        <v>0</v>
      </c>
      <c r="T443" s="3">
        <v>0</v>
      </c>
      <c r="U443" s="3"/>
      <c r="V443" s="3"/>
      <c r="W443" s="3"/>
      <c r="X443" s="3"/>
      <c r="Y443" s="3"/>
      <c r="Z443" s="3"/>
      <c r="AA443" s="3"/>
      <c r="AB443" s="3"/>
      <c r="AC443" s="3"/>
      <c r="AD443" s="3"/>
      <c r="AE443" s="3">
        <v>0</v>
      </c>
      <c r="AF443" s="3">
        <v>0</v>
      </c>
      <c r="AG443" s="3"/>
      <c r="AH443" s="40"/>
      <c r="AI443" s="40"/>
      <c r="AJ443" s="40"/>
      <c r="AK443" s="40"/>
      <c r="AL443" s="40"/>
      <c r="AM443" s="40"/>
      <c r="AN443" s="40"/>
      <c r="AO443" s="40"/>
      <c r="AP443" s="40"/>
      <c r="AQ443" s="40"/>
      <c r="AR443" s="31"/>
      <c r="AS443" s="36">
        <v>0</v>
      </c>
      <c r="AY443" s="6"/>
      <c r="AZ443" s="2"/>
      <c r="BA443" s="2"/>
      <c r="BB443" s="2"/>
      <c r="BC443">
        <v>71500</v>
      </c>
      <c r="BD443">
        <v>56992</v>
      </c>
    </row>
    <row r="444" spans="3:56" x14ac:dyDescent="0.25">
      <c r="C444" s="1">
        <v>46064</v>
      </c>
      <c r="D444" s="36">
        <v>266565.27857142902</v>
      </c>
      <c r="E444" s="33">
        <v>4.5857142857142899</v>
      </c>
      <c r="F444" s="33">
        <v>3.75671904761905</v>
      </c>
      <c r="G444" s="2">
        <v>0.81922222222222196</v>
      </c>
      <c r="H444" s="2">
        <v>0.99</v>
      </c>
      <c r="I444" s="3"/>
      <c r="J444" s="3"/>
      <c r="K444" s="3"/>
      <c r="L444" s="3"/>
      <c r="M444" s="3"/>
      <c r="N444" s="3">
        <v>0</v>
      </c>
      <c r="O444" s="3"/>
      <c r="P444" s="3">
        <v>0</v>
      </c>
      <c r="Q444" s="3">
        <v>0</v>
      </c>
      <c r="R444" s="3">
        <v>0</v>
      </c>
      <c r="S444" s="3">
        <v>0</v>
      </c>
      <c r="T444" s="3">
        <v>0</v>
      </c>
      <c r="U444" s="3"/>
      <c r="V444" s="3"/>
      <c r="W444" s="3"/>
      <c r="X444" s="3"/>
      <c r="Y444" s="3"/>
      <c r="Z444" s="3"/>
      <c r="AA444" s="3"/>
      <c r="AB444" s="3"/>
      <c r="AC444" s="3"/>
      <c r="AD444" s="3"/>
      <c r="AE444" s="3">
        <v>0</v>
      </c>
      <c r="AF444" s="3">
        <v>0</v>
      </c>
      <c r="AG444" s="3"/>
      <c r="AH444" s="40"/>
      <c r="AI444" s="40"/>
      <c r="AJ444" s="40"/>
      <c r="AK444" s="40"/>
      <c r="AL444" s="40"/>
      <c r="AM444" s="40"/>
      <c r="AN444" s="40"/>
      <c r="AO444" s="40"/>
      <c r="AP444" s="40"/>
      <c r="AQ444" s="40"/>
      <c r="AR444" s="31"/>
      <c r="AS444" s="36">
        <v>0</v>
      </c>
      <c r="AY444" s="6"/>
      <c r="AZ444" s="2"/>
      <c r="BA444" s="2"/>
      <c r="BB444" s="2"/>
      <c r="BC444">
        <v>71500</v>
      </c>
      <c r="BD444">
        <v>56992</v>
      </c>
    </row>
    <row r="445" spans="3:56" x14ac:dyDescent="0.25">
      <c r="C445" s="1">
        <v>46065</v>
      </c>
      <c r="D445" s="36">
        <v>266565.27857142902</v>
      </c>
      <c r="E445" s="33">
        <v>4.5857142857142899</v>
      </c>
      <c r="F445" s="33">
        <v>3.7566680952381</v>
      </c>
      <c r="G445" s="2">
        <v>0.819211111111111</v>
      </c>
      <c r="H445" s="2">
        <v>0.99</v>
      </c>
      <c r="I445" s="3"/>
      <c r="J445" s="3"/>
      <c r="K445" s="3"/>
      <c r="L445" s="3"/>
      <c r="M445" s="3"/>
      <c r="N445" s="3">
        <v>0</v>
      </c>
      <c r="O445" s="3"/>
      <c r="P445" s="3">
        <v>0</v>
      </c>
      <c r="Q445" s="3">
        <v>0</v>
      </c>
      <c r="R445" s="3">
        <v>0</v>
      </c>
      <c r="S445" s="3">
        <v>0</v>
      </c>
      <c r="T445" s="3">
        <v>0</v>
      </c>
      <c r="U445" s="3"/>
      <c r="V445" s="3"/>
      <c r="W445" s="3"/>
      <c r="X445" s="3"/>
      <c r="Y445" s="3"/>
      <c r="Z445" s="3"/>
      <c r="AA445" s="3"/>
      <c r="AB445" s="3"/>
      <c r="AC445" s="3"/>
      <c r="AD445" s="3"/>
      <c r="AE445" s="3">
        <v>0</v>
      </c>
      <c r="AF445" s="3">
        <v>0</v>
      </c>
      <c r="AG445" s="3"/>
      <c r="AH445" s="40"/>
      <c r="AI445" s="40"/>
      <c r="AJ445" s="40"/>
      <c r="AK445" s="40"/>
      <c r="AL445" s="40"/>
      <c r="AM445" s="40"/>
      <c r="AN445" s="40"/>
      <c r="AO445" s="40"/>
      <c r="AP445" s="40"/>
      <c r="AQ445" s="40"/>
      <c r="AR445" s="31"/>
      <c r="AS445" s="36">
        <v>0</v>
      </c>
      <c r="AY445" s="6"/>
      <c r="AZ445" s="2"/>
      <c r="BA445" s="2"/>
      <c r="BB445" s="2"/>
      <c r="BC445">
        <v>71500</v>
      </c>
      <c r="BD445">
        <v>56992</v>
      </c>
    </row>
    <row r="446" spans="3:56" x14ac:dyDescent="0.25">
      <c r="C446" s="1">
        <v>46066</v>
      </c>
      <c r="D446" s="36">
        <v>266565.27857142902</v>
      </c>
      <c r="E446" s="33">
        <v>4.5857142857142899</v>
      </c>
      <c r="F446" s="33">
        <v>3.7566171428571402</v>
      </c>
      <c r="G446" s="2">
        <v>0.81920000000000004</v>
      </c>
      <c r="H446" s="2">
        <v>0.99</v>
      </c>
      <c r="I446" s="3"/>
      <c r="J446" s="3"/>
      <c r="K446" s="3"/>
      <c r="L446" s="3"/>
      <c r="M446" s="3"/>
      <c r="N446" s="3">
        <v>0</v>
      </c>
      <c r="O446" s="3"/>
      <c r="P446" s="3">
        <v>0</v>
      </c>
      <c r="Q446" s="3">
        <v>0</v>
      </c>
      <c r="R446" s="3">
        <v>0</v>
      </c>
      <c r="S446" s="3">
        <v>0</v>
      </c>
      <c r="T446" s="3">
        <v>0</v>
      </c>
      <c r="U446" s="3"/>
      <c r="V446" s="3"/>
      <c r="W446" s="3"/>
      <c r="X446" s="3"/>
      <c r="Y446" s="3"/>
      <c r="Z446" s="3"/>
      <c r="AA446" s="3"/>
      <c r="AB446" s="3"/>
      <c r="AC446" s="3"/>
      <c r="AD446" s="3"/>
      <c r="AE446" s="3">
        <v>0</v>
      </c>
      <c r="AF446" s="3">
        <v>0</v>
      </c>
      <c r="AG446" s="3"/>
      <c r="AH446" s="40"/>
      <c r="AI446" s="40"/>
      <c r="AJ446" s="40"/>
      <c r="AK446" s="40"/>
      <c r="AL446" s="40"/>
      <c r="AM446" s="40"/>
      <c r="AN446" s="40"/>
      <c r="AO446" s="40"/>
      <c r="AP446" s="40"/>
      <c r="AQ446" s="40"/>
      <c r="AR446" s="31"/>
      <c r="AS446" s="36">
        <v>0</v>
      </c>
      <c r="AY446" s="6"/>
      <c r="AZ446" s="2"/>
      <c r="BA446" s="2"/>
      <c r="BB446" s="2"/>
      <c r="BC446">
        <v>71500</v>
      </c>
      <c r="BD446">
        <v>56992</v>
      </c>
    </row>
    <row r="447" spans="3:56" x14ac:dyDescent="0.25">
      <c r="C447" s="1">
        <v>46067</v>
      </c>
      <c r="D447" s="36">
        <v>266565.27857142902</v>
      </c>
      <c r="E447" s="33">
        <v>4.5857142857142899</v>
      </c>
      <c r="F447" s="33">
        <v>3.7565661904761898</v>
      </c>
      <c r="G447" s="2">
        <v>0.81918888888888897</v>
      </c>
      <c r="H447" s="2">
        <v>0.99</v>
      </c>
      <c r="I447" s="3"/>
      <c r="J447" s="3"/>
      <c r="K447" s="3"/>
      <c r="L447" s="3"/>
      <c r="M447" s="3"/>
      <c r="N447" s="3">
        <v>0</v>
      </c>
      <c r="O447" s="3"/>
      <c r="P447" s="3">
        <v>0</v>
      </c>
      <c r="Q447" s="3">
        <v>0</v>
      </c>
      <c r="R447" s="3">
        <v>0</v>
      </c>
      <c r="S447" s="3">
        <v>0</v>
      </c>
      <c r="T447" s="3">
        <v>0</v>
      </c>
      <c r="U447" s="3"/>
      <c r="V447" s="3"/>
      <c r="W447" s="3"/>
      <c r="X447" s="3"/>
      <c r="Y447" s="3"/>
      <c r="Z447" s="3"/>
      <c r="AA447" s="3"/>
      <c r="AB447" s="3"/>
      <c r="AC447" s="3"/>
      <c r="AD447" s="3"/>
      <c r="AE447" s="3">
        <v>0</v>
      </c>
      <c r="AF447" s="3">
        <v>0</v>
      </c>
      <c r="AG447" s="3"/>
      <c r="AH447" s="40"/>
      <c r="AI447" s="40"/>
      <c r="AJ447" s="40"/>
      <c r="AK447" s="40"/>
      <c r="AL447" s="40"/>
      <c r="AM447" s="40"/>
      <c r="AN447" s="40"/>
      <c r="AO447" s="40"/>
      <c r="AP447" s="40"/>
      <c r="AQ447" s="40"/>
      <c r="AR447" s="31"/>
      <c r="AS447" s="36">
        <v>0</v>
      </c>
      <c r="AY447" s="6"/>
      <c r="AZ447" s="2"/>
      <c r="BA447" s="2"/>
      <c r="BB447" s="2"/>
      <c r="BC447">
        <v>71500</v>
      </c>
      <c r="BD447">
        <v>56992</v>
      </c>
    </row>
    <row r="448" spans="3:56" x14ac:dyDescent="0.25">
      <c r="C448" s="1">
        <v>46068</v>
      </c>
      <c r="D448" s="36">
        <v>266565.27857142902</v>
      </c>
      <c r="E448" s="33">
        <v>4.5857142857142899</v>
      </c>
      <c r="F448" s="33">
        <v>3.7565152380952398</v>
      </c>
      <c r="G448" s="2">
        <v>0.819177777777778</v>
      </c>
      <c r="H448" s="2">
        <v>0.99</v>
      </c>
      <c r="I448" s="3"/>
      <c r="J448" s="3"/>
      <c r="K448" s="3"/>
      <c r="L448" s="3"/>
      <c r="M448" s="3"/>
      <c r="N448" s="3">
        <v>0</v>
      </c>
      <c r="O448" s="3"/>
      <c r="P448" s="3">
        <v>0</v>
      </c>
      <c r="Q448" s="3">
        <v>0</v>
      </c>
      <c r="R448" s="3">
        <v>0</v>
      </c>
      <c r="S448" s="3">
        <v>0</v>
      </c>
      <c r="T448" s="3">
        <v>0</v>
      </c>
      <c r="U448" s="3"/>
      <c r="V448" s="3"/>
      <c r="W448" s="3"/>
      <c r="X448" s="3"/>
      <c r="Y448" s="3"/>
      <c r="Z448" s="3"/>
      <c r="AA448" s="3"/>
      <c r="AB448" s="3"/>
      <c r="AC448" s="3"/>
      <c r="AD448" s="3"/>
      <c r="AE448" s="3">
        <v>0</v>
      </c>
      <c r="AF448" s="3">
        <v>0</v>
      </c>
      <c r="AG448" s="3"/>
      <c r="AH448" s="40"/>
      <c r="AI448" s="40"/>
      <c r="AJ448" s="40"/>
      <c r="AK448" s="40"/>
      <c r="AL448" s="40"/>
      <c r="AM448" s="40"/>
      <c r="AN448" s="40"/>
      <c r="AO448" s="40"/>
      <c r="AP448" s="40"/>
      <c r="AQ448" s="40"/>
      <c r="AR448" s="31"/>
      <c r="AS448" s="36">
        <v>0</v>
      </c>
      <c r="AY448" s="6"/>
      <c r="AZ448" s="2"/>
      <c r="BA448" s="2"/>
      <c r="BB448" s="2"/>
      <c r="BC448">
        <v>71500</v>
      </c>
      <c r="BD448">
        <v>56992</v>
      </c>
    </row>
    <row r="449" spans="3:56" x14ac:dyDescent="0.25">
      <c r="C449" s="1">
        <v>46069</v>
      </c>
      <c r="D449" s="36">
        <v>266565.27857142902</v>
      </c>
      <c r="E449" s="33">
        <v>4.5857142857142899</v>
      </c>
      <c r="F449" s="33">
        <v>3.7564642857142898</v>
      </c>
      <c r="G449" s="2">
        <v>0.81916666666666704</v>
      </c>
      <c r="H449" s="2">
        <v>0.99</v>
      </c>
      <c r="I449" s="3"/>
      <c r="J449" s="3"/>
      <c r="K449" s="3"/>
      <c r="L449" s="3"/>
      <c r="M449" s="3"/>
      <c r="N449" s="3">
        <v>0</v>
      </c>
      <c r="O449" s="3"/>
      <c r="P449" s="3">
        <v>0</v>
      </c>
      <c r="Q449" s="3">
        <v>0</v>
      </c>
      <c r="R449" s="3">
        <v>0</v>
      </c>
      <c r="S449" s="3">
        <v>0</v>
      </c>
      <c r="T449" s="3">
        <v>0</v>
      </c>
      <c r="U449" s="3"/>
      <c r="V449" s="3"/>
      <c r="W449" s="3"/>
      <c r="X449" s="3"/>
      <c r="Y449" s="3"/>
      <c r="Z449" s="3"/>
      <c r="AA449" s="3"/>
      <c r="AB449" s="3"/>
      <c r="AC449" s="3"/>
      <c r="AD449" s="3"/>
      <c r="AE449" s="3">
        <v>0</v>
      </c>
      <c r="AF449" s="3">
        <v>0</v>
      </c>
      <c r="AG449" s="3"/>
      <c r="AH449" s="40"/>
      <c r="AI449" s="40"/>
      <c r="AJ449" s="40"/>
      <c r="AK449" s="40"/>
      <c r="AL449" s="40"/>
      <c r="AM449" s="40"/>
      <c r="AN449" s="40"/>
      <c r="AO449" s="40"/>
      <c r="AP449" s="40"/>
      <c r="AQ449" s="40"/>
      <c r="AR449" s="31"/>
      <c r="AS449" s="36">
        <v>0</v>
      </c>
      <c r="AY449" s="6"/>
      <c r="AZ449" s="2"/>
      <c r="BA449" s="2"/>
      <c r="BB449" s="2"/>
      <c r="BC449">
        <v>71500</v>
      </c>
      <c r="BD449">
        <v>56992</v>
      </c>
    </row>
    <row r="450" spans="3:56" x14ac:dyDescent="0.25">
      <c r="C450" s="1">
        <v>46070</v>
      </c>
      <c r="D450" s="36">
        <v>266565.27857142902</v>
      </c>
      <c r="E450" s="33">
        <v>4.5857142857142899</v>
      </c>
      <c r="F450" s="33">
        <v>3.7564133333333301</v>
      </c>
      <c r="G450" s="2">
        <v>0.81915555555555597</v>
      </c>
      <c r="H450" s="2">
        <v>0.99</v>
      </c>
      <c r="I450" s="3"/>
      <c r="J450" s="3"/>
      <c r="K450" s="3"/>
      <c r="L450" s="3"/>
      <c r="M450" s="3"/>
      <c r="N450" s="3">
        <v>0</v>
      </c>
      <c r="O450" s="3"/>
      <c r="P450" s="3">
        <v>0</v>
      </c>
      <c r="Q450" s="3">
        <v>0</v>
      </c>
      <c r="R450" s="3">
        <v>0</v>
      </c>
      <c r="S450" s="3">
        <v>0</v>
      </c>
      <c r="T450" s="3">
        <v>0</v>
      </c>
      <c r="U450" s="3"/>
      <c r="V450" s="3"/>
      <c r="W450" s="3"/>
      <c r="X450" s="3"/>
      <c r="Y450" s="3"/>
      <c r="Z450" s="3"/>
      <c r="AA450" s="3"/>
      <c r="AB450" s="3"/>
      <c r="AC450" s="3"/>
      <c r="AD450" s="3"/>
      <c r="AE450" s="3">
        <v>0</v>
      </c>
      <c r="AF450" s="3">
        <v>0</v>
      </c>
      <c r="AG450" s="3"/>
      <c r="AH450" s="40"/>
      <c r="AI450" s="40"/>
      <c r="AJ450" s="40"/>
      <c r="AK450" s="40"/>
      <c r="AL450" s="40"/>
      <c r="AM450" s="40"/>
      <c r="AN450" s="40"/>
      <c r="AO450" s="40"/>
      <c r="AP450" s="40"/>
      <c r="AQ450" s="40"/>
      <c r="AR450" s="31"/>
      <c r="AS450" s="36">
        <v>0</v>
      </c>
      <c r="AY450" s="6"/>
      <c r="AZ450" s="2"/>
      <c r="BA450" s="2"/>
      <c r="BB450" s="2"/>
      <c r="BC450">
        <v>71500</v>
      </c>
      <c r="BD450">
        <v>56992</v>
      </c>
    </row>
    <row r="451" spans="3:56" x14ac:dyDescent="0.25">
      <c r="C451" s="1">
        <v>46071</v>
      </c>
      <c r="D451" s="36">
        <v>266565.27857142902</v>
      </c>
      <c r="E451" s="33">
        <v>4.5857142857142899</v>
      </c>
      <c r="F451" s="33">
        <v>3.7563623809523801</v>
      </c>
      <c r="G451" s="2">
        <v>0.81914444444444401</v>
      </c>
      <c r="H451" s="2">
        <v>0.99</v>
      </c>
      <c r="I451" s="3"/>
      <c r="J451" s="3"/>
      <c r="K451" s="3"/>
      <c r="L451" s="3"/>
      <c r="M451" s="3"/>
      <c r="N451" s="3">
        <v>0</v>
      </c>
      <c r="O451" s="3"/>
      <c r="P451" s="3">
        <v>0</v>
      </c>
      <c r="Q451" s="3">
        <v>0</v>
      </c>
      <c r="R451" s="3">
        <v>0</v>
      </c>
      <c r="S451" s="3">
        <v>0</v>
      </c>
      <c r="T451" s="3">
        <v>0</v>
      </c>
      <c r="U451" s="3"/>
      <c r="V451" s="3"/>
      <c r="W451" s="3"/>
      <c r="X451" s="3"/>
      <c r="Y451" s="3"/>
      <c r="Z451" s="3"/>
      <c r="AA451" s="3"/>
      <c r="AB451" s="3"/>
      <c r="AC451" s="3"/>
      <c r="AD451" s="3"/>
      <c r="AE451" s="3">
        <v>0</v>
      </c>
      <c r="AF451" s="3">
        <v>0</v>
      </c>
      <c r="AG451" s="3"/>
      <c r="AH451" s="40"/>
      <c r="AI451" s="40"/>
      <c r="AJ451" s="40"/>
      <c r="AK451" s="40"/>
      <c r="AL451" s="40"/>
      <c r="AM451" s="40"/>
      <c r="AN451" s="40"/>
      <c r="AO451" s="40"/>
      <c r="AP451" s="40"/>
      <c r="AQ451" s="40"/>
      <c r="AR451" s="31"/>
      <c r="AS451" s="36">
        <v>0</v>
      </c>
      <c r="AY451" s="6"/>
      <c r="AZ451" s="2"/>
      <c r="BA451" s="2"/>
      <c r="BB451" s="2"/>
      <c r="BC451">
        <v>71500</v>
      </c>
      <c r="BD451">
        <v>56992</v>
      </c>
    </row>
    <row r="452" spans="3:56" x14ac:dyDescent="0.25">
      <c r="C452" s="1">
        <v>46072</v>
      </c>
      <c r="D452" s="36">
        <v>266565.27857142902</v>
      </c>
      <c r="E452" s="33">
        <v>4.5857142857142899</v>
      </c>
      <c r="F452" s="33">
        <v>3.7563114285714301</v>
      </c>
      <c r="G452" s="2">
        <v>0.81913333333333305</v>
      </c>
      <c r="H452" s="2">
        <v>0.99</v>
      </c>
      <c r="I452" s="3"/>
      <c r="J452" s="3"/>
      <c r="K452" s="3"/>
      <c r="L452" s="3"/>
      <c r="M452" s="3"/>
      <c r="N452" s="3">
        <v>0</v>
      </c>
      <c r="O452" s="3"/>
      <c r="P452" s="3">
        <v>0</v>
      </c>
      <c r="Q452" s="3">
        <v>0</v>
      </c>
      <c r="R452" s="3">
        <v>0</v>
      </c>
      <c r="S452" s="3">
        <v>0</v>
      </c>
      <c r="T452" s="3">
        <v>0</v>
      </c>
      <c r="U452" s="3"/>
      <c r="V452" s="3"/>
      <c r="W452" s="3"/>
      <c r="X452" s="3"/>
      <c r="Y452" s="3"/>
      <c r="Z452" s="3"/>
      <c r="AA452" s="3"/>
      <c r="AB452" s="3"/>
      <c r="AC452" s="3"/>
      <c r="AD452" s="3"/>
      <c r="AE452" s="3">
        <v>0</v>
      </c>
      <c r="AF452" s="3">
        <v>0</v>
      </c>
      <c r="AG452" s="3"/>
      <c r="AH452" s="40"/>
      <c r="AI452" s="40"/>
      <c r="AJ452" s="40"/>
      <c r="AK452" s="40"/>
      <c r="AL452" s="40"/>
      <c r="AM452" s="40"/>
      <c r="AN452" s="40"/>
      <c r="AO452" s="40"/>
      <c r="AP452" s="40"/>
      <c r="AQ452" s="40"/>
      <c r="AR452" s="31"/>
      <c r="AS452" s="36">
        <v>0</v>
      </c>
      <c r="AY452" s="6"/>
      <c r="AZ452" s="2"/>
      <c r="BA452" s="2"/>
      <c r="BB452" s="2"/>
      <c r="BC452">
        <v>71500</v>
      </c>
      <c r="BD452">
        <v>56992</v>
      </c>
    </row>
    <row r="453" spans="3:56" x14ac:dyDescent="0.25">
      <c r="C453" s="1">
        <v>46073</v>
      </c>
      <c r="D453" s="36">
        <v>266565.27857142902</v>
      </c>
      <c r="E453" s="33">
        <v>4.5857142857142899</v>
      </c>
      <c r="F453" s="33">
        <v>3.7562604761904801</v>
      </c>
      <c r="G453" s="2">
        <v>0.81912222222222197</v>
      </c>
      <c r="H453" s="2">
        <v>0.99</v>
      </c>
      <c r="I453" s="3"/>
      <c r="J453" s="3"/>
      <c r="K453" s="3"/>
      <c r="L453" s="3"/>
      <c r="M453" s="3"/>
      <c r="N453" s="3">
        <v>0</v>
      </c>
      <c r="O453" s="3"/>
      <c r="P453" s="3">
        <v>0</v>
      </c>
      <c r="Q453" s="3">
        <v>0</v>
      </c>
      <c r="R453" s="3">
        <v>0</v>
      </c>
      <c r="S453" s="3">
        <v>0</v>
      </c>
      <c r="T453" s="3">
        <v>0</v>
      </c>
      <c r="U453" s="3"/>
      <c r="V453" s="3"/>
      <c r="W453" s="3"/>
      <c r="X453" s="3"/>
      <c r="Y453" s="3"/>
      <c r="Z453" s="3"/>
      <c r="AA453" s="3"/>
      <c r="AB453" s="3"/>
      <c r="AC453" s="3"/>
      <c r="AD453" s="3"/>
      <c r="AE453" s="3">
        <v>0</v>
      </c>
      <c r="AF453" s="3">
        <v>0</v>
      </c>
      <c r="AG453" s="3"/>
      <c r="AH453" s="40"/>
      <c r="AI453" s="40"/>
      <c r="AJ453" s="40"/>
      <c r="AK453" s="40"/>
      <c r="AL453" s="40"/>
      <c r="AM453" s="40"/>
      <c r="AN453" s="40"/>
      <c r="AO453" s="40"/>
      <c r="AP453" s="40"/>
      <c r="AQ453" s="40"/>
      <c r="AR453" s="31"/>
      <c r="AS453" s="36">
        <v>0</v>
      </c>
      <c r="AY453" s="6"/>
      <c r="AZ453" s="2"/>
      <c r="BA453" s="2"/>
      <c r="BB453" s="2"/>
      <c r="BC453">
        <v>71500</v>
      </c>
      <c r="BD453">
        <v>56992</v>
      </c>
    </row>
    <row r="454" spans="3:56" x14ac:dyDescent="0.25">
      <c r="C454" s="1">
        <v>46074</v>
      </c>
      <c r="D454" s="36">
        <v>266565.27857142902</v>
      </c>
      <c r="E454" s="33">
        <v>4.5857142857142899</v>
      </c>
      <c r="F454" s="33">
        <v>3.7562095238095199</v>
      </c>
      <c r="G454" s="2">
        <v>0.81911111111111101</v>
      </c>
      <c r="H454" s="2">
        <v>0.99</v>
      </c>
      <c r="I454" s="3"/>
      <c r="J454" s="3"/>
      <c r="K454" s="3"/>
      <c r="L454" s="3"/>
      <c r="M454" s="3"/>
      <c r="N454" s="3">
        <v>0</v>
      </c>
      <c r="O454" s="3"/>
      <c r="P454" s="3">
        <v>0</v>
      </c>
      <c r="Q454" s="3">
        <v>0</v>
      </c>
      <c r="R454" s="3">
        <v>0</v>
      </c>
      <c r="S454" s="3">
        <v>0</v>
      </c>
      <c r="T454" s="3">
        <v>0</v>
      </c>
      <c r="U454" s="3"/>
      <c r="V454" s="3"/>
      <c r="W454" s="3"/>
      <c r="X454" s="3"/>
      <c r="Y454" s="3"/>
      <c r="Z454" s="3"/>
      <c r="AA454" s="3"/>
      <c r="AB454" s="3"/>
      <c r="AC454" s="3"/>
      <c r="AD454" s="3"/>
      <c r="AE454" s="3">
        <v>0</v>
      </c>
      <c r="AF454" s="3">
        <v>0</v>
      </c>
      <c r="AG454" s="3"/>
      <c r="AH454" s="40"/>
      <c r="AI454" s="40"/>
      <c r="AJ454" s="40"/>
      <c r="AK454" s="40"/>
      <c r="AL454" s="40"/>
      <c r="AM454" s="40"/>
      <c r="AN454" s="40"/>
      <c r="AO454" s="40"/>
      <c r="AP454" s="40"/>
      <c r="AQ454" s="40"/>
      <c r="AR454" s="31"/>
      <c r="AS454" s="36">
        <v>0</v>
      </c>
      <c r="AY454" s="6"/>
      <c r="AZ454" s="2"/>
      <c r="BA454" s="2"/>
      <c r="BB454" s="2"/>
      <c r="BC454">
        <v>71500</v>
      </c>
      <c r="BD454">
        <v>56992</v>
      </c>
    </row>
    <row r="455" spans="3:56" x14ac:dyDescent="0.25">
      <c r="C455" s="1">
        <v>46075</v>
      </c>
      <c r="D455" s="36">
        <v>266565.27857142902</v>
      </c>
      <c r="E455" s="33">
        <v>4.5857142857142899</v>
      </c>
      <c r="F455" s="33">
        <v>3.7561585714285699</v>
      </c>
      <c r="G455" s="2">
        <v>0.81910000000000005</v>
      </c>
      <c r="H455" s="2">
        <v>0.99</v>
      </c>
      <c r="I455" s="3"/>
      <c r="J455" s="3"/>
      <c r="K455" s="3"/>
      <c r="L455" s="3"/>
      <c r="M455" s="3"/>
      <c r="N455" s="3">
        <v>0</v>
      </c>
      <c r="O455" s="3"/>
      <c r="P455" s="3">
        <v>0</v>
      </c>
      <c r="Q455" s="3">
        <v>0</v>
      </c>
      <c r="R455" s="3">
        <v>0</v>
      </c>
      <c r="S455" s="3">
        <v>0</v>
      </c>
      <c r="T455" s="3">
        <v>0</v>
      </c>
      <c r="U455" s="3"/>
      <c r="V455" s="3"/>
      <c r="W455" s="3"/>
      <c r="X455" s="3"/>
      <c r="Y455" s="3"/>
      <c r="Z455" s="3"/>
      <c r="AA455" s="3"/>
      <c r="AB455" s="3"/>
      <c r="AC455" s="3"/>
      <c r="AD455" s="3"/>
      <c r="AE455" s="3">
        <v>0</v>
      </c>
      <c r="AF455" s="3">
        <v>0</v>
      </c>
      <c r="AG455" s="3"/>
      <c r="AH455" s="40"/>
      <c r="AI455" s="40"/>
      <c r="AJ455" s="40"/>
      <c r="AK455" s="40"/>
      <c r="AL455" s="40"/>
      <c r="AM455" s="40"/>
      <c r="AN455" s="40"/>
      <c r="AO455" s="40"/>
      <c r="AP455" s="40"/>
      <c r="AQ455" s="40"/>
      <c r="AR455" s="31"/>
      <c r="AS455" s="36">
        <v>0</v>
      </c>
      <c r="AY455" s="6"/>
      <c r="AZ455" s="2"/>
      <c r="BA455" s="2"/>
      <c r="BB455" s="2"/>
      <c r="BC455">
        <v>71500</v>
      </c>
      <c r="BD455">
        <v>56992</v>
      </c>
    </row>
    <row r="456" spans="3:56" x14ac:dyDescent="0.25">
      <c r="C456" s="1">
        <v>46076</v>
      </c>
      <c r="D456" s="36">
        <v>266565.27857142902</v>
      </c>
      <c r="E456" s="33">
        <v>4.5857142857142899</v>
      </c>
      <c r="F456" s="33">
        <v>3.7561076190476199</v>
      </c>
      <c r="G456" s="2">
        <v>0.81908888888888898</v>
      </c>
      <c r="H456" s="2">
        <v>0.99</v>
      </c>
      <c r="I456" s="3"/>
      <c r="J456" s="3"/>
      <c r="K456" s="3"/>
      <c r="L456" s="3"/>
      <c r="M456" s="3"/>
      <c r="N456" s="3">
        <v>0</v>
      </c>
      <c r="O456" s="3"/>
      <c r="P456" s="3">
        <v>0</v>
      </c>
      <c r="Q456" s="3">
        <v>0</v>
      </c>
      <c r="R456" s="3">
        <v>0</v>
      </c>
      <c r="S456" s="3">
        <v>0</v>
      </c>
      <c r="T456" s="3">
        <v>0</v>
      </c>
      <c r="U456" s="3"/>
      <c r="V456" s="3"/>
      <c r="W456" s="3"/>
      <c r="X456" s="3"/>
      <c r="Y456" s="3"/>
      <c r="Z456" s="3"/>
      <c r="AA456" s="3"/>
      <c r="AB456" s="3"/>
      <c r="AC456" s="3"/>
      <c r="AD456" s="3"/>
      <c r="AE456" s="3">
        <v>0</v>
      </c>
      <c r="AF456" s="3">
        <v>0</v>
      </c>
      <c r="AG456" s="3"/>
      <c r="AH456" s="40"/>
      <c r="AI456" s="40"/>
      <c r="AJ456" s="40"/>
      <c r="AK456" s="40"/>
      <c r="AL456" s="40"/>
      <c r="AM456" s="40"/>
      <c r="AN456" s="40"/>
      <c r="AO456" s="40"/>
      <c r="AP456" s="40"/>
      <c r="AQ456" s="40"/>
      <c r="AR456" s="31"/>
      <c r="AS456" s="36">
        <v>0</v>
      </c>
      <c r="AY456" s="6"/>
      <c r="AZ456" s="2"/>
      <c r="BA456" s="2"/>
      <c r="BB456" s="2"/>
      <c r="BC456">
        <v>71500</v>
      </c>
      <c r="BD456">
        <v>56992</v>
      </c>
    </row>
    <row r="457" spans="3:56" x14ac:dyDescent="0.25">
      <c r="C457" s="1">
        <v>46077</v>
      </c>
      <c r="D457" s="36">
        <v>266565.27857142902</v>
      </c>
      <c r="E457" s="33">
        <v>4.5857142857142899</v>
      </c>
      <c r="F457" s="33">
        <v>3.7560566666666699</v>
      </c>
      <c r="G457" s="2">
        <v>0.81907777777777802</v>
      </c>
      <c r="H457" s="2">
        <v>0.99</v>
      </c>
      <c r="I457" s="3"/>
      <c r="J457" s="3"/>
      <c r="K457" s="3"/>
      <c r="L457" s="3"/>
      <c r="M457" s="3"/>
      <c r="N457" s="3">
        <v>0</v>
      </c>
      <c r="O457" s="3"/>
      <c r="P457" s="3">
        <v>0</v>
      </c>
      <c r="Q457" s="3">
        <v>0</v>
      </c>
      <c r="R457" s="3">
        <v>0</v>
      </c>
      <c r="S457" s="3">
        <v>0</v>
      </c>
      <c r="T457" s="3">
        <v>0</v>
      </c>
      <c r="U457" s="3"/>
      <c r="V457" s="3"/>
      <c r="W457" s="3"/>
      <c r="X457" s="3"/>
      <c r="Y457" s="3"/>
      <c r="Z457" s="3"/>
      <c r="AA457" s="3"/>
      <c r="AB457" s="3"/>
      <c r="AC457" s="3"/>
      <c r="AD457" s="3"/>
      <c r="AE457" s="3">
        <v>0</v>
      </c>
      <c r="AF457" s="3">
        <v>0</v>
      </c>
      <c r="AG457" s="3"/>
      <c r="AH457" s="40"/>
      <c r="AI457" s="40"/>
      <c r="AJ457" s="40"/>
      <c r="AK457" s="40"/>
      <c r="AL457" s="40"/>
      <c r="AM457" s="40"/>
      <c r="AN457" s="40"/>
      <c r="AO457" s="40"/>
      <c r="AP457" s="40"/>
      <c r="AQ457" s="40"/>
      <c r="AR457" s="31"/>
      <c r="AS457" s="36">
        <v>0</v>
      </c>
      <c r="AY457" s="6"/>
      <c r="AZ457" s="2"/>
      <c r="BA457" s="2"/>
      <c r="BB457" s="2"/>
      <c r="BC457">
        <v>71500</v>
      </c>
      <c r="BD457">
        <v>56992</v>
      </c>
    </row>
    <row r="458" spans="3:56" x14ac:dyDescent="0.25">
      <c r="C458" s="1">
        <v>46078</v>
      </c>
      <c r="D458" s="36">
        <v>266565.27857142902</v>
      </c>
      <c r="E458" s="33">
        <v>4.5857142857142899</v>
      </c>
      <c r="F458" s="33">
        <v>3.7560057142857102</v>
      </c>
      <c r="G458" s="2">
        <v>0.81906666666666705</v>
      </c>
      <c r="H458" s="2">
        <v>0.99</v>
      </c>
      <c r="I458" s="3"/>
      <c r="J458" s="3"/>
      <c r="K458" s="3"/>
      <c r="L458" s="3"/>
      <c r="M458" s="3"/>
      <c r="N458" s="3">
        <v>0</v>
      </c>
      <c r="O458" s="3"/>
      <c r="P458" s="3">
        <v>0</v>
      </c>
      <c r="Q458" s="3">
        <v>0</v>
      </c>
      <c r="R458" s="3">
        <v>0</v>
      </c>
      <c r="S458" s="3">
        <v>0</v>
      </c>
      <c r="T458" s="3">
        <v>0</v>
      </c>
      <c r="U458" s="3"/>
      <c r="V458" s="3"/>
      <c r="W458" s="3"/>
      <c r="X458" s="3"/>
      <c r="Y458" s="3"/>
      <c r="Z458" s="3"/>
      <c r="AA458" s="3"/>
      <c r="AB458" s="3"/>
      <c r="AC458" s="3"/>
      <c r="AD458" s="3"/>
      <c r="AE458" s="3">
        <v>0</v>
      </c>
      <c r="AF458" s="3">
        <v>0</v>
      </c>
      <c r="AG458" s="3"/>
      <c r="AH458" s="40"/>
      <c r="AI458" s="40"/>
      <c r="AJ458" s="40"/>
      <c r="AK458" s="40"/>
      <c r="AL458" s="40"/>
      <c r="AM458" s="40"/>
      <c r="AN458" s="40"/>
      <c r="AO458" s="40"/>
      <c r="AP458" s="40"/>
      <c r="AQ458" s="40"/>
      <c r="AR458" s="31"/>
      <c r="AS458" s="36">
        <v>0</v>
      </c>
      <c r="AY458" s="6"/>
      <c r="AZ458" s="2"/>
      <c r="BA458" s="2"/>
      <c r="BB458" s="2"/>
      <c r="BC458">
        <v>71500</v>
      </c>
      <c r="BD458">
        <v>56992</v>
      </c>
    </row>
    <row r="459" spans="3:56" x14ac:dyDescent="0.25">
      <c r="C459" s="1">
        <v>46079</v>
      </c>
      <c r="D459" s="36">
        <v>266565.27857142902</v>
      </c>
      <c r="E459" s="33">
        <v>4.5857142857142899</v>
      </c>
      <c r="F459" s="33">
        <v>3.7559547619047602</v>
      </c>
      <c r="G459" s="2">
        <v>0.81905555555555598</v>
      </c>
      <c r="H459" s="2">
        <v>0.99</v>
      </c>
      <c r="I459" s="3"/>
      <c r="J459" s="3"/>
      <c r="K459" s="3"/>
      <c r="L459" s="3"/>
      <c r="M459" s="3"/>
      <c r="N459" s="3">
        <v>0</v>
      </c>
      <c r="O459" s="3"/>
      <c r="P459" s="3">
        <v>0</v>
      </c>
      <c r="Q459" s="3">
        <v>0</v>
      </c>
      <c r="R459" s="3">
        <v>0</v>
      </c>
      <c r="S459" s="3">
        <v>0</v>
      </c>
      <c r="T459" s="3">
        <v>0</v>
      </c>
      <c r="U459" s="3"/>
      <c r="V459" s="3"/>
      <c r="W459" s="3"/>
      <c r="X459" s="3"/>
      <c r="Y459" s="3"/>
      <c r="Z459" s="3"/>
      <c r="AA459" s="3"/>
      <c r="AB459" s="3"/>
      <c r="AC459" s="3"/>
      <c r="AD459" s="3"/>
      <c r="AE459" s="3">
        <v>0</v>
      </c>
      <c r="AF459" s="3">
        <v>0</v>
      </c>
      <c r="AG459" s="3"/>
      <c r="AH459" s="40"/>
      <c r="AI459" s="40"/>
      <c r="AJ459" s="40"/>
      <c r="AK459" s="40"/>
      <c r="AL459" s="40"/>
      <c r="AM459" s="40"/>
      <c r="AN459" s="40"/>
      <c r="AO459" s="40"/>
      <c r="AP459" s="40"/>
      <c r="AQ459" s="40"/>
      <c r="AR459" s="31"/>
      <c r="AS459" s="36">
        <v>0</v>
      </c>
      <c r="AY459" s="6"/>
      <c r="AZ459" s="2"/>
      <c r="BA459" s="2"/>
      <c r="BB459" s="2"/>
      <c r="BC459">
        <v>71500</v>
      </c>
      <c r="BD459">
        <v>56992</v>
      </c>
    </row>
    <row r="460" spans="3:56" x14ac:dyDescent="0.25">
      <c r="C460" s="1">
        <v>46080</v>
      </c>
      <c r="D460" s="36">
        <v>266565.27857142902</v>
      </c>
      <c r="E460" s="33">
        <v>4.5857142857142899</v>
      </c>
      <c r="F460" s="33">
        <v>3.7559038095238102</v>
      </c>
      <c r="G460" s="2">
        <v>0.81904444444444402</v>
      </c>
      <c r="H460" s="2">
        <v>0.99</v>
      </c>
      <c r="I460" s="3"/>
      <c r="J460" s="3"/>
      <c r="K460" s="3"/>
      <c r="L460" s="3"/>
      <c r="M460" s="3"/>
      <c r="N460" s="3">
        <v>0</v>
      </c>
      <c r="O460" s="3"/>
      <c r="P460" s="3">
        <v>0</v>
      </c>
      <c r="Q460" s="3">
        <v>0</v>
      </c>
      <c r="R460" s="3">
        <v>0</v>
      </c>
      <c r="S460" s="3">
        <v>0</v>
      </c>
      <c r="T460" s="3">
        <v>0</v>
      </c>
      <c r="U460" s="3"/>
      <c r="V460" s="3"/>
      <c r="W460" s="3"/>
      <c r="X460" s="3"/>
      <c r="Y460" s="3"/>
      <c r="Z460" s="3"/>
      <c r="AA460" s="3"/>
      <c r="AB460" s="3"/>
      <c r="AC460" s="3"/>
      <c r="AD460" s="3"/>
      <c r="AE460" s="3">
        <v>0</v>
      </c>
      <c r="AF460" s="3">
        <v>0</v>
      </c>
      <c r="AG460" s="3"/>
      <c r="AH460" s="40"/>
      <c r="AI460" s="40"/>
      <c r="AJ460" s="40"/>
      <c r="AK460" s="40"/>
      <c r="AL460" s="40"/>
      <c r="AM460" s="40"/>
      <c r="AN460" s="40"/>
      <c r="AO460" s="40"/>
      <c r="AP460" s="40"/>
      <c r="AQ460" s="40"/>
      <c r="AR460" s="31"/>
      <c r="AS460" s="36">
        <v>0</v>
      </c>
      <c r="AY460" s="6"/>
      <c r="AZ460" s="2"/>
      <c r="BA460" s="2"/>
      <c r="BB460" s="2"/>
      <c r="BC460">
        <v>71500</v>
      </c>
      <c r="BD460">
        <v>56992</v>
      </c>
    </row>
    <row r="461" spans="3:56" x14ac:dyDescent="0.25">
      <c r="C461" s="1">
        <v>46081</v>
      </c>
      <c r="D461" s="36">
        <v>266565.27857142902</v>
      </c>
      <c r="E461" s="33">
        <v>4.5857142857142899</v>
      </c>
      <c r="F461" s="33">
        <v>3.7558528571428602</v>
      </c>
      <c r="G461" s="2">
        <v>0.81903333333333295</v>
      </c>
      <c r="H461" s="2">
        <v>0.99</v>
      </c>
      <c r="I461" s="3"/>
      <c r="J461" s="3"/>
      <c r="K461" s="3"/>
      <c r="L461" s="3"/>
      <c r="M461" s="3"/>
      <c r="N461" s="3">
        <v>0</v>
      </c>
      <c r="O461" s="3"/>
      <c r="P461" s="3">
        <v>0</v>
      </c>
      <c r="Q461" s="3">
        <v>0</v>
      </c>
      <c r="R461" s="3">
        <v>0</v>
      </c>
      <c r="S461" s="3">
        <v>0</v>
      </c>
      <c r="T461" s="3">
        <v>0</v>
      </c>
      <c r="U461" s="3"/>
      <c r="V461" s="3"/>
      <c r="W461" s="3"/>
      <c r="X461" s="3"/>
      <c r="Y461" s="3"/>
      <c r="Z461" s="3"/>
      <c r="AA461" s="3"/>
      <c r="AB461" s="3"/>
      <c r="AC461" s="3"/>
      <c r="AD461" s="3"/>
      <c r="AE461" s="3">
        <v>0</v>
      </c>
      <c r="AF461" s="3">
        <v>0</v>
      </c>
      <c r="AG461" s="3"/>
      <c r="AH461" s="40"/>
      <c r="AI461" s="40"/>
      <c r="AJ461" s="40"/>
      <c r="AK461" s="40"/>
      <c r="AL461" s="40"/>
      <c r="AM461" s="40"/>
      <c r="AN461" s="40"/>
      <c r="AO461" s="40"/>
      <c r="AP461" s="40"/>
      <c r="AQ461" s="40"/>
      <c r="AR461" s="31"/>
      <c r="AS461" s="36">
        <v>0</v>
      </c>
      <c r="AY461" s="6"/>
      <c r="AZ461" s="2"/>
      <c r="BA461" s="2"/>
      <c r="BB461" s="2"/>
      <c r="BC461">
        <v>71500</v>
      </c>
      <c r="BD461">
        <v>56992</v>
      </c>
    </row>
    <row r="462" spans="3:56" x14ac:dyDescent="0.25">
      <c r="C462" s="1">
        <v>46082</v>
      </c>
      <c r="D462" s="36">
        <v>269369.09999999998</v>
      </c>
      <c r="E462" s="33">
        <v>4.5999999999999996</v>
      </c>
      <c r="F462" s="33">
        <v>3.7673999999999999</v>
      </c>
      <c r="G462" s="2">
        <v>0.81899999999999995</v>
      </c>
      <c r="H462" s="2">
        <v>0.99</v>
      </c>
      <c r="I462" s="3"/>
      <c r="J462" s="3"/>
      <c r="K462" s="3"/>
      <c r="L462" s="3"/>
      <c r="M462" s="3"/>
      <c r="N462" s="3">
        <v>0</v>
      </c>
      <c r="O462" s="3"/>
      <c r="P462" s="3">
        <v>0</v>
      </c>
      <c r="Q462" s="3">
        <v>0</v>
      </c>
      <c r="R462" s="3">
        <v>0</v>
      </c>
      <c r="S462" s="3">
        <v>0</v>
      </c>
      <c r="T462" s="3">
        <v>0</v>
      </c>
      <c r="U462" s="3"/>
      <c r="V462" s="3"/>
      <c r="W462" s="3"/>
      <c r="X462" s="3"/>
      <c r="Y462" s="3"/>
      <c r="Z462" s="3"/>
      <c r="AA462" s="3"/>
      <c r="AB462" s="3"/>
      <c r="AC462" s="3"/>
      <c r="AD462" s="3"/>
      <c r="AE462" s="3">
        <v>0</v>
      </c>
      <c r="AF462" s="3">
        <v>0</v>
      </c>
      <c r="AG462" s="3"/>
      <c r="AH462" s="40"/>
      <c r="AI462" s="40"/>
      <c r="AJ462" s="40"/>
      <c r="AK462" s="40"/>
      <c r="AL462" s="40"/>
      <c r="AM462" s="40"/>
      <c r="AN462" s="40"/>
      <c r="AO462" s="40"/>
      <c r="AP462" s="40"/>
      <c r="AQ462" s="40"/>
      <c r="AR462" s="31"/>
      <c r="AS462" s="36">
        <v>0</v>
      </c>
      <c r="AY462" s="6"/>
      <c r="AZ462" s="2"/>
      <c r="BA462" s="2"/>
      <c r="BB462" s="2"/>
      <c r="BC462">
        <v>71500</v>
      </c>
      <c r="BD462">
        <v>56992</v>
      </c>
    </row>
    <row r="463" spans="3:56" x14ac:dyDescent="0.25">
      <c r="C463" s="1">
        <v>46083</v>
      </c>
      <c r="D463" s="36">
        <v>269369.09999999998</v>
      </c>
      <c r="E463" s="33">
        <v>4.5999999999999996</v>
      </c>
      <c r="F463" s="33">
        <v>3.7673488888888902</v>
      </c>
      <c r="G463" s="2">
        <v>0.81898888888888899</v>
      </c>
      <c r="H463" s="2">
        <v>0.99</v>
      </c>
      <c r="I463" s="3"/>
      <c r="J463" s="3"/>
      <c r="K463" s="3"/>
      <c r="L463" s="3"/>
      <c r="M463" s="3"/>
      <c r="N463" s="3">
        <v>0</v>
      </c>
      <c r="O463" s="3"/>
      <c r="P463" s="3">
        <v>0</v>
      </c>
      <c r="Q463" s="3">
        <v>0</v>
      </c>
      <c r="R463" s="3">
        <v>0</v>
      </c>
      <c r="S463" s="3">
        <v>0</v>
      </c>
      <c r="T463" s="3">
        <v>0</v>
      </c>
      <c r="U463" s="3"/>
      <c r="V463" s="3"/>
      <c r="W463" s="3"/>
      <c r="X463" s="3"/>
      <c r="Y463" s="3"/>
      <c r="Z463" s="3"/>
      <c r="AA463" s="3"/>
      <c r="AB463" s="3"/>
      <c r="AC463" s="3"/>
      <c r="AD463" s="3"/>
      <c r="AE463" s="3">
        <v>0</v>
      </c>
      <c r="AF463" s="3">
        <v>0</v>
      </c>
      <c r="AG463" s="3"/>
      <c r="AH463" s="40"/>
      <c r="AI463" s="40"/>
      <c r="AJ463" s="40"/>
      <c r="AK463" s="40"/>
      <c r="AL463" s="40"/>
      <c r="AM463" s="40"/>
      <c r="AN463" s="40"/>
      <c r="AO463" s="40"/>
      <c r="AP463" s="40"/>
      <c r="AQ463" s="40"/>
      <c r="AR463" s="31"/>
      <c r="AS463" s="36">
        <v>0</v>
      </c>
      <c r="AY463" s="6"/>
      <c r="AZ463" s="2"/>
      <c r="BA463" s="2"/>
      <c r="BB463" s="2"/>
      <c r="BC463">
        <v>71500</v>
      </c>
      <c r="BD463">
        <v>56992</v>
      </c>
    </row>
    <row r="464" spans="3:56" x14ac:dyDescent="0.25">
      <c r="C464" s="1">
        <v>46084</v>
      </c>
      <c r="D464" s="36">
        <v>269369.09999999998</v>
      </c>
      <c r="E464" s="33">
        <v>4.5999999999999996</v>
      </c>
      <c r="F464" s="33">
        <v>3.7672977777777801</v>
      </c>
      <c r="G464" s="2">
        <v>0.81897777777777803</v>
      </c>
      <c r="H464" s="2">
        <v>0.99</v>
      </c>
      <c r="I464" s="3"/>
      <c r="J464" s="3"/>
      <c r="K464" s="3"/>
      <c r="L464" s="3"/>
      <c r="M464" s="3"/>
      <c r="N464" s="3">
        <v>0</v>
      </c>
      <c r="O464" s="3"/>
      <c r="P464" s="3">
        <v>0</v>
      </c>
      <c r="Q464" s="3">
        <v>0</v>
      </c>
      <c r="R464" s="3">
        <v>0</v>
      </c>
      <c r="S464" s="3">
        <v>0</v>
      </c>
      <c r="T464" s="3">
        <v>0</v>
      </c>
      <c r="U464" s="3"/>
      <c r="V464" s="3"/>
      <c r="W464" s="3"/>
      <c r="X464" s="3"/>
      <c r="Y464" s="3"/>
      <c r="Z464" s="3"/>
      <c r="AA464" s="3"/>
      <c r="AB464" s="3"/>
      <c r="AC464" s="3"/>
      <c r="AD464" s="3"/>
      <c r="AE464" s="3">
        <v>0</v>
      </c>
      <c r="AF464" s="3">
        <v>0</v>
      </c>
      <c r="AG464" s="3"/>
      <c r="AH464" s="40"/>
      <c r="AI464" s="40"/>
      <c r="AJ464" s="40"/>
      <c r="AK464" s="40"/>
      <c r="AL464" s="40"/>
      <c r="AM464" s="40"/>
      <c r="AN464" s="40"/>
      <c r="AO464" s="40"/>
      <c r="AP464" s="40"/>
      <c r="AQ464" s="40"/>
      <c r="AR464" s="31"/>
      <c r="AS464" s="36">
        <v>0</v>
      </c>
      <c r="AY464" s="6"/>
      <c r="AZ464" s="2"/>
      <c r="BA464" s="2"/>
      <c r="BB464" s="2"/>
      <c r="BC464">
        <v>71500</v>
      </c>
      <c r="BD464">
        <v>56992</v>
      </c>
    </row>
    <row r="465" spans="3:56" x14ac:dyDescent="0.25">
      <c r="C465" s="1">
        <v>46085</v>
      </c>
      <c r="D465" s="36">
        <v>269369.09999999998</v>
      </c>
      <c r="E465" s="33">
        <v>4.5999999999999996</v>
      </c>
      <c r="F465" s="33">
        <v>3.76724666666667</v>
      </c>
      <c r="G465" s="2">
        <v>0.81896666666666695</v>
      </c>
      <c r="H465" s="2">
        <v>0.99</v>
      </c>
      <c r="I465" s="3"/>
      <c r="J465" s="3"/>
      <c r="K465" s="3"/>
      <c r="L465" s="3"/>
      <c r="M465" s="3"/>
      <c r="N465" s="3">
        <v>0</v>
      </c>
      <c r="O465" s="3"/>
      <c r="P465" s="3">
        <v>0</v>
      </c>
      <c r="Q465" s="3">
        <v>0</v>
      </c>
      <c r="R465" s="3">
        <v>0</v>
      </c>
      <c r="S465" s="3">
        <v>0</v>
      </c>
      <c r="T465" s="3">
        <v>0</v>
      </c>
      <c r="U465" s="3"/>
      <c r="V465" s="3"/>
      <c r="W465" s="3"/>
      <c r="X465" s="3"/>
      <c r="Y465" s="3"/>
      <c r="Z465" s="3"/>
      <c r="AA465" s="3"/>
      <c r="AB465" s="3"/>
      <c r="AC465" s="3"/>
      <c r="AD465" s="3"/>
      <c r="AE465" s="3">
        <v>0</v>
      </c>
      <c r="AF465" s="3">
        <v>0</v>
      </c>
      <c r="AG465" s="3"/>
      <c r="AH465" s="40"/>
      <c r="AI465" s="40"/>
      <c r="AJ465" s="40"/>
      <c r="AK465" s="40"/>
      <c r="AL465" s="40"/>
      <c r="AM465" s="40"/>
      <c r="AN465" s="40"/>
      <c r="AO465" s="40"/>
      <c r="AP465" s="40"/>
      <c r="AQ465" s="40"/>
      <c r="AR465" s="31"/>
      <c r="AS465" s="36">
        <v>0</v>
      </c>
      <c r="AY465" s="6"/>
      <c r="AZ465" s="2"/>
      <c r="BA465" s="2"/>
      <c r="BB465" s="2"/>
      <c r="BC465">
        <v>71500</v>
      </c>
      <c r="BD465">
        <v>56992</v>
      </c>
    </row>
    <row r="466" spans="3:56" x14ac:dyDescent="0.25">
      <c r="C466" s="1">
        <v>46086</v>
      </c>
      <c r="D466" s="36">
        <v>269369.09999999998</v>
      </c>
      <c r="E466" s="33">
        <v>4.5999999999999996</v>
      </c>
      <c r="F466" s="33">
        <v>3.7671955555555598</v>
      </c>
      <c r="G466" s="2">
        <v>0.81895555555555599</v>
      </c>
      <c r="H466" s="2">
        <v>0.99</v>
      </c>
      <c r="I466" s="3"/>
      <c r="J466" s="3"/>
      <c r="K466" s="3"/>
      <c r="L466" s="3"/>
      <c r="M466" s="3"/>
      <c r="N466" s="3">
        <v>0</v>
      </c>
      <c r="O466" s="3"/>
      <c r="P466" s="3">
        <v>0</v>
      </c>
      <c r="Q466" s="3">
        <v>0</v>
      </c>
      <c r="R466" s="3">
        <v>0</v>
      </c>
      <c r="S466" s="3">
        <v>0</v>
      </c>
      <c r="T466" s="3">
        <v>0</v>
      </c>
      <c r="U466" s="3"/>
      <c r="V466" s="3"/>
      <c r="W466" s="3"/>
      <c r="X466" s="3"/>
      <c r="Y466" s="3"/>
      <c r="Z466" s="3"/>
      <c r="AA466" s="3"/>
      <c r="AB466" s="3"/>
      <c r="AC466" s="3"/>
      <c r="AD466" s="3"/>
      <c r="AE466" s="3">
        <v>0</v>
      </c>
      <c r="AF466" s="3">
        <v>0</v>
      </c>
      <c r="AG466" s="3"/>
      <c r="AH466" s="40"/>
      <c r="AI466" s="40"/>
      <c r="AJ466" s="40"/>
      <c r="AK466" s="40"/>
      <c r="AL466" s="40"/>
      <c r="AM466" s="40"/>
      <c r="AN466" s="40"/>
      <c r="AO466" s="40"/>
      <c r="AP466" s="40"/>
      <c r="AQ466" s="40"/>
      <c r="AR466" s="31"/>
      <c r="AS466" s="36">
        <v>0</v>
      </c>
      <c r="AY466" s="6"/>
      <c r="AZ466" s="2"/>
      <c r="BA466" s="2"/>
      <c r="BB466" s="2"/>
      <c r="BC466">
        <v>71500</v>
      </c>
      <c r="BD466">
        <v>56992</v>
      </c>
    </row>
    <row r="467" spans="3:56" x14ac:dyDescent="0.25">
      <c r="C467" s="1">
        <v>46087</v>
      </c>
      <c r="D467" s="36">
        <v>269369.09999999998</v>
      </c>
      <c r="E467" s="33">
        <v>4.5999999999999996</v>
      </c>
      <c r="F467" s="33">
        <v>3.76714444444444</v>
      </c>
      <c r="G467" s="2">
        <v>0.81894444444444403</v>
      </c>
      <c r="H467" s="2">
        <v>0.99</v>
      </c>
      <c r="I467" s="3"/>
      <c r="J467" s="3"/>
      <c r="K467" s="3"/>
      <c r="L467" s="3"/>
      <c r="M467" s="3"/>
      <c r="N467" s="3">
        <v>0</v>
      </c>
      <c r="O467" s="3"/>
      <c r="P467" s="3">
        <v>0</v>
      </c>
      <c r="Q467" s="3">
        <v>0</v>
      </c>
      <c r="R467" s="3">
        <v>0</v>
      </c>
      <c r="S467" s="3">
        <v>0</v>
      </c>
      <c r="T467" s="3">
        <v>0</v>
      </c>
      <c r="U467" s="3"/>
      <c r="V467" s="3"/>
      <c r="W467" s="3"/>
      <c r="X467" s="3"/>
      <c r="Y467" s="3"/>
      <c r="Z467" s="3"/>
      <c r="AA467" s="3"/>
      <c r="AB467" s="3"/>
      <c r="AC467" s="3"/>
      <c r="AD467" s="3"/>
      <c r="AE467" s="3">
        <v>0</v>
      </c>
      <c r="AF467" s="3">
        <v>0</v>
      </c>
      <c r="AG467" s="3"/>
      <c r="AH467" s="40"/>
      <c r="AI467" s="40"/>
      <c r="AJ467" s="40"/>
      <c r="AK467" s="40"/>
      <c r="AL467" s="40"/>
      <c r="AM467" s="40"/>
      <c r="AN467" s="40"/>
      <c r="AO467" s="40"/>
      <c r="AP467" s="40"/>
      <c r="AQ467" s="40"/>
      <c r="AR467" s="31"/>
      <c r="AS467" s="36">
        <v>0</v>
      </c>
      <c r="AY467" s="6"/>
      <c r="AZ467" s="2"/>
      <c r="BA467" s="2"/>
      <c r="BB467" s="2"/>
      <c r="BC467">
        <v>71500</v>
      </c>
      <c r="BD467">
        <v>56992</v>
      </c>
    </row>
    <row r="468" spans="3:56" x14ac:dyDescent="0.25">
      <c r="C468" s="1">
        <v>46088</v>
      </c>
      <c r="D468" s="36">
        <v>269369.09999999998</v>
      </c>
      <c r="E468" s="33">
        <v>4.5999999999999996</v>
      </c>
      <c r="F468" s="33">
        <v>3.7670933333333299</v>
      </c>
      <c r="G468" s="2">
        <v>0.81893333333333296</v>
      </c>
      <c r="H468" s="2">
        <v>0.99</v>
      </c>
      <c r="I468" s="3"/>
      <c r="J468" s="3"/>
      <c r="K468" s="3"/>
      <c r="L468" s="3"/>
      <c r="M468" s="3"/>
      <c r="N468" s="3">
        <v>0</v>
      </c>
      <c r="O468" s="3"/>
      <c r="P468" s="3">
        <v>0</v>
      </c>
      <c r="Q468" s="3">
        <v>0</v>
      </c>
      <c r="R468" s="3">
        <v>0</v>
      </c>
      <c r="S468" s="3">
        <v>0</v>
      </c>
      <c r="T468" s="3">
        <v>0</v>
      </c>
      <c r="U468" s="3"/>
      <c r="V468" s="3"/>
      <c r="W468" s="3"/>
      <c r="X468" s="3"/>
      <c r="Y468" s="3"/>
      <c r="Z468" s="3"/>
      <c r="AA468" s="3"/>
      <c r="AB468" s="3"/>
      <c r="AC468" s="3"/>
      <c r="AD468" s="3"/>
      <c r="AE468" s="3">
        <v>0</v>
      </c>
      <c r="AF468" s="3">
        <v>0</v>
      </c>
      <c r="AG468" s="3"/>
      <c r="AH468" s="40"/>
      <c r="AI468" s="40"/>
      <c r="AJ468" s="40"/>
      <c r="AK468" s="40"/>
      <c r="AL468" s="40"/>
      <c r="AM468" s="40"/>
      <c r="AN468" s="40"/>
      <c r="AO468" s="40"/>
      <c r="AP468" s="40"/>
      <c r="AQ468" s="40"/>
      <c r="AR468" s="31"/>
      <c r="AS468" s="36">
        <v>0</v>
      </c>
      <c r="AY468" s="6"/>
      <c r="AZ468" s="2"/>
      <c r="BA468" s="2"/>
      <c r="BB468" s="2"/>
      <c r="BC468">
        <v>71500</v>
      </c>
      <c r="BD468">
        <v>56992</v>
      </c>
    </row>
    <row r="469" spans="3:56" x14ac:dyDescent="0.25">
      <c r="C469" s="1">
        <v>46089</v>
      </c>
      <c r="D469" s="36">
        <v>269369.09999999998</v>
      </c>
      <c r="E469" s="33">
        <v>4.5999999999999996</v>
      </c>
      <c r="F469" s="33">
        <v>3.7670422222222202</v>
      </c>
      <c r="G469" s="2">
        <v>0.818922222222222</v>
      </c>
      <c r="H469" s="2">
        <v>0.99</v>
      </c>
      <c r="I469" s="3"/>
      <c r="J469" s="3"/>
      <c r="K469" s="3"/>
      <c r="L469" s="3"/>
      <c r="M469" s="3"/>
      <c r="N469" s="3">
        <v>0</v>
      </c>
      <c r="O469" s="3"/>
      <c r="P469" s="3">
        <v>0</v>
      </c>
      <c r="Q469" s="3">
        <v>0</v>
      </c>
      <c r="R469" s="3">
        <v>0</v>
      </c>
      <c r="S469" s="3">
        <v>0</v>
      </c>
      <c r="T469" s="3">
        <v>0</v>
      </c>
      <c r="U469" s="3"/>
      <c r="V469" s="3"/>
      <c r="W469" s="3"/>
      <c r="X469" s="3"/>
      <c r="Y469" s="3"/>
      <c r="Z469" s="3"/>
      <c r="AA469" s="3"/>
      <c r="AB469" s="3"/>
      <c r="AC469" s="3"/>
      <c r="AD469" s="3"/>
      <c r="AE469" s="3">
        <v>0</v>
      </c>
      <c r="AF469" s="3">
        <v>0</v>
      </c>
      <c r="AG469" s="3"/>
      <c r="AH469" s="40"/>
      <c r="AI469" s="40"/>
      <c r="AJ469" s="40"/>
      <c r="AK469" s="40"/>
      <c r="AL469" s="40"/>
      <c r="AM469" s="40"/>
      <c r="AN469" s="40"/>
      <c r="AO469" s="40"/>
      <c r="AP469" s="40"/>
      <c r="AQ469" s="40"/>
      <c r="AR469" s="31"/>
      <c r="AS469" s="36">
        <v>0</v>
      </c>
      <c r="AY469" s="6"/>
      <c r="AZ469" s="2"/>
      <c r="BA469" s="2"/>
      <c r="BB469" s="2"/>
      <c r="BC469">
        <v>71500</v>
      </c>
      <c r="BD469">
        <v>56992</v>
      </c>
    </row>
    <row r="470" spans="3:56" x14ac:dyDescent="0.25">
      <c r="C470" s="1">
        <v>46090</v>
      </c>
      <c r="D470" s="36">
        <v>269369.09999999998</v>
      </c>
      <c r="E470" s="33">
        <v>4.5999999999999996</v>
      </c>
      <c r="F470" s="33">
        <v>3.7669911111111101</v>
      </c>
      <c r="G470" s="2">
        <v>0.81891111111111103</v>
      </c>
      <c r="H470" s="2">
        <v>0.99</v>
      </c>
      <c r="I470" s="3"/>
      <c r="J470" s="3"/>
      <c r="K470" s="3"/>
      <c r="L470" s="3"/>
      <c r="M470" s="3"/>
      <c r="N470" s="3">
        <v>0</v>
      </c>
      <c r="O470" s="3"/>
      <c r="P470" s="3">
        <v>0</v>
      </c>
      <c r="Q470" s="3">
        <v>0</v>
      </c>
      <c r="R470" s="3">
        <v>0</v>
      </c>
      <c r="S470" s="3">
        <v>0</v>
      </c>
      <c r="T470" s="3">
        <v>0</v>
      </c>
      <c r="U470" s="3"/>
      <c r="V470" s="3"/>
      <c r="W470" s="3"/>
      <c r="X470" s="3"/>
      <c r="Y470" s="3"/>
      <c r="Z470" s="3"/>
      <c r="AA470" s="3"/>
      <c r="AB470" s="3"/>
      <c r="AC470" s="3"/>
      <c r="AD470" s="3"/>
      <c r="AE470" s="3">
        <v>0</v>
      </c>
      <c r="AF470" s="3">
        <v>0</v>
      </c>
      <c r="AG470" s="3"/>
      <c r="AH470" s="40"/>
      <c r="AI470" s="40"/>
      <c r="AJ470" s="40"/>
      <c r="AK470" s="40"/>
      <c r="AL470" s="40"/>
      <c r="AM470" s="40"/>
      <c r="AN470" s="40"/>
      <c r="AO470" s="40"/>
      <c r="AP470" s="40"/>
      <c r="AQ470" s="40"/>
      <c r="AR470" s="31"/>
      <c r="AS470" s="36">
        <v>0</v>
      </c>
      <c r="AY470" s="6"/>
      <c r="AZ470" s="2"/>
      <c r="BA470" s="2"/>
      <c r="BB470" s="2"/>
      <c r="BC470">
        <v>71500</v>
      </c>
      <c r="BD470">
        <v>56992</v>
      </c>
    </row>
    <row r="471" spans="3:56" x14ac:dyDescent="0.25">
      <c r="C471" s="1">
        <v>46091</v>
      </c>
      <c r="D471" s="36">
        <v>269369.09999999998</v>
      </c>
      <c r="E471" s="33">
        <v>4.5999999999999996</v>
      </c>
      <c r="F471" s="33">
        <v>3.76694</v>
      </c>
      <c r="G471" s="2">
        <v>0.81889999999999996</v>
      </c>
      <c r="H471" s="2">
        <v>0.99</v>
      </c>
      <c r="I471" s="3"/>
      <c r="J471" s="3"/>
      <c r="K471" s="3"/>
      <c r="L471" s="3"/>
      <c r="M471" s="3"/>
      <c r="N471" s="3">
        <v>0</v>
      </c>
      <c r="O471" s="3"/>
      <c r="P471" s="3">
        <v>0</v>
      </c>
      <c r="Q471" s="3">
        <v>0</v>
      </c>
      <c r="R471" s="3">
        <v>0</v>
      </c>
      <c r="S471" s="3">
        <v>0</v>
      </c>
      <c r="T471" s="3">
        <v>0</v>
      </c>
      <c r="U471" s="3"/>
      <c r="V471" s="3"/>
      <c r="W471" s="3"/>
      <c r="X471" s="3"/>
      <c r="Y471" s="3"/>
      <c r="Z471" s="3"/>
      <c r="AA471" s="3"/>
      <c r="AB471" s="3"/>
      <c r="AC471" s="3"/>
      <c r="AD471" s="3"/>
      <c r="AE471" s="3">
        <v>0</v>
      </c>
      <c r="AF471" s="3">
        <v>0</v>
      </c>
      <c r="AG471" s="3"/>
      <c r="AH471" s="40"/>
      <c r="AI471" s="40"/>
      <c r="AJ471" s="40"/>
      <c r="AK471" s="40"/>
      <c r="AL471" s="40"/>
      <c r="AM471" s="40"/>
      <c r="AN471" s="40"/>
      <c r="AO471" s="40"/>
      <c r="AP471" s="40"/>
      <c r="AQ471" s="40"/>
      <c r="AR471" s="31"/>
      <c r="AS471" s="36">
        <v>0</v>
      </c>
      <c r="AY471" s="6"/>
      <c r="AZ471" s="2"/>
      <c r="BA471" s="2"/>
      <c r="BB471" s="2"/>
      <c r="BC471">
        <v>71500</v>
      </c>
      <c r="BD471">
        <v>56992</v>
      </c>
    </row>
    <row r="472" spans="3:56" x14ac:dyDescent="0.25">
      <c r="C472" s="1">
        <v>46092</v>
      </c>
      <c r="D472" s="36">
        <v>269369.09999999998</v>
      </c>
      <c r="E472" s="33">
        <v>4.5999999999999996</v>
      </c>
      <c r="F472" s="33">
        <v>3.7668888888888898</v>
      </c>
      <c r="G472" s="2">
        <v>0.818888888888889</v>
      </c>
      <c r="H472" s="2">
        <v>0.99</v>
      </c>
      <c r="I472" s="3"/>
      <c r="J472" s="3"/>
      <c r="K472" s="3"/>
      <c r="L472" s="3"/>
      <c r="M472" s="3"/>
      <c r="N472" s="3">
        <v>0</v>
      </c>
      <c r="O472" s="3"/>
      <c r="P472" s="3">
        <v>0</v>
      </c>
      <c r="Q472" s="3">
        <v>0</v>
      </c>
      <c r="R472" s="3">
        <v>0</v>
      </c>
      <c r="S472" s="3">
        <v>0</v>
      </c>
      <c r="T472" s="3">
        <v>0</v>
      </c>
      <c r="U472" s="3"/>
      <c r="V472" s="3"/>
      <c r="W472" s="3"/>
      <c r="X472" s="3"/>
      <c r="Y472" s="3"/>
      <c r="Z472" s="3"/>
      <c r="AA472" s="3"/>
      <c r="AB472" s="3"/>
      <c r="AC472" s="3"/>
      <c r="AD472" s="3"/>
      <c r="AE472" s="3">
        <v>0</v>
      </c>
      <c r="AF472" s="3">
        <v>0</v>
      </c>
      <c r="AG472" s="3"/>
      <c r="AH472" s="40"/>
      <c r="AI472" s="40"/>
      <c r="AJ472" s="40"/>
      <c r="AK472" s="40"/>
      <c r="AL472" s="40"/>
      <c r="AM472" s="40"/>
      <c r="AN472" s="40"/>
      <c r="AO472" s="40"/>
      <c r="AP472" s="40"/>
      <c r="AQ472" s="40"/>
      <c r="AR472" s="31"/>
      <c r="AS472" s="36">
        <v>0</v>
      </c>
      <c r="AY472" s="6"/>
      <c r="AZ472" s="2"/>
      <c r="BA472" s="2"/>
      <c r="BB472" s="2"/>
      <c r="BC472">
        <v>71500</v>
      </c>
      <c r="BD472">
        <v>56992</v>
      </c>
    </row>
    <row r="473" spans="3:56" x14ac:dyDescent="0.25">
      <c r="C473" s="1">
        <v>46093</v>
      </c>
      <c r="D473" s="36">
        <v>269369.09999999998</v>
      </c>
      <c r="E473" s="33">
        <v>4.5999999999999996</v>
      </c>
      <c r="F473" s="33">
        <v>3.7668377777777802</v>
      </c>
      <c r="G473" s="2">
        <v>0.81887777777777804</v>
      </c>
      <c r="H473" s="2">
        <v>0.99</v>
      </c>
      <c r="I473" s="3"/>
      <c r="J473" s="3"/>
      <c r="K473" s="3"/>
      <c r="L473" s="3"/>
      <c r="M473" s="3"/>
      <c r="N473" s="3">
        <v>0</v>
      </c>
      <c r="O473" s="3"/>
      <c r="P473" s="3">
        <v>0</v>
      </c>
      <c r="Q473" s="3">
        <v>0</v>
      </c>
      <c r="R473" s="3">
        <v>0</v>
      </c>
      <c r="S473" s="3">
        <v>0</v>
      </c>
      <c r="T473" s="3">
        <v>0</v>
      </c>
      <c r="U473" s="3"/>
      <c r="V473" s="3"/>
      <c r="W473" s="3"/>
      <c r="X473" s="3"/>
      <c r="Y473" s="3"/>
      <c r="Z473" s="3"/>
      <c r="AA473" s="3"/>
      <c r="AB473" s="3"/>
      <c r="AC473" s="3"/>
      <c r="AD473" s="3"/>
      <c r="AE473" s="3">
        <v>0</v>
      </c>
      <c r="AF473" s="3">
        <v>0</v>
      </c>
      <c r="AG473" s="3"/>
      <c r="AH473" s="40"/>
      <c r="AI473" s="40"/>
      <c r="AJ473" s="40"/>
      <c r="AK473" s="40"/>
      <c r="AL473" s="40"/>
      <c r="AM473" s="40"/>
      <c r="AN473" s="40"/>
      <c r="AO473" s="40"/>
      <c r="AP473" s="40"/>
      <c r="AQ473" s="40"/>
      <c r="AR473" s="31"/>
      <c r="AS473" s="36">
        <v>0</v>
      </c>
      <c r="AY473" s="6"/>
      <c r="AZ473" s="2"/>
      <c r="BA473" s="2"/>
      <c r="BB473" s="2"/>
      <c r="BC473">
        <v>71500</v>
      </c>
      <c r="BD473">
        <v>56992</v>
      </c>
    </row>
    <row r="474" spans="3:56" x14ac:dyDescent="0.25">
      <c r="C474" s="1">
        <v>46094</v>
      </c>
      <c r="D474" s="36">
        <v>269369.09999999998</v>
      </c>
      <c r="E474" s="33">
        <v>4.5999999999999996</v>
      </c>
      <c r="F474" s="33">
        <v>3.7667866666666701</v>
      </c>
      <c r="G474" s="2">
        <v>0.81886666666666696</v>
      </c>
      <c r="H474" s="2">
        <v>0.99</v>
      </c>
      <c r="I474" s="3"/>
      <c r="J474" s="3"/>
      <c r="K474" s="3"/>
      <c r="L474" s="3"/>
      <c r="M474" s="3"/>
      <c r="N474" s="3">
        <v>0</v>
      </c>
      <c r="O474" s="3"/>
      <c r="P474" s="3">
        <v>0</v>
      </c>
      <c r="Q474" s="3">
        <v>0</v>
      </c>
      <c r="R474" s="3">
        <v>0</v>
      </c>
      <c r="S474" s="3">
        <v>0</v>
      </c>
      <c r="T474" s="3">
        <v>0</v>
      </c>
      <c r="U474" s="3"/>
      <c r="V474" s="3"/>
      <c r="W474" s="3"/>
      <c r="X474" s="3"/>
      <c r="Y474" s="3"/>
      <c r="Z474" s="3"/>
      <c r="AA474" s="3"/>
      <c r="AB474" s="3"/>
      <c r="AC474" s="3"/>
      <c r="AD474" s="3"/>
      <c r="AE474" s="3">
        <v>0</v>
      </c>
      <c r="AF474" s="3">
        <v>0</v>
      </c>
      <c r="AG474" s="3"/>
      <c r="AH474" s="40"/>
      <c r="AI474" s="40"/>
      <c r="AJ474" s="40"/>
      <c r="AK474" s="40"/>
      <c r="AL474" s="40"/>
      <c r="AM474" s="40"/>
      <c r="AN474" s="40"/>
      <c r="AO474" s="40"/>
      <c r="AP474" s="40"/>
      <c r="AQ474" s="40"/>
      <c r="AR474" s="31"/>
      <c r="AS474" s="36">
        <v>0</v>
      </c>
      <c r="AY474" s="6"/>
      <c r="AZ474" s="2"/>
      <c r="BA474" s="2"/>
      <c r="BB474" s="2"/>
      <c r="BC474">
        <v>71500</v>
      </c>
      <c r="BD474">
        <v>56992</v>
      </c>
    </row>
    <row r="475" spans="3:56" x14ac:dyDescent="0.25">
      <c r="C475" s="1">
        <v>46095</v>
      </c>
      <c r="D475" s="36">
        <v>269369.09999999998</v>
      </c>
      <c r="E475" s="33">
        <v>4.5999999999999996</v>
      </c>
      <c r="F475" s="33">
        <v>3.7667355555555599</v>
      </c>
      <c r="G475" s="2">
        <v>0.818855555555556</v>
      </c>
      <c r="H475" s="2">
        <v>0.99</v>
      </c>
      <c r="I475" s="3"/>
      <c r="J475" s="3"/>
      <c r="K475" s="3"/>
      <c r="L475" s="3"/>
      <c r="M475" s="3"/>
      <c r="N475" s="3">
        <v>0</v>
      </c>
      <c r="O475" s="3"/>
      <c r="P475" s="3">
        <v>0</v>
      </c>
      <c r="Q475" s="3">
        <v>0</v>
      </c>
      <c r="R475" s="3">
        <v>0</v>
      </c>
      <c r="S475" s="3">
        <v>0</v>
      </c>
      <c r="T475" s="3">
        <v>0</v>
      </c>
      <c r="U475" s="3"/>
      <c r="V475" s="3"/>
      <c r="W475" s="3"/>
      <c r="X475" s="3"/>
      <c r="Y475" s="3"/>
      <c r="Z475" s="3"/>
      <c r="AA475" s="3"/>
      <c r="AB475" s="3"/>
      <c r="AC475" s="3"/>
      <c r="AD475" s="3"/>
      <c r="AE475" s="3">
        <v>0</v>
      </c>
      <c r="AF475" s="3">
        <v>0</v>
      </c>
      <c r="AG475" s="3"/>
      <c r="AH475" s="40"/>
      <c r="AI475" s="40"/>
      <c r="AJ475" s="40"/>
      <c r="AK475" s="40"/>
      <c r="AL475" s="40"/>
      <c r="AM475" s="40"/>
      <c r="AN475" s="40"/>
      <c r="AO475" s="40"/>
      <c r="AP475" s="40"/>
      <c r="AQ475" s="40"/>
      <c r="AR475" s="31"/>
      <c r="AS475" s="36">
        <v>0</v>
      </c>
      <c r="AY475" s="6"/>
      <c r="AZ475" s="2"/>
      <c r="BA475" s="2"/>
      <c r="BB475" s="2"/>
      <c r="BC475">
        <v>71500</v>
      </c>
      <c r="BD475">
        <v>56992</v>
      </c>
    </row>
    <row r="476" spans="3:56" x14ac:dyDescent="0.25">
      <c r="C476" s="1">
        <v>46096</v>
      </c>
      <c r="D476" s="36">
        <v>269369.09999999998</v>
      </c>
      <c r="E476" s="33">
        <v>4.5999999999999996</v>
      </c>
      <c r="F476" s="33">
        <v>3.7666844444444401</v>
      </c>
      <c r="G476" s="2">
        <v>0.81884444444444404</v>
      </c>
      <c r="H476" s="2">
        <v>0.99</v>
      </c>
      <c r="I476" s="3"/>
      <c r="J476" s="3"/>
      <c r="K476" s="3"/>
      <c r="L476" s="3"/>
      <c r="M476" s="3"/>
      <c r="N476" s="3">
        <v>0</v>
      </c>
      <c r="O476" s="3"/>
      <c r="P476" s="3">
        <v>0</v>
      </c>
      <c r="Q476" s="3">
        <v>0</v>
      </c>
      <c r="R476" s="3">
        <v>0</v>
      </c>
      <c r="S476" s="3">
        <v>0</v>
      </c>
      <c r="T476" s="3">
        <v>0</v>
      </c>
      <c r="U476" s="3"/>
      <c r="V476" s="3"/>
      <c r="W476" s="3"/>
      <c r="X476" s="3"/>
      <c r="Y476" s="3"/>
      <c r="Z476" s="3"/>
      <c r="AA476" s="3"/>
      <c r="AB476" s="3"/>
      <c r="AC476" s="3"/>
      <c r="AD476" s="3"/>
      <c r="AE476" s="3">
        <v>0</v>
      </c>
      <c r="AF476" s="3">
        <v>0</v>
      </c>
      <c r="AG476" s="3"/>
      <c r="AH476" s="40"/>
      <c r="AI476" s="40"/>
      <c r="AJ476" s="40"/>
      <c r="AK476" s="40"/>
      <c r="AL476" s="40"/>
      <c r="AM476" s="40"/>
      <c r="AN476" s="40"/>
      <c r="AO476" s="40"/>
      <c r="AP476" s="40"/>
      <c r="AQ476" s="40"/>
      <c r="AR476" s="31"/>
      <c r="AS476" s="36">
        <v>0</v>
      </c>
      <c r="AY476" s="6"/>
      <c r="AZ476" s="2"/>
      <c r="BA476" s="2"/>
      <c r="BB476" s="2"/>
      <c r="BC476">
        <v>71500</v>
      </c>
      <c r="BD476">
        <v>56992</v>
      </c>
    </row>
    <row r="477" spans="3:56" x14ac:dyDescent="0.25">
      <c r="C477" s="1">
        <v>46097</v>
      </c>
      <c r="D477" s="36">
        <v>269369.09999999998</v>
      </c>
      <c r="E477" s="33">
        <v>4.5999999999999996</v>
      </c>
      <c r="F477" s="33">
        <v>3.7666333333333299</v>
      </c>
      <c r="G477" s="2">
        <v>0.81883333333333297</v>
      </c>
      <c r="H477" s="2">
        <v>0.99</v>
      </c>
      <c r="I477" s="3"/>
      <c r="J477" s="3"/>
      <c r="K477" s="3"/>
      <c r="L477" s="3"/>
      <c r="M477" s="3"/>
      <c r="N477" s="3">
        <v>0</v>
      </c>
      <c r="O477" s="3"/>
      <c r="P477" s="3">
        <v>0</v>
      </c>
      <c r="Q477" s="3">
        <v>0</v>
      </c>
      <c r="R477" s="3">
        <v>0</v>
      </c>
      <c r="S477" s="3">
        <v>0</v>
      </c>
      <c r="T477" s="3">
        <v>0</v>
      </c>
      <c r="U477" s="3"/>
      <c r="V477" s="3"/>
      <c r="W477" s="3"/>
      <c r="X477" s="3"/>
      <c r="Y477" s="3"/>
      <c r="Z477" s="3"/>
      <c r="AA477" s="3"/>
      <c r="AB477" s="3"/>
      <c r="AC477" s="3"/>
      <c r="AD477" s="3"/>
      <c r="AE477" s="3">
        <v>0</v>
      </c>
      <c r="AF477" s="3">
        <v>0</v>
      </c>
      <c r="AG477" s="3"/>
      <c r="AH477" s="40"/>
      <c r="AI477" s="40"/>
      <c r="AJ477" s="40"/>
      <c r="AK477" s="40"/>
      <c r="AL477" s="40"/>
      <c r="AM477" s="40"/>
      <c r="AN477" s="40"/>
      <c r="AO477" s="40"/>
      <c r="AP477" s="40"/>
      <c r="AQ477" s="40"/>
      <c r="AR477" s="31"/>
      <c r="AS477" s="36">
        <v>0</v>
      </c>
      <c r="AY477" s="6"/>
      <c r="AZ477" s="2"/>
      <c r="BA477" s="2"/>
      <c r="BB477" s="2"/>
      <c r="BC477">
        <v>71500</v>
      </c>
      <c r="BD477">
        <v>56992</v>
      </c>
    </row>
    <row r="478" spans="3:56" x14ac:dyDescent="0.25">
      <c r="C478" s="1">
        <v>46098</v>
      </c>
      <c r="D478" s="36">
        <v>269369.09999999998</v>
      </c>
      <c r="E478" s="33">
        <v>4.5999999999999996</v>
      </c>
      <c r="F478" s="33">
        <v>3.7665822222222198</v>
      </c>
      <c r="G478" s="2">
        <v>0.81882222222222201</v>
      </c>
      <c r="H478" s="2">
        <v>0.99</v>
      </c>
      <c r="I478" s="3"/>
      <c r="J478" s="3"/>
      <c r="K478" s="3"/>
      <c r="L478" s="3"/>
      <c r="M478" s="3"/>
      <c r="N478" s="3">
        <v>0</v>
      </c>
      <c r="O478" s="3"/>
      <c r="P478" s="3">
        <v>0</v>
      </c>
      <c r="Q478" s="3">
        <v>0</v>
      </c>
      <c r="R478" s="3">
        <v>0</v>
      </c>
      <c r="S478" s="3">
        <v>0</v>
      </c>
      <c r="T478" s="3">
        <v>0</v>
      </c>
      <c r="U478" s="3"/>
      <c r="V478" s="3"/>
      <c r="W478" s="3"/>
      <c r="X478" s="3"/>
      <c r="Y478" s="3"/>
      <c r="Z478" s="3"/>
      <c r="AA478" s="3"/>
      <c r="AB478" s="3"/>
      <c r="AC478" s="3"/>
      <c r="AD478" s="3"/>
      <c r="AE478" s="3">
        <v>0</v>
      </c>
      <c r="AF478" s="3">
        <v>0</v>
      </c>
      <c r="AG478" s="3"/>
      <c r="AH478" s="40"/>
      <c r="AI478" s="40"/>
      <c r="AJ478" s="40"/>
      <c r="AK478" s="40"/>
      <c r="AL478" s="40"/>
      <c r="AM478" s="40"/>
      <c r="AN478" s="40"/>
      <c r="AO478" s="40"/>
      <c r="AP478" s="40"/>
      <c r="AQ478" s="40"/>
      <c r="AR478" s="31"/>
      <c r="AS478" s="36">
        <v>0</v>
      </c>
      <c r="AY478" s="6"/>
      <c r="AZ478" s="2"/>
      <c r="BA478" s="2"/>
      <c r="BB478" s="2"/>
      <c r="BC478">
        <v>71500</v>
      </c>
      <c r="BD478">
        <v>56992</v>
      </c>
    </row>
    <row r="479" spans="3:56" x14ac:dyDescent="0.25">
      <c r="C479" s="1">
        <v>46099</v>
      </c>
      <c r="D479" s="36">
        <v>269369.09999999998</v>
      </c>
      <c r="E479" s="33">
        <v>4.5999999999999996</v>
      </c>
      <c r="F479" s="33">
        <v>3.7665311111111102</v>
      </c>
      <c r="G479" s="2">
        <v>0.81881111111111105</v>
      </c>
      <c r="H479" s="2">
        <v>0.99</v>
      </c>
      <c r="I479" s="3"/>
      <c r="J479" s="3"/>
      <c r="K479" s="3"/>
      <c r="L479" s="3"/>
      <c r="M479" s="3"/>
      <c r="N479" s="3">
        <v>0</v>
      </c>
      <c r="O479" s="3"/>
      <c r="P479" s="3">
        <v>0</v>
      </c>
      <c r="Q479" s="3">
        <v>0</v>
      </c>
      <c r="R479" s="3">
        <v>0</v>
      </c>
      <c r="S479" s="3">
        <v>0</v>
      </c>
      <c r="T479" s="3">
        <v>0</v>
      </c>
      <c r="U479" s="3"/>
      <c r="V479" s="3"/>
      <c r="W479" s="3"/>
      <c r="X479" s="3"/>
      <c r="Y479" s="3"/>
      <c r="Z479" s="3"/>
      <c r="AA479" s="3"/>
      <c r="AB479" s="3"/>
      <c r="AC479" s="3"/>
      <c r="AD479" s="3"/>
      <c r="AE479" s="3">
        <v>0</v>
      </c>
      <c r="AF479" s="3">
        <v>0</v>
      </c>
      <c r="AG479" s="3"/>
      <c r="AH479" s="40"/>
      <c r="AI479" s="40"/>
      <c r="AJ479" s="40"/>
      <c r="AK479" s="40"/>
      <c r="AL479" s="40"/>
      <c r="AM479" s="40"/>
      <c r="AN479" s="40"/>
      <c r="AO479" s="40"/>
      <c r="AP479" s="40"/>
      <c r="AQ479" s="40"/>
      <c r="AR479" s="31"/>
      <c r="AS479" s="36">
        <v>0</v>
      </c>
      <c r="AY479" s="6"/>
      <c r="AZ479" s="2"/>
      <c r="BA479" s="2"/>
      <c r="BB479" s="2"/>
      <c r="BC479">
        <v>71500</v>
      </c>
      <c r="BD479">
        <v>56992</v>
      </c>
    </row>
    <row r="480" spans="3:56" x14ac:dyDescent="0.25">
      <c r="C480" s="1">
        <v>46100</v>
      </c>
      <c r="D480" s="36">
        <v>269369.09999999998</v>
      </c>
      <c r="E480" s="33">
        <v>4.5999999999999996</v>
      </c>
      <c r="F480" s="33">
        <v>3.7664800000000001</v>
      </c>
      <c r="G480" s="2">
        <v>0.81879999999999997</v>
      </c>
      <c r="H480" s="2">
        <v>0.99</v>
      </c>
      <c r="I480" s="3"/>
      <c r="J480" s="3"/>
      <c r="K480" s="3"/>
      <c r="L480" s="3"/>
      <c r="M480" s="3"/>
      <c r="N480" s="3">
        <v>0</v>
      </c>
      <c r="O480" s="3"/>
      <c r="P480" s="3">
        <v>0</v>
      </c>
      <c r="Q480" s="3">
        <v>0</v>
      </c>
      <c r="R480" s="3">
        <v>0</v>
      </c>
      <c r="S480" s="3">
        <v>0</v>
      </c>
      <c r="T480" s="3">
        <v>0</v>
      </c>
      <c r="U480" s="3"/>
      <c r="V480" s="3"/>
      <c r="W480" s="3"/>
      <c r="X480" s="3"/>
      <c r="Y480" s="3"/>
      <c r="Z480" s="3"/>
      <c r="AA480" s="3"/>
      <c r="AB480" s="3"/>
      <c r="AC480" s="3"/>
      <c r="AD480" s="3"/>
      <c r="AE480" s="3">
        <v>0</v>
      </c>
      <c r="AF480" s="3">
        <v>0</v>
      </c>
      <c r="AG480" s="3"/>
      <c r="AH480" s="40"/>
      <c r="AI480" s="40"/>
      <c r="AJ480" s="40"/>
      <c r="AK480" s="40"/>
      <c r="AL480" s="40"/>
      <c r="AM480" s="40"/>
      <c r="AN480" s="40"/>
      <c r="AO480" s="40"/>
      <c r="AP480" s="40"/>
      <c r="AQ480" s="40"/>
      <c r="AR480" s="31"/>
      <c r="AS480" s="36">
        <v>0</v>
      </c>
      <c r="AY480" s="6"/>
      <c r="AZ480" s="2"/>
      <c r="BA480" s="2"/>
      <c r="BB480" s="2"/>
      <c r="BC480">
        <v>71500</v>
      </c>
      <c r="BD480">
        <v>56992</v>
      </c>
    </row>
    <row r="481" spans="3:56" x14ac:dyDescent="0.25">
      <c r="C481" s="1">
        <v>46101</v>
      </c>
      <c r="D481" s="36">
        <v>269369.09999999998</v>
      </c>
      <c r="E481" s="33">
        <v>4.5999999999999996</v>
      </c>
      <c r="F481" s="33">
        <v>3.7664288888888899</v>
      </c>
      <c r="G481" s="2">
        <v>0.81878888888888901</v>
      </c>
      <c r="H481" s="2">
        <v>0.99</v>
      </c>
      <c r="I481" s="3"/>
      <c r="J481" s="3"/>
      <c r="K481" s="3"/>
      <c r="L481" s="3"/>
      <c r="M481" s="3"/>
      <c r="N481" s="3">
        <v>0</v>
      </c>
      <c r="O481" s="3"/>
      <c r="P481" s="3">
        <v>0</v>
      </c>
      <c r="Q481" s="3">
        <v>0</v>
      </c>
      <c r="R481" s="3">
        <v>0</v>
      </c>
      <c r="S481" s="3">
        <v>0</v>
      </c>
      <c r="T481" s="3">
        <v>0</v>
      </c>
      <c r="U481" s="3"/>
      <c r="V481" s="3"/>
      <c r="W481" s="3"/>
      <c r="X481" s="3"/>
      <c r="Y481" s="3"/>
      <c r="Z481" s="3"/>
      <c r="AA481" s="3"/>
      <c r="AB481" s="3"/>
      <c r="AC481" s="3"/>
      <c r="AD481" s="3"/>
      <c r="AE481" s="3">
        <v>0</v>
      </c>
      <c r="AF481" s="3">
        <v>0</v>
      </c>
      <c r="AG481" s="3"/>
      <c r="AH481" s="40"/>
      <c r="AI481" s="40"/>
      <c r="AJ481" s="40"/>
      <c r="AK481" s="40"/>
      <c r="AL481" s="40"/>
      <c r="AM481" s="40"/>
      <c r="AN481" s="40"/>
      <c r="AO481" s="40"/>
      <c r="AP481" s="40"/>
      <c r="AQ481" s="40"/>
      <c r="AR481" s="31"/>
      <c r="AS481" s="36">
        <v>0</v>
      </c>
      <c r="AY481" s="6"/>
      <c r="AZ481" s="2"/>
      <c r="BA481" s="2"/>
      <c r="BB481" s="2"/>
      <c r="BC481">
        <v>71500</v>
      </c>
      <c r="BD481">
        <v>56992</v>
      </c>
    </row>
    <row r="482" spans="3:56" x14ac:dyDescent="0.25">
      <c r="C482" s="1">
        <v>46102</v>
      </c>
      <c r="D482" s="36">
        <v>269369.09999999998</v>
      </c>
      <c r="E482" s="33">
        <v>4.5999999999999996</v>
      </c>
      <c r="F482" s="33">
        <v>3.7663777777777798</v>
      </c>
      <c r="G482" s="2">
        <v>0.81877777777777805</v>
      </c>
      <c r="H482" s="2">
        <v>0.99</v>
      </c>
      <c r="I482" s="3"/>
      <c r="J482" s="3"/>
      <c r="K482" s="3"/>
      <c r="L482" s="3"/>
      <c r="M482" s="3"/>
      <c r="N482" s="3">
        <v>0</v>
      </c>
      <c r="O482" s="3"/>
      <c r="P482" s="3">
        <v>0</v>
      </c>
      <c r="Q482" s="3">
        <v>0</v>
      </c>
      <c r="R482" s="3">
        <v>0</v>
      </c>
      <c r="S482" s="3">
        <v>0</v>
      </c>
      <c r="T482" s="3">
        <v>0</v>
      </c>
      <c r="U482" s="3"/>
      <c r="V482" s="3"/>
      <c r="W482" s="3"/>
      <c r="X482" s="3"/>
      <c r="Y482" s="3"/>
      <c r="Z482" s="3"/>
      <c r="AA482" s="3"/>
      <c r="AB482" s="3"/>
      <c r="AC482" s="3"/>
      <c r="AD482" s="3"/>
      <c r="AE482" s="3">
        <v>0</v>
      </c>
      <c r="AF482" s="3">
        <v>0</v>
      </c>
      <c r="AG482" s="3"/>
      <c r="AH482" s="40"/>
      <c r="AI482" s="40"/>
      <c r="AJ482" s="40"/>
      <c r="AK482" s="40"/>
      <c r="AL482" s="40"/>
      <c r="AM482" s="40"/>
      <c r="AN482" s="40"/>
      <c r="AO482" s="40"/>
      <c r="AP482" s="40"/>
      <c r="AQ482" s="40"/>
      <c r="AR482" s="31"/>
      <c r="AS482" s="36">
        <v>0</v>
      </c>
      <c r="AY482" s="6"/>
      <c r="AZ482" s="2"/>
      <c r="BA482" s="2"/>
      <c r="BB482" s="2"/>
      <c r="BC482">
        <v>71500</v>
      </c>
      <c r="BD482">
        <v>56992</v>
      </c>
    </row>
    <row r="483" spans="3:56" x14ac:dyDescent="0.25">
      <c r="C483" s="1">
        <v>46103</v>
      </c>
      <c r="D483" s="36">
        <v>269369.09999999998</v>
      </c>
      <c r="E483" s="33">
        <v>4.5999999999999996</v>
      </c>
      <c r="F483" s="33">
        <v>3.7663266666666702</v>
      </c>
      <c r="G483" s="2">
        <v>0.81876666666666698</v>
      </c>
      <c r="H483" s="2">
        <v>0.99</v>
      </c>
      <c r="I483" s="3"/>
      <c r="J483" s="3"/>
      <c r="K483" s="3"/>
      <c r="L483" s="3"/>
      <c r="M483" s="3"/>
      <c r="N483" s="3">
        <v>0</v>
      </c>
      <c r="O483" s="3"/>
      <c r="P483" s="3">
        <v>0</v>
      </c>
      <c r="Q483" s="3">
        <v>0</v>
      </c>
      <c r="R483" s="3">
        <v>0</v>
      </c>
      <c r="S483" s="3">
        <v>0</v>
      </c>
      <c r="T483" s="3">
        <v>0</v>
      </c>
      <c r="U483" s="3"/>
      <c r="V483" s="3"/>
      <c r="W483" s="3"/>
      <c r="X483" s="3"/>
      <c r="Y483" s="3"/>
      <c r="Z483" s="3"/>
      <c r="AA483" s="3"/>
      <c r="AB483" s="3"/>
      <c r="AC483" s="3"/>
      <c r="AD483" s="3"/>
      <c r="AE483" s="3">
        <v>0</v>
      </c>
      <c r="AF483" s="3">
        <v>0</v>
      </c>
      <c r="AG483" s="3"/>
      <c r="AH483" s="40"/>
      <c r="AI483" s="40"/>
      <c r="AJ483" s="40"/>
      <c r="AK483" s="40"/>
      <c r="AL483" s="40"/>
      <c r="AM483" s="40"/>
      <c r="AN483" s="40"/>
      <c r="AO483" s="40"/>
      <c r="AP483" s="40"/>
      <c r="AQ483" s="40"/>
      <c r="AR483" s="31"/>
      <c r="AS483" s="36">
        <v>0</v>
      </c>
      <c r="AY483" s="6"/>
      <c r="AZ483" s="2"/>
      <c r="BA483" s="2"/>
      <c r="BB483" s="2"/>
      <c r="BC483">
        <v>71500</v>
      </c>
      <c r="BD483">
        <v>56992</v>
      </c>
    </row>
    <row r="484" spans="3:56" x14ac:dyDescent="0.25">
      <c r="C484" s="1">
        <v>46104</v>
      </c>
      <c r="D484" s="36">
        <v>269369.09999999998</v>
      </c>
      <c r="E484" s="33">
        <v>4.5999999999999996</v>
      </c>
      <c r="F484" s="33">
        <v>3.76627555555556</v>
      </c>
      <c r="G484" s="2">
        <v>0.81875555555555601</v>
      </c>
      <c r="H484" s="2">
        <v>0.99</v>
      </c>
      <c r="I484" s="3"/>
      <c r="J484" s="3"/>
      <c r="K484" s="3"/>
      <c r="L484" s="3"/>
      <c r="M484" s="3"/>
      <c r="N484" s="3">
        <v>0</v>
      </c>
      <c r="O484" s="3"/>
      <c r="P484" s="3">
        <v>0</v>
      </c>
      <c r="Q484" s="3">
        <v>0</v>
      </c>
      <c r="R484" s="3">
        <v>0</v>
      </c>
      <c r="S484" s="3">
        <v>0</v>
      </c>
      <c r="T484" s="3">
        <v>0</v>
      </c>
      <c r="U484" s="3"/>
      <c r="V484" s="3"/>
      <c r="W484" s="3"/>
      <c r="X484" s="3"/>
      <c r="Y484" s="3"/>
      <c r="Z484" s="3"/>
      <c r="AA484" s="3"/>
      <c r="AB484" s="3"/>
      <c r="AC484" s="3"/>
      <c r="AD484" s="3"/>
      <c r="AE484" s="3">
        <v>0</v>
      </c>
      <c r="AF484" s="3">
        <v>0</v>
      </c>
      <c r="AG484" s="3"/>
      <c r="AH484" s="40"/>
      <c r="AI484" s="40"/>
      <c r="AJ484" s="40"/>
      <c r="AK484" s="40"/>
      <c r="AL484" s="40"/>
      <c r="AM484" s="40"/>
      <c r="AN484" s="40"/>
      <c r="AO484" s="40"/>
      <c r="AP484" s="40"/>
      <c r="AQ484" s="40"/>
      <c r="AR484" s="31"/>
      <c r="AS484" s="36">
        <v>0</v>
      </c>
      <c r="AY484" s="6"/>
      <c r="AZ484" s="2"/>
      <c r="BA484" s="2"/>
      <c r="BB484" s="2"/>
      <c r="BC484">
        <v>71500</v>
      </c>
      <c r="BD484">
        <v>56992</v>
      </c>
    </row>
    <row r="485" spans="3:56" x14ac:dyDescent="0.25">
      <c r="C485" s="1">
        <v>46105</v>
      </c>
      <c r="D485" s="36">
        <v>269369.09999999998</v>
      </c>
      <c r="E485" s="33">
        <v>4.5999999999999996</v>
      </c>
      <c r="F485" s="33">
        <v>3.7662244444444402</v>
      </c>
      <c r="G485" s="2">
        <v>0.81874444444444405</v>
      </c>
      <c r="H485" s="2">
        <v>0.99</v>
      </c>
      <c r="I485" s="3"/>
      <c r="J485" s="3"/>
      <c r="K485" s="3"/>
      <c r="L485" s="3"/>
      <c r="M485" s="3"/>
      <c r="N485" s="3">
        <v>0</v>
      </c>
      <c r="O485" s="3"/>
      <c r="P485" s="3">
        <v>0</v>
      </c>
      <c r="Q485" s="3">
        <v>0</v>
      </c>
      <c r="R485" s="3">
        <v>0</v>
      </c>
      <c r="S485" s="3">
        <v>0</v>
      </c>
      <c r="T485" s="3">
        <v>0</v>
      </c>
      <c r="U485" s="3"/>
      <c r="V485" s="3"/>
      <c r="W485" s="3"/>
      <c r="X485" s="3"/>
      <c r="Y485" s="3"/>
      <c r="Z485" s="3"/>
      <c r="AA485" s="3"/>
      <c r="AB485" s="3"/>
      <c r="AC485" s="3"/>
      <c r="AD485" s="3"/>
      <c r="AE485" s="3">
        <v>0</v>
      </c>
      <c r="AF485" s="3">
        <v>0</v>
      </c>
      <c r="AG485" s="3"/>
      <c r="AH485" s="40"/>
      <c r="AI485" s="40"/>
      <c r="AJ485" s="40"/>
      <c r="AK485" s="40"/>
      <c r="AL485" s="40"/>
      <c r="AM485" s="40"/>
      <c r="AN485" s="40"/>
      <c r="AO485" s="40"/>
      <c r="AP485" s="40"/>
      <c r="AQ485" s="40"/>
      <c r="AR485" s="31"/>
      <c r="AS485" s="36">
        <v>0</v>
      </c>
      <c r="AY485" s="6"/>
      <c r="AZ485" s="2"/>
      <c r="BA485" s="2"/>
      <c r="BB485" s="2"/>
      <c r="BC485">
        <v>71500</v>
      </c>
      <c r="BD485">
        <v>56992</v>
      </c>
    </row>
    <row r="486" spans="3:56" x14ac:dyDescent="0.25">
      <c r="C486" s="1">
        <v>46106</v>
      </c>
      <c r="D486" s="36">
        <v>269369.09999999998</v>
      </c>
      <c r="E486" s="33">
        <v>4.5999999999999996</v>
      </c>
      <c r="F486" s="33">
        <v>3.76617333333333</v>
      </c>
      <c r="G486" s="2">
        <v>0.81873333333333298</v>
      </c>
      <c r="H486" s="2">
        <v>0.99</v>
      </c>
      <c r="I486" s="3"/>
      <c r="J486" s="3"/>
      <c r="K486" s="3"/>
      <c r="L486" s="3"/>
      <c r="M486" s="3"/>
      <c r="N486" s="3">
        <v>0</v>
      </c>
      <c r="O486" s="3"/>
      <c r="P486" s="3">
        <v>0</v>
      </c>
      <c r="Q486" s="3">
        <v>0</v>
      </c>
      <c r="R486" s="3">
        <v>0</v>
      </c>
      <c r="S486" s="3">
        <v>0</v>
      </c>
      <c r="T486" s="3">
        <v>0</v>
      </c>
      <c r="U486" s="3"/>
      <c r="V486" s="3"/>
      <c r="W486" s="3"/>
      <c r="X486" s="3"/>
      <c r="Y486" s="3"/>
      <c r="Z486" s="3"/>
      <c r="AA486" s="3"/>
      <c r="AB486" s="3"/>
      <c r="AC486" s="3"/>
      <c r="AD486" s="3"/>
      <c r="AE486" s="3">
        <v>0</v>
      </c>
      <c r="AF486" s="3">
        <v>0</v>
      </c>
      <c r="AG486" s="3"/>
      <c r="AH486" s="40"/>
      <c r="AI486" s="40"/>
      <c r="AJ486" s="40"/>
      <c r="AK486" s="40"/>
      <c r="AL486" s="40"/>
      <c r="AM486" s="40"/>
      <c r="AN486" s="40"/>
      <c r="AO486" s="40"/>
      <c r="AP486" s="40"/>
      <c r="AQ486" s="40"/>
      <c r="AR486" s="31"/>
      <c r="AS486" s="36">
        <v>0</v>
      </c>
      <c r="AY486" s="6"/>
      <c r="AZ486" s="2"/>
      <c r="BA486" s="2"/>
      <c r="BB486" s="2"/>
      <c r="BC486">
        <v>71500</v>
      </c>
      <c r="BD486">
        <v>56992</v>
      </c>
    </row>
    <row r="487" spans="3:56" x14ac:dyDescent="0.25">
      <c r="C487" s="1">
        <v>46107</v>
      </c>
      <c r="D487" s="36">
        <v>269369.09999999998</v>
      </c>
      <c r="E487" s="33">
        <v>4.5999999999999996</v>
      </c>
      <c r="F487" s="33">
        <v>3.7661222222222199</v>
      </c>
      <c r="G487" s="2">
        <v>0.81872222222222202</v>
      </c>
      <c r="H487" s="2">
        <v>0.99</v>
      </c>
      <c r="I487" s="3"/>
      <c r="J487" s="3"/>
      <c r="K487" s="3"/>
      <c r="L487" s="3"/>
      <c r="M487" s="3"/>
      <c r="N487" s="3">
        <v>0</v>
      </c>
      <c r="O487" s="3"/>
      <c r="P487" s="3">
        <v>0</v>
      </c>
      <c r="Q487" s="3">
        <v>0</v>
      </c>
      <c r="R487" s="3">
        <v>0</v>
      </c>
      <c r="S487" s="3">
        <v>0</v>
      </c>
      <c r="T487" s="3">
        <v>0</v>
      </c>
      <c r="U487" s="3"/>
      <c r="V487" s="3"/>
      <c r="W487" s="3"/>
      <c r="X487" s="3"/>
      <c r="Y487" s="3"/>
      <c r="Z487" s="3"/>
      <c r="AA487" s="3"/>
      <c r="AB487" s="3"/>
      <c r="AC487" s="3"/>
      <c r="AD487" s="3"/>
      <c r="AE487" s="3">
        <v>0</v>
      </c>
      <c r="AF487" s="3">
        <v>0</v>
      </c>
      <c r="AG487" s="3"/>
      <c r="AH487" s="40"/>
      <c r="AI487" s="40"/>
      <c r="AJ487" s="40"/>
      <c r="AK487" s="40"/>
      <c r="AL487" s="40"/>
      <c r="AM487" s="40"/>
      <c r="AN487" s="40"/>
      <c r="AO487" s="40"/>
      <c r="AP487" s="40"/>
      <c r="AQ487" s="40"/>
      <c r="AR487" s="31"/>
      <c r="AS487" s="36">
        <v>0</v>
      </c>
      <c r="AY487" s="6"/>
      <c r="AZ487" s="2"/>
      <c r="BA487" s="2"/>
      <c r="BB487" s="2"/>
      <c r="BC487">
        <v>71500</v>
      </c>
      <c r="BD487">
        <v>56992</v>
      </c>
    </row>
    <row r="488" spans="3:56" x14ac:dyDescent="0.25">
      <c r="C488" s="1">
        <v>46108</v>
      </c>
      <c r="D488" s="36">
        <v>269369.09999999998</v>
      </c>
      <c r="E488" s="33">
        <v>4.5999999999999996</v>
      </c>
      <c r="F488" s="33">
        <v>3.7660711111111098</v>
      </c>
      <c r="G488" s="2">
        <v>0.81871111111111095</v>
      </c>
      <c r="H488" s="2">
        <v>0.99</v>
      </c>
      <c r="I488" s="3"/>
      <c r="J488" s="3"/>
      <c r="K488" s="3"/>
      <c r="L488" s="3"/>
      <c r="M488" s="3"/>
      <c r="N488" s="3">
        <v>0</v>
      </c>
      <c r="O488" s="3"/>
      <c r="P488" s="3">
        <v>0</v>
      </c>
      <c r="Q488" s="3">
        <v>0</v>
      </c>
      <c r="R488" s="3">
        <v>0</v>
      </c>
      <c r="S488" s="3">
        <v>0</v>
      </c>
      <c r="T488" s="3">
        <v>0</v>
      </c>
      <c r="U488" s="3"/>
      <c r="V488" s="3"/>
      <c r="W488" s="3"/>
      <c r="X488" s="3"/>
      <c r="Y488" s="3"/>
      <c r="Z488" s="3"/>
      <c r="AA488" s="3"/>
      <c r="AB488" s="3"/>
      <c r="AC488" s="3"/>
      <c r="AD488" s="3"/>
      <c r="AE488" s="3">
        <v>0</v>
      </c>
      <c r="AF488" s="3">
        <v>0</v>
      </c>
      <c r="AG488" s="3"/>
      <c r="AH488" s="40"/>
      <c r="AI488" s="40"/>
      <c r="AJ488" s="40"/>
      <c r="AK488" s="40"/>
      <c r="AL488" s="40"/>
      <c r="AM488" s="40"/>
      <c r="AN488" s="40"/>
      <c r="AO488" s="40"/>
      <c r="AP488" s="40"/>
      <c r="AQ488" s="40"/>
      <c r="AR488" s="31"/>
      <c r="AS488" s="36">
        <v>0</v>
      </c>
      <c r="AY488" s="6"/>
      <c r="AZ488" s="2"/>
      <c r="BA488" s="2"/>
      <c r="BB488" s="2"/>
      <c r="BC488">
        <v>71500</v>
      </c>
      <c r="BD488">
        <v>56992</v>
      </c>
    </row>
    <row r="489" spans="3:56" x14ac:dyDescent="0.25">
      <c r="C489" s="1">
        <v>46109</v>
      </c>
      <c r="D489" s="36">
        <v>269369.09999999998</v>
      </c>
      <c r="E489" s="33">
        <v>4.5999999999999996</v>
      </c>
      <c r="F489" s="33">
        <v>3.7660200000000001</v>
      </c>
      <c r="G489" s="2">
        <v>0.81869999999999998</v>
      </c>
      <c r="H489" s="2">
        <v>0.99</v>
      </c>
      <c r="I489" s="3"/>
      <c r="J489" s="3"/>
      <c r="K489" s="3"/>
      <c r="L489" s="3"/>
      <c r="M489" s="3"/>
      <c r="N489" s="3">
        <v>0</v>
      </c>
      <c r="O489" s="3"/>
      <c r="P489" s="3">
        <v>0</v>
      </c>
      <c r="Q489" s="3">
        <v>0</v>
      </c>
      <c r="R489" s="3">
        <v>0</v>
      </c>
      <c r="S489" s="3">
        <v>0</v>
      </c>
      <c r="T489" s="3">
        <v>0</v>
      </c>
      <c r="U489" s="3"/>
      <c r="V489" s="3"/>
      <c r="W489" s="3"/>
      <c r="X489" s="3"/>
      <c r="Y489" s="3"/>
      <c r="Z489" s="3"/>
      <c r="AA489" s="3"/>
      <c r="AB489" s="3"/>
      <c r="AC489" s="3"/>
      <c r="AD489" s="3"/>
      <c r="AE489" s="3">
        <v>0</v>
      </c>
      <c r="AF489" s="3">
        <v>0</v>
      </c>
      <c r="AG489" s="3"/>
      <c r="AH489" s="40"/>
      <c r="AI489" s="40"/>
      <c r="AJ489" s="40"/>
      <c r="AK489" s="40"/>
      <c r="AL489" s="40"/>
      <c r="AM489" s="40"/>
      <c r="AN489" s="40"/>
      <c r="AO489" s="40"/>
      <c r="AP489" s="40"/>
      <c r="AQ489" s="40"/>
      <c r="AR489" s="31"/>
      <c r="AS489" s="36">
        <v>0</v>
      </c>
      <c r="AY489" s="6"/>
      <c r="AZ489" s="2"/>
      <c r="BA489" s="2"/>
      <c r="BB489" s="2"/>
      <c r="BC489">
        <v>71500</v>
      </c>
      <c r="BD489">
        <v>56992</v>
      </c>
    </row>
    <row r="490" spans="3:56" x14ac:dyDescent="0.25">
      <c r="C490" s="1">
        <v>46110</v>
      </c>
      <c r="D490" s="36">
        <v>269369.09999999998</v>
      </c>
      <c r="E490" s="33">
        <v>4.5999999999999996</v>
      </c>
      <c r="F490" s="33">
        <v>3.76596888888889</v>
      </c>
      <c r="G490" s="2">
        <v>0.81868888888888902</v>
      </c>
      <c r="H490" s="2">
        <v>0.99</v>
      </c>
      <c r="I490" s="3"/>
      <c r="J490" s="3"/>
      <c r="K490" s="3"/>
      <c r="L490" s="3"/>
      <c r="M490" s="3"/>
      <c r="N490" s="3">
        <v>0</v>
      </c>
      <c r="O490" s="3"/>
      <c r="P490" s="3">
        <v>0</v>
      </c>
      <c r="Q490" s="3">
        <v>0</v>
      </c>
      <c r="R490" s="3">
        <v>0</v>
      </c>
      <c r="S490" s="3">
        <v>0</v>
      </c>
      <c r="T490" s="3">
        <v>0</v>
      </c>
      <c r="U490" s="3"/>
      <c r="V490" s="3"/>
      <c r="W490" s="3"/>
      <c r="X490" s="3"/>
      <c r="Y490" s="3"/>
      <c r="Z490" s="3"/>
      <c r="AA490" s="3"/>
      <c r="AB490" s="3"/>
      <c r="AC490" s="3"/>
      <c r="AD490" s="3"/>
      <c r="AE490" s="3">
        <v>0</v>
      </c>
      <c r="AF490" s="3">
        <v>0</v>
      </c>
      <c r="AG490" s="3"/>
      <c r="AH490" s="40"/>
      <c r="AI490" s="40"/>
      <c r="AJ490" s="40"/>
      <c r="AK490" s="40"/>
      <c r="AL490" s="40"/>
      <c r="AM490" s="40"/>
      <c r="AN490" s="40"/>
      <c r="AO490" s="40"/>
      <c r="AP490" s="40"/>
      <c r="AQ490" s="40"/>
      <c r="AR490" s="31"/>
      <c r="AS490" s="36">
        <v>0</v>
      </c>
      <c r="AY490" s="6"/>
      <c r="AZ490" s="2"/>
      <c r="BA490" s="2"/>
      <c r="BB490" s="2"/>
      <c r="BC490">
        <v>71500</v>
      </c>
      <c r="BD490">
        <v>56992</v>
      </c>
    </row>
    <row r="491" spans="3:56" x14ac:dyDescent="0.25">
      <c r="C491" s="1">
        <v>46111</v>
      </c>
      <c r="D491" s="36">
        <v>269369.09999999998</v>
      </c>
      <c r="E491" s="33">
        <v>4.5999999999999996</v>
      </c>
      <c r="F491" s="33">
        <v>3.7659177777777799</v>
      </c>
      <c r="G491" s="2">
        <v>0.81867777777777795</v>
      </c>
      <c r="H491" s="2">
        <v>0.99</v>
      </c>
      <c r="I491" s="3"/>
      <c r="J491" s="3"/>
      <c r="K491" s="3"/>
      <c r="L491" s="3"/>
      <c r="M491" s="3"/>
      <c r="N491" s="3">
        <v>0</v>
      </c>
      <c r="O491" s="3"/>
      <c r="P491" s="3">
        <v>0</v>
      </c>
      <c r="Q491" s="3">
        <v>0</v>
      </c>
      <c r="R491" s="3">
        <v>0</v>
      </c>
      <c r="S491" s="3">
        <v>0</v>
      </c>
      <c r="T491" s="3">
        <v>0</v>
      </c>
      <c r="U491" s="3"/>
      <c r="V491" s="3"/>
      <c r="W491" s="3"/>
      <c r="X491" s="3"/>
      <c r="Y491" s="3"/>
      <c r="Z491" s="3"/>
      <c r="AA491" s="3"/>
      <c r="AB491" s="3"/>
      <c r="AC491" s="3"/>
      <c r="AD491" s="3"/>
      <c r="AE491" s="3">
        <v>0</v>
      </c>
      <c r="AF491" s="3">
        <v>0</v>
      </c>
      <c r="AG491" s="3"/>
      <c r="AH491" s="40"/>
      <c r="AI491" s="40"/>
      <c r="AJ491" s="40"/>
      <c r="AK491" s="40"/>
      <c r="AL491" s="40"/>
      <c r="AM491" s="40"/>
      <c r="AN491" s="40"/>
      <c r="AO491" s="40"/>
      <c r="AP491" s="40"/>
      <c r="AQ491" s="40"/>
      <c r="AR491" s="31"/>
      <c r="AS491" s="36">
        <v>0</v>
      </c>
      <c r="AY491" s="6"/>
      <c r="AZ491" s="2"/>
      <c r="BA491" s="2"/>
      <c r="BB491" s="2"/>
      <c r="BC491">
        <v>71500</v>
      </c>
      <c r="BD491">
        <v>56992</v>
      </c>
    </row>
    <row r="492" spans="3:56" x14ac:dyDescent="0.25">
      <c r="C492" s="1">
        <v>46112</v>
      </c>
      <c r="D492" s="36">
        <v>269369.09999999998</v>
      </c>
      <c r="E492" s="33">
        <v>4.5999999999999996</v>
      </c>
      <c r="F492" s="33">
        <v>3.7658666666666698</v>
      </c>
      <c r="G492" s="2">
        <v>0.81866666666666699</v>
      </c>
      <c r="H492" s="2">
        <v>0.99</v>
      </c>
      <c r="I492" s="3"/>
      <c r="J492" s="3"/>
      <c r="K492" s="3"/>
      <c r="L492" s="3"/>
      <c r="M492" s="3"/>
      <c r="N492" s="3">
        <v>0</v>
      </c>
      <c r="O492" s="3"/>
      <c r="P492" s="3">
        <v>0</v>
      </c>
      <c r="Q492" s="3">
        <v>0</v>
      </c>
      <c r="R492" s="3">
        <v>0</v>
      </c>
      <c r="S492" s="3">
        <v>0</v>
      </c>
      <c r="T492" s="3">
        <v>0</v>
      </c>
      <c r="U492" s="3"/>
      <c r="V492" s="3"/>
      <c r="W492" s="3"/>
      <c r="X492" s="3"/>
      <c r="Y492" s="3"/>
      <c r="Z492" s="3"/>
      <c r="AA492" s="3"/>
      <c r="AB492" s="3"/>
      <c r="AC492" s="3"/>
      <c r="AD492" s="3"/>
      <c r="AE492" s="3">
        <v>0</v>
      </c>
      <c r="AF492" s="3">
        <v>0</v>
      </c>
      <c r="AG492" s="3"/>
      <c r="AH492" s="40"/>
      <c r="AI492" s="40"/>
      <c r="AJ492" s="40"/>
      <c r="AK492" s="40"/>
      <c r="AL492" s="40"/>
      <c r="AM492" s="40"/>
      <c r="AN492" s="40"/>
      <c r="AO492" s="40"/>
      <c r="AP492" s="40"/>
      <c r="AQ492" s="40"/>
      <c r="AR492" s="31"/>
      <c r="AS492" s="36">
        <v>0</v>
      </c>
      <c r="AY492" s="6"/>
      <c r="AZ492" s="2"/>
      <c r="BA492" s="2"/>
      <c r="BB492" s="2"/>
      <c r="BC492">
        <v>71500</v>
      </c>
      <c r="BD492">
        <v>56992</v>
      </c>
    </row>
    <row r="493" spans="3:56" x14ac:dyDescent="0.25">
      <c r="C493" s="1">
        <v>46113</v>
      </c>
      <c r="D493" s="36">
        <v>260352.47333333301</v>
      </c>
      <c r="E493" s="33">
        <v>4.4733333333333301</v>
      </c>
      <c r="F493" s="33">
        <v>3.6621688888888899</v>
      </c>
      <c r="G493" s="2">
        <v>0.81866666666666699</v>
      </c>
      <c r="H493" s="2">
        <v>0.99</v>
      </c>
      <c r="I493" s="3"/>
      <c r="J493" s="3"/>
      <c r="K493" s="3"/>
      <c r="L493" s="3"/>
      <c r="M493" s="3"/>
      <c r="N493" s="3">
        <v>0</v>
      </c>
      <c r="O493" s="3"/>
      <c r="P493" s="3">
        <v>0</v>
      </c>
      <c r="Q493" s="3">
        <v>0</v>
      </c>
      <c r="R493" s="3">
        <v>0</v>
      </c>
      <c r="S493" s="3">
        <v>0</v>
      </c>
      <c r="T493" s="3">
        <v>0</v>
      </c>
      <c r="U493" s="3"/>
      <c r="V493" s="3"/>
      <c r="W493" s="3"/>
      <c r="X493" s="3"/>
      <c r="Y493" s="3"/>
      <c r="Z493" s="3"/>
      <c r="AA493" s="3"/>
      <c r="AB493" s="3"/>
      <c r="AC493" s="3"/>
      <c r="AD493" s="3"/>
      <c r="AE493" s="3">
        <v>0</v>
      </c>
      <c r="AF493" s="3">
        <v>0</v>
      </c>
      <c r="AG493" s="3"/>
      <c r="AH493" s="40"/>
      <c r="AI493" s="40"/>
      <c r="AJ493" s="40"/>
      <c r="AK493" s="40"/>
      <c r="AL493" s="40"/>
      <c r="AM493" s="40"/>
      <c r="AN493" s="40"/>
      <c r="AO493" s="40"/>
      <c r="AP493" s="40"/>
      <c r="AQ493" s="40"/>
      <c r="AR493" s="31"/>
      <c r="AS493" s="36">
        <v>0</v>
      </c>
      <c r="AY493" s="6"/>
      <c r="AZ493" s="2"/>
      <c r="BA493" s="2"/>
      <c r="BB493" s="2"/>
      <c r="BC493">
        <v>71500</v>
      </c>
      <c r="BD493">
        <v>56992</v>
      </c>
    </row>
    <row r="494" spans="3:56" x14ac:dyDescent="0.25">
      <c r="C494" s="1">
        <v>46114</v>
      </c>
      <c r="D494" s="36">
        <v>260352.47333333301</v>
      </c>
      <c r="E494" s="33">
        <v>4.4733333333333301</v>
      </c>
      <c r="F494" s="33">
        <v>3.6621191851851802</v>
      </c>
      <c r="G494" s="2">
        <v>0.81865555555555602</v>
      </c>
      <c r="H494" s="2">
        <v>0.99</v>
      </c>
      <c r="I494" s="3"/>
      <c r="J494" s="3"/>
      <c r="K494" s="3"/>
      <c r="L494" s="3"/>
      <c r="M494" s="3"/>
      <c r="N494" s="3">
        <v>0</v>
      </c>
      <c r="O494" s="3"/>
      <c r="P494" s="3">
        <v>0</v>
      </c>
      <c r="Q494" s="3">
        <v>0</v>
      </c>
      <c r="R494" s="3">
        <v>0</v>
      </c>
      <c r="S494" s="3">
        <v>0</v>
      </c>
      <c r="T494" s="3">
        <v>0</v>
      </c>
      <c r="U494" s="3"/>
      <c r="V494" s="3"/>
      <c r="W494" s="3"/>
      <c r="X494" s="3"/>
      <c r="Y494" s="3"/>
      <c r="Z494" s="3"/>
      <c r="AA494" s="3"/>
      <c r="AB494" s="3"/>
      <c r="AC494" s="3"/>
      <c r="AD494" s="3"/>
      <c r="AE494" s="3">
        <v>0</v>
      </c>
      <c r="AF494" s="3">
        <v>0</v>
      </c>
      <c r="AG494" s="3"/>
      <c r="AH494" s="40"/>
      <c r="AI494" s="40"/>
      <c r="AJ494" s="40"/>
      <c r="AK494" s="40"/>
      <c r="AL494" s="40"/>
      <c r="AM494" s="40"/>
      <c r="AN494" s="40"/>
      <c r="AO494" s="40"/>
      <c r="AP494" s="40"/>
      <c r="AQ494" s="40"/>
      <c r="AR494" s="31"/>
      <c r="AS494" s="36">
        <v>0</v>
      </c>
      <c r="AY494" s="6"/>
      <c r="AZ494" s="2"/>
      <c r="BA494" s="2"/>
      <c r="BB494" s="2"/>
      <c r="BC494">
        <v>71500</v>
      </c>
      <c r="BD494">
        <v>56992</v>
      </c>
    </row>
    <row r="495" spans="3:56" x14ac:dyDescent="0.25">
      <c r="C495" s="1">
        <v>46115</v>
      </c>
      <c r="D495" s="36">
        <v>260352.47333333301</v>
      </c>
      <c r="E495" s="33">
        <v>4.4733333333333301</v>
      </c>
      <c r="F495" s="33">
        <v>3.6620694814814798</v>
      </c>
      <c r="G495" s="2">
        <v>0.81864444444444395</v>
      </c>
      <c r="H495" s="2">
        <v>0.99</v>
      </c>
      <c r="I495" s="3"/>
      <c r="J495" s="3"/>
      <c r="K495" s="3"/>
      <c r="L495" s="3"/>
      <c r="M495" s="3"/>
      <c r="N495" s="3">
        <v>0</v>
      </c>
      <c r="O495" s="3"/>
      <c r="P495" s="3">
        <v>0</v>
      </c>
      <c r="Q495" s="3">
        <v>0</v>
      </c>
      <c r="R495" s="3">
        <v>0</v>
      </c>
      <c r="S495" s="3">
        <v>0</v>
      </c>
      <c r="T495" s="3">
        <v>0</v>
      </c>
      <c r="U495" s="3"/>
      <c r="V495" s="3"/>
      <c r="W495" s="3"/>
      <c r="X495" s="3"/>
      <c r="Y495" s="3"/>
      <c r="Z495" s="3"/>
      <c r="AA495" s="3"/>
      <c r="AB495" s="3"/>
      <c r="AC495" s="3"/>
      <c r="AD495" s="3"/>
      <c r="AE495" s="3">
        <v>0</v>
      </c>
      <c r="AF495" s="3">
        <v>0</v>
      </c>
      <c r="AG495" s="3"/>
      <c r="AH495" s="40"/>
      <c r="AI495" s="40"/>
      <c r="AJ495" s="40"/>
      <c r="AK495" s="40"/>
      <c r="AL495" s="40"/>
      <c r="AM495" s="40"/>
      <c r="AN495" s="40"/>
      <c r="AO495" s="40"/>
      <c r="AP495" s="40"/>
      <c r="AQ495" s="40"/>
      <c r="AR495" s="31"/>
      <c r="AS495" s="36">
        <v>0</v>
      </c>
      <c r="AY495" s="6"/>
      <c r="AZ495" s="2"/>
      <c r="BA495" s="2"/>
      <c r="BB495" s="2"/>
      <c r="BC495">
        <v>71500</v>
      </c>
      <c r="BD495">
        <v>56992</v>
      </c>
    </row>
    <row r="496" spans="3:56" x14ac:dyDescent="0.25">
      <c r="C496" s="1">
        <v>46116</v>
      </c>
      <c r="D496" s="36">
        <v>260352.47333333301</v>
      </c>
      <c r="E496" s="33">
        <v>4.4733333333333301</v>
      </c>
      <c r="F496" s="33">
        <v>3.6620197777777799</v>
      </c>
      <c r="G496" s="2">
        <v>0.81863333333333299</v>
      </c>
      <c r="H496" s="2">
        <v>0.99</v>
      </c>
      <c r="I496" s="3"/>
      <c r="J496" s="3"/>
      <c r="K496" s="3"/>
      <c r="L496" s="3"/>
      <c r="M496" s="3"/>
      <c r="N496" s="3">
        <v>0</v>
      </c>
      <c r="O496" s="3"/>
      <c r="P496" s="3">
        <v>0</v>
      </c>
      <c r="Q496" s="3">
        <v>0</v>
      </c>
      <c r="R496" s="3">
        <v>0</v>
      </c>
      <c r="S496" s="3">
        <v>0</v>
      </c>
      <c r="T496" s="3">
        <v>0</v>
      </c>
      <c r="U496" s="3"/>
      <c r="V496" s="3"/>
      <c r="W496" s="3"/>
      <c r="X496" s="3"/>
      <c r="Y496" s="3"/>
      <c r="Z496" s="3"/>
      <c r="AA496" s="3"/>
      <c r="AB496" s="3"/>
      <c r="AC496" s="3"/>
      <c r="AD496" s="3"/>
      <c r="AE496" s="3">
        <v>0</v>
      </c>
      <c r="AF496" s="3">
        <v>0</v>
      </c>
      <c r="AG496" s="3"/>
      <c r="AH496" s="40"/>
      <c r="AI496" s="40"/>
      <c r="AJ496" s="40"/>
      <c r="AK496" s="40"/>
      <c r="AL496" s="40"/>
      <c r="AM496" s="40"/>
      <c r="AN496" s="40"/>
      <c r="AO496" s="40"/>
      <c r="AP496" s="40"/>
      <c r="AQ496" s="40"/>
      <c r="AR496" s="31"/>
      <c r="AS496" s="36">
        <v>0</v>
      </c>
      <c r="AY496" s="6"/>
      <c r="AZ496" s="2"/>
      <c r="BA496" s="2"/>
      <c r="BB496" s="2"/>
      <c r="BC496">
        <v>71500</v>
      </c>
      <c r="BD496">
        <v>56992</v>
      </c>
    </row>
    <row r="497" spans="3:56" x14ac:dyDescent="0.25">
      <c r="C497" s="1">
        <v>46117</v>
      </c>
      <c r="D497" s="36">
        <v>260352.47333333301</v>
      </c>
      <c r="E497" s="33">
        <v>4.4733333333333301</v>
      </c>
      <c r="F497" s="33">
        <v>3.6619700740740702</v>
      </c>
      <c r="G497" s="2">
        <v>0.81862222222222203</v>
      </c>
      <c r="H497" s="2">
        <v>0.99</v>
      </c>
      <c r="I497" s="3"/>
      <c r="J497" s="3"/>
      <c r="K497" s="3"/>
      <c r="L497" s="3"/>
      <c r="M497" s="3"/>
      <c r="N497" s="3">
        <v>0</v>
      </c>
      <c r="O497" s="3"/>
      <c r="P497" s="3">
        <v>0</v>
      </c>
      <c r="Q497" s="3">
        <v>0</v>
      </c>
      <c r="R497" s="3">
        <v>0</v>
      </c>
      <c r="S497" s="3">
        <v>0</v>
      </c>
      <c r="T497" s="3">
        <v>0</v>
      </c>
      <c r="U497" s="3"/>
      <c r="V497" s="3"/>
      <c r="W497" s="3"/>
      <c r="X497" s="3"/>
      <c r="Y497" s="3"/>
      <c r="Z497" s="3"/>
      <c r="AA497" s="3"/>
      <c r="AB497" s="3"/>
      <c r="AC497" s="3"/>
      <c r="AD497" s="3"/>
      <c r="AE497" s="3">
        <v>0</v>
      </c>
      <c r="AF497" s="3">
        <v>0</v>
      </c>
      <c r="AG497" s="3"/>
      <c r="AH497" s="40"/>
      <c r="AI497" s="40"/>
      <c r="AJ497" s="40"/>
      <c r="AK497" s="40"/>
      <c r="AL497" s="40"/>
      <c r="AM497" s="40"/>
      <c r="AN497" s="40"/>
      <c r="AO497" s="40"/>
      <c r="AP497" s="40"/>
      <c r="AQ497" s="40"/>
      <c r="AR497" s="31"/>
      <c r="AS497" s="36">
        <v>0</v>
      </c>
      <c r="AY497" s="6"/>
      <c r="AZ497" s="2"/>
      <c r="BA497" s="2"/>
      <c r="BB497" s="2"/>
      <c r="BC497">
        <v>71500</v>
      </c>
      <c r="BD497">
        <v>56992</v>
      </c>
    </row>
    <row r="498" spans="3:56" x14ac:dyDescent="0.25">
      <c r="C498" s="1">
        <v>46118</v>
      </c>
      <c r="D498" s="36">
        <v>260352.47333333301</v>
      </c>
      <c r="E498" s="33">
        <v>4.4733333333333301</v>
      </c>
      <c r="F498" s="33">
        <v>3.6619203703703702</v>
      </c>
      <c r="G498" s="2">
        <v>0.81861111111111096</v>
      </c>
      <c r="H498" s="2">
        <v>0.99</v>
      </c>
      <c r="I498" s="3"/>
      <c r="J498" s="3"/>
      <c r="K498" s="3"/>
      <c r="L498" s="3"/>
      <c r="M498" s="3"/>
      <c r="N498" s="3">
        <v>0</v>
      </c>
      <c r="O498" s="3"/>
      <c r="P498" s="3">
        <v>0</v>
      </c>
      <c r="Q498" s="3">
        <v>0</v>
      </c>
      <c r="R498" s="3">
        <v>0</v>
      </c>
      <c r="S498" s="3">
        <v>0</v>
      </c>
      <c r="T498" s="3">
        <v>0</v>
      </c>
      <c r="U498" s="3"/>
      <c r="V498" s="3"/>
      <c r="W498" s="3"/>
      <c r="X498" s="3"/>
      <c r="Y498" s="3"/>
      <c r="Z498" s="3"/>
      <c r="AA498" s="3"/>
      <c r="AB498" s="3"/>
      <c r="AC498" s="3"/>
      <c r="AD498" s="3"/>
      <c r="AE498" s="3">
        <v>0</v>
      </c>
      <c r="AF498" s="3">
        <v>0</v>
      </c>
      <c r="AG498" s="3"/>
      <c r="AH498" s="40"/>
      <c r="AI498" s="40"/>
      <c r="AJ498" s="40"/>
      <c r="AK498" s="40"/>
      <c r="AL498" s="40"/>
      <c r="AM498" s="40"/>
      <c r="AN498" s="40"/>
      <c r="AO498" s="40"/>
      <c r="AP498" s="40"/>
      <c r="AQ498" s="40"/>
      <c r="AR498" s="31"/>
      <c r="AS498" s="36">
        <v>0</v>
      </c>
      <c r="AY498" s="6"/>
      <c r="AZ498" s="2"/>
      <c r="BA498" s="2"/>
      <c r="BB498" s="2"/>
      <c r="BC498">
        <v>71500</v>
      </c>
      <c r="BD498">
        <v>56992</v>
      </c>
    </row>
    <row r="499" spans="3:56" x14ac:dyDescent="0.25">
      <c r="C499" s="1">
        <v>46119</v>
      </c>
      <c r="D499" s="36">
        <v>260352.47333333301</v>
      </c>
      <c r="E499" s="33">
        <v>4.4733333333333301</v>
      </c>
      <c r="F499" s="33">
        <v>3.6618706666666698</v>
      </c>
      <c r="G499" s="2">
        <v>0.81859999999999999</v>
      </c>
      <c r="H499" s="2">
        <v>0.99</v>
      </c>
      <c r="I499" s="3"/>
      <c r="J499" s="3"/>
      <c r="K499" s="3"/>
      <c r="L499" s="3"/>
      <c r="M499" s="3"/>
      <c r="N499" s="3">
        <v>0</v>
      </c>
      <c r="O499" s="3"/>
      <c r="P499" s="3">
        <v>0</v>
      </c>
      <c r="Q499" s="3">
        <v>0</v>
      </c>
      <c r="R499" s="3">
        <v>0</v>
      </c>
      <c r="S499" s="3">
        <v>0</v>
      </c>
      <c r="T499" s="3">
        <v>0</v>
      </c>
      <c r="U499" s="3"/>
      <c r="V499" s="3"/>
      <c r="W499" s="3"/>
      <c r="X499" s="3"/>
      <c r="Y499" s="3"/>
      <c r="Z499" s="3"/>
      <c r="AA499" s="3"/>
      <c r="AB499" s="3"/>
      <c r="AC499" s="3"/>
      <c r="AD499" s="3"/>
      <c r="AE499" s="3">
        <v>0</v>
      </c>
      <c r="AF499" s="3">
        <v>0</v>
      </c>
      <c r="AG499" s="3"/>
      <c r="AH499" s="40"/>
      <c r="AI499" s="40"/>
      <c r="AJ499" s="40"/>
      <c r="AK499" s="40"/>
      <c r="AL499" s="40"/>
      <c r="AM499" s="40"/>
      <c r="AN499" s="40"/>
      <c r="AO499" s="40"/>
      <c r="AP499" s="40"/>
      <c r="AQ499" s="40"/>
      <c r="AR499" s="31"/>
      <c r="AS499" s="36">
        <v>0</v>
      </c>
      <c r="AY499" s="6"/>
      <c r="AZ499" s="2"/>
      <c r="BA499" s="2"/>
      <c r="BB499" s="2"/>
      <c r="BC499">
        <v>71500</v>
      </c>
      <c r="BD499">
        <v>56992</v>
      </c>
    </row>
    <row r="500" spans="3:56" x14ac:dyDescent="0.25">
      <c r="C500" s="1">
        <v>46120</v>
      </c>
      <c r="D500" s="36">
        <v>260352.47333333301</v>
      </c>
      <c r="E500" s="33">
        <v>4.4733333333333301</v>
      </c>
      <c r="F500" s="33">
        <v>3.6618209629629601</v>
      </c>
      <c r="G500" s="2">
        <v>0.81858888888888903</v>
      </c>
      <c r="H500" s="2">
        <v>0.99</v>
      </c>
      <c r="I500" s="3"/>
      <c r="J500" s="3"/>
      <c r="K500" s="3"/>
      <c r="L500" s="3"/>
      <c r="M500" s="3"/>
      <c r="N500" s="3">
        <v>0</v>
      </c>
      <c r="O500" s="3"/>
      <c r="P500" s="3">
        <v>0</v>
      </c>
      <c r="Q500" s="3">
        <v>0</v>
      </c>
      <c r="R500" s="3">
        <v>0</v>
      </c>
      <c r="S500" s="3">
        <v>0</v>
      </c>
      <c r="T500" s="3">
        <v>0</v>
      </c>
      <c r="U500" s="3"/>
      <c r="V500" s="3"/>
      <c r="W500" s="3"/>
      <c r="X500" s="3"/>
      <c r="Y500" s="3"/>
      <c r="Z500" s="3"/>
      <c r="AA500" s="3"/>
      <c r="AB500" s="3"/>
      <c r="AC500" s="3"/>
      <c r="AD500" s="3"/>
      <c r="AE500" s="3">
        <v>0</v>
      </c>
      <c r="AF500" s="3">
        <v>0</v>
      </c>
      <c r="AG500" s="3"/>
      <c r="AH500" s="40"/>
      <c r="AI500" s="40"/>
      <c r="AJ500" s="40"/>
      <c r="AK500" s="40"/>
      <c r="AL500" s="40"/>
      <c r="AM500" s="40"/>
      <c r="AN500" s="40"/>
      <c r="AO500" s="40"/>
      <c r="AP500" s="40"/>
      <c r="AQ500" s="40"/>
      <c r="AR500" s="31"/>
      <c r="AS500" s="36">
        <v>0</v>
      </c>
      <c r="AY500" s="6"/>
      <c r="AZ500" s="2"/>
      <c r="BA500" s="2"/>
      <c r="BB500" s="2"/>
      <c r="BC500">
        <v>71500</v>
      </c>
      <c r="BD500">
        <v>56992</v>
      </c>
    </row>
    <row r="501" spans="3:56" x14ac:dyDescent="0.25">
      <c r="C501" s="1">
        <v>46121</v>
      </c>
      <c r="D501" s="36">
        <v>260352.47333333301</v>
      </c>
      <c r="E501" s="33">
        <v>4.4733333333333301</v>
      </c>
      <c r="F501" s="33">
        <v>3.6617712592592602</v>
      </c>
      <c r="G501" s="2">
        <v>0.81857777777777796</v>
      </c>
      <c r="H501" s="2">
        <v>0.99</v>
      </c>
      <c r="I501" s="3"/>
      <c r="J501" s="3"/>
      <c r="K501" s="3"/>
      <c r="L501" s="3"/>
      <c r="M501" s="3"/>
      <c r="N501" s="3">
        <v>0</v>
      </c>
      <c r="O501" s="3"/>
      <c r="P501" s="3">
        <v>0</v>
      </c>
      <c r="Q501" s="3">
        <v>0</v>
      </c>
      <c r="R501" s="3">
        <v>0</v>
      </c>
      <c r="S501" s="3">
        <v>0</v>
      </c>
      <c r="T501" s="3">
        <v>0</v>
      </c>
      <c r="U501" s="3"/>
      <c r="V501" s="3"/>
      <c r="W501" s="3"/>
      <c r="X501" s="3"/>
      <c r="Y501" s="3"/>
      <c r="Z501" s="3"/>
      <c r="AA501" s="3"/>
      <c r="AB501" s="3"/>
      <c r="AC501" s="3"/>
      <c r="AD501" s="3"/>
      <c r="AE501" s="3">
        <v>0</v>
      </c>
      <c r="AF501" s="3">
        <v>0</v>
      </c>
      <c r="AG501" s="3"/>
      <c r="AH501" s="40"/>
      <c r="AI501" s="40"/>
      <c r="AJ501" s="40"/>
      <c r="AK501" s="40"/>
      <c r="AL501" s="40"/>
      <c r="AM501" s="40"/>
      <c r="AN501" s="40"/>
      <c r="AO501" s="40"/>
      <c r="AP501" s="40"/>
      <c r="AQ501" s="40"/>
      <c r="AR501" s="31"/>
      <c r="AS501" s="36">
        <v>0</v>
      </c>
      <c r="AY501" s="6"/>
      <c r="AZ501" s="2"/>
      <c r="BA501" s="2"/>
      <c r="BB501" s="2"/>
      <c r="BC501">
        <v>71500</v>
      </c>
      <c r="BD501">
        <v>56992</v>
      </c>
    </row>
    <row r="502" spans="3:56" x14ac:dyDescent="0.25">
      <c r="C502" s="1">
        <v>46122</v>
      </c>
      <c r="D502" s="36">
        <v>260352.47333333301</v>
      </c>
      <c r="E502" s="33">
        <v>4.4733333333333301</v>
      </c>
      <c r="F502" s="33">
        <v>3.66172155555555</v>
      </c>
      <c r="G502" s="2">
        <v>0.818566666666667</v>
      </c>
      <c r="H502" s="2">
        <v>0.99</v>
      </c>
      <c r="I502" s="3"/>
      <c r="J502" s="3"/>
      <c r="K502" s="3"/>
      <c r="L502" s="3"/>
      <c r="M502" s="3"/>
      <c r="N502" s="3">
        <v>0</v>
      </c>
      <c r="O502" s="3"/>
      <c r="P502" s="3">
        <v>0</v>
      </c>
      <c r="Q502" s="3">
        <v>0</v>
      </c>
      <c r="R502" s="3">
        <v>0</v>
      </c>
      <c r="S502" s="3">
        <v>0</v>
      </c>
      <c r="T502" s="3">
        <v>0</v>
      </c>
      <c r="U502" s="3"/>
      <c r="V502" s="3"/>
      <c r="W502" s="3"/>
      <c r="X502" s="3"/>
      <c r="Y502" s="3"/>
      <c r="Z502" s="3"/>
      <c r="AA502" s="3"/>
      <c r="AB502" s="3"/>
      <c r="AC502" s="3"/>
      <c r="AD502" s="3"/>
      <c r="AE502" s="3">
        <v>0</v>
      </c>
      <c r="AF502" s="3">
        <v>0</v>
      </c>
      <c r="AG502" s="3"/>
      <c r="AH502" s="40"/>
      <c r="AI502" s="40"/>
      <c r="AJ502" s="40"/>
      <c r="AK502" s="40"/>
      <c r="AL502" s="40"/>
      <c r="AM502" s="40"/>
      <c r="AN502" s="40"/>
      <c r="AO502" s="40"/>
      <c r="AP502" s="40"/>
      <c r="AQ502" s="40"/>
      <c r="AR502" s="31"/>
      <c r="AS502" s="36">
        <v>0</v>
      </c>
      <c r="AY502" s="6"/>
      <c r="AZ502" s="2"/>
      <c r="BA502" s="2"/>
      <c r="BB502" s="2"/>
      <c r="BC502">
        <v>71500</v>
      </c>
      <c r="BD502">
        <v>56992</v>
      </c>
    </row>
    <row r="503" spans="3:56" x14ac:dyDescent="0.25">
      <c r="C503" s="1">
        <v>46123</v>
      </c>
      <c r="D503" s="36">
        <v>260352.47333333301</v>
      </c>
      <c r="E503" s="33">
        <v>4.4733333333333301</v>
      </c>
      <c r="F503" s="33">
        <v>3.6616718518518501</v>
      </c>
      <c r="G503" s="2">
        <v>0.81855555555555604</v>
      </c>
      <c r="H503" s="2">
        <v>0.99</v>
      </c>
      <c r="I503" s="3"/>
      <c r="J503" s="3"/>
      <c r="K503" s="3"/>
      <c r="L503" s="3"/>
      <c r="M503" s="3"/>
      <c r="N503" s="3">
        <v>0</v>
      </c>
      <c r="O503" s="3"/>
      <c r="P503" s="3">
        <v>0</v>
      </c>
      <c r="Q503" s="3">
        <v>0</v>
      </c>
      <c r="R503" s="3">
        <v>0</v>
      </c>
      <c r="S503" s="3">
        <v>0</v>
      </c>
      <c r="T503" s="3">
        <v>0</v>
      </c>
      <c r="U503" s="3"/>
      <c r="V503" s="3"/>
      <c r="W503" s="3"/>
      <c r="X503" s="3"/>
      <c r="Y503" s="3"/>
      <c r="Z503" s="3"/>
      <c r="AA503" s="3"/>
      <c r="AB503" s="3"/>
      <c r="AC503" s="3"/>
      <c r="AD503" s="3"/>
      <c r="AE503" s="3">
        <v>0</v>
      </c>
      <c r="AF503" s="3">
        <v>0</v>
      </c>
      <c r="AG503" s="3"/>
      <c r="AH503" s="40"/>
      <c r="AI503" s="40"/>
      <c r="AJ503" s="40"/>
      <c r="AK503" s="40"/>
      <c r="AL503" s="40"/>
      <c r="AM503" s="40"/>
      <c r="AN503" s="40"/>
      <c r="AO503" s="40"/>
      <c r="AP503" s="40"/>
      <c r="AQ503" s="40"/>
      <c r="AR503" s="31"/>
      <c r="AS503" s="36">
        <v>0</v>
      </c>
      <c r="AY503" s="6"/>
      <c r="AZ503" s="2"/>
      <c r="BA503" s="2"/>
      <c r="BB503" s="2"/>
      <c r="BC503">
        <v>71500</v>
      </c>
      <c r="BD503">
        <v>56992</v>
      </c>
    </row>
    <row r="504" spans="3:56" x14ac:dyDescent="0.25">
      <c r="C504" s="1">
        <v>46124</v>
      </c>
      <c r="D504" s="36">
        <v>260352.47333333301</v>
      </c>
      <c r="E504" s="33">
        <v>4.4733333333333301</v>
      </c>
      <c r="F504" s="33">
        <v>3.6616221481481501</v>
      </c>
      <c r="G504" s="2">
        <v>0.81854444444444396</v>
      </c>
      <c r="H504" s="2">
        <v>0.99</v>
      </c>
      <c r="I504" s="3"/>
      <c r="J504" s="3"/>
      <c r="K504" s="3"/>
      <c r="L504" s="3"/>
      <c r="M504" s="3"/>
      <c r="N504" s="3">
        <v>0</v>
      </c>
      <c r="O504" s="3"/>
      <c r="P504" s="3">
        <v>0</v>
      </c>
      <c r="Q504" s="3">
        <v>0</v>
      </c>
      <c r="R504" s="3">
        <v>0</v>
      </c>
      <c r="S504" s="3">
        <v>0</v>
      </c>
      <c r="T504" s="3">
        <v>0</v>
      </c>
      <c r="U504" s="3"/>
      <c r="V504" s="3"/>
      <c r="W504" s="3"/>
      <c r="X504" s="3"/>
      <c r="Y504" s="3"/>
      <c r="Z504" s="3"/>
      <c r="AA504" s="3"/>
      <c r="AB504" s="3"/>
      <c r="AC504" s="3"/>
      <c r="AD504" s="3"/>
      <c r="AE504" s="3">
        <v>0</v>
      </c>
      <c r="AF504" s="3">
        <v>0</v>
      </c>
      <c r="AG504" s="3"/>
      <c r="AH504" s="40"/>
      <c r="AI504" s="40"/>
      <c r="AJ504" s="40"/>
      <c r="AK504" s="40"/>
      <c r="AL504" s="40"/>
      <c r="AM504" s="40"/>
      <c r="AN504" s="40"/>
      <c r="AO504" s="40"/>
      <c r="AP504" s="40"/>
      <c r="AQ504" s="40"/>
      <c r="AR504" s="31"/>
      <c r="AS504" s="36">
        <v>0</v>
      </c>
      <c r="AY504" s="6"/>
      <c r="AZ504" s="2"/>
      <c r="BA504" s="2"/>
      <c r="BB504" s="2"/>
      <c r="BC504">
        <v>71500</v>
      </c>
      <c r="BD504">
        <v>56992</v>
      </c>
    </row>
    <row r="505" spans="3:56" x14ac:dyDescent="0.25">
      <c r="C505" s="1">
        <v>46125</v>
      </c>
      <c r="D505" s="36">
        <v>260352.47333333301</v>
      </c>
      <c r="E505" s="33">
        <v>4.4733333333333301</v>
      </c>
      <c r="F505" s="33">
        <v>3.66157244444444</v>
      </c>
      <c r="G505" s="2">
        <v>0.818533333333333</v>
      </c>
      <c r="H505" s="2">
        <v>0.99</v>
      </c>
      <c r="I505" s="3"/>
      <c r="J505" s="3"/>
      <c r="K505" s="3"/>
      <c r="L505" s="3"/>
      <c r="M505" s="3"/>
      <c r="N505" s="3">
        <v>0</v>
      </c>
      <c r="O505" s="3"/>
      <c r="P505" s="3">
        <v>0</v>
      </c>
      <c r="Q505" s="3">
        <v>0</v>
      </c>
      <c r="R505" s="3">
        <v>0</v>
      </c>
      <c r="S505" s="3">
        <v>0</v>
      </c>
      <c r="T505" s="3">
        <v>0</v>
      </c>
      <c r="U505" s="3"/>
      <c r="V505" s="3"/>
      <c r="W505" s="3"/>
      <c r="X505" s="3"/>
      <c r="Y505" s="3"/>
      <c r="Z505" s="3"/>
      <c r="AA505" s="3"/>
      <c r="AB505" s="3"/>
      <c r="AC505" s="3"/>
      <c r="AD505" s="3"/>
      <c r="AE505" s="3">
        <v>0</v>
      </c>
      <c r="AF505" s="3">
        <v>0</v>
      </c>
      <c r="AG505" s="3"/>
      <c r="AH505" s="40"/>
      <c r="AI505" s="40"/>
      <c r="AJ505" s="40"/>
      <c r="AK505" s="40"/>
      <c r="AL505" s="40"/>
      <c r="AM505" s="40"/>
      <c r="AN505" s="40"/>
      <c r="AO505" s="40"/>
      <c r="AP505" s="40"/>
      <c r="AQ505" s="40"/>
      <c r="AR505" s="31"/>
      <c r="AS505" s="36">
        <v>0</v>
      </c>
      <c r="AY505" s="6"/>
      <c r="AZ505" s="2"/>
      <c r="BA505" s="2"/>
      <c r="BB505" s="2"/>
      <c r="BC505">
        <v>71500</v>
      </c>
      <c r="BD505">
        <v>56992</v>
      </c>
    </row>
    <row r="506" spans="3:56" x14ac:dyDescent="0.25">
      <c r="C506" s="1">
        <v>46126</v>
      </c>
      <c r="D506" s="36">
        <v>260352.47333333301</v>
      </c>
      <c r="E506" s="33">
        <v>4.4733333333333301</v>
      </c>
      <c r="F506" s="33">
        <v>3.66152274074074</v>
      </c>
      <c r="G506" s="2">
        <v>0.81852222222222204</v>
      </c>
      <c r="H506" s="2">
        <v>0.99</v>
      </c>
      <c r="I506" s="3"/>
      <c r="J506" s="3"/>
      <c r="K506" s="3"/>
      <c r="L506" s="3"/>
      <c r="M506" s="3"/>
      <c r="N506" s="3">
        <v>0</v>
      </c>
      <c r="O506" s="3"/>
      <c r="P506" s="3">
        <v>0</v>
      </c>
      <c r="Q506" s="3">
        <v>0</v>
      </c>
      <c r="R506" s="3">
        <v>0</v>
      </c>
      <c r="S506" s="3">
        <v>0</v>
      </c>
      <c r="T506" s="3">
        <v>0</v>
      </c>
      <c r="U506" s="3"/>
      <c r="V506" s="3"/>
      <c r="W506" s="3"/>
      <c r="X506" s="3"/>
      <c r="Y506" s="3"/>
      <c r="Z506" s="3"/>
      <c r="AA506" s="3"/>
      <c r="AB506" s="3"/>
      <c r="AC506" s="3"/>
      <c r="AD506" s="3"/>
      <c r="AE506" s="3">
        <v>0</v>
      </c>
      <c r="AF506" s="3">
        <v>0</v>
      </c>
      <c r="AG506" s="3"/>
      <c r="AH506" s="40"/>
      <c r="AI506" s="40"/>
      <c r="AJ506" s="40"/>
      <c r="AK506" s="40"/>
      <c r="AL506" s="40"/>
      <c r="AM506" s="40"/>
      <c r="AN506" s="40"/>
      <c r="AO506" s="40"/>
      <c r="AP506" s="40"/>
      <c r="AQ506" s="40"/>
      <c r="AR506" s="31"/>
      <c r="AS506" s="36">
        <v>0</v>
      </c>
      <c r="AY506" s="6"/>
      <c r="AZ506" s="2"/>
      <c r="BA506" s="2"/>
      <c r="BB506" s="2"/>
      <c r="BC506">
        <v>71500</v>
      </c>
      <c r="BD506">
        <v>56992</v>
      </c>
    </row>
    <row r="507" spans="3:56" x14ac:dyDescent="0.25">
      <c r="C507" s="1">
        <v>46127</v>
      </c>
      <c r="D507" s="36">
        <v>260352.47333333301</v>
      </c>
      <c r="E507" s="33">
        <v>4.4733333333333301</v>
      </c>
      <c r="F507" s="33">
        <v>3.6614730370370401</v>
      </c>
      <c r="G507" s="2">
        <v>0.81851111111111097</v>
      </c>
      <c r="H507" s="2">
        <v>0.99</v>
      </c>
      <c r="I507" s="3"/>
      <c r="J507" s="3"/>
      <c r="K507" s="3"/>
      <c r="L507" s="3"/>
      <c r="M507" s="3"/>
      <c r="N507" s="3">
        <v>0</v>
      </c>
      <c r="O507" s="3"/>
      <c r="P507" s="3">
        <v>0</v>
      </c>
      <c r="Q507" s="3">
        <v>0</v>
      </c>
      <c r="R507" s="3">
        <v>0</v>
      </c>
      <c r="S507" s="3">
        <v>0</v>
      </c>
      <c r="T507" s="3">
        <v>0</v>
      </c>
      <c r="U507" s="3"/>
      <c r="V507" s="3"/>
      <c r="W507" s="3"/>
      <c r="X507" s="3"/>
      <c r="Y507" s="3"/>
      <c r="Z507" s="3"/>
      <c r="AA507" s="3"/>
      <c r="AB507" s="3"/>
      <c r="AC507" s="3"/>
      <c r="AD507" s="3"/>
      <c r="AE507" s="3">
        <v>0</v>
      </c>
      <c r="AF507" s="3">
        <v>0</v>
      </c>
      <c r="AG507" s="3"/>
      <c r="AH507" s="40"/>
      <c r="AI507" s="40"/>
      <c r="AJ507" s="40"/>
      <c r="AK507" s="40"/>
      <c r="AL507" s="40"/>
      <c r="AM507" s="40"/>
      <c r="AN507" s="40"/>
      <c r="AO507" s="40"/>
      <c r="AP507" s="40"/>
      <c r="AQ507" s="40"/>
      <c r="AR507" s="31"/>
      <c r="AS507" s="36">
        <v>0</v>
      </c>
      <c r="AY507" s="6"/>
      <c r="AZ507" s="2"/>
      <c r="BA507" s="2"/>
      <c r="BB507" s="2"/>
      <c r="BC507">
        <v>71500</v>
      </c>
      <c r="BD507">
        <v>56992</v>
      </c>
    </row>
    <row r="508" spans="3:56" x14ac:dyDescent="0.25">
      <c r="C508" s="1">
        <v>46128</v>
      </c>
      <c r="D508" s="36">
        <v>260352.47333333301</v>
      </c>
      <c r="E508" s="33">
        <v>4.4733333333333301</v>
      </c>
      <c r="F508" s="33">
        <v>3.6614233333333299</v>
      </c>
      <c r="G508" s="2">
        <v>0.81850000000000001</v>
      </c>
      <c r="H508" s="2">
        <v>0.99</v>
      </c>
      <c r="I508" s="3"/>
      <c r="J508" s="3"/>
      <c r="K508" s="3"/>
      <c r="L508" s="3"/>
      <c r="M508" s="3"/>
      <c r="N508" s="3">
        <v>0</v>
      </c>
      <c r="O508" s="3"/>
      <c r="P508" s="3">
        <v>0</v>
      </c>
      <c r="Q508" s="3">
        <v>0</v>
      </c>
      <c r="R508" s="3">
        <v>0</v>
      </c>
      <c r="S508" s="3">
        <v>0</v>
      </c>
      <c r="T508" s="3">
        <v>0</v>
      </c>
      <c r="U508" s="3"/>
      <c r="V508" s="3"/>
      <c r="W508" s="3"/>
      <c r="X508" s="3"/>
      <c r="Y508" s="3"/>
      <c r="Z508" s="3"/>
      <c r="AA508" s="3"/>
      <c r="AB508" s="3"/>
      <c r="AC508" s="3"/>
      <c r="AD508" s="3"/>
      <c r="AE508" s="3">
        <v>0</v>
      </c>
      <c r="AF508" s="3">
        <v>0</v>
      </c>
      <c r="AG508" s="3"/>
      <c r="AH508" s="40"/>
      <c r="AI508" s="40"/>
      <c r="AJ508" s="40"/>
      <c r="AK508" s="40"/>
      <c r="AL508" s="40"/>
      <c r="AM508" s="40"/>
      <c r="AN508" s="40"/>
      <c r="AO508" s="40"/>
      <c r="AP508" s="40"/>
      <c r="AQ508" s="40"/>
      <c r="AR508" s="31"/>
      <c r="AS508" s="36">
        <v>0</v>
      </c>
      <c r="AY508" s="6"/>
      <c r="AZ508" s="2"/>
      <c r="BA508" s="2"/>
      <c r="BB508" s="2"/>
      <c r="BC508">
        <v>71500</v>
      </c>
      <c r="BD508">
        <v>56992</v>
      </c>
    </row>
    <row r="509" spans="3:56" x14ac:dyDescent="0.25">
      <c r="C509" s="1">
        <v>46129</v>
      </c>
      <c r="D509" s="36">
        <v>260352.47333333301</v>
      </c>
      <c r="E509" s="33">
        <v>4.4733333333333301</v>
      </c>
      <c r="F509" s="33">
        <v>3.66137362962963</v>
      </c>
      <c r="G509" s="2">
        <v>0.81848888888888904</v>
      </c>
      <c r="H509" s="2">
        <v>0.99</v>
      </c>
      <c r="I509" s="3"/>
      <c r="J509" s="3"/>
      <c r="K509" s="3"/>
      <c r="L509" s="3"/>
      <c r="M509" s="3"/>
      <c r="N509" s="3">
        <v>0</v>
      </c>
      <c r="O509" s="3"/>
      <c r="P509" s="3">
        <v>0</v>
      </c>
      <c r="Q509" s="3">
        <v>0</v>
      </c>
      <c r="R509" s="3">
        <v>0</v>
      </c>
      <c r="S509" s="3">
        <v>0</v>
      </c>
      <c r="T509" s="3">
        <v>0</v>
      </c>
      <c r="U509" s="3"/>
      <c r="V509" s="3"/>
      <c r="W509" s="3"/>
      <c r="X509" s="3"/>
      <c r="Y509" s="3"/>
      <c r="Z509" s="3"/>
      <c r="AA509" s="3"/>
      <c r="AB509" s="3"/>
      <c r="AC509" s="3"/>
      <c r="AD509" s="3"/>
      <c r="AE509" s="3">
        <v>0</v>
      </c>
      <c r="AF509" s="3">
        <v>0</v>
      </c>
      <c r="AG509" s="3"/>
      <c r="AH509" s="40"/>
      <c r="AI509" s="40"/>
      <c r="AJ509" s="40"/>
      <c r="AK509" s="40"/>
      <c r="AL509" s="40"/>
      <c r="AM509" s="40"/>
      <c r="AN509" s="40"/>
      <c r="AO509" s="40"/>
      <c r="AP509" s="40"/>
      <c r="AQ509" s="40"/>
      <c r="AR509" s="31"/>
      <c r="AS509" s="36">
        <v>0</v>
      </c>
      <c r="AY509" s="6"/>
      <c r="AZ509" s="2"/>
      <c r="BA509" s="2"/>
      <c r="BB509" s="2"/>
      <c r="BC509">
        <v>71500</v>
      </c>
      <c r="BD509">
        <v>56992</v>
      </c>
    </row>
    <row r="510" spans="3:56" x14ac:dyDescent="0.25">
      <c r="C510" s="1">
        <v>46130</v>
      </c>
      <c r="D510" s="36">
        <v>260352.47333333301</v>
      </c>
      <c r="E510" s="33">
        <v>4.4733333333333301</v>
      </c>
      <c r="F510" s="33">
        <v>3.66132392592593</v>
      </c>
      <c r="G510" s="2">
        <v>0.81847777777777797</v>
      </c>
      <c r="H510" s="2">
        <v>0.99</v>
      </c>
      <c r="I510" s="3"/>
      <c r="J510" s="3"/>
      <c r="K510" s="3"/>
      <c r="L510" s="3"/>
      <c r="M510" s="3"/>
      <c r="N510" s="3">
        <v>0</v>
      </c>
      <c r="O510" s="3"/>
      <c r="P510" s="3">
        <v>0</v>
      </c>
      <c r="Q510" s="3">
        <v>0</v>
      </c>
      <c r="R510" s="3">
        <v>0</v>
      </c>
      <c r="S510" s="3">
        <v>0</v>
      </c>
      <c r="T510" s="3">
        <v>0</v>
      </c>
      <c r="U510" s="3"/>
      <c r="V510" s="3"/>
      <c r="W510" s="3"/>
      <c r="X510" s="3"/>
      <c r="Y510" s="3"/>
      <c r="Z510" s="3"/>
      <c r="AA510" s="3"/>
      <c r="AB510" s="3"/>
      <c r="AC510" s="3"/>
      <c r="AD510" s="3"/>
      <c r="AE510" s="3">
        <v>0</v>
      </c>
      <c r="AF510" s="3">
        <v>0</v>
      </c>
      <c r="AG510" s="3"/>
      <c r="AH510" s="40"/>
      <c r="AI510" s="40"/>
      <c r="AJ510" s="40"/>
      <c r="AK510" s="40"/>
      <c r="AL510" s="40"/>
      <c r="AM510" s="40"/>
      <c r="AN510" s="40"/>
      <c r="AO510" s="40"/>
      <c r="AP510" s="40"/>
      <c r="AQ510" s="40"/>
      <c r="AR510" s="31"/>
      <c r="AS510" s="36">
        <v>0</v>
      </c>
      <c r="AY510" s="6"/>
      <c r="AZ510" s="2"/>
      <c r="BA510" s="2"/>
      <c r="BB510" s="2"/>
      <c r="BC510">
        <v>71500</v>
      </c>
      <c r="BD510">
        <v>56992</v>
      </c>
    </row>
    <row r="511" spans="3:56" x14ac:dyDescent="0.25">
      <c r="C511" s="1">
        <v>46131</v>
      </c>
      <c r="D511" s="36">
        <v>260352.47333333301</v>
      </c>
      <c r="E511" s="33">
        <v>4.4733333333333301</v>
      </c>
      <c r="F511" s="33">
        <v>3.6612742222222199</v>
      </c>
      <c r="G511" s="2">
        <v>0.81846666666666701</v>
      </c>
      <c r="H511" s="2">
        <v>0.99</v>
      </c>
      <c r="I511" s="3"/>
      <c r="J511" s="3"/>
      <c r="K511" s="3"/>
      <c r="L511" s="3"/>
      <c r="M511" s="3"/>
      <c r="N511" s="3">
        <v>0</v>
      </c>
      <c r="O511" s="3"/>
      <c r="P511" s="3">
        <v>0</v>
      </c>
      <c r="Q511" s="3">
        <v>0</v>
      </c>
      <c r="R511" s="3">
        <v>0</v>
      </c>
      <c r="S511" s="3">
        <v>0</v>
      </c>
      <c r="T511" s="3">
        <v>0</v>
      </c>
      <c r="U511" s="3"/>
      <c r="V511" s="3"/>
      <c r="W511" s="3"/>
      <c r="X511" s="3"/>
      <c r="Y511" s="3"/>
      <c r="Z511" s="3"/>
      <c r="AA511" s="3"/>
      <c r="AB511" s="3"/>
      <c r="AC511" s="3"/>
      <c r="AD511" s="3"/>
      <c r="AE511" s="3">
        <v>0</v>
      </c>
      <c r="AF511" s="3">
        <v>0</v>
      </c>
      <c r="AG511" s="3"/>
      <c r="AH511" s="40"/>
      <c r="AI511" s="40"/>
      <c r="AJ511" s="40"/>
      <c r="AK511" s="40"/>
      <c r="AL511" s="40"/>
      <c r="AM511" s="40"/>
      <c r="AN511" s="40"/>
      <c r="AO511" s="40"/>
      <c r="AP511" s="40"/>
      <c r="AQ511" s="40"/>
      <c r="AR511" s="31"/>
      <c r="AS511" s="36">
        <v>0</v>
      </c>
      <c r="AY511" s="6"/>
      <c r="AZ511" s="2"/>
      <c r="BA511" s="2"/>
      <c r="BB511" s="2"/>
      <c r="BC511">
        <v>71500</v>
      </c>
      <c r="BD511">
        <v>56992</v>
      </c>
    </row>
    <row r="512" spans="3:56" x14ac:dyDescent="0.25">
      <c r="C512" s="1">
        <v>46132</v>
      </c>
      <c r="D512" s="36">
        <v>260352.47333333301</v>
      </c>
      <c r="E512" s="33">
        <v>4.4733333333333301</v>
      </c>
      <c r="F512" s="33">
        <v>3.6612245185185199</v>
      </c>
      <c r="G512" s="2">
        <v>0.81845555555555505</v>
      </c>
      <c r="H512" s="2">
        <v>0.99</v>
      </c>
      <c r="I512" s="3"/>
      <c r="J512" s="3"/>
      <c r="K512" s="3"/>
      <c r="L512" s="3"/>
      <c r="M512" s="3"/>
      <c r="N512" s="3">
        <v>0</v>
      </c>
      <c r="O512" s="3"/>
      <c r="P512" s="3">
        <v>0</v>
      </c>
      <c r="Q512" s="3">
        <v>0</v>
      </c>
      <c r="R512" s="3">
        <v>0</v>
      </c>
      <c r="S512" s="3">
        <v>0</v>
      </c>
      <c r="T512" s="3">
        <v>0</v>
      </c>
      <c r="U512" s="3"/>
      <c r="V512" s="3"/>
      <c r="W512" s="3"/>
      <c r="X512" s="3"/>
      <c r="Y512" s="3"/>
      <c r="Z512" s="3"/>
      <c r="AA512" s="3"/>
      <c r="AB512" s="3"/>
      <c r="AC512" s="3"/>
      <c r="AD512" s="3"/>
      <c r="AE512" s="3">
        <v>0</v>
      </c>
      <c r="AF512" s="3">
        <v>0</v>
      </c>
      <c r="AG512" s="3"/>
      <c r="AH512" s="40"/>
      <c r="AI512" s="40"/>
      <c r="AJ512" s="40"/>
      <c r="AK512" s="40"/>
      <c r="AL512" s="40"/>
      <c r="AM512" s="40"/>
      <c r="AN512" s="40"/>
      <c r="AO512" s="40"/>
      <c r="AP512" s="40"/>
      <c r="AQ512" s="40"/>
      <c r="AR512" s="31"/>
      <c r="AS512" s="36">
        <v>0</v>
      </c>
      <c r="AY512" s="6"/>
      <c r="AZ512" s="2"/>
      <c r="BA512" s="2"/>
      <c r="BB512" s="2"/>
      <c r="BC512">
        <v>71500</v>
      </c>
      <c r="BD512">
        <v>56992</v>
      </c>
    </row>
    <row r="513" spans="3:56" x14ac:dyDescent="0.25">
      <c r="C513" s="1">
        <v>46133</v>
      </c>
      <c r="D513" s="36">
        <v>260352.47333333301</v>
      </c>
      <c r="E513" s="33">
        <v>4.4733333333333301</v>
      </c>
      <c r="F513" s="33">
        <v>3.6611748148148102</v>
      </c>
      <c r="G513" s="2">
        <v>0.81844444444444397</v>
      </c>
      <c r="H513" s="2">
        <v>0.99</v>
      </c>
      <c r="I513" s="3"/>
      <c r="J513" s="3"/>
      <c r="K513" s="3"/>
      <c r="L513" s="3"/>
      <c r="M513" s="3"/>
      <c r="N513" s="3">
        <v>0</v>
      </c>
      <c r="O513" s="3"/>
      <c r="P513" s="3">
        <v>0</v>
      </c>
      <c r="Q513" s="3">
        <v>0</v>
      </c>
      <c r="R513" s="3">
        <v>0</v>
      </c>
      <c r="S513" s="3">
        <v>0</v>
      </c>
      <c r="T513" s="3">
        <v>0</v>
      </c>
      <c r="U513" s="3"/>
      <c r="V513" s="3"/>
      <c r="W513" s="3"/>
      <c r="X513" s="3"/>
      <c r="Y513" s="3"/>
      <c r="Z513" s="3"/>
      <c r="AA513" s="3"/>
      <c r="AB513" s="3"/>
      <c r="AC513" s="3"/>
      <c r="AD513" s="3"/>
      <c r="AE513" s="3">
        <v>0</v>
      </c>
      <c r="AF513" s="3">
        <v>0</v>
      </c>
      <c r="AG513" s="3"/>
      <c r="AH513" s="40"/>
      <c r="AI513" s="40"/>
      <c r="AJ513" s="40"/>
      <c r="AK513" s="40"/>
      <c r="AL513" s="40"/>
      <c r="AM513" s="40"/>
      <c r="AN513" s="40"/>
      <c r="AO513" s="40"/>
      <c r="AP513" s="40"/>
      <c r="AQ513" s="40"/>
      <c r="AR513" s="31"/>
      <c r="AS513" s="36">
        <v>0</v>
      </c>
      <c r="AY513" s="6"/>
      <c r="AZ513" s="2"/>
      <c r="BA513" s="2"/>
      <c r="BB513" s="2"/>
      <c r="BC513">
        <v>71500</v>
      </c>
      <c r="BD513">
        <v>56992</v>
      </c>
    </row>
    <row r="514" spans="3:56" x14ac:dyDescent="0.25">
      <c r="C514" s="1">
        <v>46134</v>
      </c>
      <c r="D514" s="36">
        <v>260352.47333333301</v>
      </c>
      <c r="E514" s="33">
        <v>4.4733333333333301</v>
      </c>
      <c r="F514" s="33">
        <v>3.6611251111111098</v>
      </c>
      <c r="G514" s="2">
        <v>0.81843333333333301</v>
      </c>
      <c r="H514" s="2">
        <v>0.99</v>
      </c>
      <c r="I514" s="3"/>
      <c r="J514" s="3"/>
      <c r="K514" s="3"/>
      <c r="L514" s="3"/>
      <c r="M514" s="3"/>
      <c r="N514" s="3">
        <v>0</v>
      </c>
      <c r="O514" s="3"/>
      <c r="P514" s="3">
        <v>0</v>
      </c>
      <c r="Q514" s="3">
        <v>0</v>
      </c>
      <c r="R514" s="3">
        <v>0</v>
      </c>
      <c r="S514" s="3">
        <v>0</v>
      </c>
      <c r="T514" s="3">
        <v>0</v>
      </c>
      <c r="U514" s="3"/>
      <c r="V514" s="3"/>
      <c r="W514" s="3"/>
      <c r="X514" s="3"/>
      <c r="Y514" s="3"/>
      <c r="Z514" s="3"/>
      <c r="AA514" s="3"/>
      <c r="AB514" s="3"/>
      <c r="AC514" s="3"/>
      <c r="AD514" s="3"/>
      <c r="AE514" s="3">
        <v>0</v>
      </c>
      <c r="AF514" s="3">
        <v>0</v>
      </c>
      <c r="AG514" s="3"/>
      <c r="AH514" s="40"/>
      <c r="AI514" s="40"/>
      <c r="AJ514" s="40"/>
      <c r="AK514" s="40"/>
      <c r="AL514" s="40"/>
      <c r="AM514" s="40"/>
      <c r="AN514" s="40"/>
      <c r="AO514" s="40"/>
      <c r="AP514" s="40"/>
      <c r="AQ514" s="40"/>
      <c r="AR514" s="31"/>
      <c r="AS514" s="36">
        <v>0</v>
      </c>
      <c r="AY514" s="6"/>
      <c r="AZ514" s="2"/>
      <c r="BA514" s="2"/>
      <c r="BB514" s="2"/>
      <c r="BC514">
        <v>71500</v>
      </c>
      <c r="BD514">
        <v>56992</v>
      </c>
    </row>
    <row r="515" spans="3:56" x14ac:dyDescent="0.25">
      <c r="C515" s="1">
        <v>46135</v>
      </c>
      <c r="D515" s="36">
        <v>260352.47333333301</v>
      </c>
      <c r="E515" s="33">
        <v>4.4733333333333301</v>
      </c>
      <c r="F515" s="33">
        <v>3.6610754074074099</v>
      </c>
      <c r="G515" s="2">
        <v>0.81842222222222205</v>
      </c>
      <c r="H515" s="2">
        <v>0.99</v>
      </c>
      <c r="I515" s="3"/>
      <c r="J515" s="3"/>
      <c r="K515" s="3"/>
      <c r="L515" s="3"/>
      <c r="M515" s="3"/>
      <c r="N515" s="3">
        <v>0</v>
      </c>
      <c r="O515" s="3"/>
      <c r="P515" s="3">
        <v>0</v>
      </c>
      <c r="Q515" s="3">
        <v>0</v>
      </c>
      <c r="R515" s="3">
        <v>0</v>
      </c>
      <c r="S515" s="3">
        <v>0</v>
      </c>
      <c r="T515" s="3">
        <v>0</v>
      </c>
      <c r="U515" s="3"/>
      <c r="V515" s="3"/>
      <c r="W515" s="3"/>
      <c r="X515" s="3"/>
      <c r="Y515" s="3"/>
      <c r="Z515" s="3"/>
      <c r="AA515" s="3"/>
      <c r="AB515" s="3"/>
      <c r="AC515" s="3"/>
      <c r="AD515" s="3"/>
      <c r="AE515" s="3">
        <v>0</v>
      </c>
      <c r="AF515" s="3">
        <v>0</v>
      </c>
      <c r="AG515" s="3"/>
      <c r="AH515" s="40"/>
      <c r="AI515" s="40"/>
      <c r="AJ515" s="40"/>
      <c r="AK515" s="40"/>
      <c r="AL515" s="40"/>
      <c r="AM515" s="40"/>
      <c r="AN515" s="40"/>
      <c r="AO515" s="40"/>
      <c r="AP515" s="40"/>
      <c r="AQ515" s="40"/>
      <c r="AR515" s="31"/>
      <c r="AS515" s="36">
        <v>0</v>
      </c>
      <c r="AY515" s="6"/>
      <c r="AZ515" s="2"/>
      <c r="BA515" s="2"/>
      <c r="BB515" s="2"/>
      <c r="BC515">
        <v>71500</v>
      </c>
      <c r="BD515">
        <v>56992</v>
      </c>
    </row>
    <row r="516" spans="3:56" x14ac:dyDescent="0.25">
      <c r="C516" s="1">
        <v>46136</v>
      </c>
      <c r="D516" s="36">
        <v>260352.47333333301</v>
      </c>
      <c r="E516" s="33">
        <v>4.4733333333333301</v>
      </c>
      <c r="F516" s="33">
        <v>3.6610257037037002</v>
      </c>
      <c r="G516" s="2">
        <v>0.81841111111111098</v>
      </c>
      <c r="H516" s="2">
        <v>0.99</v>
      </c>
      <c r="I516" s="3"/>
      <c r="J516" s="3"/>
      <c r="K516" s="3"/>
      <c r="L516" s="3"/>
      <c r="M516" s="3"/>
      <c r="N516" s="3">
        <v>0</v>
      </c>
      <c r="O516" s="3"/>
      <c r="P516" s="3">
        <v>0</v>
      </c>
      <c r="Q516" s="3">
        <v>0</v>
      </c>
      <c r="R516" s="3">
        <v>0</v>
      </c>
      <c r="S516" s="3">
        <v>0</v>
      </c>
      <c r="T516" s="3">
        <v>0</v>
      </c>
      <c r="U516" s="3"/>
      <c r="V516" s="3"/>
      <c r="W516" s="3"/>
      <c r="X516" s="3"/>
      <c r="Y516" s="3"/>
      <c r="Z516" s="3"/>
      <c r="AA516" s="3"/>
      <c r="AB516" s="3"/>
      <c r="AC516" s="3"/>
      <c r="AD516" s="3"/>
      <c r="AE516" s="3">
        <v>0</v>
      </c>
      <c r="AF516" s="3">
        <v>0</v>
      </c>
      <c r="AG516" s="3"/>
      <c r="AH516" s="40"/>
      <c r="AI516" s="40"/>
      <c r="AJ516" s="40"/>
      <c r="AK516" s="40"/>
      <c r="AL516" s="40"/>
      <c r="AM516" s="40"/>
      <c r="AN516" s="40"/>
      <c r="AO516" s="40"/>
      <c r="AP516" s="40"/>
      <c r="AQ516" s="40"/>
      <c r="AR516" s="31"/>
      <c r="AS516" s="36">
        <v>0</v>
      </c>
      <c r="AY516" s="6"/>
      <c r="AZ516" s="2"/>
      <c r="BA516" s="2"/>
      <c r="BB516" s="2"/>
      <c r="BC516">
        <v>71500</v>
      </c>
      <c r="BD516">
        <v>56992</v>
      </c>
    </row>
    <row r="517" spans="3:56" x14ac:dyDescent="0.25">
      <c r="C517" s="1">
        <v>46137</v>
      </c>
      <c r="D517" s="36">
        <v>260352.47333333301</v>
      </c>
      <c r="E517" s="33">
        <v>4.4733333333333301</v>
      </c>
      <c r="F517" s="33">
        <v>3.6609759999999998</v>
      </c>
      <c r="G517" s="2">
        <v>0.81840000000000002</v>
      </c>
      <c r="H517" s="2">
        <v>0.99</v>
      </c>
      <c r="I517" s="3"/>
      <c r="J517" s="3"/>
      <c r="K517" s="3"/>
      <c r="L517" s="3"/>
      <c r="M517" s="3"/>
      <c r="N517" s="3">
        <v>0</v>
      </c>
      <c r="O517" s="3"/>
      <c r="P517" s="3">
        <v>0</v>
      </c>
      <c r="Q517" s="3">
        <v>0</v>
      </c>
      <c r="R517" s="3">
        <v>0</v>
      </c>
      <c r="S517" s="3">
        <v>0</v>
      </c>
      <c r="T517" s="3">
        <v>0</v>
      </c>
      <c r="U517" s="3"/>
      <c r="V517" s="3"/>
      <c r="W517" s="3"/>
      <c r="X517" s="3"/>
      <c r="Y517" s="3"/>
      <c r="Z517" s="3"/>
      <c r="AA517" s="3"/>
      <c r="AB517" s="3"/>
      <c r="AC517" s="3"/>
      <c r="AD517" s="3"/>
      <c r="AE517" s="3">
        <v>0</v>
      </c>
      <c r="AF517" s="3">
        <v>0</v>
      </c>
      <c r="AG517" s="3"/>
      <c r="AH517" s="40"/>
      <c r="AI517" s="40"/>
      <c r="AJ517" s="40"/>
      <c r="AK517" s="40"/>
      <c r="AL517" s="40"/>
      <c r="AM517" s="40"/>
      <c r="AN517" s="40"/>
      <c r="AO517" s="40"/>
      <c r="AP517" s="40"/>
      <c r="AQ517" s="40"/>
      <c r="AR517" s="31"/>
      <c r="AS517" s="36">
        <v>0</v>
      </c>
      <c r="AY517" s="6"/>
      <c r="AZ517" s="2"/>
      <c r="BA517" s="2"/>
      <c r="BB517" s="2"/>
      <c r="BC517">
        <v>71500</v>
      </c>
      <c r="BD517">
        <v>56992</v>
      </c>
    </row>
    <row r="518" spans="3:56" x14ac:dyDescent="0.25">
      <c r="C518" s="1">
        <v>46138</v>
      </c>
      <c r="D518" s="36">
        <v>260352.47333333301</v>
      </c>
      <c r="E518" s="33">
        <v>4.4733333333333301</v>
      </c>
      <c r="F518" s="33">
        <v>3.6609262962962998</v>
      </c>
      <c r="G518" s="2">
        <v>0.81838888888888905</v>
      </c>
      <c r="H518" s="2">
        <v>0.99</v>
      </c>
      <c r="I518" s="3"/>
      <c r="J518" s="3"/>
      <c r="K518" s="3"/>
      <c r="L518" s="3"/>
      <c r="M518" s="3"/>
      <c r="N518" s="3">
        <v>0</v>
      </c>
      <c r="O518" s="3"/>
      <c r="P518" s="3">
        <v>0</v>
      </c>
      <c r="Q518" s="3">
        <v>0</v>
      </c>
      <c r="R518" s="3">
        <v>0</v>
      </c>
      <c r="S518" s="3">
        <v>0</v>
      </c>
      <c r="T518" s="3">
        <v>0</v>
      </c>
      <c r="U518" s="3"/>
      <c r="V518" s="3"/>
      <c r="W518" s="3"/>
      <c r="X518" s="3"/>
      <c r="Y518" s="3"/>
      <c r="Z518" s="3"/>
      <c r="AA518" s="3"/>
      <c r="AB518" s="3"/>
      <c r="AC518" s="3"/>
      <c r="AD518" s="3"/>
      <c r="AE518" s="3">
        <v>0</v>
      </c>
      <c r="AF518" s="3">
        <v>0</v>
      </c>
      <c r="AG518" s="3"/>
      <c r="AH518" s="40"/>
      <c r="AI518" s="40"/>
      <c r="AJ518" s="40"/>
      <c r="AK518" s="40"/>
      <c r="AL518" s="40"/>
      <c r="AM518" s="40"/>
      <c r="AN518" s="40"/>
      <c r="AO518" s="40"/>
      <c r="AP518" s="40"/>
      <c r="AQ518" s="40"/>
      <c r="AR518" s="31"/>
      <c r="AS518" s="36">
        <v>0</v>
      </c>
      <c r="AY518" s="6"/>
      <c r="AZ518" s="2"/>
      <c r="BA518" s="2"/>
      <c r="BB518" s="2"/>
      <c r="BC518">
        <v>71500</v>
      </c>
      <c r="BD518">
        <v>56992</v>
      </c>
    </row>
    <row r="519" spans="3:56" x14ac:dyDescent="0.25">
      <c r="C519" s="1">
        <v>46139</v>
      </c>
      <c r="D519" s="36">
        <v>260352.47333333301</v>
      </c>
      <c r="E519" s="33">
        <v>4.4733333333333301</v>
      </c>
      <c r="F519" s="33">
        <v>3.6608765925925901</v>
      </c>
      <c r="G519" s="2">
        <v>0.81837777777777798</v>
      </c>
      <c r="H519" s="2">
        <v>0.99</v>
      </c>
      <c r="I519" s="3"/>
      <c r="J519" s="3"/>
      <c r="K519" s="3"/>
      <c r="L519" s="3"/>
      <c r="M519" s="3"/>
      <c r="N519" s="3">
        <v>0</v>
      </c>
      <c r="O519" s="3"/>
      <c r="P519" s="3">
        <v>0</v>
      </c>
      <c r="Q519" s="3">
        <v>0</v>
      </c>
      <c r="R519" s="3">
        <v>0</v>
      </c>
      <c r="S519" s="3">
        <v>0</v>
      </c>
      <c r="T519" s="3">
        <v>0</v>
      </c>
      <c r="U519" s="3"/>
      <c r="V519" s="3"/>
      <c r="W519" s="3"/>
      <c r="X519" s="3"/>
      <c r="Y519" s="3"/>
      <c r="Z519" s="3"/>
      <c r="AA519" s="3"/>
      <c r="AB519" s="3"/>
      <c r="AC519" s="3"/>
      <c r="AD519" s="3"/>
      <c r="AE519" s="3">
        <v>0</v>
      </c>
      <c r="AF519" s="3">
        <v>0</v>
      </c>
      <c r="AG519" s="3"/>
      <c r="AH519" s="40"/>
      <c r="AI519" s="40"/>
      <c r="AJ519" s="40"/>
      <c r="AK519" s="40"/>
      <c r="AL519" s="40"/>
      <c r="AM519" s="40"/>
      <c r="AN519" s="40"/>
      <c r="AO519" s="40"/>
      <c r="AP519" s="40"/>
      <c r="AQ519" s="40"/>
      <c r="AR519" s="31"/>
      <c r="AS519" s="36">
        <v>0</v>
      </c>
      <c r="AY519" s="6"/>
      <c r="AZ519" s="2"/>
      <c r="BA519" s="2"/>
      <c r="BB519" s="2"/>
      <c r="BC519">
        <v>71500</v>
      </c>
      <c r="BD519">
        <v>56992</v>
      </c>
    </row>
    <row r="520" spans="3:56" x14ac:dyDescent="0.25">
      <c r="C520" s="1">
        <v>46140</v>
      </c>
      <c r="D520" s="36">
        <v>260352.47333333301</v>
      </c>
      <c r="E520" s="33">
        <v>4.4733333333333301</v>
      </c>
      <c r="F520" s="33">
        <v>3.6608268888888902</v>
      </c>
      <c r="G520" s="2">
        <v>0.81836666666666702</v>
      </c>
      <c r="H520" s="2">
        <v>0.99</v>
      </c>
      <c r="I520" s="3"/>
      <c r="J520" s="3"/>
      <c r="K520" s="3"/>
      <c r="L520" s="3"/>
      <c r="M520" s="3"/>
      <c r="N520" s="3">
        <v>0</v>
      </c>
      <c r="O520" s="3"/>
      <c r="P520" s="3">
        <v>0</v>
      </c>
      <c r="Q520" s="3">
        <v>0</v>
      </c>
      <c r="R520" s="3">
        <v>0</v>
      </c>
      <c r="S520" s="3">
        <v>0</v>
      </c>
      <c r="T520" s="3">
        <v>0</v>
      </c>
      <c r="U520" s="3"/>
      <c r="V520" s="3"/>
      <c r="W520" s="3"/>
      <c r="X520" s="3"/>
      <c r="Y520" s="3"/>
      <c r="Z520" s="3"/>
      <c r="AA520" s="3"/>
      <c r="AB520" s="3"/>
      <c r="AC520" s="3"/>
      <c r="AD520" s="3"/>
      <c r="AE520" s="3">
        <v>0</v>
      </c>
      <c r="AF520" s="3">
        <v>0</v>
      </c>
      <c r="AG520" s="3"/>
      <c r="AH520" s="40"/>
      <c r="AI520" s="40"/>
      <c r="AJ520" s="40"/>
      <c r="AK520" s="40"/>
      <c r="AL520" s="40"/>
      <c r="AM520" s="40"/>
      <c r="AN520" s="40"/>
      <c r="AO520" s="40"/>
      <c r="AP520" s="40"/>
      <c r="AQ520" s="40"/>
      <c r="AR520" s="31"/>
      <c r="AS520" s="36">
        <v>0</v>
      </c>
      <c r="AY520" s="6"/>
      <c r="AZ520" s="2"/>
      <c r="BA520" s="2"/>
      <c r="BB520" s="2"/>
      <c r="BC520">
        <v>71500</v>
      </c>
      <c r="BD520">
        <v>56992</v>
      </c>
    </row>
    <row r="521" spans="3:56" x14ac:dyDescent="0.25">
      <c r="C521" s="1">
        <v>46141</v>
      </c>
      <c r="D521" s="36">
        <v>260352.47333333301</v>
      </c>
      <c r="E521" s="33">
        <v>4.4733333333333301</v>
      </c>
      <c r="F521" s="33">
        <v>3.66077718518518</v>
      </c>
      <c r="G521" s="2">
        <v>0.81835555555555595</v>
      </c>
      <c r="H521" s="2">
        <v>0.99</v>
      </c>
      <c r="I521" s="3"/>
      <c r="J521" s="3"/>
      <c r="K521" s="3"/>
      <c r="L521" s="3"/>
      <c r="M521" s="3"/>
      <c r="N521" s="3">
        <v>0</v>
      </c>
      <c r="O521" s="3"/>
      <c r="P521" s="3">
        <v>0</v>
      </c>
      <c r="Q521" s="3">
        <v>0</v>
      </c>
      <c r="R521" s="3">
        <v>0</v>
      </c>
      <c r="S521" s="3">
        <v>0</v>
      </c>
      <c r="T521" s="3">
        <v>0</v>
      </c>
      <c r="U521" s="3"/>
      <c r="V521" s="3"/>
      <c r="W521" s="3"/>
      <c r="X521" s="3"/>
      <c r="Y521" s="3"/>
      <c r="Z521" s="3"/>
      <c r="AA521" s="3"/>
      <c r="AB521" s="3"/>
      <c r="AC521" s="3"/>
      <c r="AD521" s="3"/>
      <c r="AE521" s="3">
        <v>0</v>
      </c>
      <c r="AF521" s="3">
        <v>0</v>
      </c>
      <c r="AG521" s="3"/>
      <c r="AH521" s="40"/>
      <c r="AI521" s="40"/>
      <c r="AJ521" s="40"/>
      <c r="AK521" s="40"/>
      <c r="AL521" s="40"/>
      <c r="AM521" s="40"/>
      <c r="AN521" s="40"/>
      <c r="AO521" s="40"/>
      <c r="AP521" s="40"/>
      <c r="AQ521" s="40"/>
      <c r="AR521" s="31"/>
      <c r="AS521" s="36">
        <v>0</v>
      </c>
      <c r="AY521" s="6"/>
      <c r="AZ521" s="2"/>
      <c r="BA521" s="2"/>
      <c r="BB521" s="2"/>
      <c r="BC521">
        <v>71500</v>
      </c>
      <c r="BD521">
        <v>56992</v>
      </c>
    </row>
    <row r="522" spans="3:56" x14ac:dyDescent="0.25">
      <c r="C522" s="1">
        <v>46142</v>
      </c>
      <c r="D522" s="36">
        <v>260352.47333333301</v>
      </c>
      <c r="E522" s="33">
        <v>4.4733333333333301</v>
      </c>
      <c r="F522" s="33">
        <v>3.6607274814814801</v>
      </c>
      <c r="G522" s="2">
        <v>0.81834444444444399</v>
      </c>
      <c r="H522" s="2">
        <v>0.99</v>
      </c>
      <c r="I522" s="3"/>
      <c r="J522" s="3"/>
      <c r="K522" s="3"/>
      <c r="L522" s="3"/>
      <c r="M522" s="3"/>
      <c r="N522" s="3">
        <v>0</v>
      </c>
      <c r="O522" s="3"/>
      <c r="P522" s="3">
        <v>0</v>
      </c>
      <c r="Q522" s="3">
        <v>0</v>
      </c>
      <c r="R522" s="3">
        <v>0</v>
      </c>
      <c r="S522" s="3">
        <v>0</v>
      </c>
      <c r="T522" s="3">
        <v>0</v>
      </c>
      <c r="U522" s="3"/>
      <c r="V522" s="3"/>
      <c r="W522" s="3"/>
      <c r="X522" s="3"/>
      <c r="Y522" s="3"/>
      <c r="Z522" s="3"/>
      <c r="AA522" s="3"/>
      <c r="AB522" s="3"/>
      <c r="AC522" s="3"/>
      <c r="AD522" s="3"/>
      <c r="AE522" s="3">
        <v>0</v>
      </c>
      <c r="AF522" s="3">
        <v>0</v>
      </c>
      <c r="AG522" s="3"/>
      <c r="AH522" s="40"/>
      <c r="AI522" s="40"/>
      <c r="AJ522" s="40"/>
      <c r="AK522" s="40"/>
      <c r="AL522" s="40"/>
      <c r="AM522" s="40"/>
      <c r="AN522" s="40"/>
      <c r="AO522" s="40"/>
      <c r="AP522" s="40"/>
      <c r="AQ522" s="40"/>
      <c r="AR522" s="31"/>
      <c r="AS522" s="36">
        <v>0</v>
      </c>
      <c r="AY522" s="6"/>
      <c r="AZ522" s="2"/>
      <c r="BA522" s="2"/>
      <c r="BB522" s="2"/>
      <c r="BC522">
        <v>71500</v>
      </c>
      <c r="BD522">
        <v>56992</v>
      </c>
    </row>
    <row r="523" spans="3:56" x14ac:dyDescent="0.25">
      <c r="C523" s="1">
        <v>46143</v>
      </c>
      <c r="D523" s="36">
        <v>255977.841935484</v>
      </c>
      <c r="E523" s="33">
        <v>4.3290322580645197</v>
      </c>
      <c r="F523" s="33">
        <v>3.5425913978494599</v>
      </c>
      <c r="G523" s="2">
        <v>0.81833333333333302</v>
      </c>
      <c r="H523" s="2">
        <v>0.99</v>
      </c>
      <c r="I523" s="3"/>
      <c r="J523" s="3"/>
      <c r="K523" s="3"/>
      <c r="L523" s="3"/>
      <c r="M523" s="3"/>
      <c r="N523" s="3">
        <v>0</v>
      </c>
      <c r="O523" s="3"/>
      <c r="P523" s="3">
        <v>0</v>
      </c>
      <c r="Q523" s="3">
        <v>0</v>
      </c>
      <c r="R523" s="3">
        <v>0</v>
      </c>
      <c r="S523" s="3">
        <v>0</v>
      </c>
      <c r="T523" s="3">
        <v>0</v>
      </c>
      <c r="U523" s="3"/>
      <c r="V523" s="3"/>
      <c r="W523" s="3"/>
      <c r="X523" s="3"/>
      <c r="Y523" s="3"/>
      <c r="Z523" s="3"/>
      <c r="AA523" s="3"/>
      <c r="AB523" s="3"/>
      <c r="AC523" s="3"/>
      <c r="AD523" s="3"/>
      <c r="AE523" s="3">
        <v>0</v>
      </c>
      <c r="AF523" s="3">
        <v>0</v>
      </c>
      <c r="AG523" s="3"/>
      <c r="AH523" s="40"/>
      <c r="AI523" s="40"/>
      <c r="AJ523" s="40"/>
      <c r="AK523" s="40"/>
      <c r="AL523" s="40"/>
      <c r="AM523" s="40"/>
      <c r="AN523" s="40"/>
      <c r="AO523" s="40"/>
      <c r="AP523" s="40"/>
      <c r="AQ523" s="40"/>
      <c r="AR523" s="31"/>
      <c r="AS523" s="36">
        <v>0</v>
      </c>
      <c r="AY523" s="6"/>
      <c r="AZ523" s="2"/>
      <c r="BA523" s="2"/>
      <c r="BB523" s="2"/>
      <c r="BC523">
        <v>71500</v>
      </c>
      <c r="BD523">
        <v>56992</v>
      </c>
    </row>
    <row r="524" spans="3:56" x14ac:dyDescent="0.25">
      <c r="C524" s="1">
        <v>46144</v>
      </c>
      <c r="D524" s="36">
        <v>255977.841935484</v>
      </c>
      <c r="E524" s="33">
        <v>4.3290322580645197</v>
      </c>
      <c r="F524" s="33">
        <v>3.54254329749104</v>
      </c>
      <c r="G524" s="2">
        <v>0.81832222222222195</v>
      </c>
      <c r="H524" s="2">
        <v>0.99</v>
      </c>
      <c r="I524" s="3"/>
      <c r="J524" s="3"/>
      <c r="K524" s="3"/>
      <c r="L524" s="3"/>
      <c r="M524" s="3"/>
      <c r="N524" s="3">
        <v>0</v>
      </c>
      <c r="O524" s="3"/>
      <c r="P524" s="3">
        <v>0</v>
      </c>
      <c r="Q524" s="3">
        <v>0</v>
      </c>
      <c r="R524" s="3">
        <v>0</v>
      </c>
      <c r="S524" s="3">
        <v>0</v>
      </c>
      <c r="T524" s="3">
        <v>0</v>
      </c>
      <c r="U524" s="3"/>
      <c r="V524" s="3"/>
      <c r="W524" s="3"/>
      <c r="X524" s="3"/>
      <c r="Y524" s="3"/>
      <c r="Z524" s="3"/>
      <c r="AA524" s="3"/>
      <c r="AB524" s="3"/>
      <c r="AC524" s="3"/>
      <c r="AD524" s="3"/>
      <c r="AE524" s="3">
        <v>0</v>
      </c>
      <c r="AF524" s="3">
        <v>0</v>
      </c>
      <c r="AG524" s="3"/>
      <c r="AH524" s="40"/>
      <c r="AI524" s="40"/>
      <c r="AJ524" s="40"/>
      <c r="AK524" s="40"/>
      <c r="AL524" s="40"/>
      <c r="AM524" s="40"/>
      <c r="AN524" s="40"/>
      <c r="AO524" s="40"/>
      <c r="AP524" s="40"/>
      <c r="AQ524" s="40"/>
      <c r="AR524" s="31"/>
      <c r="AS524" s="36">
        <v>0</v>
      </c>
      <c r="AY524" s="6"/>
      <c r="AZ524" s="2"/>
      <c r="BA524" s="2"/>
      <c r="BB524" s="2"/>
      <c r="BC524">
        <v>71500</v>
      </c>
      <c r="BD524">
        <v>56992</v>
      </c>
    </row>
    <row r="525" spans="3:56" x14ac:dyDescent="0.25">
      <c r="C525" s="1">
        <v>46145</v>
      </c>
      <c r="D525" s="36">
        <v>255977.841935484</v>
      </c>
      <c r="E525" s="33">
        <v>4.3290322580645197</v>
      </c>
      <c r="F525" s="33">
        <v>3.5424951971326202</v>
      </c>
      <c r="G525" s="2">
        <v>0.81831111111111099</v>
      </c>
      <c r="H525" s="2">
        <v>0.99</v>
      </c>
      <c r="I525" s="3"/>
      <c r="J525" s="3"/>
      <c r="K525" s="3"/>
      <c r="L525" s="3"/>
      <c r="M525" s="3"/>
      <c r="N525" s="3">
        <v>0</v>
      </c>
      <c r="O525" s="3"/>
      <c r="P525" s="3">
        <v>0</v>
      </c>
      <c r="Q525" s="3">
        <v>0</v>
      </c>
      <c r="R525" s="3">
        <v>0</v>
      </c>
      <c r="S525" s="3">
        <v>0</v>
      </c>
      <c r="T525" s="3">
        <v>0</v>
      </c>
      <c r="U525" s="3"/>
      <c r="V525" s="3"/>
      <c r="W525" s="3"/>
      <c r="X525" s="3"/>
      <c r="Y525" s="3"/>
      <c r="Z525" s="3"/>
      <c r="AA525" s="3"/>
      <c r="AB525" s="3"/>
      <c r="AC525" s="3"/>
      <c r="AD525" s="3"/>
      <c r="AE525" s="3">
        <v>0</v>
      </c>
      <c r="AF525" s="3">
        <v>0</v>
      </c>
      <c r="AG525" s="3"/>
      <c r="AH525" s="40"/>
      <c r="AI525" s="40"/>
      <c r="AJ525" s="40"/>
      <c r="AK525" s="40"/>
      <c r="AL525" s="40"/>
      <c r="AM525" s="40"/>
      <c r="AN525" s="40"/>
      <c r="AO525" s="40"/>
      <c r="AP525" s="40"/>
      <c r="AQ525" s="40"/>
      <c r="AR525" s="31"/>
      <c r="AS525" s="36">
        <v>0</v>
      </c>
      <c r="AY525" s="6"/>
      <c r="AZ525" s="2"/>
      <c r="BA525" s="2"/>
      <c r="BB525" s="2"/>
      <c r="BC525">
        <v>71500</v>
      </c>
      <c r="BD525">
        <v>56992</v>
      </c>
    </row>
    <row r="526" spans="3:56" x14ac:dyDescent="0.25">
      <c r="C526" s="1">
        <v>46146</v>
      </c>
      <c r="D526" s="36">
        <v>255977.841935484</v>
      </c>
      <c r="E526" s="33">
        <v>4.3290322580645197</v>
      </c>
      <c r="F526" s="33">
        <v>3.5424470967741901</v>
      </c>
      <c r="G526" s="2">
        <v>0.81830000000000003</v>
      </c>
      <c r="H526" s="2">
        <v>0.99</v>
      </c>
      <c r="I526" s="3"/>
      <c r="J526" s="3"/>
      <c r="K526" s="3"/>
      <c r="L526" s="3"/>
      <c r="M526" s="3"/>
      <c r="N526" s="3">
        <v>0</v>
      </c>
      <c r="O526" s="3"/>
      <c r="P526" s="3">
        <v>0</v>
      </c>
      <c r="Q526" s="3">
        <v>0</v>
      </c>
      <c r="R526" s="3">
        <v>0</v>
      </c>
      <c r="S526" s="3">
        <v>0</v>
      </c>
      <c r="T526" s="3">
        <v>0</v>
      </c>
      <c r="U526" s="3"/>
      <c r="V526" s="3"/>
      <c r="W526" s="3"/>
      <c r="X526" s="3"/>
      <c r="Y526" s="3"/>
      <c r="Z526" s="3"/>
      <c r="AA526" s="3"/>
      <c r="AB526" s="3"/>
      <c r="AC526" s="3"/>
      <c r="AD526" s="3"/>
      <c r="AE526" s="3">
        <v>0</v>
      </c>
      <c r="AF526" s="3">
        <v>0</v>
      </c>
      <c r="AG526" s="3"/>
      <c r="AH526" s="40"/>
      <c r="AI526" s="40"/>
      <c r="AJ526" s="40"/>
      <c r="AK526" s="40"/>
      <c r="AL526" s="40"/>
      <c r="AM526" s="40"/>
      <c r="AN526" s="40"/>
      <c r="AO526" s="40"/>
      <c r="AP526" s="40"/>
      <c r="AQ526" s="40"/>
      <c r="AR526" s="31"/>
      <c r="AS526" s="36">
        <v>0</v>
      </c>
      <c r="AY526" s="6"/>
      <c r="AZ526" s="2"/>
      <c r="BA526" s="2"/>
      <c r="BB526" s="2"/>
      <c r="BC526">
        <v>71500</v>
      </c>
      <c r="BD526">
        <v>56992</v>
      </c>
    </row>
    <row r="527" spans="3:56" x14ac:dyDescent="0.25">
      <c r="C527" s="1">
        <v>46147</v>
      </c>
      <c r="D527" s="36">
        <v>255977.841935484</v>
      </c>
      <c r="E527" s="33">
        <v>4.3290322580645197</v>
      </c>
      <c r="F527" s="33">
        <v>3.5423989964157698</v>
      </c>
      <c r="G527" s="2">
        <v>0.81828888888888895</v>
      </c>
      <c r="H527" s="2">
        <v>0.99</v>
      </c>
      <c r="I527" s="3"/>
      <c r="J527" s="3"/>
      <c r="K527" s="3"/>
      <c r="L527" s="3"/>
      <c r="M527" s="3"/>
      <c r="N527" s="3">
        <v>0</v>
      </c>
      <c r="O527" s="3"/>
      <c r="P527" s="3">
        <v>0</v>
      </c>
      <c r="Q527" s="3">
        <v>0</v>
      </c>
      <c r="R527" s="3">
        <v>0</v>
      </c>
      <c r="S527" s="3">
        <v>0</v>
      </c>
      <c r="T527" s="3">
        <v>0</v>
      </c>
      <c r="U527" s="3"/>
      <c r="V527" s="3"/>
      <c r="W527" s="3"/>
      <c r="X527" s="3"/>
      <c r="Y527" s="3"/>
      <c r="Z527" s="3"/>
      <c r="AA527" s="3"/>
      <c r="AB527" s="3"/>
      <c r="AC527" s="3"/>
      <c r="AD527" s="3"/>
      <c r="AE527" s="3">
        <v>0</v>
      </c>
      <c r="AF527" s="3">
        <v>0</v>
      </c>
      <c r="AG527" s="3"/>
      <c r="AH527" s="40"/>
      <c r="AI527" s="40"/>
      <c r="AJ527" s="40"/>
      <c r="AK527" s="40"/>
      <c r="AL527" s="40"/>
      <c r="AM527" s="40"/>
      <c r="AN527" s="40"/>
      <c r="AO527" s="40"/>
      <c r="AP527" s="40"/>
      <c r="AQ527" s="40"/>
      <c r="AR527" s="31"/>
      <c r="AS527" s="36">
        <v>0</v>
      </c>
      <c r="AY527" s="6"/>
      <c r="AZ527" s="2"/>
      <c r="BA527" s="2"/>
      <c r="BB527" s="2"/>
      <c r="BC527">
        <v>71500</v>
      </c>
      <c r="BD527">
        <v>56992</v>
      </c>
    </row>
    <row r="528" spans="3:56" x14ac:dyDescent="0.25">
      <c r="C528" s="1">
        <v>46148</v>
      </c>
      <c r="D528" s="36">
        <v>255977.841935484</v>
      </c>
      <c r="E528" s="33">
        <v>4.3290322580645197</v>
      </c>
      <c r="F528" s="33">
        <v>3.54235089605735</v>
      </c>
      <c r="G528" s="2">
        <v>0.81827777777777799</v>
      </c>
      <c r="H528" s="2">
        <v>0.99</v>
      </c>
      <c r="I528" s="3"/>
      <c r="J528" s="3"/>
      <c r="K528" s="3"/>
      <c r="L528" s="3"/>
      <c r="M528" s="3"/>
      <c r="N528" s="3">
        <v>0</v>
      </c>
      <c r="O528" s="3"/>
      <c r="P528" s="3">
        <v>0</v>
      </c>
      <c r="Q528" s="3">
        <v>0</v>
      </c>
      <c r="R528" s="3">
        <v>0</v>
      </c>
      <c r="S528" s="3">
        <v>0</v>
      </c>
      <c r="T528" s="3">
        <v>0</v>
      </c>
      <c r="U528" s="3"/>
      <c r="V528" s="3"/>
      <c r="W528" s="3"/>
      <c r="X528" s="3"/>
      <c r="Y528" s="3"/>
      <c r="Z528" s="3"/>
      <c r="AA528" s="3"/>
      <c r="AB528" s="3"/>
      <c r="AC528" s="3"/>
      <c r="AD528" s="3"/>
      <c r="AE528" s="3">
        <v>0</v>
      </c>
      <c r="AF528" s="3">
        <v>0</v>
      </c>
      <c r="AG528" s="3"/>
      <c r="AH528" s="40"/>
      <c r="AI528" s="40"/>
      <c r="AJ528" s="40"/>
      <c r="AK528" s="40"/>
      <c r="AL528" s="40"/>
      <c r="AM528" s="40"/>
      <c r="AN528" s="40"/>
      <c r="AO528" s="40"/>
      <c r="AP528" s="40"/>
      <c r="AQ528" s="40"/>
      <c r="AR528" s="31"/>
      <c r="AS528" s="36">
        <v>0</v>
      </c>
      <c r="AY528" s="6"/>
      <c r="AZ528" s="2"/>
      <c r="BA528" s="2"/>
      <c r="BB528" s="2"/>
      <c r="BC528">
        <v>71500</v>
      </c>
      <c r="BD528">
        <v>56992</v>
      </c>
    </row>
    <row r="529" spans="3:56" x14ac:dyDescent="0.25">
      <c r="C529" s="1">
        <v>46149</v>
      </c>
      <c r="D529" s="36">
        <v>255977.841935484</v>
      </c>
      <c r="E529" s="33">
        <v>4.3290322580645197</v>
      </c>
      <c r="F529" s="33">
        <v>3.5423027956989199</v>
      </c>
      <c r="G529" s="2">
        <v>0.81826666666666703</v>
      </c>
      <c r="H529" s="2">
        <v>0.99</v>
      </c>
      <c r="I529" s="3"/>
      <c r="J529" s="3"/>
      <c r="K529" s="3"/>
      <c r="L529" s="3"/>
      <c r="M529" s="3"/>
      <c r="N529" s="3">
        <v>0</v>
      </c>
      <c r="O529" s="3"/>
      <c r="P529" s="3">
        <v>0</v>
      </c>
      <c r="Q529" s="3">
        <v>0</v>
      </c>
      <c r="R529" s="3">
        <v>0</v>
      </c>
      <c r="S529" s="3">
        <v>0</v>
      </c>
      <c r="T529" s="3">
        <v>0</v>
      </c>
      <c r="U529" s="3"/>
      <c r="V529" s="3"/>
      <c r="W529" s="3"/>
      <c r="X529" s="3"/>
      <c r="Y529" s="3"/>
      <c r="Z529" s="3"/>
      <c r="AA529" s="3"/>
      <c r="AB529" s="3"/>
      <c r="AC529" s="3"/>
      <c r="AD529" s="3"/>
      <c r="AE529" s="3">
        <v>0</v>
      </c>
      <c r="AF529" s="3">
        <v>0</v>
      </c>
      <c r="AG529" s="3"/>
      <c r="AH529" s="40"/>
      <c r="AI529" s="40"/>
      <c r="AJ529" s="40"/>
      <c r="AK529" s="40"/>
      <c r="AL529" s="40"/>
      <c r="AM529" s="40"/>
      <c r="AN529" s="40"/>
      <c r="AO529" s="40"/>
      <c r="AP529" s="40"/>
      <c r="AQ529" s="40"/>
      <c r="AR529" s="31"/>
      <c r="AS529" s="36">
        <v>0</v>
      </c>
      <c r="AY529" s="6"/>
      <c r="AZ529" s="2"/>
      <c r="BA529" s="2"/>
      <c r="BB529" s="2"/>
      <c r="BC529">
        <v>71500</v>
      </c>
      <c r="BD529">
        <v>56992</v>
      </c>
    </row>
    <row r="530" spans="3:56" x14ac:dyDescent="0.25">
      <c r="C530" s="1">
        <v>46150</v>
      </c>
      <c r="D530" s="36">
        <v>255977.841935484</v>
      </c>
      <c r="E530" s="33">
        <v>4.3290322580645197</v>
      </c>
      <c r="F530" s="33">
        <v>3.5422546953405001</v>
      </c>
      <c r="G530" s="2">
        <v>0.81825555555555596</v>
      </c>
      <c r="H530" s="2">
        <v>0.99</v>
      </c>
      <c r="I530" s="3"/>
      <c r="J530" s="3"/>
      <c r="K530" s="3"/>
      <c r="L530" s="3"/>
      <c r="M530" s="3"/>
      <c r="N530" s="3">
        <v>0</v>
      </c>
      <c r="O530" s="3"/>
      <c r="P530" s="3">
        <v>0</v>
      </c>
      <c r="Q530" s="3">
        <v>0</v>
      </c>
      <c r="R530" s="3">
        <v>0</v>
      </c>
      <c r="S530" s="3">
        <v>0</v>
      </c>
      <c r="T530" s="3">
        <v>0</v>
      </c>
      <c r="U530" s="3"/>
      <c r="V530" s="3"/>
      <c r="W530" s="3"/>
      <c r="X530" s="3"/>
      <c r="Y530" s="3"/>
      <c r="Z530" s="3"/>
      <c r="AA530" s="3"/>
      <c r="AB530" s="3"/>
      <c r="AC530" s="3"/>
      <c r="AD530" s="3"/>
      <c r="AE530" s="3">
        <v>0</v>
      </c>
      <c r="AF530" s="3">
        <v>0</v>
      </c>
      <c r="AG530" s="3"/>
      <c r="AH530" s="40"/>
      <c r="AI530" s="40"/>
      <c r="AJ530" s="40"/>
      <c r="AK530" s="40"/>
      <c r="AL530" s="40"/>
      <c r="AM530" s="40"/>
      <c r="AN530" s="40"/>
      <c r="AO530" s="40"/>
      <c r="AP530" s="40"/>
      <c r="AQ530" s="40"/>
      <c r="AR530" s="31"/>
      <c r="AS530" s="36">
        <v>0</v>
      </c>
      <c r="AY530" s="6"/>
      <c r="AZ530" s="2"/>
      <c r="BA530" s="2"/>
      <c r="BB530" s="2"/>
      <c r="BC530">
        <v>71500</v>
      </c>
      <c r="BD530">
        <v>56992</v>
      </c>
    </row>
    <row r="531" spans="3:56" x14ac:dyDescent="0.25">
      <c r="C531" s="1">
        <v>46151</v>
      </c>
      <c r="D531" s="36">
        <v>255977.841935484</v>
      </c>
      <c r="E531" s="33">
        <v>4.3290322580645197</v>
      </c>
      <c r="F531" s="33">
        <v>3.5422065949820798</v>
      </c>
      <c r="G531" s="2">
        <v>0.818244444444444</v>
      </c>
      <c r="H531" s="2">
        <v>0.99</v>
      </c>
      <c r="I531" s="3"/>
      <c r="J531" s="3"/>
      <c r="K531" s="3"/>
      <c r="L531" s="3"/>
      <c r="M531" s="3"/>
      <c r="N531" s="3">
        <v>0</v>
      </c>
      <c r="O531" s="3"/>
      <c r="P531" s="3">
        <v>0</v>
      </c>
      <c r="Q531" s="3">
        <v>0</v>
      </c>
      <c r="R531" s="3">
        <v>0</v>
      </c>
      <c r="S531" s="3">
        <v>0</v>
      </c>
      <c r="T531" s="3">
        <v>0</v>
      </c>
      <c r="U531" s="3"/>
      <c r="V531" s="3"/>
      <c r="W531" s="3"/>
      <c r="X531" s="3"/>
      <c r="Y531" s="3"/>
      <c r="Z531" s="3"/>
      <c r="AA531" s="3"/>
      <c r="AB531" s="3"/>
      <c r="AC531" s="3"/>
      <c r="AD531" s="3"/>
      <c r="AE531" s="3">
        <v>0</v>
      </c>
      <c r="AF531" s="3">
        <v>0</v>
      </c>
      <c r="AG531" s="3"/>
      <c r="AH531" s="40"/>
      <c r="AI531" s="40"/>
      <c r="AJ531" s="40"/>
      <c r="AK531" s="40"/>
      <c r="AL531" s="40"/>
      <c r="AM531" s="40"/>
      <c r="AN531" s="40"/>
      <c r="AO531" s="40"/>
      <c r="AP531" s="40"/>
      <c r="AQ531" s="40"/>
      <c r="AR531" s="31"/>
      <c r="AS531" s="36">
        <v>0</v>
      </c>
      <c r="AY531" s="6"/>
      <c r="AZ531" s="2"/>
      <c r="BA531" s="2"/>
      <c r="BB531" s="2"/>
      <c r="BC531">
        <v>71500</v>
      </c>
      <c r="BD531">
        <v>56992</v>
      </c>
    </row>
    <row r="532" spans="3:56" x14ac:dyDescent="0.25">
      <c r="C532" s="1">
        <v>46152</v>
      </c>
      <c r="D532" s="36">
        <v>255977.841935484</v>
      </c>
      <c r="E532" s="33">
        <v>4.3290322580645197</v>
      </c>
      <c r="F532" s="33">
        <v>3.5421584946236599</v>
      </c>
      <c r="G532" s="2">
        <v>0.81823333333333303</v>
      </c>
      <c r="H532" s="2">
        <v>0.99</v>
      </c>
      <c r="I532" s="3"/>
      <c r="J532" s="3"/>
      <c r="K532" s="3"/>
      <c r="L532" s="3"/>
      <c r="M532" s="3"/>
      <c r="N532" s="3">
        <v>0</v>
      </c>
      <c r="O532" s="3"/>
      <c r="P532" s="3">
        <v>0</v>
      </c>
      <c r="Q532" s="3">
        <v>0</v>
      </c>
      <c r="R532" s="3">
        <v>0</v>
      </c>
      <c r="S532" s="3">
        <v>0</v>
      </c>
      <c r="T532" s="3">
        <v>0</v>
      </c>
      <c r="U532" s="3"/>
      <c r="V532" s="3"/>
      <c r="W532" s="3"/>
      <c r="X532" s="3"/>
      <c r="Y532" s="3"/>
      <c r="Z532" s="3"/>
      <c r="AA532" s="3"/>
      <c r="AB532" s="3"/>
      <c r="AC532" s="3"/>
      <c r="AD532" s="3"/>
      <c r="AE532" s="3">
        <v>0</v>
      </c>
      <c r="AF532" s="3">
        <v>0</v>
      </c>
      <c r="AG532" s="3"/>
      <c r="AH532" s="40"/>
      <c r="AI532" s="40"/>
      <c r="AJ532" s="40"/>
      <c r="AK532" s="40"/>
      <c r="AL532" s="40"/>
      <c r="AM532" s="40"/>
      <c r="AN532" s="40"/>
      <c r="AO532" s="40"/>
      <c r="AP532" s="40"/>
      <c r="AQ532" s="40"/>
      <c r="AR532" s="31"/>
      <c r="AS532" s="36">
        <v>0</v>
      </c>
      <c r="AY532" s="6"/>
      <c r="AZ532" s="2"/>
      <c r="BA532" s="2"/>
      <c r="BB532" s="2"/>
      <c r="BC532">
        <v>71500</v>
      </c>
      <c r="BD532">
        <v>56992</v>
      </c>
    </row>
    <row r="533" spans="3:56" x14ac:dyDescent="0.25">
      <c r="C533" s="1">
        <v>46153</v>
      </c>
      <c r="D533" s="36">
        <v>255977.841935484</v>
      </c>
      <c r="E533" s="33">
        <v>4.3290322580645197</v>
      </c>
      <c r="F533" s="33">
        <v>3.5421103942652299</v>
      </c>
      <c r="G533" s="2">
        <v>0.81822222222222196</v>
      </c>
      <c r="H533" s="2">
        <v>0.99</v>
      </c>
      <c r="I533" s="3"/>
      <c r="J533" s="3"/>
      <c r="K533" s="3"/>
      <c r="L533" s="3"/>
      <c r="M533" s="3"/>
      <c r="N533" s="3">
        <v>0</v>
      </c>
      <c r="O533" s="3"/>
      <c r="P533" s="3">
        <v>0</v>
      </c>
      <c r="Q533" s="3">
        <v>0</v>
      </c>
      <c r="R533" s="3">
        <v>0</v>
      </c>
      <c r="S533" s="3">
        <v>0</v>
      </c>
      <c r="T533" s="3">
        <v>0</v>
      </c>
      <c r="U533" s="3"/>
      <c r="V533" s="3"/>
      <c r="W533" s="3"/>
      <c r="X533" s="3"/>
      <c r="Y533" s="3"/>
      <c r="Z533" s="3"/>
      <c r="AA533" s="3"/>
      <c r="AB533" s="3"/>
      <c r="AC533" s="3"/>
      <c r="AD533" s="3"/>
      <c r="AE533" s="3">
        <v>0</v>
      </c>
      <c r="AF533" s="3">
        <v>0</v>
      </c>
      <c r="AG533" s="3"/>
      <c r="AH533" s="40"/>
      <c r="AI533" s="40"/>
      <c r="AJ533" s="40"/>
      <c r="AK533" s="40"/>
      <c r="AL533" s="40"/>
      <c r="AM533" s="40"/>
      <c r="AN533" s="40"/>
      <c r="AO533" s="40"/>
      <c r="AP533" s="40"/>
      <c r="AQ533" s="40"/>
      <c r="AR533" s="31"/>
      <c r="AS533" s="36">
        <v>0</v>
      </c>
      <c r="AY533" s="6"/>
      <c r="AZ533" s="2"/>
      <c r="BA533" s="2"/>
      <c r="BB533" s="2"/>
      <c r="BC533">
        <v>71500</v>
      </c>
      <c r="BD533">
        <v>56992</v>
      </c>
    </row>
    <row r="534" spans="3:56" x14ac:dyDescent="0.25">
      <c r="C534" s="1">
        <v>46154</v>
      </c>
      <c r="D534" s="36">
        <v>255977.841935484</v>
      </c>
      <c r="E534" s="33">
        <v>4.3290322580645197</v>
      </c>
      <c r="F534" s="33">
        <v>3.54206229390681</v>
      </c>
      <c r="G534" s="2">
        <v>0.818211111111111</v>
      </c>
      <c r="H534" s="2">
        <v>0.99</v>
      </c>
      <c r="I534" s="3"/>
      <c r="J534" s="3"/>
      <c r="K534" s="3"/>
      <c r="L534" s="3"/>
      <c r="M534" s="3"/>
      <c r="N534" s="3">
        <v>0</v>
      </c>
      <c r="O534" s="3"/>
      <c r="P534" s="3">
        <v>0</v>
      </c>
      <c r="Q534" s="3">
        <v>0</v>
      </c>
      <c r="R534" s="3">
        <v>0</v>
      </c>
      <c r="S534" s="3">
        <v>0</v>
      </c>
      <c r="T534" s="3">
        <v>0</v>
      </c>
      <c r="U534" s="3"/>
      <c r="V534" s="3"/>
      <c r="W534" s="3"/>
      <c r="X534" s="3"/>
      <c r="Y534" s="3"/>
      <c r="Z534" s="3"/>
      <c r="AA534" s="3"/>
      <c r="AB534" s="3"/>
      <c r="AC534" s="3"/>
      <c r="AD534" s="3"/>
      <c r="AE534" s="3">
        <v>0</v>
      </c>
      <c r="AF534" s="3">
        <v>0</v>
      </c>
      <c r="AG534" s="3"/>
      <c r="AH534" s="40"/>
      <c r="AI534" s="40"/>
      <c r="AJ534" s="40"/>
      <c r="AK534" s="40"/>
      <c r="AL534" s="40"/>
      <c r="AM534" s="40"/>
      <c r="AN534" s="40"/>
      <c r="AO534" s="40"/>
      <c r="AP534" s="40"/>
      <c r="AQ534" s="40"/>
      <c r="AR534" s="31"/>
      <c r="AS534" s="36">
        <v>0</v>
      </c>
      <c r="AY534" s="6"/>
      <c r="AZ534" s="2"/>
      <c r="BA534" s="2"/>
      <c r="BB534" s="2"/>
      <c r="BC534">
        <v>71500</v>
      </c>
      <c r="BD534">
        <v>56992</v>
      </c>
    </row>
    <row r="535" spans="3:56" x14ac:dyDescent="0.25">
      <c r="C535" s="1">
        <v>46155</v>
      </c>
      <c r="D535" s="36">
        <v>255977.841935484</v>
      </c>
      <c r="E535" s="33">
        <v>4.3290322580645197</v>
      </c>
      <c r="F535" s="33">
        <v>3.5420141935483902</v>
      </c>
      <c r="G535" s="2">
        <v>0.81820000000000004</v>
      </c>
      <c r="H535" s="2">
        <v>0.99</v>
      </c>
      <c r="I535" s="3"/>
      <c r="J535" s="3"/>
      <c r="K535" s="3"/>
      <c r="L535" s="3"/>
      <c r="M535" s="3"/>
      <c r="N535" s="3">
        <v>0</v>
      </c>
      <c r="O535" s="3"/>
      <c r="P535" s="3">
        <v>0</v>
      </c>
      <c r="Q535" s="3">
        <v>0</v>
      </c>
      <c r="R535" s="3">
        <v>0</v>
      </c>
      <c r="S535" s="3">
        <v>0</v>
      </c>
      <c r="T535" s="3">
        <v>0</v>
      </c>
      <c r="U535" s="3"/>
      <c r="V535" s="3"/>
      <c r="W535" s="3"/>
      <c r="X535" s="3"/>
      <c r="Y535" s="3"/>
      <c r="Z535" s="3"/>
      <c r="AA535" s="3"/>
      <c r="AB535" s="3"/>
      <c r="AC535" s="3"/>
      <c r="AD535" s="3"/>
      <c r="AE535" s="3">
        <v>0</v>
      </c>
      <c r="AF535" s="3">
        <v>0</v>
      </c>
      <c r="AG535" s="3"/>
      <c r="AH535" s="40"/>
      <c r="AI535" s="40"/>
      <c r="AJ535" s="40"/>
      <c r="AK535" s="40"/>
      <c r="AL535" s="40"/>
      <c r="AM535" s="40"/>
      <c r="AN535" s="40"/>
      <c r="AO535" s="40"/>
      <c r="AP535" s="40"/>
      <c r="AQ535" s="40"/>
      <c r="AR535" s="31"/>
      <c r="AS535" s="36">
        <v>0</v>
      </c>
      <c r="AY535" s="6"/>
      <c r="AZ535" s="2"/>
      <c r="BA535" s="2"/>
      <c r="BB535" s="2"/>
      <c r="BC535">
        <v>71500</v>
      </c>
      <c r="BD535">
        <v>56992</v>
      </c>
    </row>
    <row r="536" spans="3:56" x14ac:dyDescent="0.25">
      <c r="C536" s="1">
        <v>46156</v>
      </c>
      <c r="D536" s="36">
        <v>255977.841935484</v>
      </c>
      <c r="E536" s="33">
        <v>4.3290322580645197</v>
      </c>
      <c r="F536" s="33">
        <v>3.5419660931899601</v>
      </c>
      <c r="G536" s="2">
        <v>0.81818888888888897</v>
      </c>
      <c r="H536" s="2">
        <v>0.99</v>
      </c>
      <c r="I536" s="3"/>
      <c r="J536" s="3"/>
      <c r="K536" s="3"/>
      <c r="L536" s="3"/>
      <c r="M536" s="3"/>
      <c r="N536" s="3">
        <v>0</v>
      </c>
      <c r="O536" s="3"/>
      <c r="P536" s="3">
        <v>0</v>
      </c>
      <c r="Q536" s="3">
        <v>0</v>
      </c>
      <c r="R536" s="3">
        <v>0</v>
      </c>
      <c r="S536" s="3">
        <v>0</v>
      </c>
      <c r="T536" s="3">
        <v>0</v>
      </c>
      <c r="U536" s="3"/>
      <c r="V536" s="3"/>
      <c r="W536" s="3"/>
      <c r="X536" s="3"/>
      <c r="Y536" s="3"/>
      <c r="Z536" s="3"/>
      <c r="AA536" s="3"/>
      <c r="AB536" s="3"/>
      <c r="AC536" s="3"/>
      <c r="AD536" s="3"/>
      <c r="AE536" s="3">
        <v>0</v>
      </c>
      <c r="AF536" s="3">
        <v>0</v>
      </c>
      <c r="AG536" s="3"/>
      <c r="AH536" s="40"/>
      <c r="AI536" s="40"/>
      <c r="AJ536" s="40"/>
      <c r="AK536" s="40"/>
      <c r="AL536" s="40"/>
      <c r="AM536" s="40"/>
      <c r="AN536" s="40"/>
      <c r="AO536" s="40"/>
      <c r="AP536" s="40"/>
      <c r="AQ536" s="40"/>
      <c r="AR536" s="31"/>
      <c r="AS536" s="36">
        <v>0</v>
      </c>
      <c r="AY536" s="6"/>
      <c r="AZ536" s="2"/>
      <c r="BA536" s="2"/>
      <c r="BB536" s="2"/>
      <c r="BC536">
        <v>71500</v>
      </c>
      <c r="BD536">
        <v>56992</v>
      </c>
    </row>
    <row r="537" spans="3:56" x14ac:dyDescent="0.25">
      <c r="C537" s="1">
        <v>46157</v>
      </c>
      <c r="D537" s="36">
        <v>255977.841935484</v>
      </c>
      <c r="E537" s="33">
        <v>4.3290322580645197</v>
      </c>
      <c r="F537" s="33">
        <v>3.5419179928315399</v>
      </c>
      <c r="G537" s="2">
        <v>0.818177777777778</v>
      </c>
      <c r="H537" s="2">
        <v>0.99</v>
      </c>
      <c r="I537" s="3"/>
      <c r="J537" s="3"/>
      <c r="K537" s="3"/>
      <c r="L537" s="3"/>
      <c r="M537" s="3"/>
      <c r="N537" s="3">
        <v>0</v>
      </c>
      <c r="O537" s="3"/>
      <c r="P537" s="3">
        <v>0</v>
      </c>
      <c r="Q537" s="3">
        <v>0</v>
      </c>
      <c r="R537" s="3">
        <v>0</v>
      </c>
      <c r="S537" s="3">
        <v>0</v>
      </c>
      <c r="T537" s="3">
        <v>0</v>
      </c>
      <c r="U537" s="3"/>
      <c r="V537" s="3"/>
      <c r="W537" s="3"/>
      <c r="X537" s="3"/>
      <c r="Y537" s="3"/>
      <c r="Z537" s="3"/>
      <c r="AA537" s="3"/>
      <c r="AB537" s="3"/>
      <c r="AC537" s="3"/>
      <c r="AD537" s="3"/>
      <c r="AE537" s="3">
        <v>0</v>
      </c>
      <c r="AF537" s="3">
        <v>0</v>
      </c>
      <c r="AG537" s="3"/>
      <c r="AH537" s="40"/>
      <c r="AI537" s="40"/>
      <c r="AJ537" s="40"/>
      <c r="AK537" s="40"/>
      <c r="AL537" s="40"/>
      <c r="AM537" s="40"/>
      <c r="AN537" s="40"/>
      <c r="AO537" s="40"/>
      <c r="AP537" s="40"/>
      <c r="AQ537" s="40"/>
      <c r="AR537" s="31"/>
      <c r="AS537" s="36">
        <v>0</v>
      </c>
      <c r="AY537" s="6"/>
      <c r="AZ537" s="2"/>
      <c r="BA537" s="2"/>
      <c r="BB537" s="2"/>
      <c r="BC537">
        <v>71500</v>
      </c>
      <c r="BD537">
        <v>56992</v>
      </c>
    </row>
    <row r="538" spans="3:56" x14ac:dyDescent="0.25">
      <c r="C538" s="1">
        <v>46158</v>
      </c>
      <c r="D538" s="36">
        <v>255977.841935484</v>
      </c>
      <c r="E538" s="33">
        <v>4.3290322580645197</v>
      </c>
      <c r="F538" s="33">
        <v>3.54186989247312</v>
      </c>
      <c r="G538" s="2">
        <v>0.81816666666666704</v>
      </c>
      <c r="H538" s="2">
        <v>0.99</v>
      </c>
      <c r="I538" s="3"/>
      <c r="J538" s="3"/>
      <c r="K538" s="3"/>
      <c r="L538" s="3"/>
      <c r="M538" s="3"/>
      <c r="N538" s="3">
        <v>0</v>
      </c>
      <c r="O538" s="3"/>
      <c r="P538" s="3">
        <v>0</v>
      </c>
      <c r="Q538" s="3">
        <v>0</v>
      </c>
      <c r="R538" s="3">
        <v>0</v>
      </c>
      <c r="S538" s="3">
        <v>0</v>
      </c>
      <c r="T538" s="3">
        <v>0</v>
      </c>
      <c r="U538" s="3"/>
      <c r="V538" s="3"/>
      <c r="W538" s="3"/>
      <c r="X538" s="3"/>
      <c r="Y538" s="3"/>
      <c r="Z538" s="3"/>
      <c r="AA538" s="3"/>
      <c r="AB538" s="3"/>
      <c r="AC538" s="3"/>
      <c r="AD538" s="3"/>
      <c r="AE538" s="3">
        <v>0</v>
      </c>
      <c r="AF538" s="3">
        <v>0</v>
      </c>
      <c r="AG538" s="3"/>
      <c r="AH538" s="40"/>
      <c r="AI538" s="40"/>
      <c r="AJ538" s="40"/>
      <c r="AK538" s="40"/>
      <c r="AL538" s="40"/>
      <c r="AM538" s="40"/>
      <c r="AN538" s="40"/>
      <c r="AO538" s="40"/>
      <c r="AP538" s="40"/>
      <c r="AQ538" s="40"/>
      <c r="AR538" s="31"/>
      <c r="AS538" s="36">
        <v>0</v>
      </c>
      <c r="AY538" s="6"/>
      <c r="AZ538" s="2"/>
      <c r="BA538" s="2"/>
      <c r="BB538" s="2"/>
      <c r="BC538">
        <v>71500</v>
      </c>
      <c r="BD538">
        <v>56992</v>
      </c>
    </row>
    <row r="539" spans="3:56" x14ac:dyDescent="0.25">
      <c r="C539" s="1">
        <v>46159</v>
      </c>
      <c r="D539" s="36">
        <v>255977.841935484</v>
      </c>
      <c r="E539" s="33">
        <v>4.3290322580645197</v>
      </c>
      <c r="F539" s="33">
        <v>3.5418217921147002</v>
      </c>
      <c r="G539" s="2">
        <v>0.81815555555555597</v>
      </c>
      <c r="H539" s="2">
        <v>0.99</v>
      </c>
      <c r="I539" s="3"/>
      <c r="J539" s="3"/>
      <c r="K539" s="3"/>
      <c r="L539" s="3"/>
      <c r="M539" s="3"/>
      <c r="N539" s="3">
        <v>0</v>
      </c>
      <c r="O539" s="3"/>
      <c r="P539" s="3">
        <v>0</v>
      </c>
      <c r="Q539" s="3">
        <v>0</v>
      </c>
      <c r="R539" s="3">
        <v>0</v>
      </c>
      <c r="S539" s="3">
        <v>0</v>
      </c>
      <c r="T539" s="3">
        <v>0</v>
      </c>
      <c r="U539" s="3"/>
      <c r="V539" s="3"/>
      <c r="W539" s="3"/>
      <c r="X539" s="3"/>
      <c r="Y539" s="3"/>
      <c r="Z539" s="3"/>
      <c r="AA539" s="3"/>
      <c r="AB539" s="3"/>
      <c r="AC539" s="3"/>
      <c r="AD539" s="3"/>
      <c r="AE539" s="3">
        <v>0</v>
      </c>
      <c r="AF539" s="3">
        <v>0</v>
      </c>
      <c r="AG539" s="3"/>
      <c r="AH539" s="40"/>
      <c r="AI539" s="40"/>
      <c r="AJ539" s="40"/>
      <c r="AK539" s="40"/>
      <c r="AL539" s="40"/>
      <c r="AM539" s="40"/>
      <c r="AN539" s="40"/>
      <c r="AO539" s="40"/>
      <c r="AP539" s="40"/>
      <c r="AQ539" s="40"/>
      <c r="AR539" s="31"/>
      <c r="AS539" s="36">
        <v>0</v>
      </c>
      <c r="AY539" s="6"/>
      <c r="AZ539" s="2"/>
      <c r="BA539" s="2"/>
      <c r="BB539" s="2"/>
      <c r="BC539">
        <v>71500</v>
      </c>
      <c r="BD539">
        <v>56992</v>
      </c>
    </row>
    <row r="540" spans="3:56" x14ac:dyDescent="0.25">
      <c r="C540" s="1">
        <v>46160</v>
      </c>
      <c r="D540" s="36">
        <v>255977.841935484</v>
      </c>
      <c r="E540" s="33">
        <v>4.3290322580645197</v>
      </c>
      <c r="F540" s="33">
        <v>3.5417736917562701</v>
      </c>
      <c r="G540" s="2">
        <v>0.81814444444444401</v>
      </c>
      <c r="H540" s="2">
        <v>0.99</v>
      </c>
      <c r="I540" s="3"/>
      <c r="J540" s="3"/>
      <c r="K540" s="3"/>
      <c r="L540" s="3"/>
      <c r="M540" s="3"/>
      <c r="N540" s="3">
        <v>0</v>
      </c>
      <c r="O540" s="3"/>
      <c r="P540" s="3">
        <v>0</v>
      </c>
      <c r="Q540" s="3">
        <v>0</v>
      </c>
      <c r="R540" s="3">
        <v>0</v>
      </c>
      <c r="S540" s="3">
        <v>0</v>
      </c>
      <c r="T540" s="3">
        <v>0</v>
      </c>
      <c r="U540" s="3"/>
      <c r="V540" s="3"/>
      <c r="W540" s="3"/>
      <c r="X540" s="3"/>
      <c r="Y540" s="3"/>
      <c r="Z540" s="3"/>
      <c r="AA540" s="3"/>
      <c r="AB540" s="3"/>
      <c r="AC540" s="3"/>
      <c r="AD540" s="3"/>
      <c r="AE540" s="3">
        <v>0</v>
      </c>
      <c r="AF540" s="3">
        <v>0</v>
      </c>
      <c r="AG540" s="3"/>
      <c r="AH540" s="40"/>
      <c r="AI540" s="40"/>
      <c r="AJ540" s="40"/>
      <c r="AK540" s="40"/>
      <c r="AL540" s="40"/>
      <c r="AM540" s="40"/>
      <c r="AN540" s="40"/>
      <c r="AO540" s="40"/>
      <c r="AP540" s="40"/>
      <c r="AQ540" s="40"/>
      <c r="AR540" s="31"/>
      <c r="AS540" s="36">
        <v>0</v>
      </c>
      <c r="AY540" s="6"/>
      <c r="AZ540" s="2"/>
      <c r="BA540" s="2"/>
      <c r="BB540" s="2"/>
      <c r="BC540">
        <v>71500</v>
      </c>
      <c r="BD540">
        <v>56992</v>
      </c>
    </row>
    <row r="541" spans="3:56" x14ac:dyDescent="0.25">
      <c r="C541" s="1">
        <v>46161</v>
      </c>
      <c r="D541" s="36">
        <v>255977.841935484</v>
      </c>
      <c r="E541" s="33">
        <v>4.3290322580645197</v>
      </c>
      <c r="F541" s="33">
        <v>3.5417255913978498</v>
      </c>
      <c r="G541" s="2">
        <v>0.81813333333333305</v>
      </c>
      <c r="H541" s="2">
        <v>0.99</v>
      </c>
      <c r="I541" s="3"/>
      <c r="J541" s="3"/>
      <c r="K541" s="3"/>
      <c r="L541" s="3"/>
      <c r="M541" s="3"/>
      <c r="N541" s="3">
        <v>0</v>
      </c>
      <c r="O541" s="3"/>
      <c r="P541" s="3">
        <v>0</v>
      </c>
      <c r="Q541" s="3">
        <v>0</v>
      </c>
      <c r="R541" s="3">
        <v>0</v>
      </c>
      <c r="S541" s="3">
        <v>0</v>
      </c>
      <c r="T541" s="3">
        <v>0</v>
      </c>
      <c r="U541" s="3"/>
      <c r="V541" s="3"/>
      <c r="W541" s="3"/>
      <c r="X541" s="3"/>
      <c r="Y541" s="3"/>
      <c r="Z541" s="3"/>
      <c r="AA541" s="3"/>
      <c r="AB541" s="3"/>
      <c r="AC541" s="3"/>
      <c r="AD541" s="3"/>
      <c r="AE541" s="3">
        <v>0</v>
      </c>
      <c r="AF541" s="3">
        <v>0</v>
      </c>
      <c r="AG541" s="3"/>
      <c r="AH541" s="40"/>
      <c r="AI541" s="40"/>
      <c r="AJ541" s="40"/>
      <c r="AK541" s="40"/>
      <c r="AL541" s="40"/>
      <c r="AM541" s="40"/>
      <c r="AN541" s="40"/>
      <c r="AO541" s="40"/>
      <c r="AP541" s="40"/>
      <c r="AQ541" s="40"/>
      <c r="AR541" s="31"/>
      <c r="AS541" s="36">
        <v>0</v>
      </c>
      <c r="AY541" s="6"/>
      <c r="AZ541" s="2"/>
      <c r="BA541" s="2"/>
      <c r="BB541" s="2"/>
      <c r="BC541">
        <v>71500</v>
      </c>
      <c r="BD541">
        <v>56992</v>
      </c>
    </row>
    <row r="542" spans="3:56" x14ac:dyDescent="0.25">
      <c r="C542" s="1">
        <v>46162</v>
      </c>
      <c r="D542" s="36">
        <v>255977.841935484</v>
      </c>
      <c r="E542" s="33">
        <v>4.3290322580645197</v>
      </c>
      <c r="F542" s="33">
        <v>3.54167749103943</v>
      </c>
      <c r="G542" s="2">
        <v>0.81812222222222197</v>
      </c>
      <c r="H542" s="2">
        <v>0.99</v>
      </c>
      <c r="I542" s="3"/>
      <c r="J542" s="3"/>
      <c r="K542" s="3"/>
      <c r="L542" s="3"/>
      <c r="M542" s="3"/>
      <c r="N542" s="3">
        <v>0</v>
      </c>
      <c r="O542" s="3"/>
      <c r="P542" s="3">
        <v>0</v>
      </c>
      <c r="Q542" s="3">
        <v>0</v>
      </c>
      <c r="R542" s="3">
        <v>0</v>
      </c>
      <c r="S542" s="3">
        <v>0</v>
      </c>
      <c r="T542" s="3">
        <v>0</v>
      </c>
      <c r="U542" s="3"/>
      <c r="V542" s="3"/>
      <c r="W542" s="3"/>
      <c r="X542" s="3"/>
      <c r="Y542" s="3"/>
      <c r="Z542" s="3"/>
      <c r="AA542" s="3"/>
      <c r="AB542" s="3"/>
      <c r="AC542" s="3"/>
      <c r="AD542" s="3"/>
      <c r="AE542" s="3">
        <v>0</v>
      </c>
      <c r="AF542" s="3">
        <v>0</v>
      </c>
      <c r="AG542" s="3"/>
      <c r="AH542" s="40"/>
      <c r="AI542" s="40"/>
      <c r="AJ542" s="40"/>
      <c r="AK542" s="40"/>
      <c r="AL542" s="40"/>
      <c r="AM542" s="40"/>
      <c r="AN542" s="40"/>
      <c r="AO542" s="40"/>
      <c r="AP542" s="40"/>
      <c r="AQ542" s="40"/>
      <c r="AR542" s="31"/>
      <c r="AS542" s="36">
        <v>0</v>
      </c>
      <c r="AY542" s="6"/>
      <c r="AZ542" s="2"/>
      <c r="BA542" s="2"/>
      <c r="BB542" s="2"/>
      <c r="BC542">
        <v>71500</v>
      </c>
      <c r="BD542">
        <v>56992</v>
      </c>
    </row>
    <row r="543" spans="3:56" x14ac:dyDescent="0.25">
      <c r="C543" s="1">
        <v>46163</v>
      </c>
      <c r="D543" s="36">
        <v>255977.841935484</v>
      </c>
      <c r="E543" s="33">
        <v>4.3290322580645197</v>
      </c>
      <c r="F543" s="33">
        <v>3.5416293906809999</v>
      </c>
      <c r="G543" s="2">
        <v>0.81811111111111101</v>
      </c>
      <c r="H543" s="2">
        <v>0.99</v>
      </c>
      <c r="I543" s="3"/>
      <c r="J543" s="3"/>
      <c r="K543" s="3"/>
      <c r="L543" s="3"/>
      <c r="M543" s="3"/>
      <c r="N543" s="3">
        <v>0</v>
      </c>
      <c r="O543" s="3"/>
      <c r="P543" s="3">
        <v>0</v>
      </c>
      <c r="Q543" s="3">
        <v>0</v>
      </c>
      <c r="R543" s="3">
        <v>0</v>
      </c>
      <c r="S543" s="3">
        <v>0</v>
      </c>
      <c r="T543" s="3">
        <v>0</v>
      </c>
      <c r="U543" s="3"/>
      <c r="V543" s="3"/>
      <c r="W543" s="3"/>
      <c r="X543" s="3"/>
      <c r="Y543" s="3"/>
      <c r="Z543" s="3"/>
      <c r="AA543" s="3"/>
      <c r="AB543" s="3"/>
      <c r="AC543" s="3"/>
      <c r="AD543" s="3"/>
      <c r="AE543" s="3">
        <v>0</v>
      </c>
      <c r="AF543" s="3">
        <v>0</v>
      </c>
      <c r="AG543" s="3"/>
      <c r="AH543" s="40"/>
      <c r="AI543" s="40"/>
      <c r="AJ543" s="40"/>
      <c r="AK543" s="40"/>
      <c r="AL543" s="40"/>
      <c r="AM543" s="40"/>
      <c r="AN543" s="40"/>
      <c r="AO543" s="40"/>
      <c r="AP543" s="40"/>
      <c r="AQ543" s="40"/>
      <c r="AR543" s="31"/>
      <c r="AS543" s="36">
        <v>0</v>
      </c>
      <c r="AY543" s="6"/>
      <c r="AZ543" s="2"/>
      <c r="BA543" s="2"/>
      <c r="BB543" s="2"/>
      <c r="BC543">
        <v>71500</v>
      </c>
      <c r="BD543">
        <v>56992</v>
      </c>
    </row>
    <row r="544" spans="3:56" x14ac:dyDescent="0.25">
      <c r="C544" s="1">
        <v>46164</v>
      </c>
      <c r="D544" s="36">
        <v>255977.841935484</v>
      </c>
      <c r="E544" s="33">
        <v>4.3290322580645197</v>
      </c>
      <c r="F544" s="33">
        <v>3.5415812903225801</v>
      </c>
      <c r="G544" s="2">
        <v>0.81810000000000005</v>
      </c>
      <c r="H544" s="2">
        <v>0.99</v>
      </c>
      <c r="I544" s="3"/>
      <c r="J544" s="3"/>
      <c r="K544" s="3"/>
      <c r="L544" s="3"/>
      <c r="M544" s="3"/>
      <c r="N544" s="3">
        <v>0</v>
      </c>
      <c r="O544" s="3"/>
      <c r="P544" s="3">
        <v>0</v>
      </c>
      <c r="Q544" s="3">
        <v>0</v>
      </c>
      <c r="R544" s="3">
        <v>0</v>
      </c>
      <c r="S544" s="3">
        <v>0</v>
      </c>
      <c r="T544" s="3">
        <v>0</v>
      </c>
      <c r="U544" s="3"/>
      <c r="V544" s="3"/>
      <c r="W544" s="3"/>
      <c r="X544" s="3"/>
      <c r="Y544" s="3"/>
      <c r="Z544" s="3"/>
      <c r="AA544" s="3"/>
      <c r="AB544" s="3"/>
      <c r="AC544" s="3"/>
      <c r="AD544" s="3"/>
      <c r="AE544" s="3">
        <v>0</v>
      </c>
      <c r="AF544" s="3">
        <v>0</v>
      </c>
      <c r="AG544" s="3"/>
      <c r="AH544" s="40"/>
      <c r="AI544" s="40"/>
      <c r="AJ544" s="40"/>
      <c r="AK544" s="40"/>
      <c r="AL544" s="40"/>
      <c r="AM544" s="40"/>
      <c r="AN544" s="40"/>
      <c r="AO544" s="40"/>
      <c r="AP544" s="40"/>
      <c r="AQ544" s="40"/>
      <c r="AR544" s="31"/>
      <c r="AS544" s="36">
        <v>0</v>
      </c>
      <c r="AY544" s="6"/>
      <c r="AZ544" s="2"/>
      <c r="BA544" s="2"/>
      <c r="BB544" s="2"/>
      <c r="BC544">
        <v>71500</v>
      </c>
      <c r="BD544">
        <v>56992</v>
      </c>
    </row>
    <row r="545" spans="3:56" x14ac:dyDescent="0.25">
      <c r="C545" s="1">
        <v>46165</v>
      </c>
      <c r="D545" s="36">
        <v>255977.841935484</v>
      </c>
      <c r="E545" s="33">
        <v>4.3290322580645197</v>
      </c>
      <c r="F545" s="33">
        <v>3.5415331899641602</v>
      </c>
      <c r="G545" s="2">
        <v>0.81808888888888898</v>
      </c>
      <c r="H545" s="2">
        <v>0.99</v>
      </c>
      <c r="I545" s="3"/>
      <c r="J545" s="3"/>
      <c r="K545" s="3"/>
      <c r="L545" s="3"/>
      <c r="M545" s="3"/>
      <c r="N545" s="3">
        <v>0</v>
      </c>
      <c r="O545" s="3"/>
      <c r="P545" s="3">
        <v>0</v>
      </c>
      <c r="Q545" s="3">
        <v>0</v>
      </c>
      <c r="R545" s="3">
        <v>0</v>
      </c>
      <c r="S545" s="3">
        <v>0</v>
      </c>
      <c r="T545" s="3">
        <v>0</v>
      </c>
      <c r="U545" s="3"/>
      <c r="V545" s="3"/>
      <c r="W545" s="3"/>
      <c r="X545" s="3"/>
      <c r="Y545" s="3"/>
      <c r="Z545" s="3"/>
      <c r="AA545" s="3"/>
      <c r="AB545" s="3"/>
      <c r="AC545" s="3"/>
      <c r="AD545" s="3"/>
      <c r="AE545" s="3">
        <v>0</v>
      </c>
      <c r="AF545" s="3">
        <v>0</v>
      </c>
      <c r="AG545" s="3"/>
      <c r="AH545" s="40"/>
      <c r="AI545" s="40"/>
      <c r="AJ545" s="40"/>
      <c r="AK545" s="40"/>
      <c r="AL545" s="40"/>
      <c r="AM545" s="40"/>
      <c r="AN545" s="40"/>
      <c r="AO545" s="40"/>
      <c r="AP545" s="40"/>
      <c r="AQ545" s="40"/>
      <c r="AR545" s="31"/>
      <c r="AS545" s="36">
        <v>0</v>
      </c>
      <c r="AY545" s="6"/>
      <c r="AZ545" s="2"/>
      <c r="BA545" s="2"/>
      <c r="BB545" s="2"/>
      <c r="BC545">
        <v>71500</v>
      </c>
      <c r="BD545">
        <v>56992</v>
      </c>
    </row>
    <row r="546" spans="3:56" x14ac:dyDescent="0.25">
      <c r="C546" s="1">
        <v>46166</v>
      </c>
      <c r="D546" s="36">
        <v>255977.841935484</v>
      </c>
      <c r="E546" s="33">
        <v>4.3290322580645197</v>
      </c>
      <c r="F546" s="33">
        <v>3.5414850896057399</v>
      </c>
      <c r="G546" s="2">
        <v>0.81807777777777801</v>
      </c>
      <c r="H546" s="2">
        <v>0.99</v>
      </c>
      <c r="I546" s="3"/>
      <c r="J546" s="3"/>
      <c r="K546" s="3"/>
      <c r="L546" s="3"/>
      <c r="M546" s="3"/>
      <c r="N546" s="3">
        <v>0</v>
      </c>
      <c r="O546" s="3"/>
      <c r="P546" s="3">
        <v>0</v>
      </c>
      <c r="Q546" s="3">
        <v>0</v>
      </c>
      <c r="R546" s="3">
        <v>0</v>
      </c>
      <c r="S546" s="3">
        <v>0</v>
      </c>
      <c r="T546" s="3">
        <v>0</v>
      </c>
      <c r="U546" s="3"/>
      <c r="V546" s="3"/>
      <c r="W546" s="3"/>
      <c r="X546" s="3"/>
      <c r="Y546" s="3"/>
      <c r="Z546" s="3"/>
      <c r="AA546" s="3"/>
      <c r="AB546" s="3"/>
      <c r="AC546" s="3"/>
      <c r="AD546" s="3"/>
      <c r="AE546" s="3">
        <v>0</v>
      </c>
      <c r="AF546" s="3">
        <v>0</v>
      </c>
      <c r="AG546" s="3"/>
      <c r="AH546" s="40"/>
      <c r="AI546" s="40"/>
      <c r="AJ546" s="40"/>
      <c r="AK546" s="40"/>
      <c r="AL546" s="40"/>
      <c r="AM546" s="40"/>
      <c r="AN546" s="40"/>
      <c r="AO546" s="40"/>
      <c r="AP546" s="40"/>
      <c r="AQ546" s="40"/>
      <c r="AR546" s="31"/>
      <c r="AS546" s="36">
        <v>0</v>
      </c>
      <c r="AY546" s="6"/>
      <c r="AZ546" s="2"/>
      <c r="BA546" s="2"/>
      <c r="BB546" s="2"/>
      <c r="BC546">
        <v>71500</v>
      </c>
      <c r="BD546">
        <v>56992</v>
      </c>
    </row>
    <row r="547" spans="3:56" x14ac:dyDescent="0.25">
      <c r="C547" s="1">
        <v>46167</v>
      </c>
      <c r="D547" s="36">
        <v>255977.841935484</v>
      </c>
      <c r="E547" s="33">
        <v>4.3290322580645197</v>
      </c>
      <c r="F547" s="33">
        <v>3.5414369892473099</v>
      </c>
      <c r="G547" s="2">
        <v>0.81806666666666705</v>
      </c>
      <c r="H547" s="2">
        <v>0.99</v>
      </c>
      <c r="I547" s="3"/>
      <c r="J547" s="3"/>
      <c r="K547" s="3"/>
      <c r="L547" s="3"/>
      <c r="M547" s="3"/>
      <c r="N547" s="3">
        <v>0</v>
      </c>
      <c r="O547" s="3"/>
      <c r="P547" s="3">
        <v>0</v>
      </c>
      <c r="Q547" s="3">
        <v>0</v>
      </c>
      <c r="R547" s="3">
        <v>0</v>
      </c>
      <c r="S547" s="3">
        <v>0</v>
      </c>
      <c r="T547" s="3">
        <v>0</v>
      </c>
      <c r="U547" s="3"/>
      <c r="V547" s="3"/>
      <c r="W547" s="3"/>
      <c r="X547" s="3"/>
      <c r="Y547" s="3"/>
      <c r="Z547" s="3"/>
      <c r="AA547" s="3"/>
      <c r="AB547" s="3"/>
      <c r="AC547" s="3"/>
      <c r="AD547" s="3"/>
      <c r="AE547" s="3">
        <v>0</v>
      </c>
      <c r="AF547" s="3">
        <v>0</v>
      </c>
      <c r="AG547" s="3"/>
      <c r="AH547" s="40"/>
      <c r="AI547" s="40"/>
      <c r="AJ547" s="40"/>
      <c r="AK547" s="40"/>
      <c r="AL547" s="40"/>
      <c r="AM547" s="40"/>
      <c r="AN547" s="40"/>
      <c r="AO547" s="40"/>
      <c r="AP547" s="40"/>
      <c r="AQ547" s="40"/>
      <c r="AR547" s="31"/>
      <c r="AS547" s="36">
        <v>0</v>
      </c>
      <c r="AY547" s="6"/>
      <c r="AZ547" s="2"/>
      <c r="BA547" s="2"/>
      <c r="BB547" s="2"/>
      <c r="BC547">
        <v>71500</v>
      </c>
      <c r="BD547">
        <v>56992</v>
      </c>
    </row>
    <row r="548" spans="3:56" x14ac:dyDescent="0.25">
      <c r="C548" s="1">
        <v>46168</v>
      </c>
      <c r="D548" s="36">
        <v>255977.841935484</v>
      </c>
      <c r="E548" s="33">
        <v>4.3290322580645197</v>
      </c>
      <c r="F548" s="33">
        <v>3.54138888888889</v>
      </c>
      <c r="G548" s="2">
        <v>0.81805555555555598</v>
      </c>
      <c r="H548" s="2">
        <v>0.99</v>
      </c>
      <c r="I548" s="3"/>
      <c r="J548" s="3"/>
      <c r="K548" s="3"/>
      <c r="L548" s="3"/>
      <c r="M548" s="3"/>
      <c r="N548" s="3">
        <v>0</v>
      </c>
      <c r="O548" s="3"/>
      <c r="P548" s="3">
        <v>0</v>
      </c>
      <c r="Q548" s="3">
        <v>0</v>
      </c>
      <c r="R548" s="3">
        <v>0</v>
      </c>
      <c r="S548" s="3">
        <v>0</v>
      </c>
      <c r="T548" s="3">
        <v>0</v>
      </c>
      <c r="U548" s="3"/>
      <c r="V548" s="3"/>
      <c r="W548" s="3"/>
      <c r="X548" s="3"/>
      <c r="Y548" s="3"/>
      <c r="Z548" s="3"/>
      <c r="AA548" s="3"/>
      <c r="AB548" s="3"/>
      <c r="AC548" s="3"/>
      <c r="AD548" s="3"/>
      <c r="AE548" s="3">
        <v>0</v>
      </c>
      <c r="AF548" s="3">
        <v>0</v>
      </c>
      <c r="AG548" s="3"/>
      <c r="AH548" s="40"/>
      <c r="AI548" s="40"/>
      <c r="AJ548" s="40"/>
      <c r="AK548" s="40"/>
      <c r="AL548" s="40"/>
      <c r="AM548" s="40"/>
      <c r="AN548" s="40"/>
      <c r="AO548" s="40"/>
      <c r="AP548" s="40"/>
      <c r="AQ548" s="40"/>
      <c r="AR548" s="31"/>
      <c r="AS548" s="36">
        <v>0</v>
      </c>
      <c r="AY548" s="6"/>
      <c r="AZ548" s="2"/>
      <c r="BA548" s="2"/>
      <c r="BB548" s="2"/>
      <c r="BC548">
        <v>71500</v>
      </c>
      <c r="BD548">
        <v>56992</v>
      </c>
    </row>
    <row r="549" spans="3:56" x14ac:dyDescent="0.25">
      <c r="C549" s="1">
        <v>46169</v>
      </c>
      <c r="D549" s="36">
        <v>255977.841935484</v>
      </c>
      <c r="E549" s="33">
        <v>4.3290322580645197</v>
      </c>
      <c r="F549" s="33">
        <v>3.5413407885304702</v>
      </c>
      <c r="G549" s="2">
        <v>0.81804444444444402</v>
      </c>
      <c r="H549" s="2">
        <v>0.99</v>
      </c>
      <c r="I549" s="3"/>
      <c r="J549" s="3"/>
      <c r="K549" s="3"/>
      <c r="L549" s="3"/>
      <c r="M549" s="3"/>
      <c r="N549" s="3">
        <v>0</v>
      </c>
      <c r="O549" s="3"/>
      <c r="P549" s="3">
        <v>0</v>
      </c>
      <c r="Q549" s="3">
        <v>0</v>
      </c>
      <c r="R549" s="3">
        <v>0</v>
      </c>
      <c r="S549" s="3">
        <v>0</v>
      </c>
      <c r="T549" s="3">
        <v>0</v>
      </c>
      <c r="U549" s="3"/>
      <c r="V549" s="3"/>
      <c r="W549" s="3"/>
      <c r="X549" s="3"/>
      <c r="Y549" s="3"/>
      <c r="Z549" s="3"/>
      <c r="AA549" s="3"/>
      <c r="AB549" s="3"/>
      <c r="AC549" s="3"/>
      <c r="AD549" s="3"/>
      <c r="AE549" s="3">
        <v>0</v>
      </c>
      <c r="AF549" s="3">
        <v>0</v>
      </c>
      <c r="AG549" s="3"/>
      <c r="AH549" s="40"/>
      <c r="AI549" s="40"/>
      <c r="AJ549" s="40"/>
      <c r="AK549" s="40"/>
      <c r="AL549" s="40"/>
      <c r="AM549" s="40"/>
      <c r="AN549" s="40"/>
      <c r="AO549" s="40"/>
      <c r="AP549" s="40"/>
      <c r="AQ549" s="40"/>
      <c r="AR549" s="31"/>
      <c r="AS549" s="36">
        <v>0</v>
      </c>
      <c r="AY549" s="6"/>
      <c r="AZ549" s="2"/>
      <c r="BA549" s="2"/>
      <c r="BB549" s="2"/>
      <c r="BC549">
        <v>71500</v>
      </c>
      <c r="BD549">
        <v>56992</v>
      </c>
    </row>
    <row r="550" spans="3:56" x14ac:dyDescent="0.25">
      <c r="C550" s="1">
        <v>46170</v>
      </c>
      <c r="D550" s="36">
        <v>255977.841935484</v>
      </c>
      <c r="E550" s="33">
        <v>4.3290322580645197</v>
      </c>
      <c r="F550" s="33">
        <v>3.5412926881720401</v>
      </c>
      <c r="G550" s="2">
        <v>0.81803333333333295</v>
      </c>
      <c r="H550" s="2">
        <v>0.99</v>
      </c>
      <c r="I550" s="3"/>
      <c r="J550" s="3"/>
      <c r="K550" s="3"/>
      <c r="L550" s="3"/>
      <c r="M550" s="3"/>
      <c r="N550" s="3">
        <v>0</v>
      </c>
      <c r="O550" s="3"/>
      <c r="P550" s="3">
        <v>0</v>
      </c>
      <c r="Q550" s="3">
        <v>0</v>
      </c>
      <c r="R550" s="3">
        <v>0</v>
      </c>
      <c r="S550" s="3">
        <v>0</v>
      </c>
      <c r="T550" s="3">
        <v>0</v>
      </c>
      <c r="U550" s="3"/>
      <c r="V550" s="3"/>
      <c r="W550" s="3"/>
      <c r="X550" s="3"/>
      <c r="Y550" s="3"/>
      <c r="Z550" s="3"/>
      <c r="AA550" s="3"/>
      <c r="AB550" s="3"/>
      <c r="AC550" s="3"/>
      <c r="AD550" s="3"/>
      <c r="AE550" s="3">
        <v>0</v>
      </c>
      <c r="AF550" s="3">
        <v>0</v>
      </c>
      <c r="AG550" s="3"/>
      <c r="AH550" s="40"/>
      <c r="AI550" s="40"/>
      <c r="AJ550" s="40"/>
      <c r="AK550" s="40"/>
      <c r="AL550" s="40"/>
      <c r="AM550" s="40"/>
      <c r="AN550" s="40"/>
      <c r="AO550" s="40"/>
      <c r="AP550" s="40"/>
      <c r="AQ550" s="40"/>
      <c r="AR550" s="31"/>
      <c r="AS550" s="36">
        <v>0</v>
      </c>
      <c r="AY550" s="6"/>
      <c r="AZ550" s="2"/>
      <c r="BA550" s="2"/>
      <c r="BB550" s="2"/>
      <c r="BC550">
        <v>71500</v>
      </c>
      <c r="BD550">
        <v>56992</v>
      </c>
    </row>
    <row r="551" spans="3:56" x14ac:dyDescent="0.25">
      <c r="C551" s="1">
        <v>46171</v>
      </c>
      <c r="D551" s="36">
        <v>255977.841935484</v>
      </c>
      <c r="E551" s="33">
        <v>4.3290322580645197</v>
      </c>
      <c r="F551" s="33">
        <v>3.5412445878136198</v>
      </c>
      <c r="G551" s="2">
        <v>0.81802222222222198</v>
      </c>
      <c r="H551" s="2">
        <v>0.99</v>
      </c>
      <c r="I551" s="3"/>
      <c r="J551" s="3"/>
      <c r="K551" s="3"/>
      <c r="L551" s="3"/>
      <c r="M551" s="3"/>
      <c r="N551" s="3">
        <v>0</v>
      </c>
      <c r="O551" s="3"/>
      <c r="P551" s="3">
        <v>0</v>
      </c>
      <c r="Q551" s="3">
        <v>0</v>
      </c>
      <c r="R551" s="3">
        <v>0</v>
      </c>
      <c r="S551" s="3">
        <v>0</v>
      </c>
      <c r="T551" s="3">
        <v>0</v>
      </c>
      <c r="U551" s="3"/>
      <c r="V551" s="3"/>
      <c r="W551" s="3"/>
      <c r="X551" s="3"/>
      <c r="Y551" s="3"/>
      <c r="Z551" s="3"/>
      <c r="AA551" s="3"/>
      <c r="AB551" s="3"/>
      <c r="AC551" s="3"/>
      <c r="AD551" s="3"/>
      <c r="AE551" s="3">
        <v>0</v>
      </c>
      <c r="AF551" s="3">
        <v>0</v>
      </c>
      <c r="AG551" s="3"/>
      <c r="AH551" s="40"/>
      <c r="AI551" s="40"/>
      <c r="AJ551" s="40"/>
      <c r="AK551" s="40"/>
      <c r="AL551" s="40"/>
      <c r="AM551" s="40"/>
      <c r="AN551" s="40"/>
      <c r="AO551" s="40"/>
      <c r="AP551" s="40"/>
      <c r="AQ551" s="40"/>
      <c r="AR551" s="31"/>
      <c r="AS551" s="36">
        <v>0</v>
      </c>
      <c r="AY551" s="6"/>
      <c r="AZ551" s="2"/>
      <c r="BA551" s="2"/>
      <c r="BB551" s="2"/>
      <c r="BC551">
        <v>71500</v>
      </c>
      <c r="BD551">
        <v>56992</v>
      </c>
    </row>
    <row r="552" spans="3:56" x14ac:dyDescent="0.25">
      <c r="C552" s="1">
        <v>46172</v>
      </c>
      <c r="D552" s="36">
        <v>255977.841935484</v>
      </c>
      <c r="E552" s="33">
        <v>4.3290322580645197</v>
      </c>
      <c r="F552" s="33">
        <v>3.5411964874552</v>
      </c>
      <c r="G552" s="2">
        <v>0.81801111111111102</v>
      </c>
      <c r="H552" s="2">
        <v>0.99</v>
      </c>
      <c r="I552" s="3"/>
      <c r="J552" s="3"/>
      <c r="K552" s="3"/>
      <c r="L552" s="3"/>
      <c r="M552" s="3"/>
      <c r="N552" s="3">
        <v>0</v>
      </c>
      <c r="O552" s="3"/>
      <c r="P552" s="3">
        <v>0</v>
      </c>
      <c r="Q552" s="3">
        <v>0</v>
      </c>
      <c r="R552" s="3">
        <v>0</v>
      </c>
      <c r="S552" s="3">
        <v>0</v>
      </c>
      <c r="T552" s="3">
        <v>0</v>
      </c>
      <c r="U552" s="3"/>
      <c r="V552" s="3"/>
      <c r="W552" s="3"/>
      <c r="X552" s="3"/>
      <c r="Y552" s="3"/>
      <c r="Z552" s="3"/>
      <c r="AA552" s="3"/>
      <c r="AB552" s="3"/>
      <c r="AC552" s="3"/>
      <c r="AD552" s="3"/>
      <c r="AE552" s="3">
        <v>0</v>
      </c>
      <c r="AF552" s="3">
        <v>0</v>
      </c>
      <c r="AG552" s="3"/>
      <c r="AH552" s="40"/>
      <c r="AI552" s="40"/>
      <c r="AJ552" s="40"/>
      <c r="AK552" s="40"/>
      <c r="AL552" s="40"/>
      <c r="AM552" s="40"/>
      <c r="AN552" s="40"/>
      <c r="AO552" s="40"/>
      <c r="AP552" s="40"/>
      <c r="AQ552" s="40"/>
      <c r="AR552" s="31"/>
      <c r="AS552" s="36">
        <v>0</v>
      </c>
      <c r="AY552" s="6"/>
      <c r="AZ552" s="2"/>
      <c r="BA552" s="2"/>
      <c r="BB552" s="2"/>
      <c r="BC552">
        <v>71500</v>
      </c>
      <c r="BD552">
        <v>56992</v>
      </c>
    </row>
    <row r="553" spans="3:56" x14ac:dyDescent="0.25">
      <c r="C553" s="1">
        <v>46173</v>
      </c>
      <c r="D553" s="36">
        <v>255977.841935484</v>
      </c>
      <c r="E553" s="33">
        <v>4.3290322580645197</v>
      </c>
      <c r="F553" s="33">
        <v>3.5411483870967699</v>
      </c>
      <c r="G553" s="2">
        <v>0.81799999999999995</v>
      </c>
      <c r="H553" s="2">
        <v>0.99</v>
      </c>
      <c r="I553" s="3"/>
      <c r="J553" s="3"/>
      <c r="K553" s="3"/>
      <c r="L553" s="3"/>
      <c r="M553" s="3"/>
      <c r="N553" s="3">
        <v>0</v>
      </c>
      <c r="O553" s="3"/>
      <c r="P553" s="3">
        <v>0</v>
      </c>
      <c r="Q553" s="3">
        <v>0</v>
      </c>
      <c r="R553" s="3">
        <v>0</v>
      </c>
      <c r="S553" s="3">
        <v>0</v>
      </c>
      <c r="T553" s="3">
        <v>0</v>
      </c>
      <c r="U553" s="3"/>
      <c r="V553" s="3"/>
      <c r="W553" s="3"/>
      <c r="X553" s="3"/>
      <c r="Y553" s="3"/>
      <c r="Z553" s="3"/>
      <c r="AA553" s="3"/>
      <c r="AB553" s="3"/>
      <c r="AC553" s="3"/>
      <c r="AD553" s="3"/>
      <c r="AE553" s="3">
        <v>0</v>
      </c>
      <c r="AF553" s="3">
        <v>0</v>
      </c>
      <c r="AG553" s="3"/>
      <c r="AH553" s="40"/>
      <c r="AI553" s="40"/>
      <c r="AJ553" s="40"/>
      <c r="AK553" s="40"/>
      <c r="AL553" s="40"/>
      <c r="AM553" s="40"/>
      <c r="AN553" s="40"/>
      <c r="AO553" s="40"/>
      <c r="AP553" s="40"/>
      <c r="AQ553" s="40"/>
      <c r="AR553" s="31"/>
      <c r="AS553" s="36">
        <v>0</v>
      </c>
      <c r="AY553" s="6"/>
      <c r="AZ553" s="2"/>
      <c r="BA553" s="2"/>
      <c r="BB553" s="2"/>
      <c r="BC553">
        <v>71500</v>
      </c>
      <c r="BD553">
        <v>56992</v>
      </c>
    </row>
    <row r="554" spans="3:56" x14ac:dyDescent="0.25">
      <c r="C554" s="1">
        <v>46174</v>
      </c>
      <c r="D554" s="36">
        <v>236808</v>
      </c>
      <c r="E554" s="33">
        <v>4.1399999999999997</v>
      </c>
      <c r="F554" s="33">
        <v>3.38652</v>
      </c>
      <c r="G554" s="2">
        <v>0.81799999999999995</v>
      </c>
      <c r="H554" s="2">
        <v>0.99</v>
      </c>
      <c r="I554" s="3"/>
      <c r="J554" s="3"/>
      <c r="K554" s="3"/>
      <c r="L554" s="3"/>
      <c r="M554" s="3"/>
      <c r="N554" s="3">
        <v>0</v>
      </c>
      <c r="O554" s="3"/>
      <c r="P554" s="3">
        <v>0</v>
      </c>
      <c r="Q554" s="3">
        <v>0</v>
      </c>
      <c r="R554" s="3">
        <v>0</v>
      </c>
      <c r="S554" s="3">
        <v>0</v>
      </c>
      <c r="T554" s="3">
        <v>0</v>
      </c>
      <c r="U554" s="3"/>
      <c r="V554" s="3"/>
      <c r="W554" s="3"/>
      <c r="X554" s="3"/>
      <c r="Y554" s="3"/>
      <c r="Z554" s="3"/>
      <c r="AA554" s="3"/>
      <c r="AB554" s="3"/>
      <c r="AC554" s="3"/>
      <c r="AD554" s="3"/>
      <c r="AE554" s="3">
        <v>0</v>
      </c>
      <c r="AF554" s="3">
        <v>0</v>
      </c>
      <c r="AG554" s="3"/>
      <c r="AH554" s="40"/>
      <c r="AI554" s="40"/>
      <c r="AJ554" s="40"/>
      <c r="AK554" s="40"/>
      <c r="AL554" s="40"/>
      <c r="AM554" s="40"/>
      <c r="AN554" s="40"/>
      <c r="AO554" s="40"/>
      <c r="AP554" s="40"/>
      <c r="AQ554" s="40"/>
      <c r="AR554" s="31"/>
      <c r="AS554" s="36">
        <v>0</v>
      </c>
      <c r="AY554" s="6"/>
      <c r="AZ554" s="2"/>
      <c r="BA554" s="2"/>
      <c r="BB554" s="2"/>
      <c r="BC554">
        <v>71500</v>
      </c>
      <c r="BD554">
        <v>56992</v>
      </c>
    </row>
    <row r="555" spans="3:56" x14ac:dyDescent="0.25">
      <c r="C555" s="1">
        <v>46175</v>
      </c>
      <c r="D555" s="36">
        <v>236808</v>
      </c>
      <c r="E555" s="33">
        <v>4.1399999999999997</v>
      </c>
      <c r="F555" s="33">
        <v>3.3864740000000002</v>
      </c>
      <c r="G555" s="2">
        <v>0.81798888888888899</v>
      </c>
      <c r="H555" s="2">
        <v>0.99</v>
      </c>
      <c r="I555" s="3"/>
      <c r="J555" s="3"/>
      <c r="K555" s="3"/>
      <c r="L555" s="3"/>
      <c r="M555" s="3"/>
      <c r="N555" s="3">
        <v>0</v>
      </c>
      <c r="O555" s="3"/>
      <c r="P555" s="3">
        <v>0</v>
      </c>
      <c r="Q555" s="3">
        <v>0</v>
      </c>
      <c r="R555" s="3">
        <v>0</v>
      </c>
      <c r="S555" s="3">
        <v>0</v>
      </c>
      <c r="T555" s="3">
        <v>0</v>
      </c>
      <c r="U555" s="3"/>
      <c r="V555" s="3"/>
      <c r="W555" s="3"/>
      <c r="X555" s="3"/>
      <c r="Y555" s="3"/>
      <c r="Z555" s="3"/>
      <c r="AA555" s="3"/>
      <c r="AB555" s="3"/>
      <c r="AC555" s="3"/>
      <c r="AD555" s="3"/>
      <c r="AE555" s="3">
        <v>0</v>
      </c>
      <c r="AF555" s="3">
        <v>0</v>
      </c>
      <c r="AG555" s="3"/>
      <c r="AH555" s="40"/>
      <c r="AI555" s="40"/>
      <c r="AJ555" s="40"/>
      <c r="AK555" s="40"/>
      <c r="AL555" s="40"/>
      <c r="AM555" s="40"/>
      <c r="AN555" s="40"/>
      <c r="AO555" s="40"/>
      <c r="AP555" s="40"/>
      <c r="AQ555" s="40"/>
      <c r="AR555" s="31"/>
      <c r="AS555" s="36">
        <v>0</v>
      </c>
      <c r="AY555" s="6"/>
      <c r="AZ555" s="2"/>
      <c r="BA555" s="2"/>
      <c r="BB555" s="2"/>
      <c r="BC555">
        <v>71500</v>
      </c>
      <c r="BD555">
        <v>56992</v>
      </c>
    </row>
    <row r="556" spans="3:56" x14ac:dyDescent="0.25">
      <c r="C556" s="1">
        <v>46176</v>
      </c>
      <c r="D556" s="36">
        <v>236808</v>
      </c>
      <c r="E556" s="33">
        <v>4.1399999999999997</v>
      </c>
      <c r="F556" s="33">
        <v>3.386428</v>
      </c>
      <c r="G556" s="2">
        <v>0.81797777777777803</v>
      </c>
      <c r="H556" s="2">
        <v>0.99</v>
      </c>
      <c r="I556" s="3"/>
      <c r="J556" s="3"/>
      <c r="K556" s="3"/>
      <c r="L556" s="3"/>
      <c r="M556" s="3"/>
      <c r="N556" s="3">
        <v>0</v>
      </c>
      <c r="O556" s="3"/>
      <c r="P556" s="3">
        <v>0</v>
      </c>
      <c r="Q556" s="3">
        <v>0</v>
      </c>
      <c r="R556" s="3">
        <v>0</v>
      </c>
      <c r="S556" s="3">
        <v>0</v>
      </c>
      <c r="T556" s="3">
        <v>0</v>
      </c>
      <c r="U556" s="3"/>
      <c r="V556" s="3"/>
      <c r="W556" s="3"/>
      <c r="X556" s="3"/>
      <c r="Y556" s="3"/>
      <c r="Z556" s="3"/>
      <c r="AA556" s="3"/>
      <c r="AB556" s="3"/>
      <c r="AC556" s="3"/>
      <c r="AD556" s="3"/>
      <c r="AE556" s="3">
        <v>0</v>
      </c>
      <c r="AF556" s="3">
        <v>0</v>
      </c>
      <c r="AG556" s="3"/>
      <c r="AH556" s="40"/>
      <c r="AI556" s="40"/>
      <c r="AJ556" s="40"/>
      <c r="AK556" s="40"/>
      <c r="AL556" s="40"/>
      <c r="AM556" s="40"/>
      <c r="AN556" s="40"/>
      <c r="AO556" s="40"/>
      <c r="AP556" s="40"/>
      <c r="AQ556" s="40"/>
      <c r="AR556" s="31"/>
      <c r="AS556" s="36">
        <v>0</v>
      </c>
      <c r="AY556" s="6"/>
      <c r="AZ556" s="2"/>
      <c r="BA556" s="2"/>
      <c r="BB556" s="2"/>
      <c r="BC556">
        <v>71500</v>
      </c>
      <c r="BD556">
        <v>56992</v>
      </c>
    </row>
    <row r="557" spans="3:56" x14ac:dyDescent="0.25">
      <c r="C557" s="1">
        <v>46177</v>
      </c>
      <c r="D557" s="36">
        <v>236808</v>
      </c>
      <c r="E557" s="33">
        <v>4.1399999999999997</v>
      </c>
      <c r="F557" s="33">
        <v>3.3863819999999998</v>
      </c>
      <c r="G557" s="2">
        <v>0.81796666666666695</v>
      </c>
      <c r="H557" s="2">
        <v>0.99</v>
      </c>
      <c r="I557" s="3"/>
      <c r="J557" s="3"/>
      <c r="K557" s="3"/>
      <c r="L557" s="3"/>
      <c r="M557" s="3"/>
      <c r="N557" s="3">
        <v>0</v>
      </c>
      <c r="O557" s="3"/>
      <c r="P557" s="3">
        <v>0</v>
      </c>
      <c r="Q557" s="3">
        <v>0</v>
      </c>
      <c r="R557" s="3">
        <v>0</v>
      </c>
      <c r="S557" s="3">
        <v>0</v>
      </c>
      <c r="T557" s="3">
        <v>0</v>
      </c>
      <c r="U557" s="3"/>
      <c r="V557" s="3"/>
      <c r="W557" s="3"/>
      <c r="X557" s="3"/>
      <c r="Y557" s="3"/>
      <c r="Z557" s="3"/>
      <c r="AA557" s="3"/>
      <c r="AB557" s="3"/>
      <c r="AC557" s="3"/>
      <c r="AD557" s="3"/>
      <c r="AE557" s="3">
        <v>0</v>
      </c>
      <c r="AF557" s="3">
        <v>0</v>
      </c>
      <c r="AG557" s="3"/>
      <c r="AH557" s="40"/>
      <c r="AI557" s="40"/>
      <c r="AJ557" s="40"/>
      <c r="AK557" s="40"/>
      <c r="AL557" s="40"/>
      <c r="AM557" s="40"/>
      <c r="AN557" s="40"/>
      <c r="AO557" s="40"/>
      <c r="AP557" s="40"/>
      <c r="AQ557" s="40"/>
      <c r="AR557" s="31"/>
      <c r="AS557" s="36">
        <v>0</v>
      </c>
      <c r="AY557" s="6"/>
      <c r="AZ557" s="2"/>
      <c r="BA557" s="2"/>
      <c r="BB557" s="2"/>
      <c r="BC557">
        <v>71500</v>
      </c>
      <c r="BD557">
        <v>56992</v>
      </c>
    </row>
    <row r="558" spans="3:56" x14ac:dyDescent="0.25">
      <c r="C558" s="1">
        <v>46178</v>
      </c>
      <c r="D558" s="36">
        <v>236808</v>
      </c>
      <c r="E558" s="33">
        <v>4.1399999999999997</v>
      </c>
      <c r="F558" s="33">
        <v>3.386336</v>
      </c>
      <c r="G558" s="2">
        <v>0.81795555555555599</v>
      </c>
      <c r="H558" s="2">
        <v>0.99</v>
      </c>
      <c r="I558" s="3"/>
      <c r="J558" s="3"/>
      <c r="K558" s="3"/>
      <c r="L558" s="3"/>
      <c r="M558" s="3"/>
      <c r="N558" s="3">
        <v>0</v>
      </c>
      <c r="O558" s="3"/>
      <c r="P558" s="3">
        <v>0</v>
      </c>
      <c r="Q558" s="3">
        <v>0</v>
      </c>
      <c r="R558" s="3">
        <v>0</v>
      </c>
      <c r="S558" s="3">
        <v>0</v>
      </c>
      <c r="T558" s="3">
        <v>0</v>
      </c>
      <c r="U558" s="3"/>
      <c r="V558" s="3"/>
      <c r="W558" s="3"/>
      <c r="X558" s="3"/>
      <c r="Y558" s="3"/>
      <c r="Z558" s="3"/>
      <c r="AA558" s="3"/>
      <c r="AB558" s="3"/>
      <c r="AC558" s="3"/>
      <c r="AD558" s="3"/>
      <c r="AE558" s="3">
        <v>0</v>
      </c>
      <c r="AF558" s="3">
        <v>0</v>
      </c>
      <c r="AG558" s="3"/>
      <c r="AH558" s="40"/>
      <c r="AI558" s="40"/>
      <c r="AJ558" s="40"/>
      <c r="AK558" s="40"/>
      <c r="AL558" s="40"/>
      <c r="AM558" s="40"/>
      <c r="AN558" s="40"/>
      <c r="AO558" s="40"/>
      <c r="AP558" s="40"/>
      <c r="AQ558" s="40"/>
      <c r="AR558" s="31"/>
      <c r="AS558" s="36">
        <v>0</v>
      </c>
      <c r="AY558" s="6"/>
      <c r="AZ558" s="2"/>
      <c r="BA558" s="2"/>
      <c r="BB558" s="2"/>
      <c r="BC558">
        <v>71500</v>
      </c>
      <c r="BD558">
        <v>56992</v>
      </c>
    </row>
    <row r="559" spans="3:56" x14ac:dyDescent="0.25">
      <c r="C559" s="1">
        <v>46179</v>
      </c>
      <c r="D559" s="36">
        <v>236808</v>
      </c>
      <c r="E559" s="33">
        <v>4.1399999999999997</v>
      </c>
      <c r="F559" s="33">
        <v>3.3862899999999998</v>
      </c>
      <c r="G559" s="2">
        <v>0.81794444444444403</v>
      </c>
      <c r="H559" s="2">
        <v>0.99</v>
      </c>
      <c r="I559" s="3"/>
      <c r="J559" s="3"/>
      <c r="K559" s="3"/>
      <c r="L559" s="3"/>
      <c r="M559" s="3"/>
      <c r="N559" s="3">
        <v>0</v>
      </c>
      <c r="O559" s="3"/>
      <c r="P559" s="3">
        <v>0</v>
      </c>
      <c r="Q559" s="3">
        <v>0</v>
      </c>
      <c r="R559" s="3">
        <v>0</v>
      </c>
      <c r="S559" s="3">
        <v>0</v>
      </c>
      <c r="T559" s="3">
        <v>0</v>
      </c>
      <c r="U559" s="3"/>
      <c r="V559" s="3"/>
      <c r="W559" s="3"/>
      <c r="X559" s="3"/>
      <c r="Y559" s="3"/>
      <c r="Z559" s="3"/>
      <c r="AA559" s="3"/>
      <c r="AB559" s="3"/>
      <c r="AC559" s="3"/>
      <c r="AD559" s="3"/>
      <c r="AE559" s="3">
        <v>0</v>
      </c>
      <c r="AF559" s="3">
        <v>0</v>
      </c>
      <c r="AG559" s="3"/>
      <c r="AH559" s="40"/>
      <c r="AI559" s="40"/>
      <c r="AJ559" s="40"/>
      <c r="AK559" s="40"/>
      <c r="AL559" s="40"/>
      <c r="AM559" s="40"/>
      <c r="AN559" s="40"/>
      <c r="AO559" s="40"/>
      <c r="AP559" s="40"/>
      <c r="AQ559" s="40"/>
      <c r="AR559" s="31"/>
      <c r="AS559" s="36">
        <v>0</v>
      </c>
      <c r="AY559" s="6"/>
      <c r="AZ559" s="2"/>
      <c r="BA559" s="2"/>
      <c r="BB559" s="2"/>
      <c r="BC559">
        <v>71500</v>
      </c>
      <c r="BD559">
        <v>56992</v>
      </c>
    </row>
    <row r="560" spans="3:56" x14ac:dyDescent="0.25">
      <c r="C560" s="1">
        <v>46180</v>
      </c>
      <c r="D560" s="36">
        <v>236808</v>
      </c>
      <c r="E560" s="33">
        <v>4.1399999999999997</v>
      </c>
      <c r="F560" s="33">
        <v>3.386244</v>
      </c>
      <c r="G560" s="2">
        <v>0.81793333333333296</v>
      </c>
      <c r="H560" s="2">
        <v>0.99</v>
      </c>
      <c r="I560" s="3"/>
      <c r="J560" s="3"/>
      <c r="K560" s="3"/>
      <c r="L560" s="3"/>
      <c r="M560" s="3"/>
      <c r="N560" s="3">
        <v>0</v>
      </c>
      <c r="O560" s="3"/>
      <c r="P560" s="3">
        <v>0</v>
      </c>
      <c r="Q560" s="3">
        <v>0</v>
      </c>
      <c r="R560" s="3">
        <v>0</v>
      </c>
      <c r="S560" s="3">
        <v>0</v>
      </c>
      <c r="T560" s="3">
        <v>0</v>
      </c>
      <c r="U560" s="3"/>
      <c r="V560" s="3"/>
      <c r="W560" s="3"/>
      <c r="X560" s="3"/>
      <c r="Y560" s="3"/>
      <c r="Z560" s="3"/>
      <c r="AA560" s="3"/>
      <c r="AB560" s="3"/>
      <c r="AC560" s="3"/>
      <c r="AD560" s="3"/>
      <c r="AE560" s="3">
        <v>0</v>
      </c>
      <c r="AF560" s="3">
        <v>0</v>
      </c>
      <c r="AG560" s="3"/>
      <c r="AH560" s="40"/>
      <c r="AI560" s="40"/>
      <c r="AJ560" s="40"/>
      <c r="AK560" s="40"/>
      <c r="AL560" s="40"/>
      <c r="AM560" s="40"/>
      <c r="AN560" s="40"/>
      <c r="AO560" s="40"/>
      <c r="AP560" s="40"/>
      <c r="AQ560" s="40"/>
      <c r="AR560" s="31"/>
      <c r="AS560" s="36">
        <v>0</v>
      </c>
      <c r="AY560" s="6"/>
      <c r="AZ560" s="2"/>
      <c r="BA560" s="2"/>
      <c r="BB560" s="2"/>
      <c r="BC560">
        <v>71500</v>
      </c>
      <c r="BD560">
        <v>56992</v>
      </c>
    </row>
    <row r="561" spans="3:56" x14ac:dyDescent="0.25">
      <c r="C561" s="1">
        <v>46181</v>
      </c>
      <c r="D561" s="36">
        <v>236808</v>
      </c>
      <c r="E561" s="33">
        <v>4.1399999999999997</v>
      </c>
      <c r="F561" s="33">
        <v>3.3861979999999998</v>
      </c>
      <c r="G561" s="2">
        <v>0.817922222222222</v>
      </c>
      <c r="H561" s="2">
        <v>0.99</v>
      </c>
      <c r="I561" s="3"/>
      <c r="J561" s="3"/>
      <c r="K561" s="3"/>
      <c r="L561" s="3"/>
      <c r="M561" s="3"/>
      <c r="N561" s="3">
        <v>0</v>
      </c>
      <c r="O561" s="3"/>
      <c r="P561" s="3">
        <v>0</v>
      </c>
      <c r="Q561" s="3">
        <v>0</v>
      </c>
      <c r="R561" s="3">
        <v>0</v>
      </c>
      <c r="S561" s="3">
        <v>0</v>
      </c>
      <c r="T561" s="3">
        <v>0</v>
      </c>
      <c r="U561" s="3"/>
      <c r="V561" s="3"/>
      <c r="W561" s="3"/>
      <c r="X561" s="3"/>
      <c r="Y561" s="3"/>
      <c r="Z561" s="3"/>
      <c r="AA561" s="3"/>
      <c r="AB561" s="3"/>
      <c r="AC561" s="3"/>
      <c r="AD561" s="3"/>
      <c r="AE561" s="3">
        <v>0</v>
      </c>
      <c r="AF561" s="3">
        <v>0</v>
      </c>
      <c r="AG561" s="3"/>
      <c r="AH561" s="40"/>
      <c r="AI561" s="40"/>
      <c r="AJ561" s="40"/>
      <c r="AK561" s="40"/>
      <c r="AL561" s="40"/>
      <c r="AM561" s="40"/>
      <c r="AN561" s="40"/>
      <c r="AO561" s="40"/>
      <c r="AP561" s="40"/>
      <c r="AQ561" s="40"/>
      <c r="AR561" s="31"/>
      <c r="AS561" s="36">
        <v>0</v>
      </c>
      <c r="AY561" s="6"/>
      <c r="AZ561" s="2"/>
      <c r="BA561" s="2"/>
      <c r="BB561" s="2"/>
      <c r="BC561">
        <v>71500</v>
      </c>
      <c r="BD561">
        <v>56992</v>
      </c>
    </row>
    <row r="562" spans="3:56" x14ac:dyDescent="0.25">
      <c r="C562" s="1">
        <v>46182</v>
      </c>
      <c r="D562" s="36">
        <v>236808</v>
      </c>
      <c r="E562" s="33">
        <v>4.1399999999999997</v>
      </c>
      <c r="F562" s="33">
        <v>3.3861520000000001</v>
      </c>
      <c r="G562" s="2">
        <v>0.81791111111111103</v>
      </c>
      <c r="H562" s="2">
        <v>0.99</v>
      </c>
      <c r="I562" s="3"/>
      <c r="J562" s="3"/>
      <c r="K562" s="3"/>
      <c r="L562" s="3"/>
      <c r="M562" s="3"/>
      <c r="N562" s="3">
        <v>0</v>
      </c>
      <c r="O562" s="3"/>
      <c r="P562" s="3">
        <v>0</v>
      </c>
      <c r="Q562" s="3">
        <v>0</v>
      </c>
      <c r="R562" s="3">
        <v>0</v>
      </c>
      <c r="S562" s="3">
        <v>0</v>
      </c>
      <c r="T562" s="3">
        <v>0</v>
      </c>
      <c r="U562" s="3"/>
      <c r="V562" s="3"/>
      <c r="W562" s="3"/>
      <c r="X562" s="3"/>
      <c r="Y562" s="3"/>
      <c r="Z562" s="3"/>
      <c r="AA562" s="3"/>
      <c r="AB562" s="3"/>
      <c r="AC562" s="3"/>
      <c r="AD562" s="3"/>
      <c r="AE562" s="3">
        <v>0</v>
      </c>
      <c r="AF562" s="3">
        <v>0</v>
      </c>
      <c r="AG562" s="3"/>
      <c r="AH562" s="40"/>
      <c r="AI562" s="40"/>
      <c r="AJ562" s="40"/>
      <c r="AK562" s="40"/>
      <c r="AL562" s="40"/>
      <c r="AM562" s="40"/>
      <c r="AN562" s="40"/>
      <c r="AO562" s="40"/>
      <c r="AP562" s="40"/>
      <c r="AQ562" s="40"/>
      <c r="AR562" s="31"/>
      <c r="AS562" s="36">
        <v>0</v>
      </c>
      <c r="AY562" s="6"/>
      <c r="AZ562" s="2"/>
      <c r="BA562" s="2"/>
      <c r="BB562" s="2"/>
      <c r="BC562">
        <v>71500</v>
      </c>
      <c r="BD562">
        <v>56992</v>
      </c>
    </row>
    <row r="563" spans="3:56" x14ac:dyDescent="0.25">
      <c r="C563" s="1">
        <v>46183</v>
      </c>
      <c r="D563" s="36">
        <v>236808</v>
      </c>
      <c r="E563" s="33">
        <v>4.1399999999999997</v>
      </c>
      <c r="F563" s="33">
        <v>3.3861059999999998</v>
      </c>
      <c r="G563" s="2">
        <v>0.81789999999999996</v>
      </c>
      <c r="H563" s="2">
        <v>0.99</v>
      </c>
      <c r="I563" s="3"/>
      <c r="J563" s="3"/>
      <c r="K563" s="3"/>
      <c r="L563" s="3"/>
      <c r="M563" s="3"/>
      <c r="N563" s="3">
        <v>0</v>
      </c>
      <c r="O563" s="3"/>
      <c r="P563" s="3">
        <v>0</v>
      </c>
      <c r="Q563" s="3">
        <v>0</v>
      </c>
      <c r="R563" s="3">
        <v>0</v>
      </c>
      <c r="S563" s="3">
        <v>0</v>
      </c>
      <c r="T563" s="3">
        <v>0</v>
      </c>
      <c r="U563" s="3"/>
      <c r="V563" s="3"/>
      <c r="W563" s="3"/>
      <c r="X563" s="3"/>
      <c r="Y563" s="3"/>
      <c r="Z563" s="3"/>
      <c r="AA563" s="3"/>
      <c r="AB563" s="3"/>
      <c r="AC563" s="3"/>
      <c r="AD563" s="3"/>
      <c r="AE563" s="3">
        <v>0</v>
      </c>
      <c r="AF563" s="3">
        <v>0</v>
      </c>
      <c r="AG563" s="3"/>
      <c r="AH563" s="40"/>
      <c r="AI563" s="40"/>
      <c r="AJ563" s="40"/>
      <c r="AK563" s="40"/>
      <c r="AL563" s="40"/>
      <c r="AM563" s="40"/>
      <c r="AN563" s="40"/>
      <c r="AO563" s="40"/>
      <c r="AP563" s="40"/>
      <c r="AQ563" s="40"/>
      <c r="AR563" s="31"/>
      <c r="AS563" s="36">
        <v>0</v>
      </c>
      <c r="AY563" s="6"/>
      <c r="AZ563" s="2"/>
      <c r="BA563" s="2"/>
      <c r="BB563" s="2"/>
      <c r="BC563">
        <v>71500</v>
      </c>
      <c r="BD563">
        <v>56992</v>
      </c>
    </row>
    <row r="564" spans="3:56" x14ac:dyDescent="0.25">
      <c r="C564" s="1">
        <v>46184</v>
      </c>
      <c r="D564" s="36">
        <v>236808</v>
      </c>
      <c r="E564" s="33">
        <v>4.1399999999999997</v>
      </c>
      <c r="F564" s="33">
        <v>3.3860600000000001</v>
      </c>
      <c r="G564" s="2">
        <v>0.817888888888889</v>
      </c>
      <c r="H564" s="2">
        <v>0.99</v>
      </c>
      <c r="I564" s="3"/>
      <c r="J564" s="3"/>
      <c r="K564" s="3"/>
      <c r="L564" s="3"/>
      <c r="M564" s="3"/>
      <c r="N564" s="3">
        <v>0</v>
      </c>
      <c r="O564" s="3"/>
      <c r="P564" s="3">
        <v>0</v>
      </c>
      <c r="Q564" s="3">
        <v>0</v>
      </c>
      <c r="R564" s="3">
        <v>0</v>
      </c>
      <c r="S564" s="3">
        <v>0</v>
      </c>
      <c r="T564" s="3">
        <v>0</v>
      </c>
      <c r="U564" s="3"/>
      <c r="V564" s="3"/>
      <c r="W564" s="3"/>
      <c r="X564" s="3"/>
      <c r="Y564" s="3"/>
      <c r="Z564" s="3"/>
      <c r="AA564" s="3"/>
      <c r="AB564" s="3"/>
      <c r="AC564" s="3"/>
      <c r="AD564" s="3"/>
      <c r="AE564" s="3">
        <v>0</v>
      </c>
      <c r="AF564" s="3">
        <v>0</v>
      </c>
      <c r="AG564" s="3"/>
      <c r="AH564" s="40"/>
      <c r="AI564" s="40"/>
      <c r="AJ564" s="40"/>
      <c r="AK564" s="40"/>
      <c r="AL564" s="40"/>
      <c r="AM564" s="40"/>
      <c r="AN564" s="40"/>
      <c r="AO564" s="40"/>
      <c r="AP564" s="40"/>
      <c r="AQ564" s="40"/>
      <c r="AR564" s="31"/>
      <c r="AS564" s="36">
        <v>0</v>
      </c>
      <c r="AY564" s="6"/>
      <c r="AZ564" s="2"/>
      <c r="BA564" s="2"/>
      <c r="BB564" s="2"/>
      <c r="BC564">
        <v>71500</v>
      </c>
      <c r="BD564">
        <v>56992</v>
      </c>
    </row>
    <row r="565" spans="3:56" x14ac:dyDescent="0.25">
      <c r="C565" s="1">
        <v>46185</v>
      </c>
      <c r="D565" s="36">
        <v>236808</v>
      </c>
      <c r="E565" s="33">
        <v>4.1399999999999997</v>
      </c>
      <c r="F565" s="33">
        <v>3.3860139999999999</v>
      </c>
      <c r="G565" s="2">
        <v>0.81787777777777804</v>
      </c>
      <c r="H565" s="2">
        <v>0.99</v>
      </c>
      <c r="I565" s="3"/>
      <c r="J565" s="3"/>
      <c r="K565" s="3"/>
      <c r="L565" s="3"/>
      <c r="M565" s="3"/>
      <c r="N565" s="3">
        <v>0</v>
      </c>
      <c r="O565" s="3"/>
      <c r="P565" s="3">
        <v>0</v>
      </c>
      <c r="Q565" s="3">
        <v>0</v>
      </c>
      <c r="R565" s="3">
        <v>0</v>
      </c>
      <c r="S565" s="3">
        <v>0</v>
      </c>
      <c r="T565" s="3">
        <v>0</v>
      </c>
      <c r="U565" s="3"/>
      <c r="V565" s="3"/>
      <c r="W565" s="3"/>
      <c r="X565" s="3"/>
      <c r="Y565" s="3"/>
      <c r="Z565" s="3"/>
      <c r="AA565" s="3"/>
      <c r="AB565" s="3"/>
      <c r="AC565" s="3"/>
      <c r="AD565" s="3"/>
      <c r="AE565" s="3">
        <v>0</v>
      </c>
      <c r="AF565" s="3">
        <v>0</v>
      </c>
      <c r="AG565" s="3"/>
      <c r="AH565" s="40"/>
      <c r="AI565" s="40"/>
      <c r="AJ565" s="40"/>
      <c r="AK565" s="40"/>
      <c r="AL565" s="40"/>
      <c r="AM565" s="40"/>
      <c r="AN565" s="40"/>
      <c r="AO565" s="40"/>
      <c r="AP565" s="40"/>
      <c r="AQ565" s="40"/>
      <c r="AR565" s="31"/>
      <c r="AS565" s="36">
        <v>0</v>
      </c>
      <c r="AY565" s="6"/>
      <c r="AZ565" s="2"/>
      <c r="BA565" s="2"/>
      <c r="BB565" s="2"/>
      <c r="BC565">
        <v>71500</v>
      </c>
      <c r="BD565">
        <v>56992</v>
      </c>
    </row>
    <row r="566" spans="3:56" x14ac:dyDescent="0.25">
      <c r="C566" s="1">
        <v>46186</v>
      </c>
      <c r="D566" s="36">
        <v>236808</v>
      </c>
      <c r="E566" s="33">
        <v>4.1399999999999997</v>
      </c>
      <c r="F566" s="33">
        <v>3.3859680000000001</v>
      </c>
      <c r="G566" s="2">
        <v>0.81786666666666696</v>
      </c>
      <c r="H566" s="2">
        <v>0.99</v>
      </c>
      <c r="I566" s="3"/>
      <c r="J566" s="3"/>
      <c r="K566" s="3"/>
      <c r="L566" s="3"/>
      <c r="M566" s="3"/>
      <c r="N566" s="3">
        <v>0</v>
      </c>
      <c r="O566" s="3"/>
      <c r="P566" s="3">
        <v>0</v>
      </c>
      <c r="Q566" s="3">
        <v>0</v>
      </c>
      <c r="R566" s="3">
        <v>0</v>
      </c>
      <c r="S566" s="3">
        <v>0</v>
      </c>
      <c r="T566" s="3">
        <v>0</v>
      </c>
      <c r="U566" s="3"/>
      <c r="V566" s="3"/>
      <c r="W566" s="3"/>
      <c r="X566" s="3"/>
      <c r="Y566" s="3"/>
      <c r="Z566" s="3"/>
      <c r="AA566" s="3"/>
      <c r="AB566" s="3"/>
      <c r="AC566" s="3"/>
      <c r="AD566" s="3"/>
      <c r="AE566" s="3">
        <v>0</v>
      </c>
      <c r="AF566" s="3">
        <v>0</v>
      </c>
      <c r="AG566" s="3"/>
      <c r="AH566" s="40"/>
      <c r="AI566" s="40"/>
      <c r="AJ566" s="40"/>
      <c r="AK566" s="40"/>
      <c r="AL566" s="40"/>
      <c r="AM566" s="40"/>
      <c r="AN566" s="40"/>
      <c r="AO566" s="40"/>
      <c r="AP566" s="40"/>
      <c r="AQ566" s="40"/>
      <c r="AR566" s="31"/>
      <c r="AS566" s="36">
        <v>0</v>
      </c>
      <c r="AY566" s="6"/>
      <c r="AZ566" s="2"/>
      <c r="BA566" s="2"/>
      <c r="BB566" s="2"/>
      <c r="BC566">
        <v>71500</v>
      </c>
      <c r="BD566">
        <v>56992</v>
      </c>
    </row>
    <row r="567" spans="3:56" x14ac:dyDescent="0.25">
      <c r="C567" s="1">
        <v>46187</v>
      </c>
      <c r="D567" s="36">
        <v>236808</v>
      </c>
      <c r="E567" s="33">
        <v>4.1399999999999997</v>
      </c>
      <c r="F567" s="33">
        <v>3.3859219999999999</v>
      </c>
      <c r="G567" s="2">
        <v>0.817855555555556</v>
      </c>
      <c r="H567" s="2">
        <v>0.99</v>
      </c>
      <c r="I567" s="3"/>
      <c r="J567" s="3"/>
      <c r="K567" s="3"/>
      <c r="L567" s="3"/>
      <c r="M567" s="3"/>
      <c r="N567" s="3">
        <v>0</v>
      </c>
      <c r="O567" s="3"/>
      <c r="P567" s="3">
        <v>0</v>
      </c>
      <c r="Q567" s="3">
        <v>0</v>
      </c>
      <c r="R567" s="3">
        <v>0</v>
      </c>
      <c r="S567" s="3">
        <v>0</v>
      </c>
      <c r="T567" s="3">
        <v>0</v>
      </c>
      <c r="U567" s="3"/>
      <c r="V567" s="3"/>
      <c r="W567" s="3"/>
      <c r="X567" s="3"/>
      <c r="Y567" s="3"/>
      <c r="Z567" s="3"/>
      <c r="AA567" s="3"/>
      <c r="AB567" s="3"/>
      <c r="AC567" s="3"/>
      <c r="AD567" s="3"/>
      <c r="AE567" s="3">
        <v>0</v>
      </c>
      <c r="AF567" s="3">
        <v>0</v>
      </c>
      <c r="AG567" s="3"/>
      <c r="AH567" s="40"/>
      <c r="AI567" s="40"/>
      <c r="AJ567" s="40"/>
      <c r="AK567" s="40"/>
      <c r="AL567" s="40"/>
      <c r="AM567" s="40"/>
      <c r="AN567" s="40"/>
      <c r="AO567" s="40"/>
      <c r="AP567" s="40"/>
      <c r="AQ567" s="40"/>
      <c r="AR567" s="31"/>
      <c r="AS567" s="36">
        <v>0</v>
      </c>
      <c r="AY567" s="6"/>
      <c r="AZ567" s="2"/>
      <c r="BA567" s="2"/>
      <c r="BB567" s="2"/>
      <c r="BC567">
        <v>71500</v>
      </c>
      <c r="BD567">
        <v>56992</v>
      </c>
    </row>
    <row r="568" spans="3:56" x14ac:dyDescent="0.25">
      <c r="C568" s="1">
        <v>46188</v>
      </c>
      <c r="D568" s="36">
        <v>236808</v>
      </c>
      <c r="E568" s="33">
        <v>4.1399999999999997</v>
      </c>
      <c r="F568" s="33">
        <v>3.3858760000000001</v>
      </c>
      <c r="G568" s="2">
        <v>0.81784444444444404</v>
      </c>
      <c r="H568" s="2">
        <v>0.99</v>
      </c>
      <c r="I568" s="3"/>
      <c r="J568" s="3"/>
      <c r="K568" s="3"/>
      <c r="L568" s="3"/>
      <c r="M568" s="3"/>
      <c r="N568" s="3">
        <v>0</v>
      </c>
      <c r="O568" s="3"/>
      <c r="P568" s="3">
        <v>0</v>
      </c>
      <c r="Q568" s="3">
        <v>0</v>
      </c>
      <c r="R568" s="3">
        <v>0</v>
      </c>
      <c r="S568" s="3">
        <v>0</v>
      </c>
      <c r="T568" s="3">
        <v>0</v>
      </c>
      <c r="U568" s="3"/>
      <c r="V568" s="3"/>
      <c r="W568" s="3"/>
      <c r="X568" s="3"/>
      <c r="Y568" s="3"/>
      <c r="Z568" s="3"/>
      <c r="AA568" s="3"/>
      <c r="AB568" s="3"/>
      <c r="AC568" s="3"/>
      <c r="AD568" s="3"/>
      <c r="AE568" s="3">
        <v>0</v>
      </c>
      <c r="AF568" s="3">
        <v>0</v>
      </c>
      <c r="AG568" s="3"/>
      <c r="AH568" s="40"/>
      <c r="AI568" s="40"/>
      <c r="AJ568" s="40"/>
      <c r="AK568" s="40"/>
      <c r="AL568" s="40"/>
      <c r="AM568" s="40"/>
      <c r="AN568" s="40"/>
      <c r="AO568" s="40"/>
      <c r="AP568" s="40"/>
      <c r="AQ568" s="40"/>
      <c r="AR568" s="31"/>
      <c r="AS568" s="36">
        <v>0</v>
      </c>
      <c r="AY568" s="6"/>
      <c r="AZ568" s="2"/>
      <c r="BA568" s="2"/>
      <c r="BB568" s="2"/>
      <c r="BC568">
        <v>71500</v>
      </c>
      <c r="BD568">
        <v>56992</v>
      </c>
    </row>
    <row r="569" spans="3:56" x14ac:dyDescent="0.25">
      <c r="C569" s="1">
        <v>46189</v>
      </c>
      <c r="D569" s="36">
        <v>236808</v>
      </c>
      <c r="E569" s="33">
        <v>4.1399999999999997</v>
      </c>
      <c r="F569" s="33">
        <v>3.3858299999999999</v>
      </c>
      <c r="G569" s="2">
        <v>0.81783333333333297</v>
      </c>
      <c r="H569" s="2">
        <v>0.99</v>
      </c>
      <c r="I569" s="3"/>
      <c r="J569" s="3"/>
      <c r="K569" s="3"/>
      <c r="L569" s="3"/>
      <c r="M569" s="3"/>
      <c r="N569" s="3">
        <v>0</v>
      </c>
      <c r="O569" s="3"/>
      <c r="P569" s="3">
        <v>0</v>
      </c>
      <c r="Q569" s="3">
        <v>0</v>
      </c>
      <c r="R569" s="3">
        <v>0</v>
      </c>
      <c r="S569" s="3">
        <v>0</v>
      </c>
      <c r="T569" s="3">
        <v>0</v>
      </c>
      <c r="U569" s="3"/>
      <c r="V569" s="3"/>
      <c r="W569" s="3"/>
      <c r="X569" s="3"/>
      <c r="Y569" s="3"/>
      <c r="Z569" s="3"/>
      <c r="AA569" s="3"/>
      <c r="AB569" s="3"/>
      <c r="AC569" s="3"/>
      <c r="AD569" s="3"/>
      <c r="AE569" s="3">
        <v>0</v>
      </c>
      <c r="AF569" s="3">
        <v>0</v>
      </c>
      <c r="AG569" s="3"/>
      <c r="AH569" s="40"/>
      <c r="AI569" s="40"/>
      <c r="AJ569" s="40"/>
      <c r="AK569" s="40"/>
      <c r="AL569" s="40"/>
      <c r="AM569" s="40"/>
      <c r="AN569" s="40"/>
      <c r="AO569" s="40"/>
      <c r="AP569" s="40"/>
      <c r="AQ569" s="40"/>
      <c r="AR569" s="31"/>
      <c r="AS569" s="36">
        <v>0</v>
      </c>
      <c r="AY569" s="6"/>
      <c r="AZ569" s="2"/>
      <c r="BA569" s="2"/>
      <c r="BB569" s="2"/>
      <c r="BC569">
        <v>71500</v>
      </c>
      <c r="BD569">
        <v>56992</v>
      </c>
    </row>
    <row r="570" spans="3:56" x14ac:dyDescent="0.25">
      <c r="C570" s="1">
        <v>46190</v>
      </c>
      <c r="D570" s="36">
        <v>236808</v>
      </c>
      <c r="E570" s="33">
        <v>4.1399999999999997</v>
      </c>
      <c r="F570" s="33">
        <v>3.3857840000000001</v>
      </c>
      <c r="G570" s="2">
        <v>0.81782222222222201</v>
      </c>
      <c r="H570" s="2">
        <v>0.99</v>
      </c>
      <c r="I570" s="3"/>
      <c r="J570" s="3"/>
      <c r="K570" s="3"/>
      <c r="L570" s="3"/>
      <c r="M570" s="3"/>
      <c r="N570" s="3">
        <v>0</v>
      </c>
      <c r="O570" s="3"/>
      <c r="P570" s="3">
        <v>0</v>
      </c>
      <c r="Q570" s="3">
        <v>0</v>
      </c>
      <c r="R570" s="3">
        <v>0</v>
      </c>
      <c r="S570" s="3">
        <v>0</v>
      </c>
      <c r="T570" s="3">
        <v>0</v>
      </c>
      <c r="U570" s="3"/>
      <c r="V570" s="3"/>
      <c r="W570" s="3"/>
      <c r="X570" s="3"/>
      <c r="Y570" s="3"/>
      <c r="Z570" s="3"/>
      <c r="AA570" s="3"/>
      <c r="AB570" s="3"/>
      <c r="AC570" s="3"/>
      <c r="AD570" s="3"/>
      <c r="AE570" s="3">
        <v>0</v>
      </c>
      <c r="AF570" s="3">
        <v>0</v>
      </c>
      <c r="AG570" s="3"/>
      <c r="AH570" s="40"/>
      <c r="AI570" s="40"/>
      <c r="AJ570" s="40"/>
      <c r="AK570" s="40"/>
      <c r="AL570" s="40"/>
      <c r="AM570" s="40"/>
      <c r="AN570" s="40"/>
      <c r="AO570" s="40"/>
      <c r="AP570" s="40"/>
      <c r="AQ570" s="40"/>
      <c r="AR570" s="31"/>
      <c r="AS570" s="36">
        <v>0</v>
      </c>
      <c r="AY570" s="6"/>
      <c r="AZ570" s="2"/>
      <c r="BA570" s="2"/>
      <c r="BB570" s="2"/>
      <c r="BC570">
        <v>71500</v>
      </c>
      <c r="BD570">
        <v>56992</v>
      </c>
    </row>
    <row r="571" spans="3:56" x14ac:dyDescent="0.25">
      <c r="C571" s="1">
        <v>46191</v>
      </c>
      <c r="D571" s="36">
        <v>236808</v>
      </c>
      <c r="E571" s="33">
        <v>4.1399999999999997</v>
      </c>
      <c r="F571" s="33">
        <v>3.3857379999999999</v>
      </c>
      <c r="G571" s="2">
        <v>0.81781111111111104</v>
      </c>
      <c r="H571" s="2">
        <v>0.99</v>
      </c>
      <c r="I571" s="3"/>
      <c r="J571" s="3"/>
      <c r="K571" s="3"/>
      <c r="L571" s="3"/>
      <c r="M571" s="3"/>
      <c r="N571" s="3">
        <v>0</v>
      </c>
      <c r="O571" s="3"/>
      <c r="P571" s="3">
        <v>0</v>
      </c>
      <c r="Q571" s="3">
        <v>0</v>
      </c>
      <c r="R571" s="3">
        <v>0</v>
      </c>
      <c r="S571" s="3">
        <v>0</v>
      </c>
      <c r="T571" s="3">
        <v>0</v>
      </c>
      <c r="U571" s="3"/>
      <c r="V571" s="3"/>
      <c r="W571" s="3"/>
      <c r="X571" s="3"/>
      <c r="Y571" s="3"/>
      <c r="Z571" s="3"/>
      <c r="AA571" s="3"/>
      <c r="AB571" s="3"/>
      <c r="AC571" s="3"/>
      <c r="AD571" s="3"/>
      <c r="AE571" s="3">
        <v>0</v>
      </c>
      <c r="AF571" s="3">
        <v>0</v>
      </c>
      <c r="AG571" s="3"/>
      <c r="AH571" s="40"/>
      <c r="AI571" s="40"/>
      <c r="AJ571" s="40"/>
      <c r="AK571" s="40"/>
      <c r="AL571" s="40"/>
      <c r="AM571" s="40"/>
      <c r="AN571" s="40"/>
      <c r="AO571" s="40"/>
      <c r="AP571" s="40"/>
      <c r="AQ571" s="40"/>
      <c r="AR571" s="31"/>
      <c r="AS571" s="36">
        <v>0</v>
      </c>
      <c r="AY571" s="6"/>
      <c r="AZ571" s="2"/>
      <c r="BA571" s="2"/>
      <c r="BB571" s="2"/>
      <c r="BC571">
        <v>71500</v>
      </c>
      <c r="BD571">
        <v>56992</v>
      </c>
    </row>
    <row r="572" spans="3:56" x14ac:dyDescent="0.25">
      <c r="C572" s="1">
        <v>46192</v>
      </c>
      <c r="D572" s="36">
        <v>236808</v>
      </c>
      <c r="E572" s="33">
        <v>4.1399999999999997</v>
      </c>
      <c r="F572" s="33">
        <v>3.3856920000000001</v>
      </c>
      <c r="G572" s="2">
        <v>0.81779999999999997</v>
      </c>
      <c r="H572" s="2">
        <v>0.99</v>
      </c>
      <c r="I572" s="3"/>
      <c r="J572" s="3"/>
      <c r="K572" s="3"/>
      <c r="L572" s="3"/>
      <c r="M572" s="3"/>
      <c r="N572" s="3">
        <v>0</v>
      </c>
      <c r="O572" s="3"/>
      <c r="P572" s="3">
        <v>0</v>
      </c>
      <c r="Q572" s="3">
        <v>0</v>
      </c>
      <c r="R572" s="3">
        <v>0</v>
      </c>
      <c r="S572" s="3">
        <v>0</v>
      </c>
      <c r="T572" s="3">
        <v>0</v>
      </c>
      <c r="U572" s="3"/>
      <c r="V572" s="3"/>
      <c r="W572" s="3"/>
      <c r="X572" s="3"/>
      <c r="Y572" s="3"/>
      <c r="Z572" s="3"/>
      <c r="AA572" s="3"/>
      <c r="AB572" s="3"/>
      <c r="AC572" s="3"/>
      <c r="AD572" s="3"/>
      <c r="AE572" s="3">
        <v>0</v>
      </c>
      <c r="AF572" s="3">
        <v>0</v>
      </c>
      <c r="AG572" s="3"/>
      <c r="AH572" s="40"/>
      <c r="AI572" s="40"/>
      <c r="AJ572" s="40"/>
      <c r="AK572" s="40"/>
      <c r="AL572" s="40"/>
      <c r="AM572" s="40"/>
      <c r="AN572" s="40"/>
      <c r="AO572" s="40"/>
      <c r="AP572" s="40"/>
      <c r="AQ572" s="40"/>
      <c r="AR572" s="31"/>
      <c r="AS572" s="36">
        <v>0</v>
      </c>
      <c r="AY572" s="6"/>
      <c r="AZ572" s="2"/>
      <c r="BA572" s="2"/>
      <c r="BB572" s="2"/>
      <c r="BC572">
        <v>71500</v>
      </c>
      <c r="BD572">
        <v>56992</v>
      </c>
    </row>
    <row r="573" spans="3:56" x14ac:dyDescent="0.25">
      <c r="C573" s="1">
        <v>46193</v>
      </c>
      <c r="D573" s="36">
        <v>236808</v>
      </c>
      <c r="E573" s="33">
        <v>4.1399999999999997</v>
      </c>
      <c r="F573" s="33">
        <v>3.3856459999999999</v>
      </c>
      <c r="G573" s="2">
        <v>0.81778888888888901</v>
      </c>
      <c r="H573" s="2">
        <v>0.99</v>
      </c>
      <c r="I573" s="3"/>
      <c r="J573" s="3"/>
      <c r="K573" s="3"/>
      <c r="L573" s="3"/>
      <c r="M573" s="3"/>
      <c r="N573" s="3">
        <v>0</v>
      </c>
      <c r="O573" s="3"/>
      <c r="P573" s="3">
        <v>0</v>
      </c>
      <c r="Q573" s="3">
        <v>0</v>
      </c>
      <c r="R573" s="3">
        <v>0</v>
      </c>
      <c r="S573" s="3">
        <v>0</v>
      </c>
      <c r="T573" s="3">
        <v>0</v>
      </c>
      <c r="U573" s="3"/>
      <c r="V573" s="3"/>
      <c r="W573" s="3"/>
      <c r="X573" s="3"/>
      <c r="Y573" s="3"/>
      <c r="Z573" s="3"/>
      <c r="AA573" s="3"/>
      <c r="AB573" s="3"/>
      <c r="AC573" s="3"/>
      <c r="AD573" s="3"/>
      <c r="AE573" s="3">
        <v>0</v>
      </c>
      <c r="AF573" s="3">
        <v>0</v>
      </c>
      <c r="AG573" s="3"/>
      <c r="AH573" s="40"/>
      <c r="AI573" s="40"/>
      <c r="AJ573" s="40"/>
      <c r="AK573" s="40"/>
      <c r="AL573" s="40"/>
      <c r="AM573" s="40"/>
      <c r="AN573" s="40"/>
      <c r="AO573" s="40"/>
      <c r="AP573" s="40"/>
      <c r="AQ573" s="40"/>
      <c r="AR573" s="31"/>
      <c r="AS573" s="36">
        <v>0</v>
      </c>
      <c r="AY573" s="6"/>
      <c r="AZ573" s="2"/>
      <c r="BA573" s="2"/>
      <c r="BB573" s="2"/>
      <c r="BC573">
        <v>71500</v>
      </c>
      <c r="BD573">
        <v>56992</v>
      </c>
    </row>
    <row r="574" spans="3:56" x14ac:dyDescent="0.25">
      <c r="C574" s="1">
        <v>46194</v>
      </c>
      <c r="D574" s="36">
        <v>236808</v>
      </c>
      <c r="E574" s="33">
        <v>4.1399999999999997</v>
      </c>
      <c r="F574" s="33">
        <v>3.3856000000000002</v>
      </c>
      <c r="G574" s="2">
        <v>0.81777777777777805</v>
      </c>
      <c r="H574" s="2">
        <v>0.99</v>
      </c>
      <c r="I574" s="3"/>
      <c r="J574" s="3"/>
      <c r="K574" s="3"/>
      <c r="L574" s="3"/>
      <c r="M574" s="3"/>
      <c r="N574" s="3">
        <v>0</v>
      </c>
      <c r="O574" s="3"/>
      <c r="P574" s="3">
        <v>0</v>
      </c>
      <c r="Q574" s="3">
        <v>0</v>
      </c>
      <c r="R574" s="3">
        <v>0</v>
      </c>
      <c r="S574" s="3">
        <v>0</v>
      </c>
      <c r="T574" s="3">
        <v>0</v>
      </c>
      <c r="U574" s="3"/>
      <c r="V574" s="3"/>
      <c r="W574" s="3"/>
      <c r="X574" s="3"/>
      <c r="Y574" s="3"/>
      <c r="Z574" s="3"/>
      <c r="AA574" s="3"/>
      <c r="AB574" s="3"/>
      <c r="AC574" s="3"/>
      <c r="AD574" s="3"/>
      <c r="AE574" s="3">
        <v>0</v>
      </c>
      <c r="AF574" s="3">
        <v>0</v>
      </c>
      <c r="AG574" s="3"/>
      <c r="AH574" s="40"/>
      <c r="AI574" s="40"/>
      <c r="AJ574" s="40"/>
      <c r="AK574" s="40"/>
      <c r="AL574" s="40"/>
      <c r="AM574" s="40"/>
      <c r="AN574" s="40"/>
      <c r="AO574" s="40"/>
      <c r="AP574" s="40"/>
      <c r="AQ574" s="40"/>
      <c r="AR574" s="31"/>
      <c r="AS574" s="36">
        <v>0</v>
      </c>
      <c r="AY574" s="6"/>
      <c r="AZ574" s="2"/>
      <c r="BA574" s="2"/>
      <c r="BB574" s="2"/>
      <c r="BC574">
        <v>71500</v>
      </c>
      <c r="BD574">
        <v>56992</v>
      </c>
    </row>
    <row r="575" spans="3:56" x14ac:dyDescent="0.25">
      <c r="C575" s="1">
        <v>46195</v>
      </c>
      <c r="D575" s="36">
        <v>236808</v>
      </c>
      <c r="E575" s="33">
        <v>4.1399999999999997</v>
      </c>
      <c r="F575" s="33">
        <v>3.385554</v>
      </c>
      <c r="G575" s="2">
        <v>0.81776666666666697</v>
      </c>
      <c r="H575" s="2">
        <v>0.99</v>
      </c>
      <c r="I575" s="3"/>
      <c r="J575" s="3"/>
      <c r="K575" s="3"/>
      <c r="L575" s="3"/>
      <c r="M575" s="3"/>
      <c r="N575" s="3">
        <v>0</v>
      </c>
      <c r="O575" s="3"/>
      <c r="P575" s="3">
        <v>0</v>
      </c>
      <c r="Q575" s="3">
        <v>0</v>
      </c>
      <c r="R575" s="3">
        <v>0</v>
      </c>
      <c r="S575" s="3">
        <v>0</v>
      </c>
      <c r="T575" s="3">
        <v>0</v>
      </c>
      <c r="U575" s="3"/>
      <c r="V575" s="3"/>
      <c r="W575" s="3"/>
      <c r="X575" s="3"/>
      <c r="Y575" s="3"/>
      <c r="Z575" s="3"/>
      <c r="AA575" s="3"/>
      <c r="AB575" s="3"/>
      <c r="AC575" s="3"/>
      <c r="AD575" s="3"/>
      <c r="AE575" s="3">
        <v>0</v>
      </c>
      <c r="AF575" s="3">
        <v>0</v>
      </c>
      <c r="AG575" s="3"/>
      <c r="AH575" s="40"/>
      <c r="AI575" s="40"/>
      <c r="AJ575" s="40"/>
      <c r="AK575" s="40"/>
      <c r="AL575" s="40"/>
      <c r="AM575" s="40"/>
      <c r="AN575" s="40"/>
      <c r="AO575" s="40"/>
      <c r="AP575" s="40"/>
      <c r="AQ575" s="40"/>
      <c r="AR575" s="31"/>
      <c r="AS575" s="36">
        <v>0</v>
      </c>
      <c r="AY575" s="6"/>
      <c r="AZ575" s="2"/>
      <c r="BA575" s="2"/>
      <c r="BB575" s="2"/>
      <c r="BC575">
        <v>71500</v>
      </c>
      <c r="BD575">
        <v>56992</v>
      </c>
    </row>
    <row r="576" spans="3:56" x14ac:dyDescent="0.25">
      <c r="C576" s="1">
        <v>46196</v>
      </c>
      <c r="D576" s="36">
        <v>236808</v>
      </c>
      <c r="E576" s="33">
        <v>4.1399999999999997</v>
      </c>
      <c r="F576" s="33">
        <v>3.3855080000000002</v>
      </c>
      <c r="G576" s="2">
        <v>0.81775555555555601</v>
      </c>
      <c r="H576" s="2">
        <v>0.99</v>
      </c>
      <c r="I576" s="3"/>
      <c r="J576" s="3"/>
      <c r="K576" s="3"/>
      <c r="L576" s="3"/>
      <c r="M576" s="3"/>
      <c r="N576" s="3">
        <v>0</v>
      </c>
      <c r="O576" s="3"/>
      <c r="P576" s="3">
        <v>0</v>
      </c>
      <c r="Q576" s="3">
        <v>0</v>
      </c>
      <c r="R576" s="3">
        <v>0</v>
      </c>
      <c r="S576" s="3">
        <v>0</v>
      </c>
      <c r="T576" s="3">
        <v>0</v>
      </c>
      <c r="U576" s="3"/>
      <c r="V576" s="3"/>
      <c r="W576" s="3"/>
      <c r="X576" s="3"/>
      <c r="Y576" s="3"/>
      <c r="Z576" s="3"/>
      <c r="AA576" s="3"/>
      <c r="AB576" s="3"/>
      <c r="AC576" s="3"/>
      <c r="AD576" s="3"/>
      <c r="AE576" s="3">
        <v>0</v>
      </c>
      <c r="AF576" s="3">
        <v>0</v>
      </c>
      <c r="AG576" s="3"/>
      <c r="AH576" s="40"/>
      <c r="AI576" s="40"/>
      <c r="AJ576" s="40"/>
      <c r="AK576" s="40"/>
      <c r="AL576" s="40"/>
      <c r="AM576" s="40"/>
      <c r="AN576" s="40"/>
      <c r="AO576" s="40"/>
      <c r="AP576" s="40"/>
      <c r="AQ576" s="40"/>
      <c r="AR576" s="31"/>
      <c r="AS576" s="36">
        <v>0</v>
      </c>
      <c r="AY576" s="6"/>
      <c r="AZ576" s="2"/>
      <c r="BA576" s="2"/>
      <c r="BB576" s="2"/>
      <c r="BC576">
        <v>71500</v>
      </c>
      <c r="BD576">
        <v>56992</v>
      </c>
    </row>
    <row r="577" spans="3:56" x14ac:dyDescent="0.25">
      <c r="C577" s="1">
        <v>46197</v>
      </c>
      <c r="D577" s="36">
        <v>236808</v>
      </c>
      <c r="E577" s="33">
        <v>4.1399999999999997</v>
      </c>
      <c r="F577" s="33">
        <v>3.385462</v>
      </c>
      <c r="G577" s="2">
        <v>0.81774444444444405</v>
      </c>
      <c r="H577" s="2">
        <v>0.99</v>
      </c>
      <c r="I577" s="3"/>
      <c r="J577" s="3"/>
      <c r="K577" s="3"/>
      <c r="L577" s="3"/>
      <c r="M577" s="3"/>
      <c r="N577" s="3">
        <v>0</v>
      </c>
      <c r="O577" s="3"/>
      <c r="P577" s="3">
        <v>0</v>
      </c>
      <c r="Q577" s="3">
        <v>0</v>
      </c>
      <c r="R577" s="3">
        <v>0</v>
      </c>
      <c r="S577" s="3">
        <v>0</v>
      </c>
      <c r="T577" s="3">
        <v>0</v>
      </c>
      <c r="U577" s="3"/>
      <c r="V577" s="3"/>
      <c r="W577" s="3"/>
      <c r="X577" s="3"/>
      <c r="Y577" s="3"/>
      <c r="Z577" s="3"/>
      <c r="AA577" s="3"/>
      <c r="AB577" s="3"/>
      <c r="AC577" s="3"/>
      <c r="AD577" s="3"/>
      <c r="AE577" s="3">
        <v>0</v>
      </c>
      <c r="AF577" s="3">
        <v>0</v>
      </c>
      <c r="AG577" s="3"/>
      <c r="AH577" s="40"/>
      <c r="AI577" s="40"/>
      <c r="AJ577" s="40"/>
      <c r="AK577" s="40"/>
      <c r="AL577" s="40"/>
      <c r="AM577" s="40"/>
      <c r="AN577" s="40"/>
      <c r="AO577" s="40"/>
      <c r="AP577" s="40"/>
      <c r="AQ577" s="40"/>
      <c r="AR577" s="31"/>
      <c r="AS577" s="36">
        <v>0</v>
      </c>
      <c r="AY577" s="6"/>
      <c r="AZ577" s="2"/>
      <c r="BA577" s="2"/>
      <c r="BB577" s="2"/>
      <c r="BC577">
        <v>71500</v>
      </c>
      <c r="BD577">
        <v>56992</v>
      </c>
    </row>
    <row r="578" spans="3:56" x14ac:dyDescent="0.25">
      <c r="C578" s="1">
        <v>46198</v>
      </c>
      <c r="D578" s="36">
        <v>236808</v>
      </c>
      <c r="E578" s="33">
        <v>4.1399999999999997</v>
      </c>
      <c r="F578" s="33">
        <v>3.3854160000000002</v>
      </c>
      <c r="G578" s="2">
        <v>0.81773333333333298</v>
      </c>
      <c r="H578" s="2">
        <v>0.99</v>
      </c>
      <c r="I578" s="3"/>
      <c r="J578" s="3"/>
      <c r="K578" s="3"/>
      <c r="L578" s="3"/>
      <c r="M578" s="3"/>
      <c r="N578" s="3">
        <v>0</v>
      </c>
      <c r="O578" s="3"/>
      <c r="P578" s="3">
        <v>0</v>
      </c>
      <c r="Q578" s="3">
        <v>0</v>
      </c>
      <c r="R578" s="3">
        <v>0</v>
      </c>
      <c r="S578" s="3">
        <v>0</v>
      </c>
      <c r="T578" s="3">
        <v>0</v>
      </c>
      <c r="U578" s="3"/>
      <c r="V578" s="3"/>
      <c r="W578" s="3"/>
      <c r="X578" s="3"/>
      <c r="Y578" s="3"/>
      <c r="Z578" s="3"/>
      <c r="AA578" s="3"/>
      <c r="AB578" s="3"/>
      <c r="AC578" s="3"/>
      <c r="AD578" s="3"/>
      <c r="AE578" s="3">
        <v>0</v>
      </c>
      <c r="AF578" s="3">
        <v>0</v>
      </c>
      <c r="AG578" s="3"/>
      <c r="AH578" s="40"/>
      <c r="AI578" s="40"/>
      <c r="AJ578" s="40"/>
      <c r="AK578" s="40"/>
      <c r="AL578" s="40"/>
      <c r="AM578" s="40"/>
      <c r="AN578" s="40"/>
      <c r="AO578" s="40"/>
      <c r="AP578" s="40"/>
      <c r="AQ578" s="40"/>
      <c r="AR578" s="31"/>
      <c r="AS578" s="36">
        <v>0</v>
      </c>
      <c r="AY578" s="6"/>
      <c r="AZ578" s="2"/>
      <c r="BA578" s="2"/>
      <c r="BB578" s="2"/>
      <c r="BC578">
        <v>71500</v>
      </c>
      <c r="BD578">
        <v>56992</v>
      </c>
    </row>
    <row r="579" spans="3:56" x14ac:dyDescent="0.25">
      <c r="C579" s="1">
        <v>46199</v>
      </c>
      <c r="D579" s="36">
        <v>236808</v>
      </c>
      <c r="E579" s="33">
        <v>4.1399999999999997</v>
      </c>
      <c r="F579" s="33">
        <v>3.38537</v>
      </c>
      <c r="G579" s="2">
        <v>0.81772222222222202</v>
      </c>
      <c r="H579" s="2">
        <v>0.99</v>
      </c>
      <c r="I579" s="3"/>
      <c r="J579" s="3"/>
      <c r="K579" s="3"/>
      <c r="L579" s="3"/>
      <c r="M579" s="3"/>
      <c r="N579" s="3">
        <v>0</v>
      </c>
      <c r="O579" s="3"/>
      <c r="P579" s="3">
        <v>0</v>
      </c>
      <c r="Q579" s="3">
        <v>0</v>
      </c>
      <c r="R579" s="3">
        <v>0</v>
      </c>
      <c r="S579" s="3">
        <v>0</v>
      </c>
      <c r="T579" s="3">
        <v>0</v>
      </c>
      <c r="U579" s="3"/>
      <c r="V579" s="3"/>
      <c r="W579" s="3"/>
      <c r="X579" s="3"/>
      <c r="Y579" s="3"/>
      <c r="Z579" s="3"/>
      <c r="AA579" s="3"/>
      <c r="AB579" s="3"/>
      <c r="AC579" s="3"/>
      <c r="AD579" s="3"/>
      <c r="AE579" s="3">
        <v>0</v>
      </c>
      <c r="AF579" s="3">
        <v>0</v>
      </c>
      <c r="AG579" s="3"/>
      <c r="AH579" s="40"/>
      <c r="AI579" s="40"/>
      <c r="AJ579" s="40"/>
      <c r="AK579" s="40"/>
      <c r="AL579" s="40"/>
      <c r="AM579" s="40"/>
      <c r="AN579" s="40"/>
      <c r="AO579" s="40"/>
      <c r="AP579" s="40"/>
      <c r="AQ579" s="40"/>
      <c r="AR579" s="31"/>
      <c r="AS579" s="36">
        <v>0</v>
      </c>
      <c r="AY579" s="6"/>
      <c r="AZ579" s="2"/>
      <c r="BA579" s="2"/>
      <c r="BB579" s="2"/>
      <c r="BC579">
        <v>71500</v>
      </c>
      <c r="BD579">
        <v>56992</v>
      </c>
    </row>
    <row r="580" spans="3:56" x14ac:dyDescent="0.25">
      <c r="C580" s="1">
        <v>46200</v>
      </c>
      <c r="D580" s="36">
        <v>236808</v>
      </c>
      <c r="E580" s="33">
        <v>4.1399999999999997</v>
      </c>
      <c r="F580" s="33">
        <v>3.3853240000000002</v>
      </c>
      <c r="G580" s="2">
        <v>0.81771111111111106</v>
      </c>
      <c r="H580" s="2">
        <v>0.99</v>
      </c>
      <c r="I580" s="3"/>
      <c r="J580" s="3"/>
      <c r="K580" s="3"/>
      <c r="L580" s="3"/>
      <c r="M580" s="3"/>
      <c r="N580" s="3">
        <v>0</v>
      </c>
      <c r="O580" s="3"/>
      <c r="P580" s="3">
        <v>0</v>
      </c>
      <c r="Q580" s="3">
        <v>0</v>
      </c>
      <c r="R580" s="3">
        <v>0</v>
      </c>
      <c r="S580" s="3">
        <v>0</v>
      </c>
      <c r="T580" s="3">
        <v>0</v>
      </c>
      <c r="U580" s="3"/>
      <c r="V580" s="3"/>
      <c r="W580" s="3"/>
      <c r="X580" s="3"/>
      <c r="Y580" s="3"/>
      <c r="Z580" s="3"/>
      <c r="AA580" s="3"/>
      <c r="AB580" s="3"/>
      <c r="AC580" s="3"/>
      <c r="AD580" s="3"/>
      <c r="AE580" s="3">
        <v>0</v>
      </c>
      <c r="AF580" s="3">
        <v>0</v>
      </c>
      <c r="AG580" s="3"/>
      <c r="AH580" s="40"/>
      <c r="AI580" s="40"/>
      <c r="AJ580" s="40"/>
      <c r="AK580" s="40"/>
      <c r="AL580" s="40"/>
      <c r="AM580" s="40"/>
      <c r="AN580" s="40"/>
      <c r="AO580" s="40"/>
      <c r="AP580" s="40"/>
      <c r="AQ580" s="40"/>
      <c r="AR580" s="31"/>
      <c r="AS580" s="36">
        <v>0</v>
      </c>
      <c r="AY580" s="6"/>
      <c r="AZ580" s="2"/>
      <c r="BA580" s="2"/>
      <c r="BB580" s="2"/>
      <c r="BC580">
        <v>71500</v>
      </c>
      <c r="BD580">
        <v>56992</v>
      </c>
    </row>
    <row r="581" spans="3:56" x14ac:dyDescent="0.25">
      <c r="C581" s="1">
        <v>46201</v>
      </c>
      <c r="D581" s="36">
        <v>236808</v>
      </c>
      <c r="E581" s="33">
        <v>4.1399999999999997</v>
      </c>
      <c r="F581" s="33">
        <v>3.385278</v>
      </c>
      <c r="G581" s="2">
        <v>0.81769999999999998</v>
      </c>
      <c r="H581" s="2">
        <v>0.99</v>
      </c>
      <c r="I581" s="3"/>
      <c r="J581" s="3"/>
      <c r="K581" s="3"/>
      <c r="L581" s="3"/>
      <c r="M581" s="3"/>
      <c r="N581" s="3">
        <v>0</v>
      </c>
      <c r="O581" s="3"/>
      <c r="P581" s="3">
        <v>0</v>
      </c>
      <c r="Q581" s="3">
        <v>0</v>
      </c>
      <c r="R581" s="3">
        <v>0</v>
      </c>
      <c r="S581" s="3">
        <v>0</v>
      </c>
      <c r="T581" s="3">
        <v>0</v>
      </c>
      <c r="U581" s="3"/>
      <c r="V581" s="3"/>
      <c r="W581" s="3"/>
      <c r="X581" s="3"/>
      <c r="Y581" s="3"/>
      <c r="Z581" s="3"/>
      <c r="AA581" s="3"/>
      <c r="AB581" s="3"/>
      <c r="AC581" s="3"/>
      <c r="AD581" s="3"/>
      <c r="AE581" s="3">
        <v>0</v>
      </c>
      <c r="AF581" s="3">
        <v>0</v>
      </c>
      <c r="AG581" s="3"/>
      <c r="AH581" s="40"/>
      <c r="AI581" s="40"/>
      <c r="AJ581" s="40"/>
      <c r="AK581" s="40"/>
      <c r="AL581" s="40"/>
      <c r="AM581" s="40"/>
      <c r="AN581" s="40"/>
      <c r="AO581" s="40"/>
      <c r="AP581" s="40"/>
      <c r="AQ581" s="40"/>
      <c r="AR581" s="31"/>
      <c r="AS581" s="36">
        <v>0</v>
      </c>
      <c r="AY581" s="6"/>
      <c r="AZ581" s="2"/>
      <c r="BA581" s="2"/>
      <c r="BB581" s="2"/>
      <c r="BC581">
        <v>71500</v>
      </c>
      <c r="BD581">
        <v>56992</v>
      </c>
    </row>
    <row r="582" spans="3:56" x14ac:dyDescent="0.25">
      <c r="C582" s="1">
        <v>46202</v>
      </c>
      <c r="D582" s="36">
        <v>236808</v>
      </c>
      <c r="E582" s="33">
        <v>4.1399999999999997</v>
      </c>
      <c r="F582" s="33">
        <v>3.3852319999999998</v>
      </c>
      <c r="G582" s="2">
        <v>0.81768888888888902</v>
      </c>
      <c r="H582" s="2">
        <v>0.99</v>
      </c>
      <c r="I582" s="3"/>
      <c r="J582" s="3"/>
      <c r="K582" s="3"/>
      <c r="L582" s="3"/>
      <c r="M582" s="3"/>
      <c r="N582" s="3">
        <v>0</v>
      </c>
      <c r="O582" s="3"/>
      <c r="P582" s="3">
        <v>0</v>
      </c>
      <c r="Q582" s="3">
        <v>0</v>
      </c>
      <c r="R582" s="3">
        <v>0</v>
      </c>
      <c r="S582" s="3">
        <v>0</v>
      </c>
      <c r="T582" s="3">
        <v>0</v>
      </c>
      <c r="U582" s="3"/>
      <c r="V582" s="3"/>
      <c r="W582" s="3"/>
      <c r="X582" s="3"/>
      <c r="Y582" s="3"/>
      <c r="Z582" s="3"/>
      <c r="AA582" s="3"/>
      <c r="AB582" s="3"/>
      <c r="AC582" s="3"/>
      <c r="AD582" s="3"/>
      <c r="AE582" s="3">
        <v>0</v>
      </c>
      <c r="AF582" s="3">
        <v>0</v>
      </c>
      <c r="AG582" s="3"/>
      <c r="AH582" s="40"/>
      <c r="AI582" s="40"/>
      <c r="AJ582" s="40"/>
      <c r="AK582" s="40"/>
      <c r="AL582" s="40"/>
      <c r="AM582" s="40"/>
      <c r="AN582" s="40"/>
      <c r="AO582" s="40"/>
      <c r="AP582" s="40"/>
      <c r="AQ582" s="40"/>
      <c r="AR582" s="31"/>
      <c r="AS582" s="36">
        <v>0</v>
      </c>
      <c r="AY582" s="6"/>
      <c r="AZ582" s="2"/>
      <c r="BA582" s="2"/>
      <c r="BB582" s="2"/>
      <c r="BC582">
        <v>71500</v>
      </c>
      <c r="BD582">
        <v>56992</v>
      </c>
    </row>
    <row r="583" spans="3:56" x14ac:dyDescent="0.25">
      <c r="C583" s="1">
        <v>46203</v>
      </c>
      <c r="D583" s="36">
        <v>236808</v>
      </c>
      <c r="E583" s="33">
        <v>4.1399999999999997</v>
      </c>
      <c r="F583" s="33">
        <v>3.385186</v>
      </c>
      <c r="G583" s="2">
        <v>0.81767777777777795</v>
      </c>
      <c r="H583" s="2">
        <v>0.99</v>
      </c>
      <c r="I583" s="3"/>
      <c r="J583" s="3"/>
      <c r="K583" s="3"/>
      <c r="L583" s="3"/>
      <c r="M583" s="3"/>
      <c r="N583" s="3">
        <v>0</v>
      </c>
      <c r="O583" s="3"/>
      <c r="P583" s="3">
        <v>0</v>
      </c>
      <c r="Q583" s="3">
        <v>0</v>
      </c>
      <c r="R583" s="3">
        <v>0</v>
      </c>
      <c r="S583" s="3">
        <v>0</v>
      </c>
      <c r="T583" s="3">
        <v>0</v>
      </c>
      <c r="U583" s="3"/>
      <c r="V583" s="3"/>
      <c r="W583" s="3"/>
      <c r="X583" s="3"/>
      <c r="Y583" s="3"/>
      <c r="Z583" s="3"/>
      <c r="AA583" s="3"/>
      <c r="AB583" s="3"/>
      <c r="AC583" s="3"/>
      <c r="AD583" s="3"/>
      <c r="AE583" s="3">
        <v>0</v>
      </c>
      <c r="AF583" s="3">
        <v>0</v>
      </c>
      <c r="AG583" s="3"/>
      <c r="AH583" s="40"/>
      <c r="AI583" s="40"/>
      <c r="AJ583" s="40"/>
      <c r="AK583" s="40"/>
      <c r="AL583" s="40"/>
      <c r="AM583" s="40"/>
      <c r="AN583" s="40"/>
      <c r="AO583" s="40"/>
      <c r="AP583" s="40"/>
      <c r="AQ583" s="40"/>
      <c r="AR583" s="31"/>
      <c r="AS583" s="36">
        <v>0</v>
      </c>
      <c r="AY583" s="6"/>
      <c r="AZ583" s="2"/>
      <c r="BA583" s="2"/>
      <c r="BB583" s="2"/>
      <c r="BC583">
        <v>71500</v>
      </c>
      <c r="BD583">
        <v>56992</v>
      </c>
    </row>
    <row r="584" spans="3:56" x14ac:dyDescent="0.25">
      <c r="C584" s="1">
        <v>46204</v>
      </c>
      <c r="D584" s="36">
        <v>249932.632258064</v>
      </c>
      <c r="E584" s="33">
        <v>4.2064516129032299</v>
      </c>
      <c r="F584" s="33">
        <v>3.4394752688171999</v>
      </c>
      <c r="G584" s="2">
        <v>0.81766666666666699</v>
      </c>
      <c r="H584" s="2">
        <v>0.99</v>
      </c>
      <c r="I584" s="3"/>
      <c r="J584" s="3"/>
      <c r="K584" s="3"/>
      <c r="L584" s="3"/>
      <c r="M584" s="3"/>
      <c r="N584" s="3">
        <v>0</v>
      </c>
      <c r="O584" s="3"/>
      <c r="P584" s="3">
        <v>0</v>
      </c>
      <c r="Q584" s="3">
        <v>0</v>
      </c>
      <c r="R584" s="3">
        <v>0</v>
      </c>
      <c r="S584" s="3">
        <v>0</v>
      </c>
      <c r="T584" s="3">
        <v>0</v>
      </c>
      <c r="U584" s="3"/>
      <c r="V584" s="3"/>
      <c r="W584" s="3"/>
      <c r="X584" s="3"/>
      <c r="Y584" s="3"/>
      <c r="Z584" s="3"/>
      <c r="AA584" s="3"/>
      <c r="AB584" s="3"/>
      <c r="AC584" s="3"/>
      <c r="AD584" s="3"/>
      <c r="AE584" s="3">
        <v>0</v>
      </c>
      <c r="AF584" s="3">
        <v>0</v>
      </c>
      <c r="AG584" s="3"/>
      <c r="AH584" s="40"/>
      <c r="AI584" s="40"/>
      <c r="AJ584" s="40"/>
      <c r="AK584" s="40"/>
      <c r="AL584" s="40"/>
      <c r="AM584" s="40"/>
      <c r="AN584" s="40"/>
      <c r="AO584" s="40"/>
      <c r="AP584" s="40"/>
      <c r="AQ584" s="40"/>
      <c r="AR584" s="31"/>
      <c r="AS584" s="36">
        <v>0</v>
      </c>
      <c r="AY584" s="6"/>
      <c r="AZ584" s="2"/>
      <c r="BA584" s="2"/>
      <c r="BB584" s="2"/>
      <c r="BC584">
        <v>71500</v>
      </c>
      <c r="BD584">
        <v>56992</v>
      </c>
    </row>
    <row r="585" spans="3:56" x14ac:dyDescent="0.25">
      <c r="C585" s="1">
        <v>46205</v>
      </c>
      <c r="D585" s="36">
        <v>249932.632258064</v>
      </c>
      <c r="E585" s="33">
        <v>4.2064516129032299</v>
      </c>
      <c r="F585" s="33">
        <v>3.4394285304659502</v>
      </c>
      <c r="G585" s="2">
        <v>0.81765555555555602</v>
      </c>
      <c r="H585" s="2">
        <v>0.99</v>
      </c>
      <c r="I585" s="3"/>
      <c r="J585" s="3"/>
      <c r="K585" s="3"/>
      <c r="L585" s="3"/>
      <c r="M585" s="3"/>
      <c r="N585" s="3">
        <v>0</v>
      </c>
      <c r="O585" s="3"/>
      <c r="P585" s="3">
        <v>0</v>
      </c>
      <c r="Q585" s="3">
        <v>0</v>
      </c>
      <c r="R585" s="3">
        <v>0</v>
      </c>
      <c r="S585" s="3">
        <v>0</v>
      </c>
      <c r="T585" s="3">
        <v>0</v>
      </c>
      <c r="U585" s="3"/>
      <c r="V585" s="3"/>
      <c r="W585" s="3"/>
      <c r="X585" s="3"/>
      <c r="Y585" s="3"/>
      <c r="Z585" s="3"/>
      <c r="AA585" s="3"/>
      <c r="AB585" s="3"/>
      <c r="AC585" s="3"/>
      <c r="AD585" s="3"/>
      <c r="AE585" s="3">
        <v>0</v>
      </c>
      <c r="AF585" s="3">
        <v>0</v>
      </c>
      <c r="AG585" s="3"/>
      <c r="AH585" s="40"/>
      <c r="AI585" s="40"/>
      <c r="AJ585" s="40"/>
      <c r="AK585" s="40"/>
      <c r="AL585" s="40"/>
      <c r="AM585" s="40"/>
      <c r="AN585" s="40"/>
      <c r="AO585" s="40"/>
      <c r="AP585" s="40"/>
      <c r="AQ585" s="40"/>
      <c r="AR585" s="31"/>
      <c r="AS585" s="36">
        <v>0</v>
      </c>
      <c r="AY585" s="6"/>
      <c r="AZ585" s="2"/>
      <c r="BA585" s="2"/>
      <c r="BB585" s="2"/>
      <c r="BC585">
        <v>71500</v>
      </c>
      <c r="BD585">
        <v>56992</v>
      </c>
    </row>
    <row r="586" spans="3:56" x14ac:dyDescent="0.25">
      <c r="C586" s="1">
        <v>46206</v>
      </c>
      <c r="D586" s="36">
        <v>249932.632258064</v>
      </c>
      <c r="E586" s="33">
        <v>4.2064516129032299</v>
      </c>
      <c r="F586" s="33">
        <v>3.4393817921147001</v>
      </c>
      <c r="G586" s="2">
        <v>0.81764444444444395</v>
      </c>
      <c r="H586" s="2">
        <v>0.99</v>
      </c>
      <c r="I586" s="3"/>
      <c r="J586" s="3"/>
      <c r="K586" s="3"/>
      <c r="L586" s="3"/>
      <c r="M586" s="3"/>
      <c r="N586" s="3">
        <v>0</v>
      </c>
      <c r="O586" s="3"/>
      <c r="P586" s="3">
        <v>0</v>
      </c>
      <c r="Q586" s="3">
        <v>0</v>
      </c>
      <c r="R586" s="3">
        <v>0</v>
      </c>
      <c r="S586" s="3">
        <v>0</v>
      </c>
      <c r="T586" s="3">
        <v>0</v>
      </c>
      <c r="U586" s="3"/>
      <c r="V586" s="3"/>
      <c r="W586" s="3"/>
      <c r="X586" s="3"/>
      <c r="Y586" s="3"/>
      <c r="Z586" s="3"/>
      <c r="AA586" s="3"/>
      <c r="AB586" s="3"/>
      <c r="AC586" s="3"/>
      <c r="AD586" s="3"/>
      <c r="AE586" s="3">
        <v>0</v>
      </c>
      <c r="AF586" s="3">
        <v>0</v>
      </c>
      <c r="AG586" s="3"/>
      <c r="AH586" s="40"/>
      <c r="AI586" s="40"/>
      <c r="AJ586" s="40"/>
      <c r="AK586" s="40"/>
      <c r="AL586" s="40"/>
      <c r="AM586" s="40"/>
      <c r="AN586" s="40"/>
      <c r="AO586" s="40"/>
      <c r="AP586" s="40"/>
      <c r="AQ586" s="40"/>
      <c r="AR586" s="31"/>
      <c r="AS586" s="36">
        <v>0</v>
      </c>
      <c r="AY586" s="6"/>
      <c r="AZ586" s="2"/>
      <c r="BA586" s="2"/>
      <c r="BB586" s="2"/>
      <c r="BC586">
        <v>71500</v>
      </c>
      <c r="BD586">
        <v>56992</v>
      </c>
    </row>
    <row r="587" spans="3:56" x14ac:dyDescent="0.25">
      <c r="C587" s="1">
        <v>46207</v>
      </c>
      <c r="D587" s="36">
        <v>249932.632258064</v>
      </c>
      <c r="E587" s="33">
        <v>4.2064516129032299</v>
      </c>
      <c r="F587" s="33">
        <v>3.4393350537634402</v>
      </c>
      <c r="G587" s="2">
        <v>0.81763333333333299</v>
      </c>
      <c r="H587" s="2">
        <v>0.99</v>
      </c>
      <c r="I587" s="3"/>
      <c r="J587" s="3"/>
      <c r="K587" s="3"/>
      <c r="L587" s="3"/>
      <c r="M587" s="3"/>
      <c r="N587" s="3">
        <v>0</v>
      </c>
      <c r="O587" s="3"/>
      <c r="P587" s="3">
        <v>0</v>
      </c>
      <c r="Q587" s="3">
        <v>0</v>
      </c>
      <c r="R587" s="3">
        <v>0</v>
      </c>
      <c r="S587" s="3">
        <v>0</v>
      </c>
      <c r="T587" s="3">
        <v>0</v>
      </c>
      <c r="U587" s="3"/>
      <c r="V587" s="3"/>
      <c r="W587" s="3"/>
      <c r="X587" s="3"/>
      <c r="Y587" s="3"/>
      <c r="Z587" s="3"/>
      <c r="AA587" s="3"/>
      <c r="AB587" s="3"/>
      <c r="AC587" s="3"/>
      <c r="AD587" s="3"/>
      <c r="AE587" s="3">
        <v>0</v>
      </c>
      <c r="AF587" s="3">
        <v>0</v>
      </c>
      <c r="AG587" s="3"/>
      <c r="AH587" s="40"/>
      <c r="AI587" s="40"/>
      <c r="AJ587" s="40"/>
      <c r="AK587" s="40"/>
      <c r="AL587" s="40"/>
      <c r="AM587" s="40"/>
      <c r="AN587" s="40"/>
      <c r="AO587" s="40"/>
      <c r="AP587" s="40"/>
      <c r="AQ587" s="40"/>
      <c r="AR587" s="31"/>
      <c r="AS587" s="36">
        <v>0</v>
      </c>
      <c r="AY587" s="6"/>
      <c r="AZ587" s="2"/>
      <c r="BA587" s="2"/>
      <c r="BB587" s="2"/>
      <c r="BC587">
        <v>71500</v>
      </c>
      <c r="BD587">
        <v>56992</v>
      </c>
    </row>
    <row r="588" spans="3:56" x14ac:dyDescent="0.25">
      <c r="C588" s="1">
        <v>46208</v>
      </c>
      <c r="D588" s="36">
        <v>249932.632258064</v>
      </c>
      <c r="E588" s="33">
        <v>4.2064516129032299</v>
      </c>
      <c r="F588" s="33">
        <v>3.43928831541219</v>
      </c>
      <c r="G588" s="2">
        <v>0.81762222222222203</v>
      </c>
      <c r="H588" s="2">
        <v>0.99</v>
      </c>
      <c r="I588" s="3"/>
      <c r="J588" s="3"/>
      <c r="K588" s="3"/>
      <c r="L588" s="3"/>
      <c r="M588" s="3"/>
      <c r="N588" s="3">
        <v>0</v>
      </c>
      <c r="O588" s="3"/>
      <c r="P588" s="3">
        <v>0</v>
      </c>
      <c r="Q588" s="3">
        <v>0</v>
      </c>
      <c r="R588" s="3">
        <v>0</v>
      </c>
      <c r="S588" s="3">
        <v>0</v>
      </c>
      <c r="T588" s="3">
        <v>0</v>
      </c>
      <c r="U588" s="3"/>
      <c r="V588" s="3"/>
      <c r="W588" s="3"/>
      <c r="X588" s="3"/>
      <c r="Y588" s="3"/>
      <c r="Z588" s="3"/>
      <c r="AA588" s="3"/>
      <c r="AB588" s="3"/>
      <c r="AC588" s="3"/>
      <c r="AD588" s="3"/>
      <c r="AE588" s="3">
        <v>0</v>
      </c>
      <c r="AF588" s="3">
        <v>0</v>
      </c>
      <c r="AG588" s="3"/>
      <c r="AH588" s="40"/>
      <c r="AI588" s="40"/>
      <c r="AJ588" s="40"/>
      <c r="AK588" s="40"/>
      <c r="AL588" s="40"/>
      <c r="AM588" s="40"/>
      <c r="AN588" s="40"/>
      <c r="AO588" s="40"/>
      <c r="AP588" s="40"/>
      <c r="AQ588" s="40"/>
      <c r="AR588" s="31"/>
      <c r="AS588" s="36">
        <v>0</v>
      </c>
      <c r="AY588" s="6"/>
      <c r="AZ588" s="2"/>
      <c r="BA588" s="2"/>
      <c r="BB588" s="2"/>
      <c r="BC588">
        <v>71500</v>
      </c>
      <c r="BD588">
        <v>56992</v>
      </c>
    </row>
    <row r="589" spans="3:56" x14ac:dyDescent="0.25">
      <c r="C589" s="1">
        <v>46209</v>
      </c>
      <c r="D589" s="36">
        <v>249932.632258064</v>
      </c>
      <c r="E589" s="33">
        <v>4.2064516129032299</v>
      </c>
      <c r="F589" s="33">
        <v>3.4392415770609301</v>
      </c>
      <c r="G589" s="2">
        <v>0.81761111111111096</v>
      </c>
      <c r="H589" s="2">
        <v>0.99</v>
      </c>
      <c r="I589" s="3"/>
      <c r="J589" s="3"/>
      <c r="K589" s="3"/>
      <c r="L589" s="3"/>
      <c r="M589" s="3"/>
      <c r="N589" s="3">
        <v>0</v>
      </c>
      <c r="O589" s="3"/>
      <c r="P589" s="3">
        <v>0</v>
      </c>
      <c r="Q589" s="3">
        <v>0</v>
      </c>
      <c r="R589" s="3">
        <v>0</v>
      </c>
      <c r="S589" s="3">
        <v>0</v>
      </c>
      <c r="T589" s="3">
        <v>0</v>
      </c>
      <c r="U589" s="3"/>
      <c r="V589" s="3"/>
      <c r="W589" s="3"/>
      <c r="X589" s="3"/>
      <c r="Y589" s="3"/>
      <c r="Z589" s="3"/>
      <c r="AA589" s="3"/>
      <c r="AB589" s="3"/>
      <c r="AC589" s="3"/>
      <c r="AD589" s="3"/>
      <c r="AE589" s="3">
        <v>0</v>
      </c>
      <c r="AF589" s="3">
        <v>0</v>
      </c>
      <c r="AG589" s="3"/>
      <c r="AH589" s="40"/>
      <c r="AI589" s="40"/>
      <c r="AJ589" s="40"/>
      <c r="AK589" s="40"/>
      <c r="AL589" s="40"/>
      <c r="AM589" s="40"/>
      <c r="AN589" s="40"/>
      <c r="AO589" s="40"/>
      <c r="AP589" s="40"/>
      <c r="AQ589" s="40"/>
      <c r="AR589" s="31"/>
      <c r="AS589" s="36">
        <v>0</v>
      </c>
      <c r="AY589" s="6"/>
      <c r="AZ589" s="2"/>
      <c r="BA589" s="2"/>
      <c r="BB589" s="2"/>
      <c r="BC589">
        <v>71500</v>
      </c>
      <c r="BD589">
        <v>56992</v>
      </c>
    </row>
    <row r="590" spans="3:56" x14ac:dyDescent="0.25">
      <c r="C590" s="1">
        <v>46210</v>
      </c>
      <c r="D590" s="36">
        <v>249932.632258064</v>
      </c>
      <c r="E590" s="33">
        <v>4.2064516129032299</v>
      </c>
      <c r="F590" s="33">
        <v>3.43919483870968</v>
      </c>
      <c r="G590" s="2">
        <v>0.81759999999999999</v>
      </c>
      <c r="H590" s="2">
        <v>0.99</v>
      </c>
      <c r="I590" s="3"/>
      <c r="J590" s="3"/>
      <c r="K590" s="3"/>
      <c r="L590" s="3"/>
      <c r="M590" s="3"/>
      <c r="N590" s="3">
        <v>0</v>
      </c>
      <c r="O590" s="3"/>
      <c r="P590" s="3">
        <v>0</v>
      </c>
      <c r="Q590" s="3">
        <v>0</v>
      </c>
      <c r="R590" s="3">
        <v>0</v>
      </c>
      <c r="S590" s="3">
        <v>0</v>
      </c>
      <c r="T590" s="3">
        <v>0</v>
      </c>
      <c r="U590" s="3"/>
      <c r="V590" s="3"/>
      <c r="W590" s="3"/>
      <c r="X590" s="3"/>
      <c r="Y590" s="3"/>
      <c r="Z590" s="3"/>
      <c r="AA590" s="3"/>
      <c r="AB590" s="3"/>
      <c r="AC590" s="3"/>
      <c r="AD590" s="3"/>
      <c r="AE590" s="3">
        <v>0</v>
      </c>
      <c r="AF590" s="3">
        <v>0</v>
      </c>
      <c r="AG590" s="3"/>
      <c r="AH590" s="40"/>
      <c r="AI590" s="40"/>
      <c r="AJ590" s="40"/>
      <c r="AK590" s="40"/>
      <c r="AL590" s="40"/>
      <c r="AM590" s="40"/>
      <c r="AN590" s="40"/>
      <c r="AO590" s="40"/>
      <c r="AP590" s="40"/>
      <c r="AQ590" s="40"/>
      <c r="AR590" s="31"/>
      <c r="AS590" s="36">
        <v>0</v>
      </c>
      <c r="AY590" s="6"/>
      <c r="AZ590" s="2"/>
      <c r="BA590" s="2"/>
      <c r="BB590" s="2"/>
      <c r="BC590">
        <v>71500</v>
      </c>
      <c r="BD590">
        <v>56992</v>
      </c>
    </row>
    <row r="591" spans="3:56" x14ac:dyDescent="0.25">
      <c r="C591" s="1">
        <v>46211</v>
      </c>
      <c r="D591" s="36">
        <v>249932.632258064</v>
      </c>
      <c r="E591" s="33">
        <v>4.2064516129032299</v>
      </c>
      <c r="F591" s="33">
        <v>3.4391481003584201</v>
      </c>
      <c r="G591" s="2">
        <v>0.81758888888888903</v>
      </c>
      <c r="H591" s="2">
        <v>0.99</v>
      </c>
      <c r="I591" s="3"/>
      <c r="J591" s="3"/>
      <c r="K591" s="3"/>
      <c r="L591" s="3"/>
      <c r="M591" s="3"/>
      <c r="N591" s="3">
        <v>0</v>
      </c>
      <c r="O591" s="3"/>
      <c r="P591" s="3">
        <v>0</v>
      </c>
      <c r="Q591" s="3">
        <v>0</v>
      </c>
      <c r="R591" s="3">
        <v>0</v>
      </c>
      <c r="S591" s="3">
        <v>0</v>
      </c>
      <c r="T591" s="3">
        <v>0</v>
      </c>
      <c r="U591" s="3"/>
      <c r="V591" s="3"/>
      <c r="W591" s="3"/>
      <c r="X591" s="3"/>
      <c r="Y591" s="3"/>
      <c r="Z591" s="3"/>
      <c r="AA591" s="3"/>
      <c r="AB591" s="3"/>
      <c r="AC591" s="3"/>
      <c r="AD591" s="3"/>
      <c r="AE591" s="3">
        <v>0</v>
      </c>
      <c r="AF591" s="3">
        <v>0</v>
      </c>
      <c r="AG591" s="3"/>
      <c r="AH591" s="40"/>
      <c r="AI591" s="40"/>
      <c r="AJ591" s="40"/>
      <c r="AK591" s="40"/>
      <c r="AL591" s="40"/>
      <c r="AM591" s="40"/>
      <c r="AN591" s="40"/>
      <c r="AO591" s="40"/>
      <c r="AP591" s="40"/>
      <c r="AQ591" s="40"/>
      <c r="AR591" s="31"/>
      <c r="AS591" s="36">
        <v>0</v>
      </c>
      <c r="AY591" s="6"/>
      <c r="AZ591" s="2"/>
      <c r="BA591" s="2"/>
      <c r="BB591" s="2"/>
      <c r="BC591">
        <v>71500</v>
      </c>
      <c r="BD591">
        <v>56992</v>
      </c>
    </row>
    <row r="592" spans="3:56" x14ac:dyDescent="0.25">
      <c r="C592" s="1">
        <v>46212</v>
      </c>
      <c r="D592" s="36">
        <v>249932.632258064</v>
      </c>
      <c r="E592" s="33">
        <v>4.2064516129032299</v>
      </c>
      <c r="F592" s="33">
        <v>3.43910136200717</v>
      </c>
      <c r="G592" s="2">
        <v>0.81757777777777796</v>
      </c>
      <c r="H592" s="2">
        <v>0.99</v>
      </c>
      <c r="I592" s="3"/>
      <c r="J592" s="3"/>
      <c r="K592" s="3"/>
      <c r="L592" s="3"/>
      <c r="M592" s="3"/>
      <c r="N592" s="3">
        <v>0</v>
      </c>
      <c r="O592" s="3"/>
      <c r="P592" s="3">
        <v>0</v>
      </c>
      <c r="Q592" s="3">
        <v>0</v>
      </c>
      <c r="R592" s="3">
        <v>0</v>
      </c>
      <c r="S592" s="3">
        <v>0</v>
      </c>
      <c r="T592" s="3">
        <v>0</v>
      </c>
      <c r="U592" s="3"/>
      <c r="V592" s="3"/>
      <c r="W592" s="3"/>
      <c r="X592" s="3"/>
      <c r="Y592" s="3"/>
      <c r="Z592" s="3"/>
      <c r="AA592" s="3"/>
      <c r="AB592" s="3"/>
      <c r="AC592" s="3"/>
      <c r="AD592" s="3"/>
      <c r="AE592" s="3">
        <v>0</v>
      </c>
      <c r="AF592" s="3">
        <v>0</v>
      </c>
      <c r="AG592" s="3"/>
      <c r="AH592" s="40"/>
      <c r="AI592" s="40"/>
      <c r="AJ592" s="40"/>
      <c r="AK592" s="40"/>
      <c r="AL592" s="40"/>
      <c r="AM592" s="40"/>
      <c r="AN592" s="40"/>
      <c r="AO592" s="40"/>
      <c r="AP592" s="40"/>
      <c r="AQ592" s="40"/>
      <c r="AR592" s="31"/>
      <c r="AS592" s="36">
        <v>0</v>
      </c>
      <c r="AY592" s="6"/>
      <c r="AZ592" s="2"/>
      <c r="BA592" s="2"/>
      <c r="BB592" s="2"/>
      <c r="BC592">
        <v>71500</v>
      </c>
      <c r="BD592">
        <v>56992</v>
      </c>
    </row>
    <row r="593" spans="3:56" x14ac:dyDescent="0.25">
      <c r="C593" s="1">
        <v>46213</v>
      </c>
      <c r="D593" s="36">
        <v>249932.632258064</v>
      </c>
      <c r="E593" s="33">
        <v>4.2064516129032299</v>
      </c>
      <c r="F593" s="33">
        <v>3.4390546236559101</v>
      </c>
      <c r="G593" s="2">
        <v>0.817566666666667</v>
      </c>
      <c r="H593" s="2">
        <v>0.99</v>
      </c>
      <c r="I593" s="3"/>
      <c r="J593" s="3"/>
      <c r="K593" s="3"/>
      <c r="L593" s="3"/>
      <c r="M593" s="3"/>
      <c r="N593" s="3">
        <v>0</v>
      </c>
      <c r="O593" s="3"/>
      <c r="P593" s="3">
        <v>0</v>
      </c>
      <c r="Q593" s="3">
        <v>0</v>
      </c>
      <c r="R593" s="3">
        <v>0</v>
      </c>
      <c r="S593" s="3">
        <v>0</v>
      </c>
      <c r="T593" s="3">
        <v>0</v>
      </c>
      <c r="U593" s="3"/>
      <c r="V593" s="3"/>
      <c r="W593" s="3"/>
      <c r="X593" s="3"/>
      <c r="Y593" s="3"/>
      <c r="Z593" s="3"/>
      <c r="AA593" s="3"/>
      <c r="AB593" s="3"/>
      <c r="AC593" s="3"/>
      <c r="AD593" s="3"/>
      <c r="AE593" s="3">
        <v>0</v>
      </c>
      <c r="AF593" s="3">
        <v>0</v>
      </c>
      <c r="AG593" s="3"/>
      <c r="AH593" s="40"/>
      <c r="AI593" s="40"/>
      <c r="AJ593" s="40"/>
      <c r="AK593" s="40"/>
      <c r="AL593" s="40"/>
      <c r="AM593" s="40"/>
      <c r="AN593" s="40"/>
      <c r="AO593" s="40"/>
      <c r="AP593" s="40"/>
      <c r="AQ593" s="40"/>
      <c r="AR593" s="31"/>
      <c r="AS593" s="36">
        <v>0</v>
      </c>
      <c r="AY593" s="6"/>
      <c r="AZ593" s="2"/>
      <c r="BA593" s="2"/>
      <c r="BB593" s="2"/>
      <c r="BC593">
        <v>71500</v>
      </c>
      <c r="BD593">
        <v>56992</v>
      </c>
    </row>
    <row r="594" spans="3:56" x14ac:dyDescent="0.25">
      <c r="C594" s="1">
        <v>46214</v>
      </c>
      <c r="D594" s="36">
        <v>249932.632258064</v>
      </c>
      <c r="E594" s="33">
        <v>4.2064516129032299</v>
      </c>
      <c r="F594" s="33">
        <v>3.43900788530466</v>
      </c>
      <c r="G594" s="2">
        <v>0.81755555555555603</v>
      </c>
      <c r="H594" s="2">
        <v>0.99</v>
      </c>
      <c r="I594" s="3"/>
      <c r="J594" s="3"/>
      <c r="K594" s="3"/>
      <c r="L594" s="3"/>
      <c r="M594" s="3"/>
      <c r="N594" s="3">
        <v>0</v>
      </c>
      <c r="O594" s="3"/>
      <c r="P594" s="3">
        <v>0</v>
      </c>
      <c r="Q594" s="3">
        <v>0</v>
      </c>
      <c r="R594" s="3">
        <v>0</v>
      </c>
      <c r="S594" s="3">
        <v>0</v>
      </c>
      <c r="T594" s="3">
        <v>0</v>
      </c>
      <c r="U594" s="3"/>
      <c r="V594" s="3"/>
      <c r="W594" s="3"/>
      <c r="X594" s="3"/>
      <c r="Y594" s="3"/>
      <c r="Z594" s="3"/>
      <c r="AA594" s="3"/>
      <c r="AB594" s="3"/>
      <c r="AC594" s="3"/>
      <c r="AD594" s="3"/>
      <c r="AE594" s="3">
        <v>0</v>
      </c>
      <c r="AF594" s="3">
        <v>0</v>
      </c>
      <c r="AG594" s="3"/>
      <c r="AH594" s="40"/>
      <c r="AI594" s="40"/>
      <c r="AJ594" s="40"/>
      <c r="AK594" s="40"/>
      <c r="AL594" s="40"/>
      <c r="AM594" s="40"/>
      <c r="AN594" s="40"/>
      <c r="AO594" s="40"/>
      <c r="AP594" s="40"/>
      <c r="AQ594" s="40"/>
      <c r="AR594" s="31"/>
      <c r="AS594" s="36">
        <v>0</v>
      </c>
      <c r="AY594" s="6"/>
      <c r="AZ594" s="2"/>
      <c r="BA594" s="2"/>
      <c r="BB594" s="2"/>
      <c r="BC594">
        <v>71500</v>
      </c>
      <c r="BD594">
        <v>56992</v>
      </c>
    </row>
    <row r="595" spans="3:56" x14ac:dyDescent="0.25">
      <c r="C595" s="1">
        <v>46215</v>
      </c>
      <c r="D595" s="36">
        <v>249932.632258064</v>
      </c>
      <c r="E595" s="33">
        <v>4.2064516129032299</v>
      </c>
      <c r="F595" s="33">
        <v>3.4389611469534098</v>
      </c>
      <c r="G595" s="2">
        <v>0.81754444444444396</v>
      </c>
      <c r="H595" s="2">
        <v>0.99</v>
      </c>
      <c r="I595" s="3"/>
      <c r="J595" s="3"/>
      <c r="K595" s="3"/>
      <c r="L595" s="3"/>
      <c r="M595" s="3"/>
      <c r="N595" s="3">
        <v>0</v>
      </c>
      <c r="O595" s="3"/>
      <c r="P595" s="3">
        <v>0</v>
      </c>
      <c r="Q595" s="3">
        <v>0</v>
      </c>
      <c r="R595" s="3">
        <v>0</v>
      </c>
      <c r="S595" s="3">
        <v>0</v>
      </c>
      <c r="T595" s="3">
        <v>0</v>
      </c>
      <c r="U595" s="3"/>
      <c r="V595" s="3"/>
      <c r="W595" s="3"/>
      <c r="X595" s="3"/>
      <c r="Y595" s="3"/>
      <c r="Z595" s="3"/>
      <c r="AA595" s="3"/>
      <c r="AB595" s="3"/>
      <c r="AC595" s="3"/>
      <c r="AD595" s="3"/>
      <c r="AE595" s="3">
        <v>0</v>
      </c>
      <c r="AF595" s="3">
        <v>0</v>
      </c>
      <c r="AG595" s="3"/>
      <c r="AH595" s="40"/>
      <c r="AI595" s="40"/>
      <c r="AJ595" s="40"/>
      <c r="AK595" s="40"/>
      <c r="AL595" s="40"/>
      <c r="AM595" s="40"/>
      <c r="AN595" s="40"/>
      <c r="AO595" s="40"/>
      <c r="AP595" s="40"/>
      <c r="AQ595" s="40"/>
      <c r="AR595" s="31"/>
      <c r="AS595" s="36">
        <v>0</v>
      </c>
      <c r="AY595" s="6"/>
      <c r="AZ595" s="2"/>
      <c r="BA595" s="2"/>
      <c r="BB595" s="2"/>
      <c r="BC595">
        <v>71500</v>
      </c>
      <c r="BD595">
        <v>56992</v>
      </c>
    </row>
    <row r="596" spans="3:56" x14ac:dyDescent="0.25">
      <c r="C596" s="1">
        <v>46216</v>
      </c>
      <c r="D596" s="36">
        <v>249932.632258064</v>
      </c>
      <c r="E596" s="33">
        <v>4.2064516129032299</v>
      </c>
      <c r="F596" s="33">
        <v>3.4389144086021499</v>
      </c>
      <c r="G596" s="2">
        <v>0.817533333333333</v>
      </c>
      <c r="H596" s="2">
        <v>0.99</v>
      </c>
      <c r="I596" s="3"/>
      <c r="J596" s="3"/>
      <c r="K596" s="3"/>
      <c r="L596" s="3"/>
      <c r="M596" s="3"/>
      <c r="N596" s="3">
        <v>0</v>
      </c>
      <c r="O596" s="3"/>
      <c r="P596" s="3">
        <v>0</v>
      </c>
      <c r="Q596" s="3">
        <v>0</v>
      </c>
      <c r="R596" s="3">
        <v>0</v>
      </c>
      <c r="S596" s="3">
        <v>0</v>
      </c>
      <c r="T596" s="3">
        <v>0</v>
      </c>
      <c r="U596" s="3"/>
      <c r="V596" s="3"/>
      <c r="W596" s="3"/>
      <c r="X596" s="3"/>
      <c r="Y596" s="3"/>
      <c r="Z596" s="3"/>
      <c r="AA596" s="3"/>
      <c r="AB596" s="3"/>
      <c r="AC596" s="3"/>
      <c r="AD596" s="3"/>
      <c r="AE596" s="3">
        <v>0</v>
      </c>
      <c r="AF596" s="3">
        <v>0</v>
      </c>
      <c r="AG596" s="3"/>
      <c r="AH596" s="40"/>
      <c r="AI596" s="40"/>
      <c r="AJ596" s="40"/>
      <c r="AK596" s="40"/>
      <c r="AL596" s="40"/>
      <c r="AM596" s="40"/>
      <c r="AN596" s="40"/>
      <c r="AO596" s="40"/>
      <c r="AP596" s="40"/>
      <c r="AQ596" s="40"/>
      <c r="AR596" s="31"/>
      <c r="AS596" s="36">
        <v>0</v>
      </c>
      <c r="AY596" s="6"/>
      <c r="AZ596" s="2"/>
      <c r="BA596" s="2"/>
      <c r="BB596" s="2"/>
      <c r="BC596">
        <v>71500</v>
      </c>
      <c r="BD596">
        <v>56992</v>
      </c>
    </row>
    <row r="597" spans="3:56" x14ac:dyDescent="0.25">
      <c r="C597" s="1">
        <v>46217</v>
      </c>
      <c r="D597" s="36">
        <v>249932.632258064</v>
      </c>
      <c r="E597" s="33">
        <v>4.2064516129032299</v>
      </c>
      <c r="F597" s="33">
        <v>3.4388676702508998</v>
      </c>
      <c r="G597" s="2">
        <v>0.81752222222222204</v>
      </c>
      <c r="H597" s="2">
        <v>0.99</v>
      </c>
      <c r="I597" s="3"/>
      <c r="J597" s="3"/>
      <c r="K597" s="3"/>
      <c r="L597" s="3"/>
      <c r="M597" s="3"/>
      <c r="N597" s="3">
        <v>0</v>
      </c>
      <c r="O597" s="3"/>
      <c r="P597" s="3">
        <v>0</v>
      </c>
      <c r="Q597" s="3">
        <v>0</v>
      </c>
      <c r="R597" s="3">
        <v>0</v>
      </c>
      <c r="S597" s="3">
        <v>0</v>
      </c>
      <c r="T597" s="3">
        <v>0</v>
      </c>
      <c r="U597" s="3"/>
      <c r="V597" s="3"/>
      <c r="W597" s="3"/>
      <c r="X597" s="3"/>
      <c r="Y597" s="3"/>
      <c r="Z597" s="3"/>
      <c r="AA597" s="3"/>
      <c r="AB597" s="3"/>
      <c r="AC597" s="3"/>
      <c r="AD597" s="3"/>
      <c r="AE597" s="3">
        <v>0</v>
      </c>
      <c r="AF597" s="3">
        <v>0</v>
      </c>
      <c r="AG597" s="3"/>
      <c r="AH597" s="40"/>
      <c r="AI597" s="40"/>
      <c r="AJ597" s="40"/>
      <c r="AK597" s="40"/>
      <c r="AL597" s="40"/>
      <c r="AM597" s="40"/>
      <c r="AN597" s="40"/>
      <c r="AO597" s="40"/>
      <c r="AP597" s="40"/>
      <c r="AQ597" s="40"/>
      <c r="AR597" s="31"/>
      <c r="AS597" s="36">
        <v>0</v>
      </c>
      <c r="AY597" s="6"/>
      <c r="AZ597" s="2"/>
      <c r="BA597" s="2"/>
      <c r="BB597" s="2"/>
      <c r="BC597">
        <v>71500</v>
      </c>
      <c r="BD597">
        <v>56992</v>
      </c>
    </row>
    <row r="598" spans="3:56" x14ac:dyDescent="0.25">
      <c r="C598" s="1">
        <v>46218</v>
      </c>
      <c r="D598" s="36">
        <v>249932.632258064</v>
      </c>
      <c r="E598" s="33">
        <v>4.2064516129032299</v>
      </c>
      <c r="F598" s="33">
        <v>3.4388209318996399</v>
      </c>
      <c r="G598" s="2">
        <v>0.81751111111111097</v>
      </c>
      <c r="H598" s="2">
        <v>0.99</v>
      </c>
      <c r="I598" s="3"/>
      <c r="J598" s="3"/>
      <c r="K598" s="3"/>
      <c r="L598" s="3"/>
      <c r="M598" s="3"/>
      <c r="N598" s="3">
        <v>0</v>
      </c>
      <c r="O598" s="3"/>
      <c r="P598" s="3">
        <v>0</v>
      </c>
      <c r="Q598" s="3">
        <v>0</v>
      </c>
      <c r="R598" s="3">
        <v>0</v>
      </c>
      <c r="S598" s="3">
        <v>0</v>
      </c>
      <c r="T598" s="3">
        <v>0</v>
      </c>
      <c r="U598" s="3"/>
      <c r="V598" s="3"/>
      <c r="W598" s="3"/>
      <c r="X598" s="3"/>
      <c r="Y598" s="3"/>
      <c r="Z598" s="3"/>
      <c r="AA598" s="3"/>
      <c r="AB598" s="3"/>
      <c r="AC598" s="3"/>
      <c r="AD598" s="3"/>
      <c r="AE598" s="3">
        <v>0</v>
      </c>
      <c r="AF598" s="3">
        <v>0</v>
      </c>
      <c r="AG598" s="3"/>
      <c r="AH598" s="40"/>
      <c r="AI598" s="40"/>
      <c r="AJ598" s="40"/>
      <c r="AK598" s="40"/>
      <c r="AL598" s="40"/>
      <c r="AM598" s="40"/>
      <c r="AN598" s="40"/>
      <c r="AO598" s="40"/>
      <c r="AP598" s="40"/>
      <c r="AQ598" s="40"/>
      <c r="AR598" s="31"/>
      <c r="AS598" s="36">
        <v>0</v>
      </c>
      <c r="AY598" s="6"/>
      <c r="AZ598" s="2"/>
      <c r="BA598" s="2"/>
      <c r="BB598" s="2"/>
      <c r="BC598">
        <v>71500</v>
      </c>
      <c r="BD598">
        <v>56992</v>
      </c>
    </row>
    <row r="599" spans="3:56" x14ac:dyDescent="0.25">
      <c r="C599" s="1">
        <v>46219</v>
      </c>
      <c r="D599" s="36">
        <v>249932.632258064</v>
      </c>
      <c r="E599" s="33">
        <v>4.2064516129032299</v>
      </c>
      <c r="F599" s="33">
        <v>3.4387741935483902</v>
      </c>
      <c r="G599" s="2">
        <v>0.8175</v>
      </c>
      <c r="H599" s="2">
        <v>0.99</v>
      </c>
      <c r="I599" s="3"/>
      <c r="J599" s="3"/>
      <c r="K599" s="3"/>
      <c r="L599" s="3"/>
      <c r="M599" s="3"/>
      <c r="N599" s="3">
        <v>0</v>
      </c>
      <c r="O599" s="3"/>
      <c r="P599" s="3">
        <v>0</v>
      </c>
      <c r="Q599" s="3">
        <v>0</v>
      </c>
      <c r="R599" s="3">
        <v>0</v>
      </c>
      <c r="S599" s="3">
        <v>0</v>
      </c>
      <c r="T599" s="3">
        <v>0</v>
      </c>
      <c r="U599" s="3"/>
      <c r="V599" s="3"/>
      <c r="W599" s="3"/>
      <c r="X599" s="3"/>
      <c r="Y599" s="3"/>
      <c r="Z599" s="3"/>
      <c r="AA599" s="3"/>
      <c r="AB599" s="3"/>
      <c r="AC599" s="3"/>
      <c r="AD599" s="3"/>
      <c r="AE599" s="3">
        <v>0</v>
      </c>
      <c r="AF599" s="3">
        <v>0</v>
      </c>
      <c r="AG599" s="3"/>
      <c r="AH599" s="40"/>
      <c r="AI599" s="40"/>
      <c r="AJ599" s="40"/>
      <c r="AK599" s="40"/>
      <c r="AL599" s="40"/>
      <c r="AM599" s="40"/>
      <c r="AN599" s="40"/>
      <c r="AO599" s="40"/>
      <c r="AP599" s="40"/>
      <c r="AQ599" s="40"/>
      <c r="AR599" s="31"/>
      <c r="AS599" s="36">
        <v>0</v>
      </c>
      <c r="AY599" s="6"/>
      <c r="AZ599" s="2"/>
      <c r="BA599" s="2"/>
      <c r="BB599" s="2"/>
      <c r="BC599">
        <v>71500</v>
      </c>
      <c r="BD599">
        <v>56992</v>
      </c>
    </row>
    <row r="600" spans="3:56" x14ac:dyDescent="0.25">
      <c r="C600" s="1">
        <v>46220</v>
      </c>
      <c r="D600" s="36">
        <v>249932.632258064</v>
      </c>
      <c r="E600" s="33">
        <v>4.2064516129032299</v>
      </c>
      <c r="F600" s="33">
        <v>3.4387274551971299</v>
      </c>
      <c r="G600" s="2">
        <v>0.81748888888888904</v>
      </c>
      <c r="H600" s="2">
        <v>0.99</v>
      </c>
      <c r="I600" s="3"/>
      <c r="J600" s="3"/>
      <c r="K600" s="3"/>
      <c r="L600" s="3"/>
      <c r="M600" s="3"/>
      <c r="N600" s="3">
        <v>0</v>
      </c>
      <c r="O600" s="3"/>
      <c r="P600" s="3">
        <v>0</v>
      </c>
      <c r="Q600" s="3">
        <v>0</v>
      </c>
      <c r="R600" s="3">
        <v>0</v>
      </c>
      <c r="S600" s="3">
        <v>0</v>
      </c>
      <c r="T600" s="3">
        <v>0</v>
      </c>
      <c r="U600" s="3"/>
      <c r="V600" s="3"/>
      <c r="W600" s="3"/>
      <c r="X600" s="3"/>
      <c r="Y600" s="3"/>
      <c r="Z600" s="3"/>
      <c r="AA600" s="3"/>
      <c r="AB600" s="3"/>
      <c r="AC600" s="3"/>
      <c r="AD600" s="3"/>
      <c r="AE600" s="3">
        <v>0</v>
      </c>
      <c r="AF600" s="3">
        <v>0</v>
      </c>
      <c r="AG600" s="3"/>
      <c r="AH600" s="40"/>
      <c r="AI600" s="40"/>
      <c r="AJ600" s="40"/>
      <c r="AK600" s="40"/>
      <c r="AL600" s="40"/>
      <c r="AM600" s="40"/>
      <c r="AN600" s="40"/>
      <c r="AO600" s="40"/>
      <c r="AP600" s="40"/>
      <c r="AQ600" s="40"/>
      <c r="AR600" s="31"/>
      <c r="AS600" s="36">
        <v>0</v>
      </c>
      <c r="AY600" s="6"/>
      <c r="AZ600" s="2"/>
      <c r="BA600" s="2"/>
      <c r="BB600" s="2"/>
      <c r="BC600">
        <v>71500</v>
      </c>
      <c r="BD600">
        <v>56992</v>
      </c>
    </row>
    <row r="601" spans="3:56" x14ac:dyDescent="0.25">
      <c r="C601" s="1">
        <v>46221</v>
      </c>
      <c r="D601" s="36">
        <v>249932.632258064</v>
      </c>
      <c r="E601" s="33">
        <v>4.2064516129032299</v>
      </c>
      <c r="F601" s="33">
        <v>3.4386807168458802</v>
      </c>
      <c r="G601" s="2">
        <v>0.81747777777777797</v>
      </c>
      <c r="H601" s="2">
        <v>0.99</v>
      </c>
      <c r="I601" s="3"/>
      <c r="J601" s="3"/>
      <c r="K601" s="3"/>
      <c r="L601" s="3"/>
      <c r="M601" s="3"/>
      <c r="N601" s="3">
        <v>0</v>
      </c>
      <c r="O601" s="3"/>
      <c r="P601" s="3">
        <v>0</v>
      </c>
      <c r="Q601" s="3">
        <v>0</v>
      </c>
      <c r="R601" s="3">
        <v>0</v>
      </c>
      <c r="S601" s="3">
        <v>0</v>
      </c>
      <c r="T601" s="3">
        <v>0</v>
      </c>
      <c r="U601" s="3"/>
      <c r="V601" s="3"/>
      <c r="W601" s="3"/>
      <c r="X601" s="3"/>
      <c r="Y601" s="3"/>
      <c r="Z601" s="3"/>
      <c r="AA601" s="3"/>
      <c r="AB601" s="3"/>
      <c r="AC601" s="3"/>
      <c r="AD601" s="3"/>
      <c r="AE601" s="3">
        <v>0</v>
      </c>
      <c r="AF601" s="3">
        <v>0</v>
      </c>
      <c r="AG601" s="3"/>
      <c r="AH601" s="40"/>
      <c r="AI601" s="40"/>
      <c r="AJ601" s="40"/>
      <c r="AK601" s="40"/>
      <c r="AL601" s="40"/>
      <c r="AM601" s="40"/>
      <c r="AN601" s="40"/>
      <c r="AO601" s="40"/>
      <c r="AP601" s="40"/>
      <c r="AQ601" s="40"/>
      <c r="AR601" s="31"/>
      <c r="AS601" s="36">
        <v>0</v>
      </c>
      <c r="AY601" s="6"/>
      <c r="AZ601" s="2"/>
      <c r="BA601" s="2"/>
      <c r="BB601" s="2"/>
      <c r="BC601">
        <v>71500</v>
      </c>
      <c r="BD601">
        <v>56992</v>
      </c>
    </row>
    <row r="602" spans="3:56" x14ac:dyDescent="0.25">
      <c r="C602" s="1">
        <v>46222</v>
      </c>
      <c r="D602" s="36">
        <v>249932.632258064</v>
      </c>
      <c r="E602" s="33">
        <v>4.2064516129032299</v>
      </c>
      <c r="F602" s="33">
        <v>3.4386339784946198</v>
      </c>
      <c r="G602" s="2">
        <v>0.81746666666666701</v>
      </c>
      <c r="H602" s="2">
        <v>0.99</v>
      </c>
      <c r="I602" s="3"/>
      <c r="J602" s="3"/>
      <c r="K602" s="3"/>
      <c r="L602" s="3"/>
      <c r="M602" s="3"/>
      <c r="N602" s="3">
        <v>0</v>
      </c>
      <c r="O602" s="3"/>
      <c r="P602" s="3">
        <v>0</v>
      </c>
      <c r="Q602" s="3">
        <v>0</v>
      </c>
      <c r="R602" s="3">
        <v>0</v>
      </c>
      <c r="S602" s="3">
        <v>0</v>
      </c>
      <c r="T602" s="3">
        <v>0</v>
      </c>
      <c r="U602" s="3"/>
      <c r="V602" s="3"/>
      <c r="W602" s="3"/>
      <c r="X602" s="3"/>
      <c r="Y602" s="3"/>
      <c r="Z602" s="3"/>
      <c r="AA602" s="3"/>
      <c r="AB602" s="3"/>
      <c r="AC602" s="3"/>
      <c r="AD602" s="3"/>
      <c r="AE602" s="3">
        <v>0</v>
      </c>
      <c r="AF602" s="3">
        <v>0</v>
      </c>
      <c r="AG602" s="3"/>
      <c r="AH602" s="40"/>
      <c r="AI602" s="40"/>
      <c r="AJ602" s="40"/>
      <c r="AK602" s="40"/>
      <c r="AL602" s="40"/>
      <c r="AM602" s="40"/>
      <c r="AN602" s="40"/>
      <c r="AO602" s="40"/>
      <c r="AP602" s="40"/>
      <c r="AQ602" s="40"/>
      <c r="AR602" s="31"/>
      <c r="AS602" s="36">
        <v>0</v>
      </c>
      <c r="AY602" s="6"/>
      <c r="AZ602" s="2"/>
      <c r="BA602" s="2"/>
      <c r="BB602" s="2"/>
      <c r="BC602">
        <v>71500</v>
      </c>
      <c r="BD602">
        <v>56992</v>
      </c>
    </row>
    <row r="603" spans="3:56" x14ac:dyDescent="0.25">
      <c r="C603" s="1">
        <v>46223</v>
      </c>
      <c r="D603" s="36">
        <v>249932.632258064</v>
      </c>
      <c r="E603" s="33">
        <v>4.2064516129032299</v>
      </c>
      <c r="F603" s="33">
        <v>3.4385872401433701</v>
      </c>
      <c r="G603" s="2">
        <v>0.81745555555555505</v>
      </c>
      <c r="H603" s="2">
        <v>0.99</v>
      </c>
      <c r="I603" s="3"/>
      <c r="J603" s="3"/>
      <c r="K603" s="3"/>
      <c r="L603" s="3"/>
      <c r="M603" s="3"/>
      <c r="N603" s="3">
        <v>0</v>
      </c>
      <c r="O603" s="3"/>
      <c r="P603" s="3">
        <v>0</v>
      </c>
      <c r="Q603" s="3">
        <v>0</v>
      </c>
      <c r="R603" s="3">
        <v>0</v>
      </c>
      <c r="S603" s="3">
        <v>0</v>
      </c>
      <c r="T603" s="3">
        <v>0</v>
      </c>
      <c r="U603" s="3"/>
      <c r="V603" s="3"/>
      <c r="W603" s="3"/>
      <c r="X603" s="3"/>
      <c r="Y603" s="3"/>
      <c r="Z603" s="3"/>
      <c r="AA603" s="3"/>
      <c r="AB603" s="3"/>
      <c r="AC603" s="3"/>
      <c r="AD603" s="3"/>
      <c r="AE603" s="3">
        <v>0</v>
      </c>
      <c r="AF603" s="3">
        <v>0</v>
      </c>
      <c r="AG603" s="3"/>
      <c r="AH603" s="40"/>
      <c r="AI603" s="40"/>
      <c r="AJ603" s="40"/>
      <c r="AK603" s="40"/>
      <c r="AL603" s="40"/>
      <c r="AM603" s="40"/>
      <c r="AN603" s="40"/>
      <c r="AO603" s="40"/>
      <c r="AP603" s="40"/>
      <c r="AQ603" s="40"/>
      <c r="AR603" s="31"/>
      <c r="AS603" s="36">
        <v>0</v>
      </c>
      <c r="AY603" s="6"/>
      <c r="AZ603" s="2"/>
      <c r="BA603" s="2"/>
      <c r="BB603" s="2"/>
      <c r="BC603">
        <v>71500</v>
      </c>
      <c r="BD603">
        <v>56992</v>
      </c>
    </row>
    <row r="604" spans="3:56" x14ac:dyDescent="0.25">
      <c r="C604" s="1">
        <v>46224</v>
      </c>
      <c r="D604" s="36">
        <v>249932.632258064</v>
      </c>
      <c r="E604" s="33">
        <v>4.2064516129032299</v>
      </c>
      <c r="F604" s="33">
        <v>3.43854050179212</v>
      </c>
      <c r="G604" s="2">
        <v>0.81744444444444397</v>
      </c>
      <c r="H604" s="2">
        <v>0.99</v>
      </c>
      <c r="I604" s="3"/>
      <c r="J604" s="3"/>
      <c r="K604" s="3"/>
      <c r="L604" s="3"/>
      <c r="M604" s="3"/>
      <c r="N604" s="3">
        <v>0</v>
      </c>
      <c r="O604" s="3"/>
      <c r="P604" s="3">
        <v>0</v>
      </c>
      <c r="Q604" s="3">
        <v>0</v>
      </c>
      <c r="R604" s="3">
        <v>0</v>
      </c>
      <c r="S604" s="3">
        <v>0</v>
      </c>
      <c r="T604" s="3">
        <v>0</v>
      </c>
      <c r="U604" s="3"/>
      <c r="V604" s="3"/>
      <c r="W604" s="3"/>
      <c r="X604" s="3"/>
      <c r="Y604" s="3"/>
      <c r="Z604" s="3"/>
      <c r="AA604" s="3"/>
      <c r="AB604" s="3"/>
      <c r="AC604" s="3"/>
      <c r="AD604" s="3"/>
      <c r="AE604" s="3">
        <v>0</v>
      </c>
      <c r="AF604" s="3">
        <v>0</v>
      </c>
      <c r="AG604" s="3"/>
      <c r="AH604" s="40"/>
      <c r="AI604" s="40"/>
      <c r="AJ604" s="40"/>
      <c r="AK604" s="40"/>
      <c r="AL604" s="40"/>
      <c r="AM604" s="40"/>
      <c r="AN604" s="40"/>
      <c r="AO604" s="40"/>
      <c r="AP604" s="40"/>
      <c r="AQ604" s="40"/>
      <c r="AR604" s="31"/>
      <c r="AS604" s="36">
        <v>0</v>
      </c>
      <c r="AY604" s="6"/>
      <c r="AZ604" s="2"/>
      <c r="BA604" s="2"/>
      <c r="BB604" s="2"/>
      <c r="BC604">
        <v>71500</v>
      </c>
      <c r="BD604">
        <v>56992</v>
      </c>
    </row>
    <row r="605" spans="3:56" x14ac:dyDescent="0.25">
      <c r="C605" s="1">
        <v>46225</v>
      </c>
      <c r="D605" s="36">
        <v>249932.632258064</v>
      </c>
      <c r="E605" s="33">
        <v>4.2064516129032299</v>
      </c>
      <c r="F605" s="33">
        <v>3.4384937634408601</v>
      </c>
      <c r="G605" s="2">
        <v>0.81743333333333301</v>
      </c>
      <c r="H605" s="2">
        <v>0.99</v>
      </c>
      <c r="I605" s="3"/>
      <c r="J605" s="3"/>
      <c r="K605" s="3"/>
      <c r="L605" s="3"/>
      <c r="M605" s="3"/>
      <c r="N605" s="3">
        <v>0</v>
      </c>
      <c r="O605" s="3"/>
      <c r="P605" s="3">
        <v>0</v>
      </c>
      <c r="Q605" s="3">
        <v>0</v>
      </c>
      <c r="R605" s="3">
        <v>0</v>
      </c>
      <c r="S605" s="3">
        <v>0</v>
      </c>
      <c r="T605" s="3">
        <v>0</v>
      </c>
      <c r="U605" s="3"/>
      <c r="V605" s="3"/>
      <c r="W605" s="3"/>
      <c r="X605" s="3"/>
      <c r="Y605" s="3"/>
      <c r="Z605" s="3"/>
      <c r="AA605" s="3"/>
      <c r="AB605" s="3"/>
      <c r="AC605" s="3"/>
      <c r="AD605" s="3"/>
      <c r="AE605" s="3">
        <v>0</v>
      </c>
      <c r="AF605" s="3">
        <v>0</v>
      </c>
      <c r="AG605" s="3"/>
      <c r="AH605" s="40"/>
      <c r="AI605" s="40"/>
      <c r="AJ605" s="40"/>
      <c r="AK605" s="40"/>
      <c r="AL605" s="40"/>
      <c r="AM605" s="40"/>
      <c r="AN605" s="40"/>
      <c r="AO605" s="40"/>
      <c r="AP605" s="40"/>
      <c r="AQ605" s="40"/>
      <c r="AR605" s="31"/>
      <c r="AS605" s="36">
        <v>0</v>
      </c>
      <c r="AY605" s="6"/>
      <c r="AZ605" s="2"/>
      <c r="BA605" s="2"/>
      <c r="BB605" s="2"/>
      <c r="BC605">
        <v>71500</v>
      </c>
      <c r="BD605">
        <v>56992</v>
      </c>
    </row>
    <row r="606" spans="3:56" x14ac:dyDescent="0.25">
      <c r="C606" s="1">
        <v>46226</v>
      </c>
      <c r="D606" s="36">
        <v>249932.632258064</v>
      </c>
      <c r="E606" s="33">
        <v>4.2064516129032299</v>
      </c>
      <c r="F606" s="33">
        <v>3.43844702508961</v>
      </c>
      <c r="G606" s="2">
        <v>0.81742222222222205</v>
      </c>
      <c r="H606" s="2">
        <v>0.99</v>
      </c>
      <c r="I606" s="3"/>
      <c r="J606" s="3"/>
      <c r="K606" s="3"/>
      <c r="L606" s="3"/>
      <c r="M606" s="3"/>
      <c r="N606" s="3">
        <v>0</v>
      </c>
      <c r="O606" s="3"/>
      <c r="P606" s="3">
        <v>0</v>
      </c>
      <c r="Q606" s="3">
        <v>0</v>
      </c>
      <c r="R606" s="3">
        <v>0</v>
      </c>
      <c r="S606" s="3">
        <v>0</v>
      </c>
      <c r="T606" s="3">
        <v>0</v>
      </c>
      <c r="U606" s="3"/>
      <c r="V606" s="3"/>
      <c r="W606" s="3"/>
      <c r="X606" s="3"/>
      <c r="Y606" s="3"/>
      <c r="Z606" s="3"/>
      <c r="AA606" s="3"/>
      <c r="AB606" s="3"/>
      <c r="AC606" s="3"/>
      <c r="AD606" s="3"/>
      <c r="AE606" s="3">
        <v>0</v>
      </c>
      <c r="AF606" s="3">
        <v>0</v>
      </c>
      <c r="AG606" s="3"/>
      <c r="AH606" s="40"/>
      <c r="AI606" s="40"/>
      <c r="AJ606" s="40"/>
      <c r="AK606" s="40"/>
      <c r="AL606" s="40"/>
      <c r="AM606" s="40"/>
      <c r="AN606" s="40"/>
      <c r="AO606" s="40"/>
      <c r="AP606" s="40"/>
      <c r="AQ606" s="40"/>
      <c r="AR606" s="31"/>
      <c r="AS606" s="36">
        <v>0</v>
      </c>
      <c r="AY606" s="6"/>
      <c r="AZ606" s="2"/>
      <c r="BA606" s="2"/>
      <c r="BB606" s="2"/>
      <c r="BC606">
        <v>71500</v>
      </c>
      <c r="BD606">
        <v>56992</v>
      </c>
    </row>
    <row r="607" spans="3:56" x14ac:dyDescent="0.25">
      <c r="C607" s="1">
        <v>46227</v>
      </c>
      <c r="D607" s="36">
        <v>249932.632258064</v>
      </c>
      <c r="E607" s="33">
        <v>4.2064516129032299</v>
      </c>
      <c r="F607" s="33">
        <v>3.4384002867383501</v>
      </c>
      <c r="G607" s="2">
        <v>0.81741111111111098</v>
      </c>
      <c r="H607" s="2">
        <v>0.99</v>
      </c>
      <c r="I607" s="3"/>
      <c r="J607" s="3"/>
      <c r="K607" s="3"/>
      <c r="L607" s="3"/>
      <c r="M607" s="3"/>
      <c r="N607" s="3">
        <v>0</v>
      </c>
      <c r="O607" s="3"/>
      <c r="P607" s="3">
        <v>0</v>
      </c>
      <c r="Q607" s="3">
        <v>0</v>
      </c>
      <c r="R607" s="3">
        <v>0</v>
      </c>
      <c r="S607" s="3">
        <v>0</v>
      </c>
      <c r="T607" s="3">
        <v>0</v>
      </c>
      <c r="U607" s="3"/>
      <c r="V607" s="3"/>
      <c r="W607" s="3"/>
      <c r="X607" s="3"/>
      <c r="Y607" s="3"/>
      <c r="Z607" s="3"/>
      <c r="AA607" s="3"/>
      <c r="AB607" s="3"/>
      <c r="AC607" s="3"/>
      <c r="AD607" s="3"/>
      <c r="AE607" s="3">
        <v>0</v>
      </c>
      <c r="AF607" s="3">
        <v>0</v>
      </c>
      <c r="AG607" s="3"/>
      <c r="AH607" s="40"/>
      <c r="AI607" s="40"/>
      <c r="AJ607" s="40"/>
      <c r="AK607" s="40"/>
      <c r="AL607" s="40"/>
      <c r="AM607" s="40"/>
      <c r="AN607" s="40"/>
      <c r="AO607" s="40"/>
      <c r="AP607" s="40"/>
      <c r="AQ607" s="40"/>
      <c r="AR607" s="31"/>
      <c r="AS607" s="36">
        <v>0</v>
      </c>
      <c r="AY607" s="6"/>
      <c r="AZ607" s="2"/>
      <c r="BA607" s="2"/>
      <c r="BB607" s="2"/>
      <c r="BC607">
        <v>71500</v>
      </c>
      <c r="BD607">
        <v>56992</v>
      </c>
    </row>
    <row r="608" spans="3:56" x14ac:dyDescent="0.25">
      <c r="C608" s="1">
        <v>46228</v>
      </c>
      <c r="D608" s="36">
        <v>249932.632258064</v>
      </c>
      <c r="E608" s="33">
        <v>4.2064516129032299</v>
      </c>
      <c r="F608" s="33">
        <v>3.4383535483870999</v>
      </c>
      <c r="G608" s="2">
        <v>0.81740000000000002</v>
      </c>
      <c r="H608" s="2">
        <v>0.99</v>
      </c>
      <c r="I608" s="3"/>
      <c r="J608" s="3"/>
      <c r="K608" s="3"/>
      <c r="L608" s="3"/>
      <c r="M608" s="3"/>
      <c r="N608" s="3">
        <v>0</v>
      </c>
      <c r="O608" s="3"/>
      <c r="P608" s="3">
        <v>0</v>
      </c>
      <c r="Q608" s="3">
        <v>0</v>
      </c>
      <c r="R608" s="3">
        <v>0</v>
      </c>
      <c r="S608" s="3">
        <v>0</v>
      </c>
      <c r="T608" s="3">
        <v>0</v>
      </c>
      <c r="U608" s="3"/>
      <c r="V608" s="3"/>
      <c r="W608" s="3"/>
      <c r="X608" s="3"/>
      <c r="Y608" s="3"/>
      <c r="Z608" s="3"/>
      <c r="AA608" s="3"/>
      <c r="AB608" s="3"/>
      <c r="AC608" s="3"/>
      <c r="AD608" s="3"/>
      <c r="AE608" s="3">
        <v>0</v>
      </c>
      <c r="AF608" s="3">
        <v>0</v>
      </c>
      <c r="AG608" s="3"/>
      <c r="AH608" s="40"/>
      <c r="AI608" s="40"/>
      <c r="AJ608" s="40"/>
      <c r="AK608" s="40"/>
      <c r="AL608" s="40"/>
      <c r="AM608" s="40"/>
      <c r="AN608" s="40"/>
      <c r="AO608" s="40"/>
      <c r="AP608" s="40"/>
      <c r="AQ608" s="40"/>
      <c r="AR608" s="31"/>
      <c r="AS608" s="36">
        <v>0</v>
      </c>
      <c r="AY608" s="6"/>
      <c r="AZ608" s="2"/>
      <c r="BA608" s="2"/>
      <c r="BB608" s="2"/>
      <c r="BC608">
        <v>71500</v>
      </c>
      <c r="BD608">
        <v>56992</v>
      </c>
    </row>
    <row r="609" spans="3:56" x14ac:dyDescent="0.25">
      <c r="C609" s="1">
        <v>46229</v>
      </c>
      <c r="D609" s="36">
        <v>249932.632258064</v>
      </c>
      <c r="E609" s="33">
        <v>4.2064516129032299</v>
      </c>
      <c r="F609" s="33">
        <v>3.43830681003584</v>
      </c>
      <c r="G609" s="2">
        <v>0.81738888888888905</v>
      </c>
      <c r="H609" s="2">
        <v>0.99</v>
      </c>
      <c r="I609" s="3"/>
      <c r="J609" s="3"/>
      <c r="K609" s="3"/>
      <c r="L609" s="3"/>
      <c r="M609" s="3"/>
      <c r="N609" s="3">
        <v>0</v>
      </c>
      <c r="O609" s="3"/>
      <c r="P609" s="3">
        <v>0</v>
      </c>
      <c r="Q609" s="3">
        <v>0</v>
      </c>
      <c r="R609" s="3">
        <v>0</v>
      </c>
      <c r="S609" s="3">
        <v>0</v>
      </c>
      <c r="T609" s="3">
        <v>0</v>
      </c>
      <c r="U609" s="3"/>
      <c r="V609" s="3"/>
      <c r="W609" s="3"/>
      <c r="X609" s="3"/>
      <c r="Y609" s="3"/>
      <c r="Z609" s="3"/>
      <c r="AA609" s="3"/>
      <c r="AB609" s="3"/>
      <c r="AC609" s="3"/>
      <c r="AD609" s="3"/>
      <c r="AE609" s="3">
        <v>0</v>
      </c>
      <c r="AF609" s="3">
        <v>0</v>
      </c>
      <c r="AG609" s="3"/>
      <c r="AH609" s="40"/>
      <c r="AI609" s="40"/>
      <c r="AJ609" s="40"/>
      <c r="AK609" s="40"/>
      <c r="AL609" s="40"/>
      <c r="AM609" s="40"/>
      <c r="AN609" s="40"/>
      <c r="AO609" s="40"/>
      <c r="AP609" s="40"/>
      <c r="AQ609" s="40"/>
      <c r="AR609" s="31"/>
      <c r="AS609" s="36">
        <v>0</v>
      </c>
      <c r="AY609" s="6"/>
      <c r="AZ609" s="2"/>
      <c r="BA609" s="2"/>
      <c r="BB609" s="2"/>
      <c r="BC609">
        <v>71500</v>
      </c>
      <c r="BD609">
        <v>56992</v>
      </c>
    </row>
    <row r="610" spans="3:56" x14ac:dyDescent="0.25">
      <c r="C610" s="1">
        <v>46230</v>
      </c>
      <c r="D610" s="36">
        <v>249932.632258064</v>
      </c>
      <c r="E610" s="33">
        <v>4.2064516129032299</v>
      </c>
      <c r="F610" s="33">
        <v>3.4382600716845899</v>
      </c>
      <c r="G610" s="2">
        <v>0.81737777777777798</v>
      </c>
      <c r="H610" s="2">
        <v>0.99</v>
      </c>
      <c r="I610" s="3"/>
      <c r="J610" s="3"/>
      <c r="K610" s="3"/>
      <c r="L610" s="3"/>
      <c r="M610" s="3"/>
      <c r="N610" s="3">
        <v>0</v>
      </c>
      <c r="O610" s="3"/>
      <c r="P610" s="3">
        <v>0</v>
      </c>
      <c r="Q610" s="3">
        <v>0</v>
      </c>
      <c r="R610" s="3">
        <v>0</v>
      </c>
      <c r="S610" s="3">
        <v>0</v>
      </c>
      <c r="T610" s="3">
        <v>0</v>
      </c>
      <c r="U610" s="3"/>
      <c r="V610" s="3"/>
      <c r="W610" s="3"/>
      <c r="X610" s="3"/>
      <c r="Y610" s="3"/>
      <c r="Z610" s="3"/>
      <c r="AA610" s="3"/>
      <c r="AB610" s="3"/>
      <c r="AC610" s="3"/>
      <c r="AD610" s="3"/>
      <c r="AE610" s="3">
        <v>0</v>
      </c>
      <c r="AF610" s="3">
        <v>0</v>
      </c>
      <c r="AG610" s="3"/>
      <c r="AH610" s="40"/>
      <c r="AI610" s="40"/>
      <c r="AJ610" s="40"/>
      <c r="AK610" s="40"/>
      <c r="AL610" s="40"/>
      <c r="AM610" s="40"/>
      <c r="AN610" s="40"/>
      <c r="AO610" s="40"/>
      <c r="AP610" s="40"/>
      <c r="AQ610" s="40"/>
      <c r="AR610" s="31"/>
      <c r="AS610" s="36">
        <v>0</v>
      </c>
      <c r="AY610" s="6"/>
      <c r="AZ610" s="2"/>
      <c r="BA610" s="2"/>
      <c r="BB610" s="2"/>
      <c r="BC610">
        <v>71500</v>
      </c>
      <c r="BD610">
        <v>56992</v>
      </c>
    </row>
    <row r="611" spans="3:56" x14ac:dyDescent="0.25">
      <c r="C611" s="1">
        <v>46231</v>
      </c>
      <c r="D611" s="36">
        <v>249932.632258064</v>
      </c>
      <c r="E611" s="33">
        <v>4.2064516129032299</v>
      </c>
      <c r="F611" s="33">
        <v>3.43821333333333</v>
      </c>
      <c r="G611" s="2">
        <v>0.81736666666666702</v>
      </c>
      <c r="H611" s="2">
        <v>0.99</v>
      </c>
      <c r="I611" s="3"/>
      <c r="J611" s="3"/>
      <c r="K611" s="3"/>
      <c r="L611" s="3"/>
      <c r="M611" s="3"/>
      <c r="N611" s="3">
        <v>0</v>
      </c>
      <c r="O611" s="3"/>
      <c r="P611" s="3">
        <v>0</v>
      </c>
      <c r="Q611" s="3">
        <v>0</v>
      </c>
      <c r="R611" s="3">
        <v>0</v>
      </c>
      <c r="S611" s="3">
        <v>0</v>
      </c>
      <c r="T611" s="3">
        <v>0</v>
      </c>
      <c r="U611" s="3"/>
      <c r="V611" s="3"/>
      <c r="W611" s="3"/>
      <c r="X611" s="3"/>
      <c r="Y611" s="3"/>
      <c r="Z611" s="3"/>
      <c r="AA611" s="3"/>
      <c r="AB611" s="3"/>
      <c r="AC611" s="3"/>
      <c r="AD611" s="3"/>
      <c r="AE611" s="3">
        <v>0</v>
      </c>
      <c r="AF611" s="3">
        <v>0</v>
      </c>
      <c r="AG611" s="3"/>
      <c r="AH611" s="40"/>
      <c r="AI611" s="40"/>
      <c r="AJ611" s="40"/>
      <c r="AK611" s="40"/>
      <c r="AL611" s="40"/>
      <c r="AM611" s="40"/>
      <c r="AN611" s="40"/>
      <c r="AO611" s="40"/>
      <c r="AP611" s="40"/>
      <c r="AQ611" s="40"/>
      <c r="AR611" s="31"/>
      <c r="AS611" s="36">
        <v>0</v>
      </c>
      <c r="AY611" s="6"/>
      <c r="AZ611" s="2"/>
      <c r="BA611" s="2"/>
      <c r="BB611" s="2"/>
      <c r="BC611">
        <v>71500</v>
      </c>
      <c r="BD611">
        <v>56992</v>
      </c>
    </row>
    <row r="612" spans="3:56" x14ac:dyDescent="0.25">
      <c r="C612" s="1">
        <v>46232</v>
      </c>
      <c r="D612" s="36">
        <v>249932.632258064</v>
      </c>
      <c r="E612" s="33">
        <v>4.2064516129032299</v>
      </c>
      <c r="F612" s="33">
        <v>3.4381665949820799</v>
      </c>
      <c r="G612" s="2">
        <v>0.81735555555555595</v>
      </c>
      <c r="H612" s="2">
        <v>0.99</v>
      </c>
      <c r="I612" s="3"/>
      <c r="J612" s="3"/>
      <c r="K612" s="3"/>
      <c r="L612" s="3"/>
      <c r="M612" s="3"/>
      <c r="N612" s="3">
        <v>0</v>
      </c>
      <c r="O612" s="3"/>
      <c r="P612" s="3">
        <v>0</v>
      </c>
      <c r="Q612" s="3">
        <v>0</v>
      </c>
      <c r="R612" s="3">
        <v>0</v>
      </c>
      <c r="S612" s="3">
        <v>0</v>
      </c>
      <c r="T612" s="3">
        <v>0</v>
      </c>
      <c r="U612" s="3"/>
      <c r="V612" s="3"/>
      <c r="W612" s="3"/>
      <c r="X612" s="3"/>
      <c r="Y612" s="3"/>
      <c r="Z612" s="3"/>
      <c r="AA612" s="3"/>
      <c r="AB612" s="3"/>
      <c r="AC612" s="3"/>
      <c r="AD612" s="3"/>
      <c r="AE612" s="3">
        <v>0</v>
      </c>
      <c r="AF612" s="3">
        <v>0</v>
      </c>
      <c r="AG612" s="3"/>
      <c r="AH612" s="40"/>
      <c r="AI612" s="40"/>
      <c r="AJ612" s="40"/>
      <c r="AK612" s="40"/>
      <c r="AL612" s="40"/>
      <c r="AM612" s="40"/>
      <c r="AN612" s="40"/>
      <c r="AO612" s="40"/>
      <c r="AP612" s="40"/>
      <c r="AQ612" s="40"/>
      <c r="AR612" s="31"/>
      <c r="AS612" s="36">
        <v>0</v>
      </c>
      <c r="AY612" s="6"/>
      <c r="AZ612" s="2"/>
      <c r="BA612" s="2"/>
      <c r="BB612" s="2"/>
      <c r="BC612">
        <v>71500</v>
      </c>
      <c r="BD612">
        <v>56992</v>
      </c>
    </row>
    <row r="613" spans="3:56" x14ac:dyDescent="0.25">
      <c r="C613" s="1">
        <v>46233</v>
      </c>
      <c r="D613" s="36">
        <v>249932.632258064</v>
      </c>
      <c r="E613" s="33">
        <v>4.2064516129032299</v>
      </c>
      <c r="F613" s="33">
        <v>3.43811985663082</v>
      </c>
      <c r="G613" s="2">
        <v>0.81734444444444398</v>
      </c>
      <c r="H613" s="2">
        <v>0.99</v>
      </c>
      <c r="I613" s="3"/>
      <c r="J613" s="3"/>
      <c r="K613" s="3"/>
      <c r="L613" s="3"/>
      <c r="M613" s="3"/>
      <c r="N613" s="3">
        <v>0</v>
      </c>
      <c r="O613" s="3"/>
      <c r="P613" s="3">
        <v>0</v>
      </c>
      <c r="Q613" s="3">
        <v>0</v>
      </c>
      <c r="R613" s="3">
        <v>0</v>
      </c>
      <c r="S613" s="3">
        <v>0</v>
      </c>
      <c r="T613" s="3">
        <v>0</v>
      </c>
      <c r="U613" s="3"/>
      <c r="V613" s="3"/>
      <c r="W613" s="3"/>
      <c r="X613" s="3"/>
      <c r="Y613" s="3"/>
      <c r="Z613" s="3"/>
      <c r="AA613" s="3"/>
      <c r="AB613" s="3"/>
      <c r="AC613" s="3"/>
      <c r="AD613" s="3"/>
      <c r="AE613" s="3">
        <v>0</v>
      </c>
      <c r="AF613" s="3">
        <v>0</v>
      </c>
      <c r="AG613" s="3"/>
      <c r="AH613" s="40"/>
      <c r="AI613" s="40"/>
      <c r="AJ613" s="40"/>
      <c r="AK613" s="40"/>
      <c r="AL613" s="40"/>
      <c r="AM613" s="40"/>
      <c r="AN613" s="40"/>
      <c r="AO613" s="40"/>
      <c r="AP613" s="40"/>
      <c r="AQ613" s="40"/>
      <c r="AR613" s="31"/>
      <c r="AS613" s="36">
        <v>0</v>
      </c>
      <c r="AY613" s="6"/>
      <c r="AZ613" s="2"/>
      <c r="BA613" s="2"/>
      <c r="BB613" s="2"/>
      <c r="BC613">
        <v>71500</v>
      </c>
      <c r="BD613">
        <v>56992</v>
      </c>
    </row>
    <row r="614" spans="3:56" x14ac:dyDescent="0.25">
      <c r="C614" s="1">
        <v>46234</v>
      </c>
      <c r="D614" s="36">
        <v>249932.632258064</v>
      </c>
      <c r="E614" s="33">
        <v>4.2064516129032299</v>
      </c>
      <c r="F614" s="33">
        <v>3.4380731182795699</v>
      </c>
      <c r="G614" s="2">
        <v>0.81733333333333302</v>
      </c>
      <c r="H614" s="2">
        <v>0.99</v>
      </c>
      <c r="I614" s="3"/>
      <c r="J614" s="3"/>
      <c r="K614" s="3"/>
      <c r="L614" s="3"/>
      <c r="M614" s="3"/>
      <c r="N614" s="3">
        <v>0</v>
      </c>
      <c r="O614" s="3"/>
      <c r="P614" s="3">
        <v>0</v>
      </c>
      <c r="Q614" s="3">
        <v>0</v>
      </c>
      <c r="R614" s="3">
        <v>0</v>
      </c>
      <c r="S614" s="3">
        <v>0</v>
      </c>
      <c r="T614" s="3">
        <v>0</v>
      </c>
      <c r="U614" s="3"/>
      <c r="V614" s="3"/>
      <c r="W614" s="3"/>
      <c r="X614" s="3"/>
      <c r="Y614" s="3"/>
      <c r="Z614" s="3"/>
      <c r="AA614" s="3"/>
      <c r="AB614" s="3"/>
      <c r="AC614" s="3"/>
      <c r="AD614" s="3"/>
      <c r="AE614" s="3">
        <v>0</v>
      </c>
      <c r="AF614" s="3">
        <v>0</v>
      </c>
      <c r="AG614" s="3"/>
      <c r="AH614" s="40"/>
      <c r="AI614" s="40"/>
      <c r="AJ614" s="40"/>
      <c r="AK614" s="40"/>
      <c r="AL614" s="40"/>
      <c r="AM614" s="40"/>
      <c r="AN614" s="40"/>
      <c r="AO614" s="40"/>
      <c r="AP614" s="40"/>
      <c r="AQ614" s="40"/>
      <c r="AR614" s="31"/>
      <c r="AS614" s="36">
        <v>0</v>
      </c>
      <c r="AY614" s="6"/>
      <c r="AZ614" s="2"/>
      <c r="BA614" s="2"/>
      <c r="BB614" s="2"/>
      <c r="BC614">
        <v>71500</v>
      </c>
      <c r="BD614">
        <v>56992</v>
      </c>
    </row>
    <row r="615" spans="3:56" x14ac:dyDescent="0.25">
      <c r="C615" s="1">
        <v>46235</v>
      </c>
      <c r="D615" s="36">
        <v>261950.629032258</v>
      </c>
      <c r="E615" s="33">
        <v>4.4193548387096797</v>
      </c>
      <c r="F615" s="33">
        <v>3.6120860215053798</v>
      </c>
      <c r="G615" s="2">
        <v>0.81733333333333302</v>
      </c>
      <c r="H615" s="2">
        <v>0.99</v>
      </c>
      <c r="I615" s="3"/>
      <c r="J615" s="3"/>
      <c r="K615" s="3"/>
      <c r="L615" s="3"/>
      <c r="M615" s="3"/>
      <c r="N615" s="3">
        <v>0</v>
      </c>
      <c r="O615" s="3"/>
      <c r="P615" s="3">
        <v>0</v>
      </c>
      <c r="Q615" s="3">
        <v>0</v>
      </c>
      <c r="R615" s="3">
        <v>0</v>
      </c>
      <c r="S615" s="3">
        <v>0</v>
      </c>
      <c r="T615" s="3">
        <v>0</v>
      </c>
      <c r="U615" s="3"/>
      <c r="V615" s="3"/>
      <c r="W615" s="3"/>
      <c r="X615" s="3"/>
      <c r="Y615" s="3"/>
      <c r="Z615" s="3"/>
      <c r="AA615" s="3"/>
      <c r="AB615" s="3"/>
      <c r="AC615" s="3"/>
      <c r="AD615" s="3"/>
      <c r="AE615" s="3">
        <v>0</v>
      </c>
      <c r="AF615" s="3">
        <v>0</v>
      </c>
      <c r="AG615" s="3"/>
      <c r="AH615" s="40"/>
      <c r="AI615" s="40"/>
      <c r="AJ615" s="40"/>
      <c r="AK615" s="40"/>
      <c r="AL615" s="40"/>
      <c r="AM615" s="40"/>
      <c r="AN615" s="40"/>
      <c r="AO615" s="40"/>
      <c r="AP615" s="40"/>
      <c r="AQ615" s="40"/>
      <c r="AR615" s="31"/>
      <c r="AS615" s="36">
        <v>0</v>
      </c>
      <c r="AY615" s="6"/>
      <c r="AZ615" s="2"/>
      <c r="BA615" s="2"/>
      <c r="BB615" s="2"/>
      <c r="BC615">
        <v>71500</v>
      </c>
      <c r="BD615">
        <v>56992</v>
      </c>
    </row>
    <row r="616" spans="3:56" x14ac:dyDescent="0.25">
      <c r="C616" s="1">
        <v>46236</v>
      </c>
      <c r="D616" s="36">
        <v>261950.629032258</v>
      </c>
      <c r="E616" s="33">
        <v>4.4193548387096797</v>
      </c>
      <c r="F616" s="33">
        <v>3.6120369175627198</v>
      </c>
      <c r="G616" s="2">
        <v>0.81732222222222195</v>
      </c>
      <c r="H616" s="2">
        <v>0.99</v>
      </c>
      <c r="I616" s="3"/>
      <c r="J616" s="3"/>
      <c r="K616" s="3"/>
      <c r="L616" s="3"/>
      <c r="M616" s="3"/>
      <c r="N616" s="3">
        <v>0</v>
      </c>
      <c r="O616" s="3"/>
      <c r="P616" s="3">
        <v>0</v>
      </c>
      <c r="Q616" s="3">
        <v>0</v>
      </c>
      <c r="R616" s="3">
        <v>0</v>
      </c>
      <c r="S616" s="3">
        <v>0</v>
      </c>
      <c r="T616" s="3">
        <v>0</v>
      </c>
      <c r="U616" s="3"/>
      <c r="V616" s="3"/>
      <c r="W616" s="3"/>
      <c r="X616" s="3"/>
      <c r="Y616" s="3"/>
      <c r="Z616" s="3"/>
      <c r="AA616" s="3"/>
      <c r="AB616" s="3"/>
      <c r="AC616" s="3"/>
      <c r="AD616" s="3"/>
      <c r="AE616" s="3">
        <v>0</v>
      </c>
      <c r="AF616" s="3">
        <v>0</v>
      </c>
      <c r="AG616" s="3"/>
      <c r="AH616" s="40"/>
      <c r="AI616" s="40"/>
      <c r="AJ616" s="40"/>
      <c r="AK616" s="40"/>
      <c r="AL616" s="40"/>
      <c r="AM616" s="40"/>
      <c r="AN616" s="40"/>
      <c r="AO616" s="40"/>
      <c r="AP616" s="40"/>
      <c r="AQ616" s="40"/>
      <c r="AR616" s="31"/>
      <c r="AS616" s="36">
        <v>0</v>
      </c>
      <c r="AY616" s="6"/>
      <c r="AZ616" s="2"/>
      <c r="BA616" s="2"/>
      <c r="BB616" s="2"/>
      <c r="BC616">
        <v>71500</v>
      </c>
      <c r="BD616">
        <v>56992</v>
      </c>
    </row>
    <row r="617" spans="3:56" x14ac:dyDescent="0.25">
      <c r="C617" s="1">
        <v>46237</v>
      </c>
      <c r="D617" s="36">
        <v>261950.629032258</v>
      </c>
      <c r="E617" s="33">
        <v>4.4193548387096797</v>
      </c>
      <c r="F617" s="33">
        <v>3.61198781362007</v>
      </c>
      <c r="G617" s="2">
        <v>0.81731111111111099</v>
      </c>
      <c r="H617" s="2">
        <v>0.99</v>
      </c>
      <c r="I617" s="3"/>
      <c r="J617" s="3"/>
      <c r="K617" s="3"/>
      <c r="L617" s="3"/>
      <c r="M617" s="3"/>
      <c r="N617" s="3">
        <v>0</v>
      </c>
      <c r="O617" s="3"/>
      <c r="P617" s="3">
        <v>0</v>
      </c>
      <c r="Q617" s="3">
        <v>0</v>
      </c>
      <c r="R617" s="3">
        <v>0</v>
      </c>
      <c r="S617" s="3">
        <v>0</v>
      </c>
      <c r="T617" s="3">
        <v>0</v>
      </c>
      <c r="U617" s="3"/>
      <c r="V617" s="3"/>
      <c r="W617" s="3"/>
      <c r="X617" s="3"/>
      <c r="Y617" s="3"/>
      <c r="Z617" s="3"/>
      <c r="AA617" s="3"/>
      <c r="AB617" s="3"/>
      <c r="AC617" s="3"/>
      <c r="AD617" s="3"/>
      <c r="AE617" s="3">
        <v>0</v>
      </c>
      <c r="AF617" s="3">
        <v>0</v>
      </c>
      <c r="AG617" s="3"/>
      <c r="AH617" s="40"/>
      <c r="AI617" s="40"/>
      <c r="AJ617" s="40"/>
      <c r="AK617" s="40"/>
      <c r="AL617" s="40"/>
      <c r="AM617" s="40"/>
      <c r="AN617" s="40"/>
      <c r="AO617" s="40"/>
      <c r="AP617" s="40"/>
      <c r="AQ617" s="40"/>
      <c r="AR617" s="31"/>
      <c r="AS617" s="36">
        <v>0</v>
      </c>
      <c r="AY617" s="6"/>
      <c r="AZ617" s="2"/>
      <c r="BA617" s="2"/>
      <c r="BB617" s="2"/>
      <c r="BC617">
        <v>71500</v>
      </c>
      <c r="BD617">
        <v>56992</v>
      </c>
    </row>
    <row r="618" spans="3:56" x14ac:dyDescent="0.25">
      <c r="C618" s="1">
        <v>46238</v>
      </c>
      <c r="D618" s="36">
        <v>261950.629032258</v>
      </c>
      <c r="E618" s="33">
        <v>4.4193548387096797</v>
      </c>
      <c r="F618" s="33">
        <v>3.6119387096774198</v>
      </c>
      <c r="G618" s="2">
        <v>0.81730000000000003</v>
      </c>
      <c r="H618" s="2">
        <v>0.99</v>
      </c>
      <c r="I618" s="3"/>
      <c r="J618" s="3"/>
      <c r="K618" s="3"/>
      <c r="L618" s="3"/>
      <c r="M618" s="3"/>
      <c r="N618" s="3">
        <v>0</v>
      </c>
      <c r="O618" s="3"/>
      <c r="P618" s="3">
        <v>0</v>
      </c>
      <c r="Q618" s="3">
        <v>0</v>
      </c>
      <c r="R618" s="3">
        <v>0</v>
      </c>
      <c r="S618" s="3">
        <v>0</v>
      </c>
      <c r="T618" s="3">
        <v>0</v>
      </c>
      <c r="U618" s="3"/>
      <c r="V618" s="3"/>
      <c r="W618" s="3"/>
      <c r="X618" s="3"/>
      <c r="Y618" s="3"/>
      <c r="Z618" s="3"/>
      <c r="AA618" s="3"/>
      <c r="AB618" s="3"/>
      <c r="AC618" s="3"/>
      <c r="AD618" s="3"/>
      <c r="AE618" s="3">
        <v>0</v>
      </c>
      <c r="AF618" s="3">
        <v>0</v>
      </c>
      <c r="AG618" s="3"/>
      <c r="AH618" s="40"/>
      <c r="AI618" s="40"/>
      <c r="AJ618" s="40"/>
      <c r="AK618" s="40"/>
      <c r="AL618" s="40"/>
      <c r="AM618" s="40"/>
      <c r="AN618" s="40"/>
      <c r="AO618" s="40"/>
      <c r="AP618" s="40"/>
      <c r="AQ618" s="40"/>
      <c r="AR618" s="31"/>
      <c r="AS618" s="36">
        <v>0</v>
      </c>
      <c r="AY618" s="6"/>
      <c r="AZ618" s="2"/>
      <c r="BA618" s="2"/>
      <c r="BB618" s="2"/>
      <c r="BC618">
        <v>71500</v>
      </c>
      <c r="BD618">
        <v>56992</v>
      </c>
    </row>
    <row r="619" spans="3:56" x14ac:dyDescent="0.25">
      <c r="C619" s="1">
        <v>46239</v>
      </c>
      <c r="D619" s="36">
        <v>261950.629032258</v>
      </c>
      <c r="E619" s="33">
        <v>4.4193548387096797</v>
      </c>
      <c r="F619" s="33">
        <v>3.61188960573477</v>
      </c>
      <c r="G619" s="2">
        <v>0.81728888888888895</v>
      </c>
      <c r="H619" s="2">
        <v>0.99</v>
      </c>
      <c r="I619" s="3"/>
      <c r="J619" s="3"/>
      <c r="K619" s="3"/>
      <c r="L619" s="3"/>
      <c r="M619" s="3"/>
      <c r="N619" s="3">
        <v>0</v>
      </c>
      <c r="O619" s="3"/>
      <c r="P619" s="3">
        <v>0</v>
      </c>
      <c r="Q619" s="3">
        <v>0</v>
      </c>
      <c r="R619" s="3">
        <v>0</v>
      </c>
      <c r="S619" s="3">
        <v>0</v>
      </c>
      <c r="T619" s="3">
        <v>0</v>
      </c>
      <c r="U619" s="3"/>
      <c r="V619" s="3"/>
      <c r="W619" s="3"/>
      <c r="X619" s="3"/>
      <c r="Y619" s="3"/>
      <c r="Z619" s="3"/>
      <c r="AA619" s="3"/>
      <c r="AB619" s="3"/>
      <c r="AC619" s="3"/>
      <c r="AD619" s="3"/>
      <c r="AE619" s="3">
        <v>0</v>
      </c>
      <c r="AF619" s="3">
        <v>0</v>
      </c>
      <c r="AG619" s="3"/>
      <c r="AH619" s="40"/>
      <c r="AI619" s="40"/>
      <c r="AJ619" s="40"/>
      <c r="AK619" s="40"/>
      <c r="AL619" s="40"/>
      <c r="AM619" s="40"/>
      <c r="AN619" s="40"/>
      <c r="AO619" s="40"/>
      <c r="AP619" s="40"/>
      <c r="AQ619" s="40"/>
      <c r="AR619" s="31"/>
      <c r="AS619" s="36">
        <v>0</v>
      </c>
      <c r="AY619" s="6"/>
      <c r="AZ619" s="2"/>
      <c r="BA619" s="2"/>
      <c r="BB619" s="2"/>
      <c r="BC619">
        <v>71500</v>
      </c>
      <c r="BD619">
        <v>56992</v>
      </c>
    </row>
    <row r="620" spans="3:56" x14ac:dyDescent="0.25">
      <c r="C620" s="1">
        <v>46240</v>
      </c>
      <c r="D620" s="36">
        <v>261950.629032258</v>
      </c>
      <c r="E620" s="33">
        <v>4.4193548387096797</v>
      </c>
      <c r="F620" s="33">
        <v>3.61184050179211</v>
      </c>
      <c r="G620" s="2">
        <v>0.81727777777777799</v>
      </c>
      <c r="H620" s="2">
        <v>0.99</v>
      </c>
      <c r="I620" s="3"/>
      <c r="J620" s="3"/>
      <c r="K620" s="3"/>
      <c r="L620" s="3"/>
      <c r="M620" s="3"/>
      <c r="N620" s="3">
        <v>0</v>
      </c>
      <c r="O620" s="3"/>
      <c r="P620" s="3">
        <v>0</v>
      </c>
      <c r="Q620" s="3">
        <v>0</v>
      </c>
      <c r="R620" s="3">
        <v>0</v>
      </c>
      <c r="S620" s="3">
        <v>0</v>
      </c>
      <c r="T620" s="3">
        <v>0</v>
      </c>
      <c r="U620" s="3"/>
      <c r="V620" s="3"/>
      <c r="W620" s="3"/>
      <c r="X620" s="3"/>
      <c r="Y620" s="3"/>
      <c r="Z620" s="3"/>
      <c r="AA620" s="3"/>
      <c r="AB620" s="3"/>
      <c r="AC620" s="3"/>
      <c r="AD620" s="3"/>
      <c r="AE620" s="3">
        <v>0</v>
      </c>
      <c r="AF620" s="3">
        <v>0</v>
      </c>
      <c r="AG620" s="3"/>
      <c r="AH620" s="40"/>
      <c r="AI620" s="40"/>
      <c r="AJ620" s="40"/>
      <c r="AK620" s="40"/>
      <c r="AL620" s="40"/>
      <c r="AM620" s="40"/>
      <c r="AN620" s="40"/>
      <c r="AO620" s="40"/>
      <c r="AP620" s="40"/>
      <c r="AQ620" s="40"/>
      <c r="AR620" s="31"/>
      <c r="AS620" s="36">
        <v>0</v>
      </c>
      <c r="AY620" s="6"/>
      <c r="AZ620" s="2"/>
      <c r="BA620" s="2"/>
      <c r="BB620" s="2"/>
      <c r="BC620">
        <v>71500</v>
      </c>
      <c r="BD620">
        <v>56992</v>
      </c>
    </row>
    <row r="621" spans="3:56" x14ac:dyDescent="0.25">
      <c r="C621" s="1">
        <v>46241</v>
      </c>
      <c r="D621" s="36">
        <v>261950.629032258</v>
      </c>
      <c r="E621" s="33">
        <v>4.4193548387096797</v>
      </c>
      <c r="F621" s="33">
        <v>3.6117913978494598</v>
      </c>
      <c r="G621" s="2">
        <v>0.81726666666666703</v>
      </c>
      <c r="H621" s="2">
        <v>0.99</v>
      </c>
      <c r="I621" s="3"/>
      <c r="J621" s="3"/>
      <c r="K621" s="3"/>
      <c r="L621" s="3"/>
      <c r="M621" s="3"/>
      <c r="N621" s="3">
        <v>0</v>
      </c>
      <c r="O621" s="3"/>
      <c r="P621" s="3">
        <v>0</v>
      </c>
      <c r="Q621" s="3">
        <v>0</v>
      </c>
      <c r="R621" s="3">
        <v>0</v>
      </c>
      <c r="S621" s="3">
        <v>0</v>
      </c>
      <c r="T621" s="3">
        <v>0</v>
      </c>
      <c r="U621" s="3"/>
      <c r="V621" s="3"/>
      <c r="W621" s="3"/>
      <c r="X621" s="3"/>
      <c r="Y621" s="3"/>
      <c r="Z621" s="3"/>
      <c r="AA621" s="3"/>
      <c r="AB621" s="3"/>
      <c r="AC621" s="3"/>
      <c r="AD621" s="3"/>
      <c r="AE621" s="3">
        <v>0</v>
      </c>
      <c r="AF621" s="3">
        <v>0</v>
      </c>
      <c r="AG621" s="3"/>
      <c r="AH621" s="40"/>
      <c r="AI621" s="40"/>
      <c r="AJ621" s="40"/>
      <c r="AK621" s="40"/>
      <c r="AL621" s="40"/>
      <c r="AM621" s="40"/>
      <c r="AN621" s="40"/>
      <c r="AO621" s="40"/>
      <c r="AP621" s="40"/>
      <c r="AQ621" s="40"/>
      <c r="AR621" s="31"/>
      <c r="AS621" s="36">
        <v>0</v>
      </c>
      <c r="AY621" s="6"/>
      <c r="AZ621" s="2"/>
      <c r="BA621" s="2"/>
      <c r="BB621" s="2"/>
      <c r="BC621">
        <v>71500</v>
      </c>
      <c r="BD621">
        <v>56992</v>
      </c>
    </row>
    <row r="622" spans="3:56" x14ac:dyDescent="0.25">
      <c r="C622" s="1">
        <v>46242</v>
      </c>
      <c r="D622" s="36">
        <v>261950.629032258</v>
      </c>
      <c r="E622" s="33">
        <v>4.4193548387096797</v>
      </c>
      <c r="F622" s="33">
        <v>3.61174229390681</v>
      </c>
      <c r="G622" s="2">
        <v>0.81725555555555596</v>
      </c>
      <c r="H622" s="2">
        <v>0.99</v>
      </c>
      <c r="I622" s="3"/>
      <c r="J622" s="3"/>
      <c r="K622" s="3"/>
      <c r="L622" s="3"/>
      <c r="M622" s="3"/>
      <c r="N622" s="3">
        <v>0</v>
      </c>
      <c r="O622" s="3"/>
      <c r="P622" s="3">
        <v>0</v>
      </c>
      <c r="Q622" s="3">
        <v>0</v>
      </c>
      <c r="R622" s="3">
        <v>0</v>
      </c>
      <c r="S622" s="3">
        <v>0</v>
      </c>
      <c r="T622" s="3">
        <v>0</v>
      </c>
      <c r="U622" s="3"/>
      <c r="V622" s="3"/>
      <c r="W622" s="3"/>
      <c r="X622" s="3"/>
      <c r="Y622" s="3"/>
      <c r="Z622" s="3"/>
      <c r="AA622" s="3"/>
      <c r="AB622" s="3"/>
      <c r="AC622" s="3"/>
      <c r="AD622" s="3"/>
      <c r="AE622" s="3">
        <v>0</v>
      </c>
      <c r="AF622" s="3">
        <v>0</v>
      </c>
      <c r="AG622" s="3"/>
      <c r="AH622" s="40"/>
      <c r="AI622" s="40"/>
      <c r="AJ622" s="40"/>
      <c r="AK622" s="40"/>
      <c r="AL622" s="40"/>
      <c r="AM622" s="40"/>
      <c r="AN622" s="40"/>
      <c r="AO622" s="40"/>
      <c r="AP622" s="40"/>
      <c r="AQ622" s="40"/>
      <c r="AR622" s="31"/>
      <c r="AS622" s="36">
        <v>0</v>
      </c>
      <c r="AY622" s="6"/>
      <c r="AZ622" s="2"/>
      <c r="BA622" s="2"/>
      <c r="BB622" s="2"/>
      <c r="BC622">
        <v>71500</v>
      </c>
      <c r="BD622">
        <v>56992</v>
      </c>
    </row>
    <row r="623" spans="3:56" x14ac:dyDescent="0.25">
      <c r="C623" s="1">
        <v>46243</v>
      </c>
      <c r="D623" s="36">
        <v>261950.629032258</v>
      </c>
      <c r="E623" s="33">
        <v>4.4193548387096797</v>
      </c>
      <c r="F623" s="33">
        <v>3.6116931899641598</v>
      </c>
      <c r="G623" s="2">
        <v>0.817244444444444</v>
      </c>
      <c r="H623" s="2">
        <v>0.99</v>
      </c>
      <c r="I623" s="3"/>
      <c r="J623" s="3"/>
      <c r="K623" s="3"/>
      <c r="L623" s="3"/>
      <c r="M623" s="3"/>
      <c r="N623" s="3">
        <v>0</v>
      </c>
      <c r="O623" s="3"/>
      <c r="P623" s="3">
        <v>0</v>
      </c>
      <c r="Q623" s="3">
        <v>0</v>
      </c>
      <c r="R623" s="3">
        <v>0</v>
      </c>
      <c r="S623" s="3">
        <v>0</v>
      </c>
      <c r="T623" s="3">
        <v>0</v>
      </c>
      <c r="U623" s="3"/>
      <c r="V623" s="3"/>
      <c r="W623" s="3"/>
      <c r="X623" s="3"/>
      <c r="Y623" s="3"/>
      <c r="Z623" s="3"/>
      <c r="AA623" s="3"/>
      <c r="AB623" s="3"/>
      <c r="AC623" s="3"/>
      <c r="AD623" s="3"/>
      <c r="AE623" s="3">
        <v>0</v>
      </c>
      <c r="AF623" s="3">
        <v>0</v>
      </c>
      <c r="AG623" s="3"/>
      <c r="AH623" s="40"/>
      <c r="AI623" s="40"/>
      <c r="AJ623" s="40"/>
      <c r="AK623" s="40"/>
      <c r="AL623" s="40"/>
      <c r="AM623" s="40"/>
      <c r="AN623" s="40"/>
      <c r="AO623" s="40"/>
      <c r="AP623" s="40"/>
      <c r="AQ623" s="40"/>
      <c r="AR623" s="31"/>
      <c r="AS623" s="36">
        <v>0</v>
      </c>
      <c r="AY623" s="6"/>
      <c r="AZ623" s="2"/>
      <c r="BA623" s="2"/>
      <c r="BB623" s="2"/>
      <c r="BC623">
        <v>71500</v>
      </c>
      <c r="BD623">
        <v>56992</v>
      </c>
    </row>
    <row r="624" spans="3:56" x14ac:dyDescent="0.25">
      <c r="C624" s="1">
        <v>46244</v>
      </c>
      <c r="D624" s="36">
        <v>261950.629032258</v>
      </c>
      <c r="E624" s="33">
        <v>4.4193548387096797</v>
      </c>
      <c r="F624" s="33">
        <v>3.61164408602151</v>
      </c>
      <c r="G624" s="2">
        <v>0.81723333333333303</v>
      </c>
      <c r="H624" s="2">
        <v>0.99</v>
      </c>
      <c r="I624" s="3"/>
      <c r="J624" s="3"/>
      <c r="K624" s="3"/>
      <c r="L624" s="3"/>
      <c r="M624" s="3"/>
      <c r="N624" s="3">
        <v>0</v>
      </c>
      <c r="O624" s="3"/>
      <c r="P624" s="3">
        <v>0</v>
      </c>
      <c r="Q624" s="3">
        <v>0</v>
      </c>
      <c r="R624" s="3">
        <v>0</v>
      </c>
      <c r="S624" s="3">
        <v>0</v>
      </c>
      <c r="T624" s="3">
        <v>0</v>
      </c>
      <c r="U624" s="3"/>
      <c r="V624" s="3"/>
      <c r="W624" s="3"/>
      <c r="X624" s="3"/>
      <c r="Y624" s="3"/>
      <c r="Z624" s="3"/>
      <c r="AA624" s="3"/>
      <c r="AB624" s="3"/>
      <c r="AC624" s="3"/>
      <c r="AD624" s="3"/>
      <c r="AE624" s="3">
        <v>0</v>
      </c>
      <c r="AF624" s="3">
        <v>0</v>
      </c>
      <c r="AG624" s="3"/>
      <c r="AH624" s="40"/>
      <c r="AI624" s="40"/>
      <c r="AJ624" s="40"/>
      <c r="AK624" s="40"/>
      <c r="AL624" s="40"/>
      <c r="AM624" s="40"/>
      <c r="AN624" s="40"/>
      <c r="AO624" s="40"/>
      <c r="AP624" s="40"/>
      <c r="AQ624" s="40"/>
      <c r="AR624" s="31"/>
      <c r="AS624" s="36">
        <v>0</v>
      </c>
      <c r="AY624" s="6"/>
      <c r="AZ624" s="2"/>
      <c r="BA624" s="2"/>
      <c r="BB624" s="2"/>
      <c r="BC624">
        <v>71500</v>
      </c>
      <c r="BD624">
        <v>56992</v>
      </c>
    </row>
    <row r="625" spans="3:56" x14ac:dyDescent="0.25">
      <c r="C625" s="1">
        <v>46245</v>
      </c>
      <c r="D625" s="36">
        <v>261950.629032258</v>
      </c>
      <c r="E625" s="33">
        <v>4.4193548387096797</v>
      </c>
      <c r="F625" s="33">
        <v>3.61159498207885</v>
      </c>
      <c r="G625" s="2">
        <v>0.81722222222222196</v>
      </c>
      <c r="H625" s="2">
        <v>0.99</v>
      </c>
      <c r="I625" s="3"/>
      <c r="J625" s="3"/>
      <c r="K625" s="3"/>
      <c r="L625" s="3"/>
      <c r="M625" s="3"/>
      <c r="N625" s="3">
        <v>0</v>
      </c>
      <c r="O625" s="3"/>
      <c r="P625" s="3">
        <v>0</v>
      </c>
      <c r="Q625" s="3">
        <v>0</v>
      </c>
      <c r="R625" s="3">
        <v>0</v>
      </c>
      <c r="S625" s="3">
        <v>0</v>
      </c>
      <c r="T625" s="3">
        <v>0</v>
      </c>
      <c r="U625" s="3"/>
      <c r="V625" s="3"/>
      <c r="W625" s="3"/>
      <c r="X625" s="3"/>
      <c r="Y625" s="3"/>
      <c r="Z625" s="3"/>
      <c r="AA625" s="3"/>
      <c r="AB625" s="3"/>
      <c r="AC625" s="3"/>
      <c r="AD625" s="3"/>
      <c r="AE625" s="3">
        <v>0</v>
      </c>
      <c r="AF625" s="3">
        <v>0</v>
      </c>
      <c r="AG625" s="3"/>
      <c r="AH625" s="40"/>
      <c r="AI625" s="40"/>
      <c r="AJ625" s="40"/>
      <c r="AK625" s="40"/>
      <c r="AL625" s="40"/>
      <c r="AM625" s="40"/>
      <c r="AN625" s="40"/>
      <c r="AO625" s="40"/>
      <c r="AP625" s="40"/>
      <c r="AQ625" s="40"/>
      <c r="AR625" s="31"/>
      <c r="AS625" s="36">
        <v>0</v>
      </c>
      <c r="AY625" s="6"/>
      <c r="AZ625" s="2"/>
      <c r="BA625" s="2"/>
      <c r="BB625" s="2"/>
      <c r="BC625">
        <v>71500</v>
      </c>
      <c r="BD625">
        <v>56992</v>
      </c>
    </row>
    <row r="626" spans="3:56" x14ac:dyDescent="0.25">
      <c r="C626" s="1">
        <v>46246</v>
      </c>
      <c r="D626" s="36">
        <v>261950.629032258</v>
      </c>
      <c r="E626" s="33">
        <v>4.4193548387096797</v>
      </c>
      <c r="F626" s="33">
        <v>3.6115458781362002</v>
      </c>
      <c r="G626" s="2">
        <v>0.817211111111111</v>
      </c>
      <c r="H626" s="2">
        <v>0.99</v>
      </c>
      <c r="I626" s="3"/>
      <c r="J626" s="3"/>
      <c r="K626" s="3"/>
      <c r="L626" s="3"/>
      <c r="M626" s="3"/>
      <c r="N626" s="3">
        <v>0</v>
      </c>
      <c r="O626" s="3"/>
      <c r="P626" s="3">
        <v>0</v>
      </c>
      <c r="Q626" s="3">
        <v>0</v>
      </c>
      <c r="R626" s="3">
        <v>0</v>
      </c>
      <c r="S626" s="3">
        <v>0</v>
      </c>
      <c r="T626" s="3">
        <v>0</v>
      </c>
      <c r="U626" s="3"/>
      <c r="V626" s="3"/>
      <c r="W626" s="3"/>
      <c r="X626" s="3"/>
      <c r="Y626" s="3"/>
      <c r="Z626" s="3"/>
      <c r="AA626" s="3"/>
      <c r="AB626" s="3"/>
      <c r="AC626" s="3"/>
      <c r="AD626" s="3"/>
      <c r="AE626" s="3">
        <v>0</v>
      </c>
      <c r="AF626" s="3">
        <v>0</v>
      </c>
      <c r="AG626" s="3"/>
      <c r="AH626" s="40"/>
      <c r="AI626" s="40"/>
      <c r="AJ626" s="40"/>
      <c r="AK626" s="40"/>
      <c r="AL626" s="40"/>
      <c r="AM626" s="40"/>
      <c r="AN626" s="40"/>
      <c r="AO626" s="40"/>
      <c r="AP626" s="40"/>
      <c r="AQ626" s="40"/>
      <c r="AR626" s="31"/>
      <c r="AS626" s="36">
        <v>0</v>
      </c>
      <c r="AY626" s="6"/>
      <c r="AZ626" s="2"/>
      <c r="BA626" s="2"/>
      <c r="BB626" s="2"/>
      <c r="BC626">
        <v>71500</v>
      </c>
      <c r="BD626">
        <v>56992</v>
      </c>
    </row>
    <row r="627" spans="3:56" x14ac:dyDescent="0.25">
      <c r="C627" s="1">
        <v>46247</v>
      </c>
      <c r="D627" s="36">
        <v>261950.629032258</v>
      </c>
      <c r="E627" s="33">
        <v>4.4193548387096797</v>
      </c>
      <c r="F627" s="33">
        <v>3.61149677419355</v>
      </c>
      <c r="G627" s="2">
        <v>0.81720000000000004</v>
      </c>
      <c r="H627" s="2">
        <v>0.99</v>
      </c>
      <c r="I627" s="3"/>
      <c r="J627" s="3"/>
      <c r="K627" s="3"/>
      <c r="L627" s="3"/>
      <c r="M627" s="3"/>
      <c r="N627" s="3">
        <v>0</v>
      </c>
      <c r="O627" s="3"/>
      <c r="P627" s="3">
        <v>0</v>
      </c>
      <c r="Q627" s="3">
        <v>0</v>
      </c>
      <c r="R627" s="3">
        <v>0</v>
      </c>
      <c r="S627" s="3">
        <v>0</v>
      </c>
      <c r="T627" s="3">
        <v>0</v>
      </c>
      <c r="U627" s="3"/>
      <c r="V627" s="3"/>
      <c r="W627" s="3"/>
      <c r="X627" s="3"/>
      <c r="Y627" s="3"/>
      <c r="Z627" s="3"/>
      <c r="AA627" s="3"/>
      <c r="AB627" s="3"/>
      <c r="AC627" s="3"/>
      <c r="AD627" s="3"/>
      <c r="AE627" s="3">
        <v>0</v>
      </c>
      <c r="AF627" s="3">
        <v>0</v>
      </c>
      <c r="AG627" s="3"/>
      <c r="AH627" s="40"/>
      <c r="AI627" s="40"/>
      <c r="AJ627" s="40"/>
      <c r="AK627" s="40"/>
      <c r="AL627" s="40"/>
      <c r="AM627" s="40"/>
      <c r="AN627" s="40"/>
      <c r="AO627" s="40"/>
      <c r="AP627" s="40"/>
      <c r="AQ627" s="40"/>
      <c r="AR627" s="31"/>
      <c r="AS627" s="36">
        <v>0</v>
      </c>
      <c r="AY627" s="6"/>
      <c r="AZ627" s="2"/>
      <c r="BA627" s="2"/>
      <c r="BB627" s="2"/>
      <c r="BC627">
        <v>71500</v>
      </c>
      <c r="BD627">
        <v>56992</v>
      </c>
    </row>
    <row r="628" spans="3:56" x14ac:dyDescent="0.25">
      <c r="C628" s="1">
        <v>46248</v>
      </c>
      <c r="D628" s="36">
        <v>261950.629032258</v>
      </c>
      <c r="E628" s="33">
        <v>4.4193548387096797</v>
      </c>
      <c r="F628" s="33">
        <v>3.6114476702509002</v>
      </c>
      <c r="G628" s="2">
        <v>0.81718888888888896</v>
      </c>
      <c r="H628" s="2">
        <v>0.99</v>
      </c>
      <c r="I628" s="3"/>
      <c r="J628" s="3"/>
      <c r="K628" s="3"/>
      <c r="L628" s="3"/>
      <c r="M628" s="3"/>
      <c r="N628" s="3">
        <v>0</v>
      </c>
      <c r="O628" s="3"/>
      <c r="P628" s="3">
        <v>0</v>
      </c>
      <c r="Q628" s="3">
        <v>0</v>
      </c>
      <c r="R628" s="3">
        <v>0</v>
      </c>
      <c r="S628" s="3">
        <v>0</v>
      </c>
      <c r="T628" s="3">
        <v>0</v>
      </c>
      <c r="U628" s="3"/>
      <c r="V628" s="3"/>
      <c r="W628" s="3"/>
      <c r="X628" s="3"/>
      <c r="Y628" s="3"/>
      <c r="Z628" s="3"/>
      <c r="AA628" s="3"/>
      <c r="AB628" s="3"/>
      <c r="AC628" s="3"/>
      <c r="AD628" s="3"/>
      <c r="AE628" s="3">
        <v>0</v>
      </c>
      <c r="AF628" s="3">
        <v>0</v>
      </c>
      <c r="AG628" s="3"/>
      <c r="AH628" s="40"/>
      <c r="AI628" s="40"/>
      <c r="AJ628" s="40"/>
      <c r="AK628" s="40"/>
      <c r="AL628" s="40"/>
      <c r="AM628" s="40"/>
      <c r="AN628" s="40"/>
      <c r="AO628" s="40"/>
      <c r="AP628" s="40"/>
      <c r="AQ628" s="40"/>
      <c r="AR628" s="31"/>
      <c r="AS628" s="36">
        <v>0</v>
      </c>
      <c r="AY628" s="6"/>
      <c r="AZ628" s="2"/>
      <c r="BA628" s="2"/>
      <c r="BB628" s="2"/>
      <c r="BC628">
        <v>71500</v>
      </c>
      <c r="BD628">
        <v>56992</v>
      </c>
    </row>
    <row r="629" spans="3:56" x14ac:dyDescent="0.25">
      <c r="C629" s="1">
        <v>46249</v>
      </c>
      <c r="D629" s="36">
        <v>261950.629032258</v>
      </c>
      <c r="E629" s="33">
        <v>4.4193548387096797</v>
      </c>
      <c r="F629" s="33">
        <v>3.6113985663082402</v>
      </c>
      <c r="G629" s="2">
        <v>0.817177777777778</v>
      </c>
      <c r="H629" s="2">
        <v>0.99</v>
      </c>
      <c r="I629" s="3"/>
      <c r="J629" s="3"/>
      <c r="K629" s="3"/>
      <c r="L629" s="3"/>
      <c r="M629" s="3"/>
      <c r="N629" s="3">
        <v>0</v>
      </c>
      <c r="O629" s="3"/>
      <c r="P629" s="3">
        <v>0</v>
      </c>
      <c r="Q629" s="3">
        <v>0</v>
      </c>
      <c r="R629" s="3">
        <v>0</v>
      </c>
      <c r="S629" s="3">
        <v>0</v>
      </c>
      <c r="T629" s="3">
        <v>0</v>
      </c>
      <c r="U629" s="3"/>
      <c r="V629" s="3"/>
      <c r="W629" s="3"/>
      <c r="X629" s="3"/>
      <c r="Y629" s="3"/>
      <c r="Z629" s="3"/>
      <c r="AA629" s="3"/>
      <c r="AB629" s="3"/>
      <c r="AC629" s="3"/>
      <c r="AD629" s="3"/>
      <c r="AE629" s="3">
        <v>0</v>
      </c>
      <c r="AF629" s="3">
        <v>0</v>
      </c>
      <c r="AG629" s="3"/>
      <c r="AH629" s="40"/>
      <c r="AI629" s="40"/>
      <c r="AJ629" s="40"/>
      <c r="AK629" s="40"/>
      <c r="AL629" s="40"/>
      <c r="AM629" s="40"/>
      <c r="AN629" s="40"/>
      <c r="AO629" s="40"/>
      <c r="AP629" s="40"/>
      <c r="AQ629" s="40"/>
      <c r="AR629" s="31"/>
      <c r="AS629" s="36">
        <v>0</v>
      </c>
      <c r="AY629" s="6"/>
      <c r="AZ629" s="2"/>
      <c r="BA629" s="2"/>
      <c r="BB629" s="2"/>
      <c r="BC629">
        <v>71500</v>
      </c>
      <c r="BD629">
        <v>56992</v>
      </c>
    </row>
    <row r="630" spans="3:56" x14ac:dyDescent="0.25">
      <c r="C630" s="1">
        <v>46250</v>
      </c>
      <c r="D630" s="36">
        <v>261950.629032258</v>
      </c>
      <c r="E630" s="33">
        <v>4.4193548387096797</v>
      </c>
      <c r="F630" s="33">
        <v>3.61134946236559</v>
      </c>
      <c r="G630" s="2">
        <v>0.81716666666666704</v>
      </c>
      <c r="H630" s="2">
        <v>0.99</v>
      </c>
      <c r="I630" s="3"/>
      <c r="J630" s="3"/>
      <c r="K630" s="3"/>
      <c r="L630" s="3"/>
      <c r="M630" s="3"/>
      <c r="N630" s="3">
        <v>0</v>
      </c>
      <c r="O630" s="3"/>
      <c r="P630" s="3">
        <v>0</v>
      </c>
      <c r="Q630" s="3">
        <v>0</v>
      </c>
      <c r="R630" s="3">
        <v>0</v>
      </c>
      <c r="S630" s="3">
        <v>0</v>
      </c>
      <c r="T630" s="3">
        <v>0</v>
      </c>
      <c r="U630" s="3"/>
      <c r="V630" s="3"/>
      <c r="W630" s="3"/>
      <c r="X630" s="3"/>
      <c r="Y630" s="3"/>
      <c r="Z630" s="3"/>
      <c r="AA630" s="3"/>
      <c r="AB630" s="3"/>
      <c r="AC630" s="3"/>
      <c r="AD630" s="3"/>
      <c r="AE630" s="3">
        <v>0</v>
      </c>
      <c r="AF630" s="3">
        <v>0</v>
      </c>
      <c r="AG630" s="3"/>
      <c r="AH630" s="40"/>
      <c r="AI630" s="40"/>
      <c r="AJ630" s="40"/>
      <c r="AK630" s="40"/>
      <c r="AL630" s="40"/>
      <c r="AM630" s="40"/>
      <c r="AN630" s="40"/>
      <c r="AO630" s="40"/>
      <c r="AP630" s="40"/>
      <c r="AQ630" s="40"/>
      <c r="AR630" s="31"/>
      <c r="AS630" s="36">
        <v>0</v>
      </c>
      <c r="AY630" s="6"/>
      <c r="AZ630" s="2"/>
      <c r="BA630" s="2"/>
      <c r="BB630" s="2"/>
      <c r="BC630">
        <v>71500</v>
      </c>
      <c r="BD630">
        <v>56992</v>
      </c>
    </row>
    <row r="631" spans="3:56" x14ac:dyDescent="0.25">
      <c r="C631" s="1">
        <v>46251</v>
      </c>
      <c r="D631" s="36">
        <v>261950.629032258</v>
      </c>
      <c r="E631" s="33">
        <v>4.4193548387096797</v>
      </c>
      <c r="F631" s="33">
        <v>3.6113003584229402</v>
      </c>
      <c r="G631" s="2">
        <v>0.81715555555555597</v>
      </c>
      <c r="H631" s="2">
        <v>0.99</v>
      </c>
      <c r="I631" s="3"/>
      <c r="J631" s="3"/>
      <c r="K631" s="3"/>
      <c r="L631" s="3"/>
      <c r="M631" s="3"/>
      <c r="N631" s="3">
        <v>0</v>
      </c>
      <c r="O631" s="3"/>
      <c r="P631" s="3">
        <v>0</v>
      </c>
      <c r="Q631" s="3">
        <v>0</v>
      </c>
      <c r="R631" s="3">
        <v>0</v>
      </c>
      <c r="S631" s="3">
        <v>0</v>
      </c>
      <c r="T631" s="3">
        <v>0</v>
      </c>
      <c r="U631" s="3"/>
      <c r="V631" s="3"/>
      <c r="W631" s="3"/>
      <c r="X631" s="3"/>
      <c r="Y631" s="3"/>
      <c r="Z631" s="3"/>
      <c r="AA631" s="3"/>
      <c r="AB631" s="3"/>
      <c r="AC631" s="3"/>
      <c r="AD631" s="3"/>
      <c r="AE631" s="3">
        <v>0</v>
      </c>
      <c r="AF631" s="3">
        <v>0</v>
      </c>
      <c r="AG631" s="3"/>
      <c r="AH631" s="40"/>
      <c r="AI631" s="40"/>
      <c r="AJ631" s="40"/>
      <c r="AK631" s="40"/>
      <c r="AL631" s="40"/>
      <c r="AM631" s="40"/>
      <c r="AN631" s="40"/>
      <c r="AO631" s="40"/>
      <c r="AP631" s="40"/>
      <c r="AQ631" s="40"/>
      <c r="AR631" s="31"/>
      <c r="AS631" s="36">
        <v>0</v>
      </c>
      <c r="AY631" s="6"/>
      <c r="AZ631" s="2"/>
      <c r="BA631" s="2"/>
      <c r="BB631" s="2"/>
      <c r="BC631">
        <v>71500</v>
      </c>
      <c r="BD631">
        <v>56992</v>
      </c>
    </row>
    <row r="632" spans="3:56" x14ac:dyDescent="0.25">
      <c r="C632" s="1">
        <v>46252</v>
      </c>
      <c r="D632" s="36">
        <v>261950.629032258</v>
      </c>
      <c r="E632" s="33">
        <v>4.4193548387096797</v>
      </c>
      <c r="F632" s="33">
        <v>3.6112512544802899</v>
      </c>
      <c r="G632" s="2">
        <v>0.81714444444444401</v>
      </c>
      <c r="H632" s="2">
        <v>0.99</v>
      </c>
      <c r="I632" s="3"/>
      <c r="J632" s="3"/>
      <c r="K632" s="3"/>
      <c r="L632" s="3"/>
      <c r="M632" s="3"/>
      <c r="N632" s="3">
        <v>0</v>
      </c>
      <c r="O632" s="3"/>
      <c r="P632" s="3">
        <v>0</v>
      </c>
      <c r="Q632" s="3">
        <v>0</v>
      </c>
      <c r="R632" s="3">
        <v>0</v>
      </c>
      <c r="S632" s="3">
        <v>0</v>
      </c>
      <c r="T632" s="3">
        <v>0</v>
      </c>
      <c r="U632" s="3"/>
      <c r="V632" s="3"/>
      <c r="W632" s="3"/>
      <c r="X632" s="3"/>
      <c r="Y632" s="3"/>
      <c r="Z632" s="3"/>
      <c r="AA632" s="3"/>
      <c r="AB632" s="3"/>
      <c r="AC632" s="3"/>
      <c r="AD632" s="3"/>
      <c r="AE632" s="3">
        <v>0</v>
      </c>
      <c r="AF632" s="3">
        <v>0</v>
      </c>
      <c r="AG632" s="3"/>
      <c r="AH632" s="40"/>
      <c r="AI632" s="40"/>
      <c r="AJ632" s="40"/>
      <c r="AK632" s="40"/>
      <c r="AL632" s="40"/>
      <c r="AM632" s="40"/>
      <c r="AN632" s="40"/>
      <c r="AO632" s="40"/>
      <c r="AP632" s="40"/>
      <c r="AQ632" s="40"/>
      <c r="AR632" s="31"/>
      <c r="AS632" s="36">
        <v>0</v>
      </c>
      <c r="AY632" s="6"/>
      <c r="AZ632" s="2"/>
      <c r="BA632" s="2"/>
      <c r="BB632" s="2"/>
      <c r="BC632">
        <v>71500</v>
      </c>
      <c r="BD632">
        <v>56992</v>
      </c>
    </row>
    <row r="633" spans="3:56" x14ac:dyDescent="0.25">
      <c r="C633" s="1">
        <v>46253</v>
      </c>
      <c r="D633" s="36">
        <v>261950.629032258</v>
      </c>
      <c r="E633" s="33">
        <v>4.4193548387096797</v>
      </c>
      <c r="F633" s="33">
        <v>3.6112021505376299</v>
      </c>
      <c r="G633" s="2">
        <v>0.81713333333333305</v>
      </c>
      <c r="H633" s="2">
        <v>0.99</v>
      </c>
      <c r="I633" s="3"/>
      <c r="J633" s="3"/>
      <c r="K633" s="3"/>
      <c r="L633" s="3"/>
      <c r="M633" s="3"/>
      <c r="N633" s="3">
        <v>0</v>
      </c>
      <c r="O633" s="3"/>
      <c r="P633" s="3">
        <v>0</v>
      </c>
      <c r="Q633" s="3">
        <v>0</v>
      </c>
      <c r="R633" s="3">
        <v>0</v>
      </c>
      <c r="S633" s="3">
        <v>0</v>
      </c>
      <c r="T633" s="3">
        <v>0</v>
      </c>
      <c r="U633" s="3"/>
      <c r="V633" s="3"/>
      <c r="W633" s="3"/>
      <c r="X633" s="3"/>
      <c r="Y633" s="3"/>
      <c r="Z633" s="3"/>
      <c r="AA633" s="3"/>
      <c r="AB633" s="3"/>
      <c r="AC633" s="3"/>
      <c r="AD633" s="3"/>
      <c r="AE633" s="3">
        <v>0</v>
      </c>
      <c r="AF633" s="3">
        <v>0</v>
      </c>
      <c r="AG633" s="3"/>
      <c r="AH633" s="40"/>
      <c r="AI633" s="40"/>
      <c r="AJ633" s="40"/>
      <c r="AK633" s="40"/>
      <c r="AL633" s="40"/>
      <c r="AM633" s="40"/>
      <c r="AN633" s="40"/>
      <c r="AO633" s="40"/>
      <c r="AP633" s="40"/>
      <c r="AQ633" s="40"/>
      <c r="AR633" s="31"/>
      <c r="AS633" s="36">
        <v>0</v>
      </c>
      <c r="AY633" s="6"/>
      <c r="AZ633" s="2"/>
      <c r="BA633" s="2"/>
      <c r="BB633" s="2"/>
      <c r="BC633">
        <v>71500</v>
      </c>
      <c r="BD633">
        <v>56992</v>
      </c>
    </row>
    <row r="634" spans="3:56" x14ac:dyDescent="0.25">
      <c r="C634" s="1">
        <v>46254</v>
      </c>
      <c r="D634" s="36">
        <v>261950.629032258</v>
      </c>
      <c r="E634" s="33">
        <v>4.4193548387096797</v>
      </c>
      <c r="F634" s="33">
        <v>3.6111530465949802</v>
      </c>
      <c r="G634" s="2">
        <v>0.81712222222222197</v>
      </c>
      <c r="H634" s="2">
        <v>0.99</v>
      </c>
      <c r="I634" s="3"/>
      <c r="J634" s="3"/>
      <c r="K634" s="3"/>
      <c r="L634" s="3"/>
      <c r="M634" s="3"/>
      <c r="N634" s="3">
        <v>0</v>
      </c>
      <c r="O634" s="3"/>
      <c r="P634" s="3">
        <v>0</v>
      </c>
      <c r="Q634" s="3">
        <v>0</v>
      </c>
      <c r="R634" s="3">
        <v>0</v>
      </c>
      <c r="S634" s="3">
        <v>0</v>
      </c>
      <c r="T634" s="3">
        <v>0</v>
      </c>
      <c r="U634" s="3"/>
      <c r="V634" s="3"/>
      <c r="W634" s="3"/>
      <c r="X634" s="3"/>
      <c r="Y634" s="3"/>
      <c r="Z634" s="3"/>
      <c r="AA634" s="3"/>
      <c r="AB634" s="3"/>
      <c r="AC634" s="3"/>
      <c r="AD634" s="3"/>
      <c r="AE634" s="3">
        <v>0</v>
      </c>
      <c r="AF634" s="3">
        <v>0</v>
      </c>
      <c r="AG634" s="3"/>
      <c r="AH634" s="40"/>
      <c r="AI634" s="40"/>
      <c r="AJ634" s="40"/>
      <c r="AK634" s="40"/>
      <c r="AL634" s="40"/>
      <c r="AM634" s="40"/>
      <c r="AN634" s="40"/>
      <c r="AO634" s="40"/>
      <c r="AP634" s="40"/>
      <c r="AQ634" s="40"/>
      <c r="AR634" s="31"/>
      <c r="AS634" s="36">
        <v>0</v>
      </c>
      <c r="AY634" s="6"/>
      <c r="AZ634" s="2"/>
      <c r="BA634" s="2"/>
      <c r="BB634" s="2"/>
      <c r="BC634">
        <v>71500</v>
      </c>
      <c r="BD634">
        <v>56992</v>
      </c>
    </row>
    <row r="635" spans="3:56" x14ac:dyDescent="0.25">
      <c r="C635" s="1">
        <v>46255</v>
      </c>
      <c r="D635" s="36">
        <v>261950.629032258</v>
      </c>
      <c r="E635" s="33">
        <v>4.4193548387096797</v>
      </c>
      <c r="F635" s="33">
        <v>3.6111039426523299</v>
      </c>
      <c r="G635" s="2">
        <v>0.81711111111111101</v>
      </c>
      <c r="H635" s="2">
        <v>0.99</v>
      </c>
      <c r="I635" s="3"/>
      <c r="J635" s="3"/>
      <c r="K635" s="3"/>
      <c r="L635" s="3"/>
      <c r="M635" s="3"/>
      <c r="N635" s="3">
        <v>0</v>
      </c>
      <c r="O635" s="3"/>
      <c r="P635" s="3">
        <v>0</v>
      </c>
      <c r="Q635" s="3">
        <v>0</v>
      </c>
      <c r="R635" s="3">
        <v>0</v>
      </c>
      <c r="S635" s="3">
        <v>0</v>
      </c>
      <c r="T635" s="3">
        <v>0</v>
      </c>
      <c r="U635" s="3"/>
      <c r="V635" s="3"/>
      <c r="W635" s="3"/>
      <c r="X635" s="3"/>
      <c r="Y635" s="3"/>
      <c r="Z635" s="3"/>
      <c r="AA635" s="3"/>
      <c r="AB635" s="3"/>
      <c r="AC635" s="3"/>
      <c r="AD635" s="3"/>
      <c r="AE635" s="3">
        <v>0</v>
      </c>
      <c r="AF635" s="3">
        <v>0</v>
      </c>
      <c r="AG635" s="3"/>
      <c r="AH635" s="40"/>
      <c r="AI635" s="40"/>
      <c r="AJ635" s="40"/>
      <c r="AK635" s="40"/>
      <c r="AL635" s="40"/>
      <c r="AM635" s="40"/>
      <c r="AN635" s="40"/>
      <c r="AO635" s="40"/>
      <c r="AP635" s="40"/>
      <c r="AQ635" s="40"/>
      <c r="AR635" s="31"/>
      <c r="AS635" s="36">
        <v>0</v>
      </c>
      <c r="AY635" s="6"/>
      <c r="AZ635" s="2"/>
      <c r="BA635" s="2"/>
      <c r="BB635" s="2"/>
      <c r="BC635">
        <v>71500</v>
      </c>
      <c r="BD635">
        <v>56992</v>
      </c>
    </row>
    <row r="636" spans="3:56" x14ac:dyDescent="0.25">
      <c r="C636" s="1">
        <v>46256</v>
      </c>
      <c r="D636" s="36">
        <v>261950.629032258</v>
      </c>
      <c r="E636" s="33">
        <v>4.4193548387096797</v>
      </c>
      <c r="F636" s="33">
        <v>3.6110548387096801</v>
      </c>
      <c r="G636" s="2">
        <v>0.81710000000000005</v>
      </c>
      <c r="H636" s="2">
        <v>0.99</v>
      </c>
      <c r="I636" s="3"/>
      <c r="J636" s="3"/>
      <c r="K636" s="3"/>
      <c r="L636" s="3"/>
      <c r="M636" s="3"/>
      <c r="N636" s="3">
        <v>0</v>
      </c>
      <c r="O636" s="3"/>
      <c r="P636" s="3">
        <v>0</v>
      </c>
      <c r="Q636" s="3">
        <v>0</v>
      </c>
      <c r="R636" s="3">
        <v>0</v>
      </c>
      <c r="S636" s="3">
        <v>0</v>
      </c>
      <c r="T636" s="3">
        <v>0</v>
      </c>
      <c r="U636" s="3"/>
      <c r="V636" s="3"/>
      <c r="W636" s="3"/>
      <c r="X636" s="3"/>
      <c r="Y636" s="3"/>
      <c r="Z636" s="3"/>
      <c r="AA636" s="3"/>
      <c r="AB636" s="3"/>
      <c r="AC636" s="3"/>
      <c r="AD636" s="3"/>
      <c r="AE636" s="3">
        <v>0</v>
      </c>
      <c r="AF636" s="3">
        <v>0</v>
      </c>
      <c r="AG636" s="3"/>
      <c r="AH636" s="40"/>
      <c r="AI636" s="40"/>
      <c r="AJ636" s="40"/>
      <c r="AK636" s="40"/>
      <c r="AL636" s="40"/>
      <c r="AM636" s="40"/>
      <c r="AN636" s="40"/>
      <c r="AO636" s="40"/>
      <c r="AP636" s="40"/>
      <c r="AQ636" s="40"/>
      <c r="AR636" s="31"/>
      <c r="AS636" s="36">
        <v>0</v>
      </c>
      <c r="AY636" s="6"/>
      <c r="AZ636" s="2"/>
      <c r="BA636" s="2"/>
      <c r="BB636" s="2"/>
      <c r="BC636">
        <v>71500</v>
      </c>
      <c r="BD636">
        <v>56992</v>
      </c>
    </row>
    <row r="637" spans="3:56" x14ac:dyDescent="0.25">
      <c r="C637" s="1">
        <v>46257</v>
      </c>
      <c r="D637" s="36">
        <v>261950.629032258</v>
      </c>
      <c r="E637" s="33">
        <v>4.4193548387096797</v>
      </c>
      <c r="F637" s="33">
        <v>3.6110057347670201</v>
      </c>
      <c r="G637" s="2">
        <v>0.81708888888888898</v>
      </c>
      <c r="H637" s="2">
        <v>0.99</v>
      </c>
      <c r="I637" s="3"/>
      <c r="J637" s="3"/>
      <c r="K637" s="3"/>
      <c r="L637" s="3"/>
      <c r="M637" s="3"/>
      <c r="N637" s="3">
        <v>0</v>
      </c>
      <c r="O637" s="3"/>
      <c r="P637" s="3">
        <v>0</v>
      </c>
      <c r="Q637" s="3">
        <v>0</v>
      </c>
      <c r="R637" s="3">
        <v>0</v>
      </c>
      <c r="S637" s="3">
        <v>0</v>
      </c>
      <c r="T637" s="3">
        <v>0</v>
      </c>
      <c r="U637" s="3"/>
      <c r="V637" s="3"/>
      <c r="W637" s="3"/>
      <c r="X637" s="3"/>
      <c r="Y637" s="3"/>
      <c r="Z637" s="3"/>
      <c r="AA637" s="3"/>
      <c r="AB637" s="3"/>
      <c r="AC637" s="3"/>
      <c r="AD637" s="3"/>
      <c r="AE637" s="3">
        <v>0</v>
      </c>
      <c r="AF637" s="3">
        <v>0</v>
      </c>
      <c r="AG637" s="3"/>
      <c r="AH637" s="40"/>
      <c r="AI637" s="40"/>
      <c r="AJ637" s="40"/>
      <c r="AK637" s="40"/>
      <c r="AL637" s="40"/>
      <c r="AM637" s="40"/>
      <c r="AN637" s="40"/>
      <c r="AO637" s="40"/>
      <c r="AP637" s="40"/>
      <c r="AQ637" s="40"/>
      <c r="AR637" s="31"/>
      <c r="AS637" s="36">
        <v>0</v>
      </c>
      <c r="AY637" s="6"/>
      <c r="AZ637" s="2"/>
      <c r="BA637" s="2"/>
      <c r="BB637" s="2"/>
      <c r="BC637">
        <v>71500</v>
      </c>
      <c r="BD637">
        <v>56992</v>
      </c>
    </row>
    <row r="638" spans="3:56" x14ac:dyDescent="0.25">
      <c r="C638" s="1">
        <v>46258</v>
      </c>
      <c r="D638" s="36">
        <v>261950.629032258</v>
      </c>
      <c r="E638" s="33">
        <v>4.4193548387096797</v>
      </c>
      <c r="F638" s="33">
        <v>3.6109566308243699</v>
      </c>
      <c r="G638" s="2">
        <v>0.81707777777777801</v>
      </c>
      <c r="H638" s="2">
        <v>0.99</v>
      </c>
      <c r="I638" s="3"/>
      <c r="J638" s="3"/>
      <c r="K638" s="3"/>
      <c r="L638" s="3"/>
      <c r="M638" s="3"/>
      <c r="N638" s="3">
        <v>0</v>
      </c>
      <c r="O638" s="3"/>
      <c r="P638" s="3">
        <v>0</v>
      </c>
      <c r="Q638" s="3">
        <v>0</v>
      </c>
      <c r="R638" s="3">
        <v>0</v>
      </c>
      <c r="S638" s="3">
        <v>0</v>
      </c>
      <c r="T638" s="3">
        <v>0</v>
      </c>
      <c r="U638" s="3"/>
      <c r="V638" s="3"/>
      <c r="W638" s="3"/>
      <c r="X638" s="3"/>
      <c r="Y638" s="3"/>
      <c r="Z638" s="3"/>
      <c r="AA638" s="3"/>
      <c r="AB638" s="3"/>
      <c r="AC638" s="3"/>
      <c r="AD638" s="3"/>
      <c r="AE638" s="3">
        <v>0</v>
      </c>
      <c r="AF638" s="3">
        <v>0</v>
      </c>
      <c r="AG638" s="3"/>
      <c r="AH638" s="40"/>
      <c r="AI638" s="40"/>
      <c r="AJ638" s="40"/>
      <c r="AK638" s="40"/>
      <c r="AL638" s="40"/>
      <c r="AM638" s="40"/>
      <c r="AN638" s="40"/>
      <c r="AO638" s="40"/>
      <c r="AP638" s="40"/>
      <c r="AQ638" s="40"/>
      <c r="AR638" s="31"/>
      <c r="AS638" s="36">
        <v>0</v>
      </c>
      <c r="AY638" s="6"/>
      <c r="AZ638" s="2"/>
      <c r="BA638" s="2"/>
      <c r="BB638" s="2"/>
      <c r="BC638">
        <v>71500</v>
      </c>
      <c r="BD638">
        <v>56992</v>
      </c>
    </row>
    <row r="639" spans="3:56" x14ac:dyDescent="0.25">
      <c r="C639" s="1">
        <v>46259</v>
      </c>
      <c r="D639" s="36">
        <v>261950.629032258</v>
      </c>
      <c r="E639" s="33">
        <v>4.4193548387096797</v>
      </c>
      <c r="F639" s="33">
        <v>3.6109075268817201</v>
      </c>
      <c r="G639" s="2">
        <v>0.81706666666666705</v>
      </c>
      <c r="H639" s="2">
        <v>0.99</v>
      </c>
      <c r="I639" s="3"/>
      <c r="J639" s="3"/>
      <c r="K639" s="3"/>
      <c r="L639" s="3"/>
      <c r="M639" s="3"/>
      <c r="N639" s="3">
        <v>0</v>
      </c>
      <c r="O639" s="3"/>
      <c r="P639" s="3">
        <v>0</v>
      </c>
      <c r="Q639" s="3">
        <v>0</v>
      </c>
      <c r="R639" s="3">
        <v>0</v>
      </c>
      <c r="S639" s="3">
        <v>0</v>
      </c>
      <c r="T639" s="3">
        <v>0</v>
      </c>
      <c r="U639" s="3"/>
      <c r="V639" s="3"/>
      <c r="W639" s="3"/>
      <c r="X639" s="3"/>
      <c r="Y639" s="3"/>
      <c r="Z639" s="3"/>
      <c r="AA639" s="3"/>
      <c r="AB639" s="3"/>
      <c r="AC639" s="3"/>
      <c r="AD639" s="3"/>
      <c r="AE639" s="3">
        <v>0</v>
      </c>
      <c r="AF639" s="3">
        <v>0</v>
      </c>
      <c r="AG639" s="3"/>
      <c r="AH639" s="40"/>
      <c r="AI639" s="40"/>
      <c r="AJ639" s="40"/>
      <c r="AK639" s="40"/>
      <c r="AL639" s="40"/>
      <c r="AM639" s="40"/>
      <c r="AN639" s="40"/>
      <c r="AO639" s="40"/>
      <c r="AP639" s="40"/>
      <c r="AQ639" s="40"/>
      <c r="AR639" s="31"/>
      <c r="AS639" s="36">
        <v>0</v>
      </c>
      <c r="AY639" s="6"/>
      <c r="AZ639" s="2"/>
      <c r="BA639" s="2"/>
      <c r="BB639" s="2"/>
      <c r="BC639">
        <v>71500</v>
      </c>
      <c r="BD639">
        <v>56992</v>
      </c>
    </row>
    <row r="640" spans="3:56" x14ac:dyDescent="0.25">
      <c r="C640" s="1">
        <v>46260</v>
      </c>
      <c r="D640" s="36">
        <v>261950.629032258</v>
      </c>
      <c r="E640" s="33">
        <v>4.4193548387096797</v>
      </c>
      <c r="F640" s="33">
        <v>3.6108584229390699</v>
      </c>
      <c r="G640" s="2">
        <v>0.81705555555555598</v>
      </c>
      <c r="H640" s="2">
        <v>0.99</v>
      </c>
      <c r="I640" s="3"/>
      <c r="J640" s="3"/>
      <c r="K640" s="3"/>
      <c r="L640" s="3"/>
      <c r="M640" s="3"/>
      <c r="N640" s="3">
        <v>0</v>
      </c>
      <c r="O640" s="3"/>
      <c r="P640" s="3">
        <v>0</v>
      </c>
      <c r="Q640" s="3">
        <v>0</v>
      </c>
      <c r="R640" s="3">
        <v>0</v>
      </c>
      <c r="S640" s="3">
        <v>0</v>
      </c>
      <c r="T640" s="3">
        <v>0</v>
      </c>
      <c r="U640" s="3"/>
      <c r="V640" s="3"/>
      <c r="W640" s="3"/>
      <c r="X640" s="3"/>
      <c r="Y640" s="3"/>
      <c r="Z640" s="3"/>
      <c r="AA640" s="3"/>
      <c r="AB640" s="3"/>
      <c r="AC640" s="3"/>
      <c r="AD640" s="3"/>
      <c r="AE640" s="3">
        <v>0</v>
      </c>
      <c r="AF640" s="3">
        <v>0</v>
      </c>
      <c r="AG640" s="3"/>
      <c r="AH640" s="40"/>
      <c r="AI640" s="40"/>
      <c r="AJ640" s="40"/>
      <c r="AK640" s="40"/>
      <c r="AL640" s="40"/>
      <c r="AM640" s="40"/>
      <c r="AN640" s="40"/>
      <c r="AO640" s="40"/>
      <c r="AP640" s="40"/>
      <c r="AQ640" s="40"/>
      <c r="AR640" s="31"/>
      <c r="AS640" s="36">
        <v>0</v>
      </c>
      <c r="AY640" s="6"/>
      <c r="AZ640" s="2"/>
      <c r="BA640" s="2"/>
      <c r="BB640" s="2"/>
      <c r="BC640">
        <v>71500</v>
      </c>
      <c r="BD640">
        <v>56992</v>
      </c>
    </row>
    <row r="641" spans="3:56" x14ac:dyDescent="0.25">
      <c r="C641" s="1">
        <v>46261</v>
      </c>
      <c r="D641" s="36">
        <v>261950.629032258</v>
      </c>
      <c r="E641" s="33">
        <v>4.4193548387096797</v>
      </c>
      <c r="F641" s="33">
        <v>3.6108093189964201</v>
      </c>
      <c r="G641" s="2">
        <v>0.81704444444444402</v>
      </c>
      <c r="H641" s="2">
        <v>0.99</v>
      </c>
      <c r="I641" s="3"/>
      <c r="J641" s="3"/>
      <c r="K641" s="3"/>
      <c r="L641" s="3"/>
      <c r="M641" s="3"/>
      <c r="N641" s="3">
        <v>0</v>
      </c>
      <c r="O641" s="3"/>
      <c r="P641" s="3">
        <v>0</v>
      </c>
      <c r="Q641" s="3">
        <v>0</v>
      </c>
      <c r="R641" s="3">
        <v>0</v>
      </c>
      <c r="S641" s="3">
        <v>0</v>
      </c>
      <c r="T641" s="3">
        <v>0</v>
      </c>
      <c r="U641" s="3"/>
      <c r="V641" s="3"/>
      <c r="W641" s="3"/>
      <c r="X641" s="3"/>
      <c r="Y641" s="3"/>
      <c r="Z641" s="3"/>
      <c r="AA641" s="3"/>
      <c r="AB641" s="3"/>
      <c r="AC641" s="3"/>
      <c r="AD641" s="3"/>
      <c r="AE641" s="3">
        <v>0</v>
      </c>
      <c r="AF641" s="3">
        <v>0</v>
      </c>
      <c r="AG641" s="3"/>
      <c r="AH641" s="40"/>
      <c r="AI641" s="40"/>
      <c r="AJ641" s="40"/>
      <c r="AK641" s="40"/>
      <c r="AL641" s="40"/>
      <c r="AM641" s="40"/>
      <c r="AN641" s="40"/>
      <c r="AO641" s="40"/>
      <c r="AP641" s="40"/>
      <c r="AQ641" s="40"/>
      <c r="AR641" s="31"/>
      <c r="AS641" s="36">
        <v>0</v>
      </c>
      <c r="AY641" s="6"/>
      <c r="AZ641" s="2"/>
      <c r="BA641" s="2"/>
      <c r="BB641" s="2"/>
      <c r="BC641">
        <v>71500</v>
      </c>
      <c r="BD641">
        <v>56992</v>
      </c>
    </row>
    <row r="642" spans="3:56" x14ac:dyDescent="0.25">
      <c r="C642" s="1">
        <v>46262</v>
      </c>
      <c r="D642" s="36">
        <v>261950.629032258</v>
      </c>
      <c r="E642" s="33">
        <v>4.4193548387096797</v>
      </c>
      <c r="F642" s="33">
        <v>3.6107602150537601</v>
      </c>
      <c r="G642" s="2">
        <v>0.81703333333333295</v>
      </c>
      <c r="H642" s="2">
        <v>0.99</v>
      </c>
      <c r="I642" s="3"/>
      <c r="J642" s="3"/>
      <c r="K642" s="3"/>
      <c r="L642" s="3"/>
      <c r="M642" s="3"/>
      <c r="N642" s="3">
        <v>0</v>
      </c>
      <c r="O642" s="3"/>
      <c r="P642" s="3">
        <v>0</v>
      </c>
      <c r="Q642" s="3">
        <v>0</v>
      </c>
      <c r="R642" s="3">
        <v>0</v>
      </c>
      <c r="S642" s="3">
        <v>0</v>
      </c>
      <c r="T642" s="3">
        <v>0</v>
      </c>
      <c r="U642" s="3"/>
      <c r="V642" s="3"/>
      <c r="W642" s="3"/>
      <c r="X642" s="3"/>
      <c r="Y642" s="3"/>
      <c r="Z642" s="3"/>
      <c r="AA642" s="3"/>
      <c r="AB642" s="3"/>
      <c r="AC642" s="3"/>
      <c r="AD642" s="3"/>
      <c r="AE642" s="3">
        <v>0</v>
      </c>
      <c r="AF642" s="3">
        <v>0</v>
      </c>
      <c r="AG642" s="3"/>
      <c r="AH642" s="40"/>
      <c r="AI642" s="40"/>
      <c r="AJ642" s="40"/>
      <c r="AK642" s="40"/>
      <c r="AL642" s="40"/>
      <c r="AM642" s="40"/>
      <c r="AN642" s="40"/>
      <c r="AO642" s="40"/>
      <c r="AP642" s="40"/>
      <c r="AQ642" s="40"/>
      <c r="AR642" s="31"/>
      <c r="AS642" s="36">
        <v>0</v>
      </c>
      <c r="AY642" s="6"/>
      <c r="AZ642" s="2"/>
      <c r="BA642" s="2"/>
      <c r="BB642" s="2"/>
      <c r="BC642">
        <v>71500</v>
      </c>
      <c r="BD642">
        <v>56992</v>
      </c>
    </row>
    <row r="643" spans="3:56" x14ac:dyDescent="0.25">
      <c r="C643" s="1">
        <v>46263</v>
      </c>
      <c r="D643" s="36">
        <v>261950.629032258</v>
      </c>
      <c r="E643" s="33">
        <v>4.4193548387096797</v>
      </c>
      <c r="F643" s="33">
        <v>3.6107111111111099</v>
      </c>
      <c r="G643" s="2">
        <v>0.81702222222222198</v>
      </c>
      <c r="H643" s="2">
        <v>0.99</v>
      </c>
      <c r="I643" s="3"/>
      <c r="J643" s="3"/>
      <c r="K643" s="3"/>
      <c r="L643" s="3"/>
      <c r="M643" s="3"/>
      <c r="N643" s="3">
        <v>0</v>
      </c>
      <c r="O643" s="3"/>
      <c r="P643" s="3">
        <v>0</v>
      </c>
      <c r="Q643" s="3">
        <v>0</v>
      </c>
      <c r="R643" s="3">
        <v>0</v>
      </c>
      <c r="S643" s="3">
        <v>0</v>
      </c>
      <c r="T643" s="3">
        <v>0</v>
      </c>
      <c r="U643" s="3"/>
      <c r="V643" s="3"/>
      <c r="W643" s="3"/>
      <c r="X643" s="3"/>
      <c r="Y643" s="3"/>
      <c r="Z643" s="3"/>
      <c r="AA643" s="3"/>
      <c r="AB643" s="3"/>
      <c r="AC643" s="3"/>
      <c r="AD643" s="3"/>
      <c r="AE643" s="3">
        <v>0</v>
      </c>
      <c r="AF643" s="3">
        <v>0</v>
      </c>
      <c r="AG643" s="3"/>
      <c r="AH643" s="40"/>
      <c r="AI643" s="40"/>
      <c r="AJ643" s="40"/>
      <c r="AK643" s="40"/>
      <c r="AL643" s="40"/>
      <c r="AM643" s="40"/>
      <c r="AN643" s="40"/>
      <c r="AO643" s="40"/>
      <c r="AP643" s="40"/>
      <c r="AQ643" s="40"/>
      <c r="AR643" s="31"/>
      <c r="AS643" s="36">
        <v>0</v>
      </c>
      <c r="AY643" s="6"/>
      <c r="AZ643" s="2"/>
      <c r="BA643" s="2"/>
      <c r="BB643" s="2"/>
      <c r="BC643">
        <v>71500</v>
      </c>
      <c r="BD643">
        <v>56992</v>
      </c>
    </row>
    <row r="644" spans="3:56" x14ac:dyDescent="0.25">
      <c r="C644" s="1">
        <v>46264</v>
      </c>
      <c r="D644" s="36">
        <v>261950.629032258</v>
      </c>
      <c r="E644" s="33">
        <v>4.4193548387096797</v>
      </c>
      <c r="F644" s="33">
        <v>3.6106620071684601</v>
      </c>
      <c r="G644" s="2">
        <v>0.81701111111111102</v>
      </c>
      <c r="H644" s="2">
        <v>0.99</v>
      </c>
      <c r="I644" s="3"/>
      <c r="J644" s="3"/>
      <c r="K644" s="3"/>
      <c r="L644" s="3"/>
      <c r="M644" s="3"/>
      <c r="N644" s="3">
        <v>0</v>
      </c>
      <c r="O644" s="3"/>
      <c r="P644" s="3">
        <v>0</v>
      </c>
      <c r="Q644" s="3">
        <v>0</v>
      </c>
      <c r="R644" s="3">
        <v>0</v>
      </c>
      <c r="S644" s="3">
        <v>0</v>
      </c>
      <c r="T644" s="3">
        <v>0</v>
      </c>
      <c r="U644" s="3"/>
      <c r="V644" s="3"/>
      <c r="W644" s="3"/>
      <c r="X644" s="3"/>
      <c r="Y644" s="3"/>
      <c r="Z644" s="3"/>
      <c r="AA644" s="3"/>
      <c r="AB644" s="3"/>
      <c r="AC644" s="3"/>
      <c r="AD644" s="3"/>
      <c r="AE644" s="3">
        <v>0</v>
      </c>
      <c r="AF644" s="3">
        <v>0</v>
      </c>
      <c r="AG644" s="3"/>
      <c r="AH644" s="40"/>
      <c r="AI644" s="40"/>
      <c r="AJ644" s="40"/>
      <c r="AK644" s="40"/>
      <c r="AL644" s="40"/>
      <c r="AM644" s="40"/>
      <c r="AN644" s="40"/>
      <c r="AO644" s="40"/>
      <c r="AP644" s="40"/>
      <c r="AQ644" s="40"/>
      <c r="AR644" s="31"/>
      <c r="AS644" s="36">
        <v>0</v>
      </c>
      <c r="AY644" s="6"/>
      <c r="AZ644" s="2"/>
      <c r="BA644" s="2"/>
      <c r="BB644" s="2"/>
      <c r="BC644">
        <v>71500</v>
      </c>
      <c r="BD644">
        <v>56992</v>
      </c>
    </row>
    <row r="645" spans="3:56" x14ac:dyDescent="0.25">
      <c r="C645" s="1">
        <v>46265</v>
      </c>
      <c r="D645" s="36">
        <v>261950.629032258</v>
      </c>
      <c r="E645" s="33">
        <v>4.4193548387096797</v>
      </c>
      <c r="F645" s="33">
        <v>3.6106129032258099</v>
      </c>
      <c r="G645" s="2">
        <v>0.81699999999999995</v>
      </c>
      <c r="H645" s="2">
        <v>0.99</v>
      </c>
      <c r="I645" s="3"/>
      <c r="J645" s="3"/>
      <c r="K645" s="3"/>
      <c r="L645" s="3"/>
      <c r="M645" s="3"/>
      <c r="N645" s="3">
        <v>0</v>
      </c>
      <c r="O645" s="3"/>
      <c r="P645" s="3">
        <v>0</v>
      </c>
      <c r="Q645" s="3">
        <v>0</v>
      </c>
      <c r="R645" s="3">
        <v>0</v>
      </c>
      <c r="S645" s="3">
        <v>0</v>
      </c>
      <c r="T645" s="3">
        <v>0</v>
      </c>
      <c r="U645" s="3"/>
      <c r="V645" s="3"/>
      <c r="W645" s="3"/>
      <c r="X645" s="3"/>
      <c r="Y645" s="3"/>
      <c r="Z645" s="3"/>
      <c r="AA645" s="3"/>
      <c r="AB645" s="3"/>
      <c r="AC645" s="3"/>
      <c r="AD645" s="3"/>
      <c r="AE645" s="3">
        <v>0</v>
      </c>
      <c r="AF645" s="3">
        <v>0</v>
      </c>
      <c r="AG645" s="3"/>
      <c r="AH645" s="40"/>
      <c r="AI645" s="40"/>
      <c r="AJ645" s="40"/>
      <c r="AK645" s="40"/>
      <c r="AL645" s="40"/>
      <c r="AM645" s="40"/>
      <c r="AN645" s="40"/>
      <c r="AO645" s="40"/>
      <c r="AP645" s="40"/>
      <c r="AQ645" s="40"/>
      <c r="AR645" s="31"/>
      <c r="AS645" s="36">
        <v>0</v>
      </c>
      <c r="AY645" s="6"/>
      <c r="AZ645" s="2"/>
      <c r="BA645" s="2"/>
      <c r="BB645" s="2"/>
      <c r="BC645">
        <v>71500</v>
      </c>
      <c r="BD645">
        <v>56992</v>
      </c>
    </row>
    <row r="646" spans="3:56" x14ac:dyDescent="0.25">
      <c r="C646" s="1">
        <v>46266</v>
      </c>
      <c r="D646" s="36">
        <v>280814.82</v>
      </c>
      <c r="E646" s="33">
        <v>4.7433333333333296</v>
      </c>
      <c r="F646" s="33">
        <v>3.87530333333333</v>
      </c>
      <c r="G646" s="2">
        <v>0.81699999999999995</v>
      </c>
      <c r="H646" s="2">
        <v>0.99</v>
      </c>
      <c r="I646" s="3"/>
      <c r="J646" s="3"/>
      <c r="K646" s="3"/>
      <c r="L646" s="3"/>
      <c r="M646" s="3"/>
      <c r="N646" s="3">
        <v>0</v>
      </c>
      <c r="O646" s="3"/>
      <c r="P646" s="3">
        <v>0</v>
      </c>
      <c r="Q646" s="3">
        <v>0</v>
      </c>
      <c r="R646" s="3">
        <v>0</v>
      </c>
      <c r="S646" s="3">
        <v>0</v>
      </c>
      <c r="T646" s="3">
        <v>0</v>
      </c>
      <c r="U646" s="3"/>
      <c r="V646" s="3"/>
      <c r="W646" s="3"/>
      <c r="X646" s="3"/>
      <c r="Y646" s="3"/>
      <c r="Z646" s="3"/>
      <c r="AA646" s="3"/>
      <c r="AB646" s="3"/>
      <c r="AC646" s="3"/>
      <c r="AD646" s="3"/>
      <c r="AE646" s="3">
        <v>0</v>
      </c>
      <c r="AF646" s="3">
        <v>0</v>
      </c>
      <c r="AG646" s="3"/>
      <c r="AH646" s="40"/>
      <c r="AI646" s="40"/>
      <c r="AJ646" s="40"/>
      <c r="AK646" s="40"/>
      <c r="AL646" s="40"/>
      <c r="AM646" s="40"/>
      <c r="AN646" s="40"/>
      <c r="AO646" s="40"/>
      <c r="AP646" s="40"/>
      <c r="AQ646" s="40"/>
      <c r="AR646" s="31"/>
      <c r="AS646" s="36">
        <v>0</v>
      </c>
      <c r="AY646" s="6"/>
      <c r="AZ646" s="2"/>
      <c r="BA646" s="2"/>
      <c r="BB646" s="2"/>
      <c r="BC646">
        <v>71500</v>
      </c>
      <c r="BD646">
        <v>56992</v>
      </c>
    </row>
    <row r="647" spans="3:56" x14ac:dyDescent="0.25">
      <c r="C647" s="1">
        <v>46267</v>
      </c>
      <c r="D647" s="36">
        <v>280814.82</v>
      </c>
      <c r="E647" s="33">
        <v>4.7433333333333296</v>
      </c>
      <c r="F647" s="33">
        <v>3.8752506296296301</v>
      </c>
      <c r="G647" s="2">
        <v>0.81698888888888899</v>
      </c>
      <c r="H647" s="2">
        <v>0.99</v>
      </c>
      <c r="I647" s="3"/>
      <c r="J647" s="3"/>
      <c r="K647" s="3"/>
      <c r="L647" s="3"/>
      <c r="M647" s="3"/>
      <c r="N647" s="3">
        <v>0</v>
      </c>
      <c r="O647" s="3"/>
      <c r="P647" s="3">
        <v>0</v>
      </c>
      <c r="Q647" s="3">
        <v>0</v>
      </c>
      <c r="R647" s="3">
        <v>0</v>
      </c>
      <c r="S647" s="3">
        <v>0</v>
      </c>
      <c r="T647" s="3">
        <v>0</v>
      </c>
      <c r="U647" s="3"/>
      <c r="V647" s="3"/>
      <c r="W647" s="3"/>
      <c r="X647" s="3"/>
      <c r="Y647" s="3"/>
      <c r="Z647" s="3"/>
      <c r="AA647" s="3"/>
      <c r="AB647" s="3"/>
      <c r="AC647" s="3"/>
      <c r="AD647" s="3"/>
      <c r="AE647" s="3">
        <v>0</v>
      </c>
      <c r="AF647" s="3">
        <v>0</v>
      </c>
      <c r="AG647" s="3"/>
      <c r="AH647" s="40"/>
      <c r="AI647" s="40"/>
      <c r="AJ647" s="40"/>
      <c r="AK647" s="40"/>
      <c r="AL647" s="40"/>
      <c r="AM647" s="40"/>
      <c r="AN647" s="40"/>
      <c r="AO647" s="40"/>
      <c r="AP647" s="40"/>
      <c r="AQ647" s="40"/>
      <c r="AR647" s="31"/>
      <c r="AS647" s="36">
        <v>0</v>
      </c>
      <c r="AY647" s="6"/>
      <c r="AZ647" s="2"/>
      <c r="BA647" s="2"/>
      <c r="BB647" s="2"/>
      <c r="BC647">
        <v>71500</v>
      </c>
      <c r="BD647">
        <v>56992</v>
      </c>
    </row>
    <row r="648" spans="3:56" x14ac:dyDescent="0.25">
      <c r="C648" s="1">
        <v>46268</v>
      </c>
      <c r="D648" s="36">
        <v>280814.82</v>
      </c>
      <c r="E648" s="33">
        <v>4.7433333333333296</v>
      </c>
      <c r="F648" s="33">
        <v>3.8751979259259302</v>
      </c>
      <c r="G648" s="2">
        <v>0.81697777777777802</v>
      </c>
      <c r="H648" s="2">
        <v>0.99</v>
      </c>
      <c r="I648" s="3"/>
      <c r="J648" s="3"/>
      <c r="K648" s="3"/>
      <c r="L648" s="3"/>
      <c r="M648" s="3"/>
      <c r="N648" s="3">
        <v>0</v>
      </c>
      <c r="O648" s="3"/>
      <c r="P648" s="3">
        <v>0</v>
      </c>
      <c r="Q648" s="3">
        <v>0</v>
      </c>
      <c r="R648" s="3">
        <v>0</v>
      </c>
      <c r="S648" s="3">
        <v>0</v>
      </c>
      <c r="T648" s="3">
        <v>0</v>
      </c>
      <c r="U648" s="3"/>
      <c r="V648" s="3"/>
      <c r="W648" s="3"/>
      <c r="X648" s="3"/>
      <c r="Y648" s="3"/>
      <c r="Z648" s="3"/>
      <c r="AA648" s="3"/>
      <c r="AB648" s="3"/>
      <c r="AC648" s="3"/>
      <c r="AD648" s="3"/>
      <c r="AE648" s="3">
        <v>0</v>
      </c>
      <c r="AF648" s="3">
        <v>0</v>
      </c>
      <c r="AG648" s="3"/>
      <c r="AH648" s="40"/>
      <c r="AI648" s="40"/>
      <c r="AJ648" s="40"/>
      <c r="AK648" s="40"/>
      <c r="AL648" s="40"/>
      <c r="AM648" s="40"/>
      <c r="AN648" s="40"/>
      <c r="AO648" s="40"/>
      <c r="AP648" s="40"/>
      <c r="AQ648" s="40"/>
      <c r="AR648" s="31"/>
      <c r="AS648" s="36">
        <v>0</v>
      </c>
      <c r="AY648" s="6"/>
      <c r="AZ648" s="2"/>
      <c r="BA648" s="2"/>
      <c r="BB648" s="2"/>
      <c r="BC648">
        <v>71500</v>
      </c>
      <c r="BD648">
        <v>56992</v>
      </c>
    </row>
    <row r="649" spans="3:56" x14ac:dyDescent="0.25">
      <c r="C649" s="1">
        <v>46269</v>
      </c>
      <c r="D649" s="36">
        <v>280814.82</v>
      </c>
      <c r="E649" s="33">
        <v>4.7433333333333296</v>
      </c>
      <c r="F649" s="33">
        <v>3.87514522222222</v>
      </c>
      <c r="G649" s="2">
        <v>0.81696666666666695</v>
      </c>
      <c r="H649" s="2">
        <v>0.99</v>
      </c>
      <c r="I649" s="3"/>
      <c r="J649" s="3"/>
      <c r="K649" s="3"/>
      <c r="L649" s="3"/>
      <c r="M649" s="3"/>
      <c r="N649" s="3">
        <v>0</v>
      </c>
      <c r="O649" s="3"/>
      <c r="P649" s="3">
        <v>0</v>
      </c>
      <c r="Q649" s="3">
        <v>0</v>
      </c>
      <c r="R649" s="3">
        <v>0</v>
      </c>
      <c r="S649" s="3">
        <v>0</v>
      </c>
      <c r="T649" s="3">
        <v>0</v>
      </c>
      <c r="U649" s="3"/>
      <c r="V649" s="3"/>
      <c r="W649" s="3"/>
      <c r="X649" s="3"/>
      <c r="Y649" s="3"/>
      <c r="Z649" s="3"/>
      <c r="AA649" s="3"/>
      <c r="AB649" s="3"/>
      <c r="AC649" s="3"/>
      <c r="AD649" s="3"/>
      <c r="AE649" s="3">
        <v>0</v>
      </c>
      <c r="AF649" s="3">
        <v>0</v>
      </c>
      <c r="AG649" s="3"/>
      <c r="AH649" s="40"/>
      <c r="AI649" s="40"/>
      <c r="AJ649" s="40"/>
      <c r="AK649" s="40"/>
      <c r="AL649" s="40"/>
      <c r="AM649" s="40"/>
      <c r="AN649" s="40"/>
      <c r="AO649" s="40"/>
      <c r="AP649" s="40"/>
      <c r="AQ649" s="40"/>
      <c r="AR649" s="31"/>
      <c r="AS649" s="36">
        <v>0</v>
      </c>
      <c r="AY649" s="6"/>
      <c r="AZ649" s="2"/>
      <c r="BA649" s="2"/>
      <c r="BB649" s="2"/>
      <c r="BC649">
        <v>71500</v>
      </c>
      <c r="BD649">
        <v>56992</v>
      </c>
    </row>
    <row r="650" spans="3:56" x14ac:dyDescent="0.25">
      <c r="C650" s="1">
        <v>46270</v>
      </c>
      <c r="D650" s="36">
        <v>280814.82</v>
      </c>
      <c r="E650" s="33">
        <v>4.7433333333333296</v>
      </c>
      <c r="F650" s="33">
        <v>3.8750925185185201</v>
      </c>
      <c r="G650" s="2">
        <v>0.81695555555555599</v>
      </c>
      <c r="H650" s="2">
        <v>0.99</v>
      </c>
      <c r="I650" s="3"/>
      <c r="J650" s="3"/>
      <c r="K650" s="3"/>
      <c r="L650" s="3"/>
      <c r="M650" s="3"/>
      <c r="N650" s="3">
        <v>0</v>
      </c>
      <c r="O650" s="3"/>
      <c r="P650" s="3">
        <v>0</v>
      </c>
      <c r="Q650" s="3">
        <v>0</v>
      </c>
      <c r="R650" s="3">
        <v>0</v>
      </c>
      <c r="S650" s="3">
        <v>0</v>
      </c>
      <c r="T650" s="3">
        <v>0</v>
      </c>
      <c r="U650" s="3"/>
      <c r="V650" s="3"/>
      <c r="W650" s="3"/>
      <c r="X650" s="3"/>
      <c r="Y650" s="3"/>
      <c r="Z650" s="3"/>
      <c r="AA650" s="3"/>
      <c r="AB650" s="3"/>
      <c r="AC650" s="3"/>
      <c r="AD650" s="3"/>
      <c r="AE650" s="3">
        <v>0</v>
      </c>
      <c r="AF650" s="3">
        <v>0</v>
      </c>
      <c r="AG650" s="3"/>
      <c r="AH650" s="40"/>
      <c r="AI650" s="40"/>
      <c r="AJ650" s="40"/>
      <c r="AK650" s="40"/>
      <c r="AL650" s="40"/>
      <c r="AM650" s="40"/>
      <c r="AN650" s="40"/>
      <c r="AO650" s="40"/>
      <c r="AP650" s="40"/>
      <c r="AQ650" s="40"/>
      <c r="AR650" s="31"/>
      <c r="AS650" s="36">
        <v>0</v>
      </c>
      <c r="AY650" s="6"/>
      <c r="AZ650" s="2"/>
      <c r="BA650" s="2"/>
      <c r="BB650" s="2"/>
      <c r="BC650">
        <v>71500</v>
      </c>
      <c r="BD650">
        <v>56992</v>
      </c>
    </row>
    <row r="651" spans="3:56" x14ac:dyDescent="0.25">
      <c r="C651" s="1">
        <v>46271</v>
      </c>
      <c r="D651" s="36">
        <v>280814.82</v>
      </c>
      <c r="E651" s="33">
        <v>4.7433333333333296</v>
      </c>
      <c r="F651" s="33">
        <v>3.8750398148148202</v>
      </c>
      <c r="G651" s="2">
        <v>0.81694444444444403</v>
      </c>
      <c r="H651" s="2">
        <v>0.99</v>
      </c>
      <c r="I651" s="3"/>
      <c r="J651" s="3"/>
      <c r="K651" s="3"/>
      <c r="L651" s="3"/>
      <c r="M651" s="3"/>
      <c r="N651" s="3">
        <v>0</v>
      </c>
      <c r="O651" s="3"/>
      <c r="P651" s="3">
        <v>0</v>
      </c>
      <c r="Q651" s="3">
        <v>0</v>
      </c>
      <c r="R651" s="3">
        <v>0</v>
      </c>
      <c r="S651" s="3">
        <v>0</v>
      </c>
      <c r="T651" s="3">
        <v>0</v>
      </c>
      <c r="U651" s="3"/>
      <c r="V651" s="3"/>
      <c r="W651" s="3"/>
      <c r="X651" s="3"/>
      <c r="Y651" s="3"/>
      <c r="Z651" s="3"/>
      <c r="AA651" s="3"/>
      <c r="AB651" s="3"/>
      <c r="AC651" s="3"/>
      <c r="AD651" s="3"/>
      <c r="AE651" s="3">
        <v>0</v>
      </c>
      <c r="AF651" s="3">
        <v>0</v>
      </c>
      <c r="AG651" s="3"/>
      <c r="AH651" s="40"/>
      <c r="AI651" s="40"/>
      <c r="AJ651" s="40"/>
      <c r="AK651" s="40"/>
      <c r="AL651" s="40"/>
      <c r="AM651" s="40"/>
      <c r="AN651" s="40"/>
      <c r="AO651" s="40"/>
      <c r="AP651" s="40"/>
      <c r="AQ651" s="40"/>
      <c r="AR651" s="31"/>
      <c r="AS651" s="36">
        <v>0</v>
      </c>
      <c r="AY651" s="6"/>
      <c r="AZ651" s="2"/>
      <c r="BA651" s="2"/>
      <c r="BB651" s="2"/>
      <c r="BC651">
        <v>71500</v>
      </c>
      <c r="BD651">
        <v>56992</v>
      </c>
    </row>
    <row r="652" spans="3:56" x14ac:dyDescent="0.25">
      <c r="C652" s="1">
        <v>46272</v>
      </c>
      <c r="D652" s="36">
        <v>280814.82</v>
      </c>
      <c r="E652" s="33">
        <v>4.7433333333333296</v>
      </c>
      <c r="F652" s="33">
        <v>3.87498711111111</v>
      </c>
      <c r="G652" s="2">
        <v>0.81693333333333296</v>
      </c>
      <c r="H652" s="2">
        <v>0.99</v>
      </c>
      <c r="I652" s="3"/>
      <c r="J652" s="3"/>
      <c r="K652" s="3"/>
      <c r="L652" s="3"/>
      <c r="M652" s="3"/>
      <c r="N652" s="3">
        <v>0</v>
      </c>
      <c r="O652" s="3"/>
      <c r="P652" s="3">
        <v>0</v>
      </c>
      <c r="Q652" s="3">
        <v>0</v>
      </c>
      <c r="R652" s="3">
        <v>0</v>
      </c>
      <c r="S652" s="3">
        <v>0</v>
      </c>
      <c r="T652" s="3">
        <v>0</v>
      </c>
      <c r="U652" s="3"/>
      <c r="V652" s="3"/>
      <c r="W652" s="3"/>
      <c r="X652" s="3"/>
      <c r="Y652" s="3"/>
      <c r="Z652" s="3"/>
      <c r="AA652" s="3"/>
      <c r="AB652" s="3"/>
      <c r="AC652" s="3"/>
      <c r="AD652" s="3"/>
      <c r="AE652" s="3">
        <v>0</v>
      </c>
      <c r="AF652" s="3">
        <v>0</v>
      </c>
      <c r="AG652" s="3"/>
      <c r="AH652" s="40"/>
      <c r="AI652" s="40"/>
      <c r="AJ652" s="40"/>
      <c r="AK652" s="40"/>
      <c r="AL652" s="40"/>
      <c r="AM652" s="40"/>
      <c r="AN652" s="40"/>
      <c r="AO652" s="40"/>
      <c r="AP652" s="40"/>
      <c r="AQ652" s="40"/>
      <c r="AR652" s="31"/>
      <c r="AS652" s="36">
        <v>0</v>
      </c>
      <c r="AY652" s="6"/>
      <c r="AZ652" s="2"/>
      <c r="BA652" s="2"/>
      <c r="BB652" s="2"/>
      <c r="BC652">
        <v>71500</v>
      </c>
      <c r="BD652">
        <v>56992</v>
      </c>
    </row>
    <row r="653" spans="3:56" x14ac:dyDescent="0.25">
      <c r="C653" s="1">
        <v>46273</v>
      </c>
      <c r="D653" s="36">
        <v>280814.82</v>
      </c>
      <c r="E653" s="33">
        <v>4.7433333333333296</v>
      </c>
      <c r="F653" s="33">
        <v>3.8749344074074101</v>
      </c>
      <c r="G653" s="2">
        <v>0.81692222222222199</v>
      </c>
      <c r="H653" s="2">
        <v>0.99</v>
      </c>
      <c r="I653" s="3"/>
      <c r="J653" s="3"/>
      <c r="K653" s="3"/>
      <c r="L653" s="3"/>
      <c r="M653" s="3"/>
      <c r="N653" s="3">
        <v>0</v>
      </c>
      <c r="O653" s="3"/>
      <c r="P653" s="3">
        <v>0</v>
      </c>
      <c r="Q653" s="3">
        <v>0</v>
      </c>
      <c r="R653" s="3">
        <v>0</v>
      </c>
      <c r="S653" s="3">
        <v>0</v>
      </c>
      <c r="T653" s="3">
        <v>0</v>
      </c>
      <c r="U653" s="3"/>
      <c r="V653" s="3"/>
      <c r="W653" s="3"/>
      <c r="X653" s="3"/>
      <c r="Y653" s="3"/>
      <c r="Z653" s="3"/>
      <c r="AA653" s="3"/>
      <c r="AB653" s="3"/>
      <c r="AC653" s="3"/>
      <c r="AD653" s="3"/>
      <c r="AE653" s="3">
        <v>0</v>
      </c>
      <c r="AF653" s="3">
        <v>0</v>
      </c>
      <c r="AG653" s="3"/>
      <c r="AH653" s="40"/>
      <c r="AI653" s="40"/>
      <c r="AJ653" s="40"/>
      <c r="AK653" s="40"/>
      <c r="AL653" s="40"/>
      <c r="AM653" s="40"/>
      <c r="AN653" s="40"/>
      <c r="AO653" s="40"/>
      <c r="AP653" s="40"/>
      <c r="AQ653" s="40"/>
      <c r="AR653" s="31"/>
      <c r="AS653" s="36">
        <v>0</v>
      </c>
      <c r="AY653" s="6"/>
      <c r="AZ653" s="2"/>
      <c r="BA653" s="2"/>
      <c r="BB653" s="2"/>
      <c r="BC653">
        <v>71500</v>
      </c>
      <c r="BD653">
        <v>56992</v>
      </c>
    </row>
    <row r="654" spans="3:56" x14ac:dyDescent="0.25">
      <c r="C654" s="1">
        <v>46274</v>
      </c>
      <c r="D654" s="36">
        <v>280814.82</v>
      </c>
      <c r="E654" s="33">
        <v>4.7433333333333296</v>
      </c>
      <c r="F654" s="33">
        <v>3.8748817037037</v>
      </c>
      <c r="G654" s="2">
        <v>0.81691111111111103</v>
      </c>
      <c r="H654" s="2">
        <v>0.99</v>
      </c>
      <c r="I654" s="3"/>
      <c r="J654" s="3"/>
      <c r="K654" s="3"/>
      <c r="L654" s="3"/>
      <c r="M654" s="3"/>
      <c r="N654" s="3">
        <v>0</v>
      </c>
      <c r="O654" s="3"/>
      <c r="P654" s="3">
        <v>0</v>
      </c>
      <c r="Q654" s="3">
        <v>0</v>
      </c>
      <c r="R654" s="3">
        <v>0</v>
      </c>
      <c r="S654" s="3">
        <v>0</v>
      </c>
      <c r="T654" s="3">
        <v>0</v>
      </c>
      <c r="U654" s="3"/>
      <c r="V654" s="3"/>
      <c r="W654" s="3"/>
      <c r="X654" s="3"/>
      <c r="Y654" s="3"/>
      <c r="Z654" s="3"/>
      <c r="AA654" s="3"/>
      <c r="AB654" s="3"/>
      <c r="AC654" s="3"/>
      <c r="AD654" s="3"/>
      <c r="AE654" s="3">
        <v>0</v>
      </c>
      <c r="AF654" s="3">
        <v>0</v>
      </c>
      <c r="AG654" s="3"/>
      <c r="AH654" s="40"/>
      <c r="AI654" s="40"/>
      <c r="AJ654" s="40"/>
      <c r="AK654" s="40"/>
      <c r="AL654" s="40"/>
      <c r="AM654" s="40"/>
      <c r="AN654" s="40"/>
      <c r="AO654" s="40"/>
      <c r="AP654" s="40"/>
      <c r="AQ654" s="40"/>
      <c r="AR654" s="31"/>
      <c r="AS654" s="36">
        <v>0</v>
      </c>
      <c r="AY654" s="6"/>
      <c r="AZ654" s="2"/>
      <c r="BA654" s="2"/>
      <c r="BB654" s="2"/>
      <c r="BC654">
        <v>71500</v>
      </c>
      <c r="BD654">
        <v>56992</v>
      </c>
    </row>
    <row r="655" spans="3:56" x14ac:dyDescent="0.25">
      <c r="C655" s="1">
        <v>46275</v>
      </c>
      <c r="D655" s="36">
        <v>280814.82</v>
      </c>
      <c r="E655" s="33">
        <v>4.7433333333333296</v>
      </c>
      <c r="F655" s="33">
        <v>3.8748290000000001</v>
      </c>
      <c r="G655" s="2">
        <v>0.81689999999999996</v>
      </c>
      <c r="H655" s="2">
        <v>0.99</v>
      </c>
      <c r="I655" s="3"/>
      <c r="J655" s="3"/>
      <c r="K655" s="3"/>
      <c r="L655" s="3"/>
      <c r="M655" s="3"/>
      <c r="N655" s="3">
        <v>0</v>
      </c>
      <c r="O655" s="3"/>
      <c r="P655" s="3">
        <v>0</v>
      </c>
      <c r="Q655" s="3">
        <v>0</v>
      </c>
      <c r="R655" s="3">
        <v>0</v>
      </c>
      <c r="S655" s="3">
        <v>0</v>
      </c>
      <c r="T655" s="3">
        <v>0</v>
      </c>
      <c r="U655" s="3"/>
      <c r="V655" s="3"/>
      <c r="W655" s="3"/>
      <c r="X655" s="3"/>
      <c r="Y655" s="3"/>
      <c r="Z655" s="3"/>
      <c r="AA655" s="3"/>
      <c r="AB655" s="3"/>
      <c r="AC655" s="3"/>
      <c r="AD655" s="3"/>
      <c r="AE655" s="3">
        <v>0</v>
      </c>
      <c r="AF655" s="3">
        <v>0</v>
      </c>
      <c r="AG655" s="3"/>
      <c r="AH655" s="40"/>
      <c r="AI655" s="40"/>
      <c r="AJ655" s="40"/>
      <c r="AK655" s="40"/>
      <c r="AL655" s="40"/>
      <c r="AM655" s="40"/>
      <c r="AN655" s="40"/>
      <c r="AO655" s="40"/>
      <c r="AP655" s="40"/>
      <c r="AQ655" s="40"/>
      <c r="AR655" s="31"/>
      <c r="AS655" s="36">
        <v>0</v>
      </c>
      <c r="AY655" s="6"/>
      <c r="AZ655" s="2"/>
      <c r="BA655" s="2"/>
      <c r="BB655" s="2"/>
      <c r="BC655">
        <v>71500</v>
      </c>
      <c r="BD655">
        <v>56992</v>
      </c>
    </row>
    <row r="656" spans="3:56" x14ac:dyDescent="0.25">
      <c r="C656" s="1">
        <v>46276</v>
      </c>
      <c r="D656" s="36">
        <v>280814.82</v>
      </c>
      <c r="E656" s="33">
        <v>4.7433333333333296</v>
      </c>
      <c r="F656" s="33">
        <v>3.8747762962963002</v>
      </c>
      <c r="G656" s="2">
        <v>0.816888888888889</v>
      </c>
      <c r="H656" s="2">
        <v>0.99</v>
      </c>
      <c r="I656" s="3"/>
      <c r="J656" s="3"/>
      <c r="K656" s="3"/>
      <c r="L656" s="3"/>
      <c r="M656" s="3"/>
      <c r="N656" s="3">
        <v>0</v>
      </c>
      <c r="O656" s="3"/>
      <c r="P656" s="3">
        <v>0</v>
      </c>
      <c r="Q656" s="3">
        <v>0</v>
      </c>
      <c r="R656" s="3">
        <v>0</v>
      </c>
      <c r="S656" s="3">
        <v>0</v>
      </c>
      <c r="T656" s="3">
        <v>0</v>
      </c>
      <c r="U656" s="3"/>
      <c r="V656" s="3"/>
      <c r="W656" s="3"/>
      <c r="X656" s="3"/>
      <c r="Y656" s="3"/>
      <c r="Z656" s="3"/>
      <c r="AA656" s="3"/>
      <c r="AB656" s="3"/>
      <c r="AC656" s="3"/>
      <c r="AD656" s="3"/>
      <c r="AE656" s="3">
        <v>0</v>
      </c>
      <c r="AF656" s="3">
        <v>0</v>
      </c>
      <c r="AG656" s="3"/>
      <c r="AH656" s="40"/>
      <c r="AI656" s="40"/>
      <c r="AJ656" s="40"/>
      <c r="AK656" s="40"/>
      <c r="AL656" s="40"/>
      <c r="AM656" s="40"/>
      <c r="AN656" s="40"/>
      <c r="AO656" s="40"/>
      <c r="AP656" s="40"/>
      <c r="AQ656" s="40"/>
      <c r="AR656" s="31"/>
      <c r="AS656" s="36">
        <v>0</v>
      </c>
      <c r="AY656" s="6"/>
      <c r="AZ656" s="2"/>
      <c r="BA656" s="2"/>
      <c r="BB656" s="2"/>
      <c r="BC656">
        <v>71500</v>
      </c>
      <c r="BD656">
        <v>56992</v>
      </c>
    </row>
    <row r="657" spans="3:56" x14ac:dyDescent="0.25">
      <c r="C657" s="1">
        <v>46277</v>
      </c>
      <c r="D657" s="36">
        <v>280814.82</v>
      </c>
      <c r="E657" s="33">
        <v>4.7433333333333296</v>
      </c>
      <c r="F657" s="33">
        <v>3.87472359259259</v>
      </c>
      <c r="G657" s="2">
        <v>0.81687777777777804</v>
      </c>
      <c r="H657" s="2">
        <v>0.99</v>
      </c>
      <c r="I657" s="3"/>
      <c r="J657" s="3"/>
      <c r="K657" s="3"/>
      <c r="L657" s="3"/>
      <c r="M657" s="3"/>
      <c r="N657" s="3">
        <v>0</v>
      </c>
      <c r="O657" s="3"/>
      <c r="P657" s="3">
        <v>0</v>
      </c>
      <c r="Q657" s="3">
        <v>0</v>
      </c>
      <c r="R657" s="3">
        <v>0</v>
      </c>
      <c r="S657" s="3">
        <v>0</v>
      </c>
      <c r="T657" s="3">
        <v>0</v>
      </c>
      <c r="U657" s="3"/>
      <c r="V657" s="3"/>
      <c r="W657" s="3"/>
      <c r="X657" s="3"/>
      <c r="Y657" s="3"/>
      <c r="Z657" s="3"/>
      <c r="AA657" s="3"/>
      <c r="AB657" s="3"/>
      <c r="AC657" s="3"/>
      <c r="AD657" s="3"/>
      <c r="AE657" s="3">
        <v>0</v>
      </c>
      <c r="AF657" s="3">
        <v>0</v>
      </c>
      <c r="AG657" s="3"/>
      <c r="AH657" s="40"/>
      <c r="AI657" s="40"/>
      <c r="AJ657" s="40"/>
      <c r="AK657" s="40"/>
      <c r="AL657" s="40"/>
      <c r="AM657" s="40"/>
      <c r="AN657" s="40"/>
      <c r="AO657" s="40"/>
      <c r="AP657" s="40"/>
      <c r="AQ657" s="40"/>
      <c r="AR657" s="31"/>
      <c r="AS657" s="36">
        <v>0</v>
      </c>
      <c r="AY657" s="6"/>
      <c r="AZ657" s="2"/>
      <c r="BA657" s="2"/>
      <c r="BB657" s="2"/>
      <c r="BC657">
        <v>71500</v>
      </c>
      <c r="BD657">
        <v>56992</v>
      </c>
    </row>
    <row r="658" spans="3:56" x14ac:dyDescent="0.25">
      <c r="C658" s="1">
        <v>46278</v>
      </c>
      <c r="D658" s="36">
        <v>280814.82</v>
      </c>
      <c r="E658" s="33">
        <v>4.7433333333333296</v>
      </c>
      <c r="F658" s="33">
        <v>3.8746708888888901</v>
      </c>
      <c r="G658" s="2">
        <v>0.81686666666666696</v>
      </c>
      <c r="H658" s="2">
        <v>0.99</v>
      </c>
      <c r="I658" s="3"/>
      <c r="J658" s="3"/>
      <c r="K658" s="3"/>
      <c r="L658" s="3"/>
      <c r="M658" s="3"/>
      <c r="N658" s="3">
        <v>0</v>
      </c>
      <c r="O658" s="3"/>
      <c r="P658" s="3">
        <v>0</v>
      </c>
      <c r="Q658" s="3">
        <v>0</v>
      </c>
      <c r="R658" s="3">
        <v>0</v>
      </c>
      <c r="S658" s="3">
        <v>0</v>
      </c>
      <c r="T658" s="3">
        <v>0</v>
      </c>
      <c r="U658" s="3"/>
      <c r="V658" s="3"/>
      <c r="W658" s="3"/>
      <c r="X658" s="3"/>
      <c r="Y658" s="3"/>
      <c r="Z658" s="3"/>
      <c r="AA658" s="3"/>
      <c r="AB658" s="3"/>
      <c r="AC658" s="3"/>
      <c r="AD658" s="3"/>
      <c r="AE658" s="3">
        <v>0</v>
      </c>
      <c r="AF658" s="3">
        <v>0</v>
      </c>
      <c r="AG658" s="3"/>
      <c r="AH658" s="40"/>
      <c r="AI658" s="40"/>
      <c r="AJ658" s="40"/>
      <c r="AK658" s="40"/>
      <c r="AL658" s="40"/>
      <c r="AM658" s="40"/>
      <c r="AN658" s="40"/>
      <c r="AO658" s="40"/>
      <c r="AP658" s="40"/>
      <c r="AQ658" s="40"/>
      <c r="AR658" s="31"/>
      <c r="AS658" s="36">
        <v>0</v>
      </c>
      <c r="AY658" s="6"/>
      <c r="AZ658" s="2"/>
      <c r="BA658" s="2"/>
      <c r="BB658" s="2"/>
      <c r="BC658">
        <v>71500</v>
      </c>
      <c r="BD658">
        <v>56992</v>
      </c>
    </row>
    <row r="659" spans="3:56" x14ac:dyDescent="0.25">
      <c r="C659" s="1">
        <v>46279</v>
      </c>
      <c r="D659" s="36">
        <v>280814.82</v>
      </c>
      <c r="E659" s="33">
        <v>4.7433333333333296</v>
      </c>
      <c r="F659" s="33">
        <v>3.8746181851851902</v>
      </c>
      <c r="G659" s="2">
        <v>0.816855555555556</v>
      </c>
      <c r="H659" s="2">
        <v>0.99</v>
      </c>
      <c r="I659" s="3"/>
      <c r="J659" s="3"/>
      <c r="K659" s="3"/>
      <c r="L659" s="3"/>
      <c r="M659" s="3"/>
      <c r="N659" s="3">
        <v>0</v>
      </c>
      <c r="O659" s="3"/>
      <c r="P659" s="3">
        <v>0</v>
      </c>
      <c r="Q659" s="3">
        <v>0</v>
      </c>
      <c r="R659" s="3">
        <v>0</v>
      </c>
      <c r="S659" s="3">
        <v>0</v>
      </c>
      <c r="T659" s="3">
        <v>0</v>
      </c>
      <c r="U659" s="3"/>
      <c r="V659" s="3"/>
      <c r="W659" s="3"/>
      <c r="X659" s="3"/>
      <c r="Y659" s="3"/>
      <c r="Z659" s="3"/>
      <c r="AA659" s="3"/>
      <c r="AB659" s="3"/>
      <c r="AC659" s="3"/>
      <c r="AD659" s="3"/>
      <c r="AE659" s="3">
        <v>0</v>
      </c>
      <c r="AF659" s="3">
        <v>0</v>
      </c>
      <c r="AG659" s="3"/>
      <c r="AH659" s="40"/>
      <c r="AI659" s="40"/>
      <c r="AJ659" s="40"/>
      <c r="AK659" s="40"/>
      <c r="AL659" s="40"/>
      <c r="AM659" s="40"/>
      <c r="AN659" s="40"/>
      <c r="AO659" s="40"/>
      <c r="AP659" s="40"/>
      <c r="AQ659" s="40"/>
      <c r="AR659" s="31"/>
      <c r="AS659" s="36">
        <v>0</v>
      </c>
      <c r="AY659" s="6"/>
      <c r="AZ659" s="2"/>
      <c r="BA659" s="2"/>
      <c r="BB659" s="2"/>
      <c r="BC659">
        <v>71500</v>
      </c>
      <c r="BD659">
        <v>56992</v>
      </c>
    </row>
    <row r="660" spans="3:56" x14ac:dyDescent="0.25">
      <c r="C660" s="1">
        <v>46280</v>
      </c>
      <c r="D660" s="36">
        <v>280814.82</v>
      </c>
      <c r="E660" s="33">
        <v>4.7433333333333296</v>
      </c>
      <c r="F660" s="33">
        <v>3.8745654814814801</v>
      </c>
      <c r="G660" s="2">
        <v>0.81684444444444404</v>
      </c>
      <c r="H660" s="2">
        <v>0.99</v>
      </c>
      <c r="I660" s="3"/>
      <c r="J660" s="3"/>
      <c r="K660" s="3"/>
      <c r="L660" s="3"/>
      <c r="M660" s="3"/>
      <c r="N660" s="3">
        <v>0</v>
      </c>
      <c r="O660" s="3"/>
      <c r="P660" s="3">
        <v>0</v>
      </c>
      <c r="Q660" s="3">
        <v>0</v>
      </c>
      <c r="R660" s="3">
        <v>0</v>
      </c>
      <c r="S660" s="3">
        <v>0</v>
      </c>
      <c r="T660" s="3">
        <v>0</v>
      </c>
      <c r="U660" s="3"/>
      <c r="V660" s="3"/>
      <c r="W660" s="3"/>
      <c r="X660" s="3"/>
      <c r="Y660" s="3"/>
      <c r="Z660" s="3"/>
      <c r="AA660" s="3"/>
      <c r="AB660" s="3"/>
      <c r="AC660" s="3"/>
      <c r="AD660" s="3"/>
      <c r="AE660" s="3">
        <v>0</v>
      </c>
      <c r="AF660" s="3">
        <v>0</v>
      </c>
      <c r="AG660" s="3"/>
      <c r="AH660" s="40"/>
      <c r="AI660" s="40"/>
      <c r="AJ660" s="40"/>
      <c r="AK660" s="40"/>
      <c r="AL660" s="40"/>
      <c r="AM660" s="40"/>
      <c r="AN660" s="40"/>
      <c r="AO660" s="40"/>
      <c r="AP660" s="40"/>
      <c r="AQ660" s="40"/>
      <c r="AR660" s="31"/>
      <c r="AS660" s="36">
        <v>0</v>
      </c>
      <c r="AY660" s="6"/>
      <c r="AZ660" s="2"/>
      <c r="BA660" s="2"/>
      <c r="BB660" s="2"/>
      <c r="BC660">
        <v>71500</v>
      </c>
      <c r="BD660">
        <v>56992</v>
      </c>
    </row>
    <row r="661" spans="3:56" x14ac:dyDescent="0.25">
      <c r="C661" s="1">
        <v>46281</v>
      </c>
      <c r="D661" s="36">
        <v>280814.82</v>
      </c>
      <c r="E661" s="33">
        <v>4.7433333333333296</v>
      </c>
      <c r="F661" s="33">
        <v>3.8745127777777801</v>
      </c>
      <c r="G661" s="2">
        <v>0.81683333333333297</v>
      </c>
      <c r="H661" s="2">
        <v>0.99</v>
      </c>
      <c r="I661" s="3"/>
      <c r="J661" s="3"/>
      <c r="K661" s="3"/>
      <c r="L661" s="3"/>
      <c r="M661" s="3"/>
      <c r="N661" s="3">
        <v>0</v>
      </c>
      <c r="O661" s="3"/>
      <c r="P661" s="3">
        <v>0</v>
      </c>
      <c r="Q661" s="3">
        <v>0</v>
      </c>
      <c r="R661" s="3">
        <v>0</v>
      </c>
      <c r="S661" s="3">
        <v>0</v>
      </c>
      <c r="T661" s="3">
        <v>0</v>
      </c>
      <c r="U661" s="3"/>
      <c r="V661" s="3"/>
      <c r="W661" s="3"/>
      <c r="X661" s="3"/>
      <c r="Y661" s="3"/>
      <c r="Z661" s="3"/>
      <c r="AA661" s="3"/>
      <c r="AB661" s="3"/>
      <c r="AC661" s="3"/>
      <c r="AD661" s="3"/>
      <c r="AE661" s="3">
        <v>0</v>
      </c>
      <c r="AF661" s="3">
        <v>0</v>
      </c>
      <c r="AG661" s="3"/>
      <c r="AH661" s="40"/>
      <c r="AI661" s="40"/>
      <c r="AJ661" s="40"/>
      <c r="AK661" s="40"/>
      <c r="AL661" s="40"/>
      <c r="AM661" s="40"/>
      <c r="AN661" s="40"/>
      <c r="AO661" s="40"/>
      <c r="AP661" s="40"/>
      <c r="AQ661" s="40"/>
      <c r="AR661" s="31"/>
      <c r="AS661" s="36">
        <v>0</v>
      </c>
      <c r="AY661" s="6"/>
      <c r="AZ661" s="2"/>
      <c r="BA661" s="2"/>
      <c r="BB661" s="2"/>
      <c r="BC661">
        <v>71500</v>
      </c>
      <c r="BD661">
        <v>56992</v>
      </c>
    </row>
    <row r="662" spans="3:56" x14ac:dyDescent="0.25">
      <c r="C662" s="1">
        <v>46282</v>
      </c>
      <c r="D662" s="36">
        <v>280814.82</v>
      </c>
      <c r="E662" s="33">
        <v>4.7433333333333296</v>
      </c>
      <c r="F662" s="33">
        <v>3.87446007407407</v>
      </c>
      <c r="G662" s="2">
        <v>0.81682222222222201</v>
      </c>
      <c r="H662" s="2">
        <v>0.99</v>
      </c>
      <c r="I662" s="3"/>
      <c r="J662" s="3"/>
      <c r="K662" s="3"/>
      <c r="L662" s="3"/>
      <c r="M662" s="3"/>
      <c r="N662" s="3">
        <v>0</v>
      </c>
      <c r="O662" s="3"/>
      <c r="P662" s="3">
        <v>0</v>
      </c>
      <c r="Q662" s="3">
        <v>0</v>
      </c>
      <c r="R662" s="3">
        <v>0</v>
      </c>
      <c r="S662" s="3">
        <v>0</v>
      </c>
      <c r="T662" s="3">
        <v>0</v>
      </c>
      <c r="U662" s="3"/>
      <c r="V662" s="3"/>
      <c r="W662" s="3"/>
      <c r="X662" s="3"/>
      <c r="Y662" s="3"/>
      <c r="Z662" s="3"/>
      <c r="AA662" s="3"/>
      <c r="AB662" s="3"/>
      <c r="AC662" s="3"/>
      <c r="AD662" s="3"/>
      <c r="AE662" s="3">
        <v>0</v>
      </c>
      <c r="AF662" s="3">
        <v>0</v>
      </c>
      <c r="AG662" s="3"/>
      <c r="AH662" s="40"/>
      <c r="AI662" s="40"/>
      <c r="AJ662" s="40"/>
      <c r="AK662" s="40"/>
      <c r="AL662" s="40"/>
      <c r="AM662" s="40"/>
      <c r="AN662" s="40"/>
      <c r="AO662" s="40"/>
      <c r="AP662" s="40"/>
      <c r="AQ662" s="40"/>
      <c r="AR662" s="31"/>
      <c r="AS662" s="36">
        <v>0</v>
      </c>
      <c r="AY662" s="6"/>
      <c r="AZ662" s="2"/>
      <c r="BA662" s="2"/>
      <c r="BB662" s="2"/>
      <c r="BC662">
        <v>71500</v>
      </c>
      <c r="BD662">
        <v>56992</v>
      </c>
    </row>
    <row r="663" spans="3:56" x14ac:dyDescent="0.25">
      <c r="C663" s="1">
        <v>46283</v>
      </c>
      <c r="D663" s="36">
        <v>280814.82</v>
      </c>
      <c r="E663" s="33">
        <v>4.7433333333333296</v>
      </c>
      <c r="F663" s="33">
        <v>3.8744073703703701</v>
      </c>
      <c r="G663" s="2">
        <v>0.81681111111111104</v>
      </c>
      <c r="H663" s="2">
        <v>0.99</v>
      </c>
      <c r="I663" s="3"/>
      <c r="J663" s="3"/>
      <c r="K663" s="3"/>
      <c r="L663" s="3"/>
      <c r="M663" s="3"/>
      <c r="N663" s="3">
        <v>0</v>
      </c>
      <c r="O663" s="3"/>
      <c r="P663" s="3">
        <v>0</v>
      </c>
      <c r="Q663" s="3">
        <v>0</v>
      </c>
      <c r="R663" s="3">
        <v>0</v>
      </c>
      <c r="S663" s="3">
        <v>0</v>
      </c>
      <c r="T663" s="3">
        <v>0</v>
      </c>
      <c r="U663" s="3"/>
      <c r="V663" s="3"/>
      <c r="W663" s="3"/>
      <c r="X663" s="3"/>
      <c r="Y663" s="3"/>
      <c r="Z663" s="3"/>
      <c r="AA663" s="3"/>
      <c r="AB663" s="3"/>
      <c r="AC663" s="3"/>
      <c r="AD663" s="3"/>
      <c r="AE663" s="3">
        <v>0</v>
      </c>
      <c r="AF663" s="3">
        <v>0</v>
      </c>
      <c r="AG663" s="3"/>
      <c r="AH663" s="40"/>
      <c r="AI663" s="40"/>
      <c r="AJ663" s="40"/>
      <c r="AK663" s="40"/>
      <c r="AL663" s="40"/>
      <c r="AM663" s="40"/>
      <c r="AN663" s="40"/>
      <c r="AO663" s="40"/>
      <c r="AP663" s="40"/>
      <c r="AQ663" s="40"/>
      <c r="AR663" s="31"/>
      <c r="AS663" s="36">
        <v>0</v>
      </c>
      <c r="AY663" s="6"/>
      <c r="AZ663" s="2"/>
      <c r="BA663" s="2"/>
      <c r="BB663" s="2"/>
      <c r="BC663">
        <v>71500</v>
      </c>
      <c r="BD663">
        <v>56992</v>
      </c>
    </row>
    <row r="664" spans="3:56" x14ac:dyDescent="0.25">
      <c r="C664" s="1">
        <v>46284</v>
      </c>
      <c r="D664" s="36">
        <v>280814.82</v>
      </c>
      <c r="E664" s="33">
        <v>4.7433333333333296</v>
      </c>
      <c r="F664" s="33">
        <v>3.8743546666666702</v>
      </c>
      <c r="G664" s="2">
        <v>0.81679999999999997</v>
      </c>
      <c r="H664" s="2">
        <v>0.99</v>
      </c>
      <c r="I664" s="3"/>
      <c r="J664" s="3"/>
      <c r="K664" s="3"/>
      <c r="L664" s="3"/>
      <c r="M664" s="3"/>
      <c r="N664" s="3">
        <v>0</v>
      </c>
      <c r="O664" s="3"/>
      <c r="P664" s="3">
        <v>0</v>
      </c>
      <c r="Q664" s="3">
        <v>0</v>
      </c>
      <c r="R664" s="3">
        <v>0</v>
      </c>
      <c r="S664" s="3">
        <v>0</v>
      </c>
      <c r="T664" s="3">
        <v>0</v>
      </c>
      <c r="U664" s="3"/>
      <c r="V664" s="3"/>
      <c r="W664" s="3"/>
      <c r="X664" s="3"/>
      <c r="Y664" s="3"/>
      <c r="Z664" s="3"/>
      <c r="AA664" s="3"/>
      <c r="AB664" s="3"/>
      <c r="AC664" s="3"/>
      <c r="AD664" s="3"/>
      <c r="AE664" s="3">
        <v>0</v>
      </c>
      <c r="AF664" s="3">
        <v>0</v>
      </c>
      <c r="AG664" s="3"/>
      <c r="AH664" s="40"/>
      <c r="AI664" s="40"/>
      <c r="AJ664" s="40"/>
      <c r="AK664" s="40"/>
      <c r="AL664" s="40"/>
      <c r="AM664" s="40"/>
      <c r="AN664" s="40"/>
      <c r="AO664" s="40"/>
      <c r="AP664" s="40"/>
      <c r="AQ664" s="40"/>
      <c r="AR664" s="31"/>
      <c r="AS664" s="36">
        <v>0</v>
      </c>
      <c r="AY664" s="6"/>
      <c r="AZ664" s="2"/>
      <c r="BA664" s="2"/>
      <c r="BB664" s="2"/>
      <c r="BC664">
        <v>71500</v>
      </c>
      <c r="BD664">
        <v>56992</v>
      </c>
    </row>
    <row r="665" spans="3:56" x14ac:dyDescent="0.25">
      <c r="C665" s="1">
        <v>46285</v>
      </c>
      <c r="D665" s="36">
        <v>280814.82</v>
      </c>
      <c r="E665" s="33">
        <v>4.7433333333333296</v>
      </c>
      <c r="F665" s="33">
        <v>3.87430196296296</v>
      </c>
      <c r="G665" s="2">
        <v>0.81678888888888901</v>
      </c>
      <c r="H665" s="2">
        <v>0.99</v>
      </c>
      <c r="I665" s="3"/>
      <c r="J665" s="3"/>
      <c r="K665" s="3"/>
      <c r="L665" s="3"/>
      <c r="M665" s="3"/>
      <c r="N665" s="3">
        <v>0</v>
      </c>
      <c r="O665" s="3"/>
      <c r="P665" s="3">
        <v>0</v>
      </c>
      <c r="Q665" s="3">
        <v>0</v>
      </c>
      <c r="R665" s="3">
        <v>0</v>
      </c>
      <c r="S665" s="3">
        <v>0</v>
      </c>
      <c r="T665" s="3">
        <v>0</v>
      </c>
      <c r="U665" s="3"/>
      <c r="V665" s="3"/>
      <c r="W665" s="3"/>
      <c r="X665" s="3"/>
      <c r="Y665" s="3"/>
      <c r="Z665" s="3"/>
      <c r="AA665" s="3"/>
      <c r="AB665" s="3"/>
      <c r="AC665" s="3"/>
      <c r="AD665" s="3"/>
      <c r="AE665" s="3">
        <v>0</v>
      </c>
      <c r="AF665" s="3">
        <v>0</v>
      </c>
      <c r="AG665" s="3"/>
      <c r="AH665" s="40"/>
      <c r="AI665" s="40"/>
      <c r="AJ665" s="40"/>
      <c r="AK665" s="40"/>
      <c r="AL665" s="40"/>
      <c r="AM665" s="40"/>
      <c r="AN665" s="40"/>
      <c r="AO665" s="40"/>
      <c r="AP665" s="40"/>
      <c r="AQ665" s="40"/>
      <c r="AR665" s="31"/>
      <c r="AS665" s="36">
        <v>0</v>
      </c>
      <c r="AY665" s="6"/>
      <c r="AZ665" s="2"/>
      <c r="BA665" s="2"/>
      <c r="BB665" s="2"/>
      <c r="BC665">
        <v>71500</v>
      </c>
      <c r="BD665">
        <v>56992</v>
      </c>
    </row>
    <row r="666" spans="3:56" x14ac:dyDescent="0.25">
      <c r="C666" s="1">
        <v>46286</v>
      </c>
      <c r="D666" s="36">
        <v>280814.82</v>
      </c>
      <c r="E666" s="33">
        <v>4.7433333333333296</v>
      </c>
      <c r="F666" s="33">
        <v>3.8742492592592601</v>
      </c>
      <c r="G666" s="2">
        <v>0.81677777777777805</v>
      </c>
      <c r="H666" s="2">
        <v>0.99</v>
      </c>
      <c r="I666" s="3"/>
      <c r="J666" s="3"/>
      <c r="K666" s="3"/>
      <c r="L666" s="3"/>
      <c r="M666" s="3"/>
      <c r="N666" s="3">
        <v>0</v>
      </c>
      <c r="O666" s="3"/>
      <c r="P666" s="3">
        <v>0</v>
      </c>
      <c r="Q666" s="3">
        <v>0</v>
      </c>
      <c r="R666" s="3">
        <v>0</v>
      </c>
      <c r="S666" s="3">
        <v>0</v>
      </c>
      <c r="T666" s="3">
        <v>0</v>
      </c>
      <c r="U666" s="3"/>
      <c r="V666" s="3"/>
      <c r="W666" s="3"/>
      <c r="X666" s="3"/>
      <c r="Y666" s="3"/>
      <c r="Z666" s="3"/>
      <c r="AA666" s="3"/>
      <c r="AB666" s="3"/>
      <c r="AC666" s="3"/>
      <c r="AD666" s="3"/>
      <c r="AE666" s="3">
        <v>0</v>
      </c>
      <c r="AF666" s="3">
        <v>0</v>
      </c>
      <c r="AG666" s="3"/>
      <c r="AH666" s="40"/>
      <c r="AI666" s="40"/>
      <c r="AJ666" s="40"/>
      <c r="AK666" s="40"/>
      <c r="AL666" s="40"/>
      <c r="AM666" s="40"/>
      <c r="AN666" s="40"/>
      <c r="AO666" s="40"/>
      <c r="AP666" s="40"/>
      <c r="AQ666" s="40"/>
      <c r="AR666" s="31"/>
      <c r="AS666" s="36">
        <v>0</v>
      </c>
      <c r="AY666" s="6"/>
      <c r="AZ666" s="2"/>
      <c r="BA666" s="2"/>
      <c r="BB666" s="2"/>
      <c r="BC666">
        <v>71500</v>
      </c>
      <c r="BD666">
        <v>56992</v>
      </c>
    </row>
    <row r="667" spans="3:56" x14ac:dyDescent="0.25">
      <c r="C667" s="1">
        <v>46287</v>
      </c>
      <c r="D667" s="36">
        <v>280814.82</v>
      </c>
      <c r="E667" s="33">
        <v>4.7433333333333296</v>
      </c>
      <c r="F667" s="33">
        <v>3.8741965555555602</v>
      </c>
      <c r="G667" s="2">
        <v>0.81676666666666697</v>
      </c>
      <c r="H667" s="2">
        <v>0.99</v>
      </c>
      <c r="I667" s="3"/>
      <c r="J667" s="3"/>
      <c r="K667" s="3"/>
      <c r="L667" s="3"/>
      <c r="M667" s="3"/>
      <c r="N667" s="3">
        <v>0</v>
      </c>
      <c r="O667" s="3"/>
      <c r="P667" s="3">
        <v>0</v>
      </c>
      <c r="Q667" s="3">
        <v>0</v>
      </c>
      <c r="R667" s="3">
        <v>0</v>
      </c>
      <c r="S667" s="3">
        <v>0</v>
      </c>
      <c r="T667" s="3">
        <v>0</v>
      </c>
      <c r="U667" s="3"/>
      <c r="V667" s="3"/>
      <c r="W667" s="3"/>
      <c r="X667" s="3"/>
      <c r="Y667" s="3"/>
      <c r="Z667" s="3"/>
      <c r="AA667" s="3"/>
      <c r="AB667" s="3"/>
      <c r="AC667" s="3"/>
      <c r="AD667" s="3"/>
      <c r="AE667" s="3">
        <v>0</v>
      </c>
      <c r="AF667" s="3">
        <v>0</v>
      </c>
      <c r="AG667" s="3"/>
      <c r="AH667" s="40"/>
      <c r="AI667" s="40"/>
      <c r="AJ667" s="40"/>
      <c r="AK667" s="40"/>
      <c r="AL667" s="40"/>
      <c r="AM667" s="40"/>
      <c r="AN667" s="40"/>
      <c r="AO667" s="40"/>
      <c r="AP667" s="40"/>
      <c r="AQ667" s="40"/>
      <c r="AR667" s="31"/>
      <c r="AS667" s="36">
        <v>0</v>
      </c>
      <c r="AY667" s="6"/>
      <c r="AZ667" s="2"/>
      <c r="BA667" s="2"/>
      <c r="BB667" s="2"/>
      <c r="BC667">
        <v>71500</v>
      </c>
      <c r="BD667">
        <v>56992</v>
      </c>
    </row>
    <row r="668" spans="3:56" x14ac:dyDescent="0.25">
      <c r="C668" s="1">
        <v>46288</v>
      </c>
      <c r="D668" s="36">
        <v>280814.82</v>
      </c>
      <c r="E668" s="33">
        <v>4.7433333333333296</v>
      </c>
      <c r="F668" s="33">
        <v>3.8741438518518501</v>
      </c>
      <c r="G668" s="2">
        <v>0.81675555555555601</v>
      </c>
      <c r="H668" s="2">
        <v>0.99</v>
      </c>
      <c r="I668" s="3"/>
      <c r="J668" s="3"/>
      <c r="K668" s="3"/>
      <c r="L668" s="3"/>
      <c r="M668" s="3"/>
      <c r="N668" s="3">
        <v>0</v>
      </c>
      <c r="O668" s="3"/>
      <c r="P668" s="3">
        <v>0</v>
      </c>
      <c r="Q668" s="3">
        <v>0</v>
      </c>
      <c r="R668" s="3">
        <v>0</v>
      </c>
      <c r="S668" s="3">
        <v>0</v>
      </c>
      <c r="T668" s="3">
        <v>0</v>
      </c>
      <c r="U668" s="3"/>
      <c r="V668" s="3"/>
      <c r="W668" s="3"/>
      <c r="X668" s="3"/>
      <c r="Y668" s="3"/>
      <c r="Z668" s="3"/>
      <c r="AA668" s="3"/>
      <c r="AB668" s="3"/>
      <c r="AC668" s="3"/>
      <c r="AD668" s="3"/>
      <c r="AE668" s="3">
        <v>0</v>
      </c>
      <c r="AF668" s="3">
        <v>0</v>
      </c>
      <c r="AG668" s="3"/>
      <c r="AH668" s="40"/>
      <c r="AI668" s="40"/>
      <c r="AJ668" s="40"/>
      <c r="AK668" s="40"/>
      <c r="AL668" s="40"/>
      <c r="AM668" s="40"/>
      <c r="AN668" s="40"/>
      <c r="AO668" s="40"/>
      <c r="AP668" s="40"/>
      <c r="AQ668" s="40"/>
      <c r="AR668" s="31"/>
      <c r="AS668" s="36">
        <v>0</v>
      </c>
      <c r="AY668" s="6"/>
      <c r="AZ668" s="2"/>
      <c r="BA668" s="2"/>
      <c r="BB668" s="2"/>
      <c r="BC668">
        <v>71500</v>
      </c>
      <c r="BD668">
        <v>56992</v>
      </c>
    </row>
    <row r="669" spans="3:56" x14ac:dyDescent="0.25">
      <c r="C669" s="1">
        <v>46289</v>
      </c>
      <c r="D669" s="36">
        <v>280814.82</v>
      </c>
      <c r="E669" s="33">
        <v>4.7433333333333296</v>
      </c>
      <c r="F669" s="33">
        <v>3.8740911481481501</v>
      </c>
      <c r="G669" s="2">
        <v>0.81674444444444405</v>
      </c>
      <c r="H669" s="2">
        <v>0.99</v>
      </c>
      <c r="I669" s="3"/>
      <c r="J669" s="3"/>
      <c r="K669" s="3"/>
      <c r="L669" s="3"/>
      <c r="M669" s="3"/>
      <c r="N669" s="3">
        <v>0</v>
      </c>
      <c r="O669" s="3"/>
      <c r="P669" s="3">
        <v>0</v>
      </c>
      <c r="Q669" s="3">
        <v>0</v>
      </c>
      <c r="R669" s="3">
        <v>0</v>
      </c>
      <c r="S669" s="3">
        <v>0</v>
      </c>
      <c r="T669" s="3">
        <v>0</v>
      </c>
      <c r="U669" s="3"/>
      <c r="V669" s="3"/>
      <c r="W669" s="3"/>
      <c r="X669" s="3"/>
      <c r="Y669" s="3"/>
      <c r="Z669" s="3"/>
      <c r="AA669" s="3"/>
      <c r="AB669" s="3"/>
      <c r="AC669" s="3"/>
      <c r="AD669" s="3"/>
      <c r="AE669" s="3">
        <v>0</v>
      </c>
      <c r="AF669" s="3">
        <v>0</v>
      </c>
      <c r="AG669" s="3"/>
      <c r="AH669" s="40"/>
      <c r="AI669" s="40"/>
      <c r="AJ669" s="40"/>
      <c r="AK669" s="40"/>
      <c r="AL669" s="40"/>
      <c r="AM669" s="40"/>
      <c r="AN669" s="40"/>
      <c r="AO669" s="40"/>
      <c r="AP669" s="40"/>
      <c r="AQ669" s="40"/>
      <c r="AR669" s="31"/>
      <c r="AS669" s="36">
        <v>0</v>
      </c>
      <c r="AY669" s="6"/>
      <c r="AZ669" s="2"/>
      <c r="BA669" s="2"/>
      <c r="BB669" s="2"/>
      <c r="BC669">
        <v>71500</v>
      </c>
      <c r="BD669">
        <v>56992</v>
      </c>
    </row>
    <row r="670" spans="3:56" x14ac:dyDescent="0.25">
      <c r="C670" s="1">
        <v>46290</v>
      </c>
      <c r="D670" s="36">
        <v>280814.82</v>
      </c>
      <c r="E670" s="33">
        <v>4.7433333333333296</v>
      </c>
      <c r="F670" s="33">
        <v>3.87403844444444</v>
      </c>
      <c r="G670" s="2">
        <v>0.81673333333333298</v>
      </c>
      <c r="H670" s="2">
        <v>0.99</v>
      </c>
      <c r="I670" s="3"/>
      <c r="J670" s="3"/>
      <c r="K670" s="3"/>
      <c r="L670" s="3"/>
      <c r="M670" s="3"/>
      <c r="N670" s="3">
        <v>0</v>
      </c>
      <c r="O670" s="3"/>
      <c r="P670" s="3">
        <v>0</v>
      </c>
      <c r="Q670" s="3">
        <v>0</v>
      </c>
      <c r="R670" s="3">
        <v>0</v>
      </c>
      <c r="S670" s="3">
        <v>0</v>
      </c>
      <c r="T670" s="3">
        <v>0</v>
      </c>
      <c r="U670" s="3"/>
      <c r="V670" s="3"/>
      <c r="W670" s="3"/>
      <c r="X670" s="3"/>
      <c r="Y670" s="3"/>
      <c r="Z670" s="3"/>
      <c r="AA670" s="3"/>
      <c r="AB670" s="3"/>
      <c r="AC670" s="3"/>
      <c r="AD670" s="3"/>
      <c r="AE670" s="3">
        <v>0</v>
      </c>
      <c r="AF670" s="3">
        <v>0</v>
      </c>
      <c r="AG670" s="3"/>
      <c r="AH670" s="40"/>
      <c r="AI670" s="40"/>
      <c r="AJ670" s="40"/>
      <c r="AK670" s="40"/>
      <c r="AL670" s="40"/>
      <c r="AM670" s="40"/>
      <c r="AN670" s="40"/>
      <c r="AO670" s="40"/>
      <c r="AP670" s="40"/>
      <c r="AQ670" s="40"/>
      <c r="AR670" s="31"/>
      <c r="AS670" s="36">
        <v>0</v>
      </c>
      <c r="AY670" s="6"/>
      <c r="AZ670" s="2"/>
      <c r="BA670" s="2"/>
      <c r="BB670" s="2"/>
      <c r="BC670">
        <v>71500</v>
      </c>
      <c r="BD670">
        <v>56992</v>
      </c>
    </row>
    <row r="671" spans="3:56" x14ac:dyDescent="0.25">
      <c r="C671" s="1">
        <v>46291</v>
      </c>
      <c r="D671" s="36">
        <v>280814.82</v>
      </c>
      <c r="E671" s="33">
        <v>4.7433333333333296</v>
      </c>
      <c r="F671" s="33">
        <v>3.8739857407407401</v>
      </c>
      <c r="G671" s="2">
        <v>0.81672222222222202</v>
      </c>
      <c r="H671" s="2">
        <v>0.99</v>
      </c>
      <c r="I671" s="3"/>
      <c r="J671" s="3"/>
      <c r="K671" s="3"/>
      <c r="L671" s="3"/>
      <c r="M671" s="3"/>
      <c r="N671" s="3">
        <v>0</v>
      </c>
      <c r="O671" s="3"/>
      <c r="P671" s="3">
        <v>0</v>
      </c>
      <c r="Q671" s="3">
        <v>0</v>
      </c>
      <c r="R671" s="3">
        <v>0</v>
      </c>
      <c r="S671" s="3">
        <v>0</v>
      </c>
      <c r="T671" s="3">
        <v>0</v>
      </c>
      <c r="U671" s="3"/>
      <c r="V671" s="3"/>
      <c r="W671" s="3"/>
      <c r="X671" s="3"/>
      <c r="Y671" s="3"/>
      <c r="Z671" s="3"/>
      <c r="AA671" s="3"/>
      <c r="AB671" s="3"/>
      <c r="AC671" s="3"/>
      <c r="AD671" s="3"/>
      <c r="AE671" s="3">
        <v>0</v>
      </c>
      <c r="AF671" s="3">
        <v>0</v>
      </c>
      <c r="AG671" s="3"/>
      <c r="AH671" s="40"/>
      <c r="AI671" s="40"/>
      <c r="AJ671" s="40"/>
      <c r="AK671" s="40"/>
      <c r="AL671" s="40"/>
      <c r="AM671" s="40"/>
      <c r="AN671" s="40"/>
      <c r="AO671" s="40"/>
      <c r="AP671" s="40"/>
      <c r="AQ671" s="40"/>
      <c r="AR671" s="31"/>
      <c r="AS671" s="36">
        <v>0</v>
      </c>
      <c r="AY671" s="6"/>
      <c r="AZ671" s="2"/>
      <c r="BA671" s="2"/>
      <c r="BB671" s="2"/>
      <c r="BC671">
        <v>71500</v>
      </c>
      <c r="BD671">
        <v>56992</v>
      </c>
    </row>
    <row r="672" spans="3:56" x14ac:dyDescent="0.25">
      <c r="C672" s="1">
        <v>46292</v>
      </c>
      <c r="D672" s="36">
        <v>280814.82</v>
      </c>
      <c r="E672" s="33">
        <v>4.7433333333333296</v>
      </c>
      <c r="F672" s="33">
        <v>3.8739330370370402</v>
      </c>
      <c r="G672" s="2">
        <v>0.81671111111111105</v>
      </c>
      <c r="H672" s="2">
        <v>0.99</v>
      </c>
      <c r="I672" s="3"/>
      <c r="J672" s="3"/>
      <c r="K672" s="3"/>
      <c r="L672" s="3"/>
      <c r="M672" s="3"/>
      <c r="N672" s="3">
        <v>0</v>
      </c>
      <c r="O672" s="3"/>
      <c r="P672" s="3">
        <v>0</v>
      </c>
      <c r="Q672" s="3">
        <v>0</v>
      </c>
      <c r="R672" s="3">
        <v>0</v>
      </c>
      <c r="S672" s="3">
        <v>0</v>
      </c>
      <c r="T672" s="3">
        <v>0</v>
      </c>
      <c r="U672" s="3"/>
      <c r="V672" s="3"/>
      <c r="W672" s="3"/>
      <c r="X672" s="3"/>
      <c r="Y672" s="3"/>
      <c r="Z672" s="3"/>
      <c r="AA672" s="3"/>
      <c r="AB672" s="3"/>
      <c r="AC672" s="3"/>
      <c r="AD672" s="3"/>
      <c r="AE672" s="3">
        <v>0</v>
      </c>
      <c r="AF672" s="3">
        <v>0</v>
      </c>
      <c r="AG672" s="3"/>
      <c r="AH672" s="40"/>
      <c r="AI672" s="40"/>
      <c r="AJ672" s="40"/>
      <c r="AK672" s="40"/>
      <c r="AL672" s="40"/>
      <c r="AM672" s="40"/>
      <c r="AN672" s="40"/>
      <c r="AO672" s="40"/>
      <c r="AP672" s="40"/>
      <c r="AQ672" s="40"/>
      <c r="AR672" s="31"/>
      <c r="AS672" s="36">
        <v>0</v>
      </c>
      <c r="AY672" s="6"/>
      <c r="AZ672" s="2"/>
      <c r="BA672" s="2"/>
      <c r="BB672" s="2"/>
      <c r="BC672">
        <v>71500</v>
      </c>
      <c r="BD672">
        <v>56992</v>
      </c>
    </row>
    <row r="673" spans="3:56" x14ac:dyDescent="0.25">
      <c r="C673" s="1">
        <v>46293</v>
      </c>
      <c r="D673" s="36">
        <v>280814.82</v>
      </c>
      <c r="E673" s="33">
        <v>4.7433333333333296</v>
      </c>
      <c r="F673" s="33">
        <v>3.87388033333333</v>
      </c>
      <c r="G673" s="2">
        <v>0.81669999999999998</v>
      </c>
      <c r="H673" s="2">
        <v>0.99</v>
      </c>
      <c r="I673" s="3"/>
      <c r="J673" s="3"/>
      <c r="K673" s="3"/>
      <c r="L673" s="3"/>
      <c r="M673" s="3"/>
      <c r="N673" s="3">
        <v>0</v>
      </c>
      <c r="O673" s="3"/>
      <c r="P673" s="3">
        <v>0</v>
      </c>
      <c r="Q673" s="3">
        <v>0</v>
      </c>
      <c r="R673" s="3">
        <v>0</v>
      </c>
      <c r="S673" s="3">
        <v>0</v>
      </c>
      <c r="T673" s="3">
        <v>0</v>
      </c>
      <c r="U673" s="3"/>
      <c r="V673" s="3"/>
      <c r="W673" s="3"/>
      <c r="X673" s="3"/>
      <c r="Y673" s="3"/>
      <c r="Z673" s="3"/>
      <c r="AA673" s="3"/>
      <c r="AB673" s="3"/>
      <c r="AC673" s="3"/>
      <c r="AD673" s="3"/>
      <c r="AE673" s="3">
        <v>0</v>
      </c>
      <c r="AF673" s="3">
        <v>0</v>
      </c>
      <c r="AG673" s="3"/>
      <c r="AH673" s="40"/>
      <c r="AI673" s="40"/>
      <c r="AJ673" s="40"/>
      <c r="AK673" s="40"/>
      <c r="AL673" s="40"/>
      <c r="AM673" s="40"/>
      <c r="AN673" s="40"/>
      <c r="AO673" s="40"/>
      <c r="AP673" s="40"/>
      <c r="AQ673" s="40"/>
      <c r="AR673" s="31"/>
      <c r="AS673" s="36">
        <v>0</v>
      </c>
      <c r="AY673" s="6"/>
      <c r="AZ673" s="2"/>
      <c r="BA673" s="2"/>
      <c r="BB673" s="2"/>
      <c r="BC673">
        <v>71500</v>
      </c>
      <c r="BD673">
        <v>56992</v>
      </c>
    </row>
    <row r="674" spans="3:56" x14ac:dyDescent="0.25">
      <c r="C674" s="1">
        <v>46294</v>
      </c>
      <c r="D674" s="36">
        <v>280814.82</v>
      </c>
      <c r="E674" s="33">
        <v>4.7433333333333296</v>
      </c>
      <c r="F674" s="33">
        <v>3.8738276296296301</v>
      </c>
      <c r="G674" s="2">
        <v>0.81668888888888902</v>
      </c>
      <c r="H674" s="2">
        <v>0.99</v>
      </c>
      <c r="I674" s="3"/>
      <c r="J674" s="3"/>
      <c r="K674" s="3"/>
      <c r="L674" s="3"/>
      <c r="M674" s="3"/>
      <c r="N674" s="3">
        <v>0</v>
      </c>
      <c r="O674" s="3"/>
      <c r="P674" s="3">
        <v>0</v>
      </c>
      <c r="Q674" s="3">
        <v>0</v>
      </c>
      <c r="R674" s="3">
        <v>0</v>
      </c>
      <c r="S674" s="3">
        <v>0</v>
      </c>
      <c r="T674" s="3">
        <v>0</v>
      </c>
      <c r="U674" s="3"/>
      <c r="V674" s="3"/>
      <c r="W674" s="3"/>
      <c r="X674" s="3"/>
      <c r="Y674" s="3"/>
      <c r="Z674" s="3"/>
      <c r="AA674" s="3"/>
      <c r="AB674" s="3"/>
      <c r="AC674" s="3"/>
      <c r="AD674" s="3"/>
      <c r="AE674" s="3">
        <v>0</v>
      </c>
      <c r="AF674" s="3">
        <v>0</v>
      </c>
      <c r="AG674" s="3"/>
      <c r="AH674" s="40"/>
      <c r="AI674" s="40"/>
      <c r="AJ674" s="40"/>
      <c r="AK674" s="40"/>
      <c r="AL674" s="40"/>
      <c r="AM674" s="40"/>
      <c r="AN674" s="40"/>
      <c r="AO674" s="40"/>
      <c r="AP674" s="40"/>
      <c r="AQ674" s="40"/>
      <c r="AR674" s="31"/>
      <c r="AS674" s="36">
        <v>0</v>
      </c>
      <c r="AY674" s="6"/>
      <c r="AZ674" s="2"/>
      <c r="BA674" s="2"/>
      <c r="BB674" s="2"/>
      <c r="BC674">
        <v>71500</v>
      </c>
      <c r="BD674">
        <v>56992</v>
      </c>
    </row>
    <row r="675" spans="3:56" x14ac:dyDescent="0.25">
      <c r="C675" s="1">
        <v>46295</v>
      </c>
      <c r="D675" s="36">
        <v>280814.82</v>
      </c>
      <c r="E675" s="33">
        <v>4.7433333333333296</v>
      </c>
      <c r="F675" s="33">
        <v>3.8737749259259302</v>
      </c>
      <c r="G675" s="2">
        <v>0.81667777777777795</v>
      </c>
      <c r="H675" s="2">
        <v>0.99</v>
      </c>
      <c r="I675" s="3"/>
      <c r="J675" s="3"/>
      <c r="K675" s="3"/>
      <c r="L675" s="3"/>
      <c r="M675" s="3"/>
      <c r="N675" s="3">
        <v>0</v>
      </c>
      <c r="O675" s="3"/>
      <c r="P675" s="3">
        <v>0</v>
      </c>
      <c r="Q675" s="3">
        <v>0</v>
      </c>
      <c r="R675" s="3">
        <v>0</v>
      </c>
      <c r="S675" s="3">
        <v>0</v>
      </c>
      <c r="T675" s="3">
        <v>0</v>
      </c>
      <c r="U675" s="3"/>
      <c r="V675" s="3"/>
      <c r="W675" s="3"/>
      <c r="X675" s="3"/>
      <c r="Y675" s="3"/>
      <c r="Z675" s="3"/>
      <c r="AA675" s="3"/>
      <c r="AB675" s="3"/>
      <c r="AC675" s="3"/>
      <c r="AD675" s="3"/>
      <c r="AE675" s="3">
        <v>0</v>
      </c>
      <c r="AF675" s="3">
        <v>0</v>
      </c>
      <c r="AG675" s="3"/>
      <c r="AH675" s="40"/>
      <c r="AI675" s="40"/>
      <c r="AJ675" s="40"/>
      <c r="AK675" s="40"/>
      <c r="AL675" s="40"/>
      <c r="AM675" s="40"/>
      <c r="AN675" s="40"/>
      <c r="AO675" s="40"/>
      <c r="AP675" s="40"/>
      <c r="AQ675" s="40"/>
      <c r="AR675" s="31"/>
      <c r="AS675" s="36">
        <v>0</v>
      </c>
      <c r="AY675" s="6"/>
      <c r="AZ675" s="2"/>
      <c r="BA675" s="2"/>
      <c r="BB675" s="2"/>
      <c r="BC675">
        <v>71500</v>
      </c>
      <c r="BD675">
        <v>56992</v>
      </c>
    </row>
    <row r="676" spans="3:56" x14ac:dyDescent="0.25">
      <c r="C676" s="1">
        <v>46296</v>
      </c>
      <c r="D676" s="36">
        <v>267120.30967741902</v>
      </c>
      <c r="E676" s="33">
        <v>4.4903225806451603</v>
      </c>
      <c r="F676" s="33">
        <v>3.6670967741935501</v>
      </c>
      <c r="G676" s="2">
        <v>0.81666666666666698</v>
      </c>
      <c r="H676" s="2">
        <v>0.99</v>
      </c>
      <c r="I676" s="3"/>
      <c r="J676" s="3"/>
      <c r="K676" s="3"/>
      <c r="L676" s="3"/>
      <c r="M676" s="3"/>
      <c r="N676" s="3">
        <v>0</v>
      </c>
      <c r="O676" s="3"/>
      <c r="P676" s="3">
        <v>0</v>
      </c>
      <c r="Q676" s="3">
        <v>0</v>
      </c>
      <c r="R676" s="3">
        <v>0</v>
      </c>
      <c r="S676" s="3">
        <v>0</v>
      </c>
      <c r="T676" s="3">
        <v>0</v>
      </c>
      <c r="U676" s="3"/>
      <c r="V676" s="3"/>
      <c r="W676" s="3"/>
      <c r="X676" s="3"/>
      <c r="Y676" s="3"/>
      <c r="Z676" s="3"/>
      <c r="AA676" s="3"/>
      <c r="AB676" s="3"/>
      <c r="AC676" s="3"/>
      <c r="AD676" s="3"/>
      <c r="AE676" s="3">
        <v>0</v>
      </c>
      <c r="AF676" s="3">
        <v>0</v>
      </c>
      <c r="AG676" s="3"/>
      <c r="AH676" s="40"/>
      <c r="AI676" s="40"/>
      <c r="AJ676" s="40"/>
      <c r="AK676" s="40"/>
      <c r="AL676" s="40"/>
      <c r="AM676" s="40"/>
      <c r="AN676" s="40"/>
      <c r="AO676" s="40"/>
      <c r="AP676" s="40"/>
      <c r="AQ676" s="40"/>
      <c r="AR676" s="31"/>
      <c r="AS676" s="36">
        <v>0</v>
      </c>
      <c r="AY676" s="6"/>
      <c r="AZ676" s="2"/>
      <c r="BA676" s="2"/>
      <c r="BB676" s="2"/>
      <c r="BC676">
        <v>71500</v>
      </c>
      <c r="BD676">
        <v>56992</v>
      </c>
    </row>
    <row r="677" spans="3:56" x14ac:dyDescent="0.25">
      <c r="C677" s="1">
        <v>46297</v>
      </c>
      <c r="D677" s="36">
        <v>267120.30967741902</v>
      </c>
      <c r="E677" s="33">
        <v>4.4903225806451603</v>
      </c>
      <c r="F677" s="33">
        <v>3.66704688172043</v>
      </c>
      <c r="G677" s="2">
        <v>0.81665555555555602</v>
      </c>
      <c r="H677" s="2">
        <v>0.99</v>
      </c>
      <c r="I677" s="3"/>
      <c r="J677" s="3"/>
      <c r="K677" s="3"/>
      <c r="L677" s="3"/>
      <c r="M677" s="3"/>
      <c r="N677" s="3">
        <v>0</v>
      </c>
      <c r="O677" s="3"/>
      <c r="P677" s="3">
        <v>0</v>
      </c>
      <c r="Q677" s="3">
        <v>0</v>
      </c>
      <c r="R677" s="3">
        <v>0</v>
      </c>
      <c r="S677" s="3">
        <v>0</v>
      </c>
      <c r="T677" s="3">
        <v>0</v>
      </c>
      <c r="U677" s="3"/>
      <c r="V677" s="3"/>
      <c r="W677" s="3"/>
      <c r="X677" s="3"/>
      <c r="Y677" s="3"/>
      <c r="Z677" s="3"/>
      <c r="AA677" s="3"/>
      <c r="AB677" s="3"/>
      <c r="AC677" s="3"/>
      <c r="AD677" s="3"/>
      <c r="AE677" s="3">
        <v>0</v>
      </c>
      <c r="AF677" s="3">
        <v>0</v>
      </c>
      <c r="AG677" s="3"/>
      <c r="AH677" s="40"/>
      <c r="AI677" s="40"/>
      <c r="AJ677" s="40"/>
      <c r="AK677" s="40"/>
      <c r="AL677" s="40"/>
      <c r="AM677" s="40"/>
      <c r="AN677" s="40"/>
      <c r="AO677" s="40"/>
      <c r="AP677" s="40"/>
      <c r="AQ677" s="40"/>
      <c r="AR677" s="31"/>
      <c r="AS677" s="36">
        <v>0</v>
      </c>
      <c r="AY677" s="6"/>
      <c r="AZ677" s="2"/>
      <c r="BA677" s="2"/>
      <c r="BB677" s="2"/>
      <c r="BC677">
        <v>71500</v>
      </c>
      <c r="BD677">
        <v>56992</v>
      </c>
    </row>
    <row r="678" spans="3:56" x14ac:dyDescent="0.25">
      <c r="C678" s="1">
        <v>46298</v>
      </c>
      <c r="D678" s="36">
        <v>267120.30967741902</v>
      </c>
      <c r="E678" s="33">
        <v>4.4903225806451603</v>
      </c>
      <c r="F678" s="33">
        <v>3.66699698924731</v>
      </c>
      <c r="G678" s="2">
        <v>0.81664444444444395</v>
      </c>
      <c r="H678" s="2">
        <v>0.99</v>
      </c>
      <c r="I678" s="3"/>
      <c r="J678" s="3"/>
      <c r="K678" s="3"/>
      <c r="L678" s="3"/>
      <c r="M678" s="3"/>
      <c r="N678" s="3">
        <v>0</v>
      </c>
      <c r="O678" s="3"/>
      <c r="P678" s="3">
        <v>0</v>
      </c>
      <c r="Q678" s="3">
        <v>0</v>
      </c>
      <c r="R678" s="3">
        <v>0</v>
      </c>
      <c r="S678" s="3">
        <v>0</v>
      </c>
      <c r="T678" s="3">
        <v>0</v>
      </c>
      <c r="U678" s="3"/>
      <c r="V678" s="3"/>
      <c r="W678" s="3"/>
      <c r="X678" s="3"/>
      <c r="Y678" s="3"/>
      <c r="Z678" s="3"/>
      <c r="AA678" s="3"/>
      <c r="AB678" s="3"/>
      <c r="AC678" s="3"/>
      <c r="AD678" s="3"/>
      <c r="AE678" s="3">
        <v>0</v>
      </c>
      <c r="AF678" s="3">
        <v>0</v>
      </c>
      <c r="AG678" s="3"/>
      <c r="AH678" s="40"/>
      <c r="AI678" s="40"/>
      <c r="AJ678" s="40"/>
      <c r="AK678" s="40"/>
      <c r="AL678" s="40"/>
      <c r="AM678" s="40"/>
      <c r="AN678" s="40"/>
      <c r="AO678" s="40"/>
      <c r="AP678" s="40"/>
      <c r="AQ678" s="40"/>
      <c r="AR678" s="31"/>
      <c r="AS678" s="36">
        <v>0</v>
      </c>
      <c r="AY678" s="6"/>
      <c r="AZ678" s="2"/>
      <c r="BA678" s="2"/>
      <c r="BB678" s="2"/>
      <c r="BC678">
        <v>71500</v>
      </c>
      <c r="BD678">
        <v>56992</v>
      </c>
    </row>
    <row r="679" spans="3:56" x14ac:dyDescent="0.25">
      <c r="C679" s="1">
        <v>46299</v>
      </c>
      <c r="D679" s="36">
        <v>267120.30967741902</v>
      </c>
      <c r="E679" s="33">
        <v>4.4903225806451603</v>
      </c>
      <c r="F679" s="33">
        <v>3.66694709677419</v>
      </c>
      <c r="G679" s="2">
        <v>0.81663333333333299</v>
      </c>
      <c r="H679" s="2">
        <v>0.99</v>
      </c>
      <c r="I679" s="3"/>
      <c r="J679" s="3"/>
      <c r="K679" s="3"/>
      <c r="L679" s="3"/>
      <c r="M679" s="3"/>
      <c r="N679" s="3">
        <v>0</v>
      </c>
      <c r="O679" s="3"/>
      <c r="P679" s="3">
        <v>0</v>
      </c>
      <c r="Q679" s="3">
        <v>0</v>
      </c>
      <c r="R679" s="3">
        <v>0</v>
      </c>
      <c r="S679" s="3">
        <v>0</v>
      </c>
      <c r="T679" s="3">
        <v>0</v>
      </c>
      <c r="U679" s="3"/>
      <c r="V679" s="3"/>
      <c r="W679" s="3"/>
      <c r="X679" s="3"/>
      <c r="Y679" s="3"/>
      <c r="Z679" s="3"/>
      <c r="AA679" s="3"/>
      <c r="AB679" s="3"/>
      <c r="AC679" s="3"/>
      <c r="AD679" s="3"/>
      <c r="AE679" s="3">
        <v>0</v>
      </c>
      <c r="AF679" s="3">
        <v>0</v>
      </c>
      <c r="AG679" s="3"/>
      <c r="AH679" s="40"/>
      <c r="AI679" s="40"/>
      <c r="AJ679" s="40"/>
      <c r="AK679" s="40"/>
      <c r="AL679" s="40"/>
      <c r="AM679" s="40"/>
      <c r="AN679" s="40"/>
      <c r="AO679" s="40"/>
      <c r="AP679" s="40"/>
      <c r="AQ679" s="40"/>
      <c r="AR679" s="31"/>
      <c r="AS679" s="36">
        <v>0</v>
      </c>
      <c r="AY679" s="6"/>
      <c r="AZ679" s="2"/>
      <c r="BA679" s="2"/>
      <c r="BB679" s="2"/>
      <c r="BC679">
        <v>71500</v>
      </c>
      <c r="BD679">
        <v>56992</v>
      </c>
    </row>
    <row r="680" spans="3:56" x14ac:dyDescent="0.25">
      <c r="C680" s="1">
        <v>46300</v>
      </c>
      <c r="D680" s="36">
        <v>267120.30967741902</v>
      </c>
      <c r="E680" s="33">
        <v>4.4903225806451603</v>
      </c>
      <c r="F680" s="33">
        <v>3.6668972043010801</v>
      </c>
      <c r="G680" s="2">
        <v>0.81662222222222203</v>
      </c>
      <c r="H680" s="2">
        <v>0.99</v>
      </c>
      <c r="I680" s="3"/>
      <c r="J680" s="3"/>
      <c r="K680" s="3"/>
      <c r="L680" s="3"/>
      <c r="M680" s="3"/>
      <c r="N680" s="3">
        <v>0</v>
      </c>
      <c r="O680" s="3"/>
      <c r="P680" s="3">
        <v>0</v>
      </c>
      <c r="Q680" s="3">
        <v>0</v>
      </c>
      <c r="R680" s="3">
        <v>0</v>
      </c>
      <c r="S680" s="3">
        <v>0</v>
      </c>
      <c r="T680" s="3">
        <v>0</v>
      </c>
      <c r="U680" s="3"/>
      <c r="V680" s="3"/>
      <c r="W680" s="3"/>
      <c r="X680" s="3"/>
      <c r="Y680" s="3"/>
      <c r="Z680" s="3"/>
      <c r="AA680" s="3"/>
      <c r="AB680" s="3"/>
      <c r="AC680" s="3"/>
      <c r="AD680" s="3"/>
      <c r="AE680" s="3">
        <v>0</v>
      </c>
      <c r="AF680" s="3">
        <v>0</v>
      </c>
      <c r="AG680" s="3"/>
      <c r="AH680" s="40"/>
      <c r="AI680" s="40"/>
      <c r="AJ680" s="40"/>
      <c r="AK680" s="40"/>
      <c r="AL680" s="40"/>
      <c r="AM680" s="40"/>
      <c r="AN680" s="40"/>
      <c r="AO680" s="40"/>
      <c r="AP680" s="40"/>
      <c r="AQ680" s="40"/>
      <c r="AR680" s="31"/>
      <c r="AS680" s="36">
        <v>0</v>
      </c>
      <c r="AY680" s="6"/>
      <c r="AZ680" s="2"/>
      <c r="BA680" s="2"/>
      <c r="BB680" s="2"/>
      <c r="BC680">
        <v>71500</v>
      </c>
      <c r="BD680">
        <v>56992</v>
      </c>
    </row>
    <row r="681" spans="3:56" x14ac:dyDescent="0.25">
      <c r="C681" s="1">
        <v>46301</v>
      </c>
      <c r="D681" s="36">
        <v>267120.30967741902</v>
      </c>
      <c r="E681" s="33">
        <v>4.4903225806451603</v>
      </c>
      <c r="F681" s="33">
        <v>3.6668473118279601</v>
      </c>
      <c r="G681" s="2">
        <v>0.81661111111111095</v>
      </c>
      <c r="H681" s="2">
        <v>0.99</v>
      </c>
      <c r="I681" s="3"/>
      <c r="J681" s="3"/>
      <c r="K681" s="3"/>
      <c r="L681" s="3"/>
      <c r="M681" s="3"/>
      <c r="N681" s="3">
        <v>0</v>
      </c>
      <c r="O681" s="3"/>
      <c r="P681" s="3">
        <v>0</v>
      </c>
      <c r="Q681" s="3">
        <v>0</v>
      </c>
      <c r="R681" s="3">
        <v>0</v>
      </c>
      <c r="S681" s="3">
        <v>0</v>
      </c>
      <c r="T681" s="3">
        <v>0</v>
      </c>
      <c r="U681" s="3"/>
      <c r="V681" s="3"/>
      <c r="W681" s="3"/>
      <c r="X681" s="3"/>
      <c r="Y681" s="3"/>
      <c r="Z681" s="3"/>
      <c r="AA681" s="3"/>
      <c r="AB681" s="3"/>
      <c r="AC681" s="3"/>
      <c r="AD681" s="3"/>
      <c r="AE681" s="3">
        <v>0</v>
      </c>
      <c r="AF681" s="3">
        <v>0</v>
      </c>
      <c r="AG681" s="3"/>
      <c r="AH681" s="40"/>
      <c r="AI681" s="40"/>
      <c r="AJ681" s="40"/>
      <c r="AK681" s="40"/>
      <c r="AL681" s="40"/>
      <c r="AM681" s="40"/>
      <c r="AN681" s="40"/>
      <c r="AO681" s="40"/>
      <c r="AP681" s="40"/>
      <c r="AQ681" s="40"/>
      <c r="AR681" s="31"/>
      <c r="AS681" s="36">
        <v>0</v>
      </c>
      <c r="AY681" s="6"/>
      <c r="AZ681" s="2"/>
      <c r="BA681" s="2"/>
      <c r="BB681" s="2"/>
      <c r="BC681">
        <v>71500</v>
      </c>
      <c r="BD681">
        <v>56992</v>
      </c>
    </row>
    <row r="682" spans="3:56" x14ac:dyDescent="0.25">
      <c r="C682" s="1">
        <v>46302</v>
      </c>
      <c r="D682" s="36">
        <v>267120.30967741902</v>
      </c>
      <c r="E682" s="33">
        <v>4.4903225806451603</v>
      </c>
      <c r="F682" s="33">
        <v>3.66679741935484</v>
      </c>
      <c r="G682" s="2">
        <v>0.81659999999999999</v>
      </c>
      <c r="H682" s="2">
        <v>0.99</v>
      </c>
      <c r="I682" s="3"/>
      <c r="J682" s="3"/>
      <c r="K682" s="3"/>
      <c r="L682" s="3"/>
      <c r="M682" s="3"/>
      <c r="N682" s="3">
        <v>0</v>
      </c>
      <c r="O682" s="3"/>
      <c r="P682" s="3">
        <v>0</v>
      </c>
      <c r="Q682" s="3">
        <v>0</v>
      </c>
      <c r="R682" s="3">
        <v>0</v>
      </c>
      <c r="S682" s="3">
        <v>0</v>
      </c>
      <c r="T682" s="3">
        <v>0</v>
      </c>
      <c r="U682" s="3"/>
      <c r="V682" s="3"/>
      <c r="W682" s="3"/>
      <c r="X682" s="3"/>
      <c r="Y682" s="3"/>
      <c r="Z682" s="3"/>
      <c r="AA682" s="3"/>
      <c r="AB682" s="3"/>
      <c r="AC682" s="3"/>
      <c r="AD682" s="3"/>
      <c r="AE682" s="3">
        <v>0</v>
      </c>
      <c r="AF682" s="3">
        <v>0</v>
      </c>
      <c r="AG682" s="3"/>
      <c r="AH682" s="40"/>
      <c r="AI682" s="40"/>
      <c r="AJ682" s="40"/>
      <c r="AK682" s="40"/>
      <c r="AL682" s="40"/>
      <c r="AM682" s="40"/>
      <c r="AN682" s="40"/>
      <c r="AO682" s="40"/>
      <c r="AP682" s="40"/>
      <c r="AQ682" s="40"/>
      <c r="AR682" s="31"/>
      <c r="AS682" s="36">
        <v>0</v>
      </c>
      <c r="AY682" s="6"/>
      <c r="AZ682" s="2"/>
      <c r="BA682" s="2"/>
      <c r="BB682" s="2"/>
      <c r="BC682">
        <v>71500</v>
      </c>
      <c r="BD682">
        <v>56992</v>
      </c>
    </row>
    <row r="683" spans="3:56" x14ac:dyDescent="0.25">
      <c r="C683" s="1">
        <v>46303</v>
      </c>
      <c r="D683" s="36">
        <v>267120.30967741902</v>
      </c>
      <c r="E683" s="33">
        <v>4.4903225806451603</v>
      </c>
      <c r="F683" s="33">
        <v>3.66674752688172</v>
      </c>
      <c r="G683" s="2">
        <v>0.81658888888888903</v>
      </c>
      <c r="H683" s="2">
        <v>0.99</v>
      </c>
      <c r="I683" s="3"/>
      <c r="J683" s="3"/>
      <c r="K683" s="3"/>
      <c r="L683" s="3"/>
      <c r="M683" s="3"/>
      <c r="N683" s="3">
        <v>0</v>
      </c>
      <c r="O683" s="3"/>
      <c r="P683" s="3">
        <v>0</v>
      </c>
      <c r="Q683" s="3">
        <v>0</v>
      </c>
      <c r="R683" s="3">
        <v>0</v>
      </c>
      <c r="S683" s="3">
        <v>0</v>
      </c>
      <c r="T683" s="3">
        <v>0</v>
      </c>
      <c r="U683" s="3"/>
      <c r="V683" s="3"/>
      <c r="W683" s="3"/>
      <c r="X683" s="3"/>
      <c r="Y683" s="3"/>
      <c r="Z683" s="3"/>
      <c r="AA683" s="3"/>
      <c r="AB683" s="3"/>
      <c r="AC683" s="3"/>
      <c r="AD683" s="3"/>
      <c r="AE683" s="3">
        <v>0</v>
      </c>
      <c r="AF683" s="3">
        <v>0</v>
      </c>
      <c r="AG683" s="3"/>
      <c r="AH683" s="40"/>
      <c r="AI683" s="40"/>
      <c r="AJ683" s="40"/>
      <c r="AK683" s="40"/>
      <c r="AL683" s="40"/>
      <c r="AM683" s="40"/>
      <c r="AN683" s="40"/>
      <c r="AO683" s="40"/>
      <c r="AP683" s="40"/>
      <c r="AQ683" s="40"/>
      <c r="AR683" s="31"/>
      <c r="AS683" s="36">
        <v>0</v>
      </c>
      <c r="AY683" s="6"/>
      <c r="AZ683" s="2"/>
      <c r="BA683" s="2"/>
      <c r="BB683" s="2"/>
      <c r="BC683">
        <v>71500</v>
      </c>
      <c r="BD683">
        <v>56992</v>
      </c>
    </row>
    <row r="684" spans="3:56" x14ac:dyDescent="0.25">
      <c r="C684" s="1">
        <v>46304</v>
      </c>
      <c r="D684" s="36">
        <v>267120.30967741902</v>
      </c>
      <c r="E684" s="33">
        <v>4.4903225806451603</v>
      </c>
      <c r="F684" s="33">
        <v>3.6666976344086</v>
      </c>
      <c r="G684" s="2">
        <v>0.81657777777777796</v>
      </c>
      <c r="H684" s="2">
        <v>0.99</v>
      </c>
      <c r="I684" s="3"/>
      <c r="J684" s="3"/>
      <c r="K684" s="3"/>
      <c r="L684" s="3"/>
      <c r="M684" s="3"/>
      <c r="N684" s="3">
        <v>0</v>
      </c>
      <c r="O684" s="3"/>
      <c r="P684" s="3">
        <v>0</v>
      </c>
      <c r="Q684" s="3">
        <v>0</v>
      </c>
      <c r="R684" s="3">
        <v>0</v>
      </c>
      <c r="S684" s="3">
        <v>0</v>
      </c>
      <c r="T684" s="3">
        <v>0</v>
      </c>
      <c r="U684" s="3"/>
      <c r="V684" s="3"/>
      <c r="W684" s="3"/>
      <c r="X684" s="3"/>
      <c r="Y684" s="3"/>
      <c r="Z684" s="3"/>
      <c r="AA684" s="3"/>
      <c r="AB684" s="3"/>
      <c r="AC684" s="3"/>
      <c r="AD684" s="3"/>
      <c r="AE684" s="3">
        <v>0</v>
      </c>
      <c r="AF684" s="3">
        <v>0</v>
      </c>
      <c r="AG684" s="3"/>
      <c r="AH684" s="40"/>
      <c r="AI684" s="40"/>
      <c r="AJ684" s="40"/>
      <c r="AK684" s="40"/>
      <c r="AL684" s="40"/>
      <c r="AM684" s="40"/>
      <c r="AN684" s="40"/>
      <c r="AO684" s="40"/>
      <c r="AP684" s="40"/>
      <c r="AQ684" s="40"/>
      <c r="AR684" s="31"/>
      <c r="AS684" s="36">
        <v>0</v>
      </c>
      <c r="AY684" s="6"/>
      <c r="AZ684" s="2"/>
      <c r="BA684" s="2"/>
      <c r="BB684" s="2"/>
      <c r="BC684">
        <v>71500</v>
      </c>
      <c r="BD684">
        <v>56992</v>
      </c>
    </row>
    <row r="685" spans="3:56" x14ac:dyDescent="0.25">
      <c r="C685" s="1">
        <v>46305</v>
      </c>
      <c r="D685" s="36">
        <v>267120.30967741902</v>
      </c>
      <c r="E685" s="33">
        <v>4.4903225806451603</v>
      </c>
      <c r="F685" s="33">
        <v>3.6666477419354799</v>
      </c>
      <c r="G685" s="2">
        <v>0.816566666666667</v>
      </c>
      <c r="H685" s="2">
        <v>0.99</v>
      </c>
      <c r="I685" s="3"/>
      <c r="J685" s="3"/>
      <c r="K685" s="3"/>
      <c r="L685" s="3"/>
      <c r="M685" s="3"/>
      <c r="N685" s="3">
        <v>0</v>
      </c>
      <c r="O685" s="3"/>
      <c r="P685" s="3">
        <v>0</v>
      </c>
      <c r="Q685" s="3">
        <v>0</v>
      </c>
      <c r="R685" s="3">
        <v>0</v>
      </c>
      <c r="S685" s="3">
        <v>0</v>
      </c>
      <c r="T685" s="3">
        <v>0</v>
      </c>
      <c r="U685" s="3"/>
      <c r="V685" s="3"/>
      <c r="W685" s="3"/>
      <c r="X685" s="3"/>
      <c r="Y685" s="3"/>
      <c r="Z685" s="3"/>
      <c r="AA685" s="3"/>
      <c r="AB685" s="3"/>
      <c r="AC685" s="3"/>
      <c r="AD685" s="3"/>
      <c r="AE685" s="3">
        <v>0</v>
      </c>
      <c r="AF685" s="3">
        <v>0</v>
      </c>
      <c r="AG685" s="3"/>
      <c r="AH685" s="40"/>
      <c r="AI685" s="40"/>
      <c r="AJ685" s="40"/>
      <c r="AK685" s="40"/>
      <c r="AL685" s="40"/>
      <c r="AM685" s="40"/>
      <c r="AN685" s="40"/>
      <c r="AO685" s="40"/>
      <c r="AP685" s="40"/>
      <c r="AQ685" s="40"/>
      <c r="AR685" s="31"/>
      <c r="AS685" s="36">
        <v>0</v>
      </c>
      <c r="AY685" s="6"/>
      <c r="AZ685" s="2"/>
      <c r="BA685" s="2"/>
      <c r="BB685" s="2"/>
      <c r="BC685">
        <v>71500</v>
      </c>
      <c r="BD685">
        <v>56992</v>
      </c>
    </row>
    <row r="686" spans="3:56" x14ac:dyDescent="0.25">
      <c r="C686" s="1">
        <v>46306</v>
      </c>
      <c r="D686" s="36">
        <v>267120.30967741902</v>
      </c>
      <c r="E686" s="33">
        <v>4.4903225806451603</v>
      </c>
      <c r="F686" s="33">
        <v>3.6665978494623701</v>
      </c>
      <c r="G686" s="2">
        <v>0.81655555555555603</v>
      </c>
      <c r="H686" s="2">
        <v>0.99</v>
      </c>
      <c r="I686" s="3"/>
      <c r="J686" s="3"/>
      <c r="K686" s="3"/>
      <c r="L686" s="3"/>
      <c r="M686" s="3"/>
      <c r="N686" s="3">
        <v>0</v>
      </c>
      <c r="O686" s="3"/>
      <c r="P686" s="3">
        <v>0</v>
      </c>
      <c r="Q686" s="3">
        <v>0</v>
      </c>
      <c r="R686" s="3">
        <v>0</v>
      </c>
      <c r="S686" s="3">
        <v>0</v>
      </c>
      <c r="T686" s="3">
        <v>0</v>
      </c>
      <c r="U686" s="3"/>
      <c r="V686" s="3"/>
      <c r="W686" s="3"/>
      <c r="X686" s="3"/>
      <c r="Y686" s="3"/>
      <c r="Z686" s="3"/>
      <c r="AA686" s="3"/>
      <c r="AB686" s="3"/>
      <c r="AC686" s="3"/>
      <c r="AD686" s="3"/>
      <c r="AE686" s="3">
        <v>0</v>
      </c>
      <c r="AF686" s="3">
        <v>0</v>
      </c>
      <c r="AG686" s="3"/>
      <c r="AH686" s="40"/>
      <c r="AI686" s="40"/>
      <c r="AJ686" s="40"/>
      <c r="AK686" s="40"/>
      <c r="AL686" s="40"/>
      <c r="AM686" s="40"/>
      <c r="AN686" s="40"/>
      <c r="AO686" s="40"/>
      <c r="AP686" s="40"/>
      <c r="AQ686" s="40"/>
      <c r="AR686" s="31"/>
      <c r="AS686" s="36">
        <v>0</v>
      </c>
      <c r="AY686" s="6"/>
      <c r="AZ686" s="2"/>
      <c r="BA686" s="2"/>
      <c r="BB686" s="2"/>
      <c r="BC686">
        <v>71500</v>
      </c>
      <c r="BD686">
        <v>56992</v>
      </c>
    </row>
    <row r="687" spans="3:56" x14ac:dyDescent="0.25">
      <c r="C687" s="1">
        <v>46307</v>
      </c>
      <c r="D687" s="36">
        <v>267120.30967741902</v>
      </c>
      <c r="E687" s="33">
        <v>4.4903225806451603</v>
      </c>
      <c r="F687" s="33">
        <v>3.6665479569892501</v>
      </c>
      <c r="G687" s="2">
        <v>0.81654444444444396</v>
      </c>
      <c r="H687" s="2">
        <v>0.99</v>
      </c>
      <c r="I687" s="3"/>
      <c r="J687" s="3"/>
      <c r="K687" s="3"/>
      <c r="L687" s="3"/>
      <c r="M687" s="3"/>
      <c r="N687" s="3">
        <v>0</v>
      </c>
      <c r="O687" s="3"/>
      <c r="P687" s="3">
        <v>0</v>
      </c>
      <c r="Q687" s="3">
        <v>0</v>
      </c>
      <c r="R687" s="3">
        <v>0</v>
      </c>
      <c r="S687" s="3">
        <v>0</v>
      </c>
      <c r="T687" s="3">
        <v>0</v>
      </c>
      <c r="U687" s="3"/>
      <c r="V687" s="3"/>
      <c r="W687" s="3"/>
      <c r="X687" s="3"/>
      <c r="Y687" s="3"/>
      <c r="Z687" s="3"/>
      <c r="AA687" s="3"/>
      <c r="AB687" s="3"/>
      <c r="AC687" s="3"/>
      <c r="AD687" s="3"/>
      <c r="AE687" s="3">
        <v>0</v>
      </c>
      <c r="AF687" s="3">
        <v>0</v>
      </c>
      <c r="AG687" s="3"/>
      <c r="AH687" s="40"/>
      <c r="AI687" s="40"/>
      <c r="AJ687" s="40"/>
      <c r="AK687" s="40"/>
      <c r="AL687" s="40"/>
      <c r="AM687" s="40"/>
      <c r="AN687" s="40"/>
      <c r="AO687" s="40"/>
      <c r="AP687" s="40"/>
      <c r="AQ687" s="40"/>
      <c r="AR687" s="31"/>
      <c r="AS687" s="36">
        <v>0</v>
      </c>
      <c r="AY687" s="6"/>
      <c r="AZ687" s="2"/>
      <c r="BA687" s="2"/>
      <c r="BB687" s="2"/>
      <c r="BC687">
        <v>71500</v>
      </c>
      <c r="BD687">
        <v>56992</v>
      </c>
    </row>
    <row r="688" spans="3:56" x14ac:dyDescent="0.25">
      <c r="C688" s="1">
        <v>46308</v>
      </c>
      <c r="D688" s="36">
        <v>267120.30967741902</v>
      </c>
      <c r="E688" s="33">
        <v>4.4903225806451603</v>
      </c>
      <c r="F688" s="33">
        <v>3.66649806451613</v>
      </c>
      <c r="G688" s="2">
        <v>0.816533333333333</v>
      </c>
      <c r="H688" s="2">
        <v>0.99</v>
      </c>
      <c r="I688" s="3"/>
      <c r="J688" s="3"/>
      <c r="K688" s="3"/>
      <c r="L688" s="3"/>
      <c r="M688" s="3"/>
      <c r="N688" s="3">
        <v>0</v>
      </c>
      <c r="O688" s="3"/>
      <c r="P688" s="3">
        <v>0</v>
      </c>
      <c r="Q688" s="3">
        <v>0</v>
      </c>
      <c r="R688" s="3">
        <v>0</v>
      </c>
      <c r="S688" s="3">
        <v>0</v>
      </c>
      <c r="T688" s="3">
        <v>0</v>
      </c>
      <c r="U688" s="3"/>
      <c r="V688" s="3"/>
      <c r="W688" s="3"/>
      <c r="X688" s="3"/>
      <c r="Y688" s="3"/>
      <c r="Z688" s="3"/>
      <c r="AA688" s="3"/>
      <c r="AB688" s="3"/>
      <c r="AC688" s="3"/>
      <c r="AD688" s="3"/>
      <c r="AE688" s="3">
        <v>0</v>
      </c>
      <c r="AF688" s="3">
        <v>0</v>
      </c>
      <c r="AG688" s="3"/>
      <c r="AH688" s="40"/>
      <c r="AI688" s="40"/>
      <c r="AJ688" s="40"/>
      <c r="AK688" s="40"/>
      <c r="AL688" s="40"/>
      <c r="AM688" s="40"/>
      <c r="AN688" s="40"/>
      <c r="AO688" s="40"/>
      <c r="AP688" s="40"/>
      <c r="AQ688" s="40"/>
      <c r="AR688" s="31"/>
      <c r="AS688" s="36">
        <v>0</v>
      </c>
      <c r="AY688" s="6"/>
      <c r="AZ688" s="2"/>
      <c r="BA688" s="2"/>
      <c r="BB688" s="2"/>
      <c r="BC688">
        <v>71500</v>
      </c>
      <c r="BD688">
        <v>56992</v>
      </c>
    </row>
    <row r="689" spans="3:56" x14ac:dyDescent="0.25">
      <c r="C689" s="1">
        <v>46309</v>
      </c>
      <c r="D689" s="36">
        <v>267120.30967741902</v>
      </c>
      <c r="E689" s="33">
        <v>4.4903225806451603</v>
      </c>
      <c r="F689" s="33">
        <v>3.66644817204301</v>
      </c>
      <c r="G689" s="2">
        <v>0.81652222222222204</v>
      </c>
      <c r="H689" s="2">
        <v>0.99</v>
      </c>
      <c r="I689" s="3"/>
      <c r="J689" s="3"/>
      <c r="K689" s="3"/>
      <c r="L689" s="3"/>
      <c r="M689" s="3"/>
      <c r="N689" s="3">
        <v>0</v>
      </c>
      <c r="O689" s="3"/>
      <c r="P689" s="3">
        <v>0</v>
      </c>
      <c r="Q689" s="3">
        <v>0</v>
      </c>
      <c r="R689" s="3">
        <v>0</v>
      </c>
      <c r="S689" s="3">
        <v>0</v>
      </c>
      <c r="T689" s="3">
        <v>0</v>
      </c>
      <c r="U689" s="3"/>
      <c r="V689" s="3"/>
      <c r="W689" s="3"/>
      <c r="X689" s="3"/>
      <c r="Y689" s="3"/>
      <c r="Z689" s="3"/>
      <c r="AA689" s="3"/>
      <c r="AB689" s="3"/>
      <c r="AC689" s="3"/>
      <c r="AD689" s="3"/>
      <c r="AE689" s="3">
        <v>0</v>
      </c>
      <c r="AF689" s="3">
        <v>0</v>
      </c>
      <c r="AG689" s="3"/>
      <c r="AH689" s="40"/>
      <c r="AI689" s="40"/>
      <c r="AJ689" s="40"/>
      <c r="AK689" s="40"/>
      <c r="AL689" s="40"/>
      <c r="AM689" s="40"/>
      <c r="AN689" s="40"/>
      <c r="AO689" s="40"/>
      <c r="AP689" s="40"/>
      <c r="AQ689" s="40"/>
      <c r="AR689" s="31"/>
      <c r="AS689" s="36">
        <v>0</v>
      </c>
      <c r="AY689" s="6"/>
      <c r="AZ689" s="2"/>
      <c r="BA689" s="2"/>
      <c r="BB689" s="2"/>
      <c r="BC689">
        <v>71500</v>
      </c>
      <c r="BD689">
        <v>56992</v>
      </c>
    </row>
    <row r="690" spans="3:56" x14ac:dyDescent="0.25">
      <c r="C690" s="1">
        <v>46310</v>
      </c>
      <c r="D690" s="36">
        <v>267120.30967741902</v>
      </c>
      <c r="E690" s="33">
        <v>4.4903225806451603</v>
      </c>
      <c r="F690" s="33">
        <v>3.66639827956989</v>
      </c>
      <c r="G690" s="2">
        <v>0.81651111111111097</v>
      </c>
      <c r="H690" s="2">
        <v>0.99</v>
      </c>
      <c r="I690" s="3"/>
      <c r="J690" s="3"/>
      <c r="K690" s="3"/>
      <c r="L690" s="3"/>
      <c r="M690" s="3"/>
      <c r="N690" s="3">
        <v>0</v>
      </c>
      <c r="O690" s="3"/>
      <c r="P690" s="3">
        <v>0</v>
      </c>
      <c r="Q690" s="3">
        <v>0</v>
      </c>
      <c r="R690" s="3">
        <v>0</v>
      </c>
      <c r="S690" s="3">
        <v>0</v>
      </c>
      <c r="T690" s="3">
        <v>0</v>
      </c>
      <c r="U690" s="3"/>
      <c r="V690" s="3"/>
      <c r="W690" s="3"/>
      <c r="X690" s="3"/>
      <c r="Y690" s="3"/>
      <c r="Z690" s="3"/>
      <c r="AA690" s="3"/>
      <c r="AB690" s="3"/>
      <c r="AC690" s="3"/>
      <c r="AD690" s="3"/>
      <c r="AE690" s="3">
        <v>0</v>
      </c>
      <c r="AF690" s="3">
        <v>0</v>
      </c>
      <c r="AG690" s="3"/>
      <c r="AH690" s="40"/>
      <c r="AI690" s="40"/>
      <c r="AJ690" s="40"/>
      <c r="AK690" s="40"/>
      <c r="AL690" s="40"/>
      <c r="AM690" s="40"/>
      <c r="AN690" s="40"/>
      <c r="AO690" s="40"/>
      <c r="AP690" s="40"/>
      <c r="AQ690" s="40"/>
      <c r="AR690" s="31"/>
      <c r="AS690" s="36">
        <v>0</v>
      </c>
      <c r="AY690" s="6"/>
      <c r="AZ690" s="2"/>
      <c r="BA690" s="2"/>
      <c r="BB690" s="2"/>
      <c r="BC690">
        <v>71500</v>
      </c>
      <c r="BD690">
        <v>56992</v>
      </c>
    </row>
    <row r="691" spans="3:56" x14ac:dyDescent="0.25">
      <c r="C691" s="1">
        <v>46311</v>
      </c>
      <c r="D691" s="36">
        <v>267120.30967741902</v>
      </c>
      <c r="E691" s="33">
        <v>4.4903225806451603</v>
      </c>
      <c r="F691" s="33">
        <v>3.6663483870967699</v>
      </c>
      <c r="G691" s="2">
        <v>0.8165</v>
      </c>
      <c r="H691" s="2">
        <v>0.99</v>
      </c>
      <c r="I691" s="3"/>
      <c r="J691" s="3"/>
      <c r="K691" s="3"/>
      <c r="L691" s="3"/>
      <c r="M691" s="3"/>
      <c r="N691" s="3">
        <v>0</v>
      </c>
      <c r="O691" s="3"/>
      <c r="P691" s="3">
        <v>0</v>
      </c>
      <c r="Q691" s="3">
        <v>0</v>
      </c>
      <c r="R691" s="3">
        <v>0</v>
      </c>
      <c r="S691" s="3">
        <v>0</v>
      </c>
      <c r="T691" s="3">
        <v>0</v>
      </c>
      <c r="U691" s="3"/>
      <c r="V691" s="3"/>
      <c r="W691" s="3"/>
      <c r="X691" s="3"/>
      <c r="Y691" s="3"/>
      <c r="Z691" s="3"/>
      <c r="AA691" s="3"/>
      <c r="AB691" s="3"/>
      <c r="AC691" s="3"/>
      <c r="AD691" s="3"/>
      <c r="AE691" s="3">
        <v>0</v>
      </c>
      <c r="AF691" s="3">
        <v>0</v>
      </c>
      <c r="AG691" s="3"/>
      <c r="AH691" s="40"/>
      <c r="AI691" s="40"/>
      <c r="AJ691" s="40"/>
      <c r="AK691" s="40"/>
      <c r="AL691" s="40"/>
      <c r="AM691" s="40"/>
      <c r="AN691" s="40"/>
      <c r="AO691" s="40"/>
      <c r="AP691" s="40"/>
      <c r="AQ691" s="40"/>
      <c r="AR691" s="31"/>
      <c r="AS691" s="36">
        <v>0</v>
      </c>
      <c r="AY691" s="6"/>
      <c r="AZ691" s="2"/>
      <c r="BA691" s="2"/>
      <c r="BB691" s="2"/>
      <c r="BC691">
        <v>71500</v>
      </c>
      <c r="BD691">
        <v>56992</v>
      </c>
    </row>
    <row r="692" spans="3:56" x14ac:dyDescent="0.25">
      <c r="C692" s="1">
        <v>46312</v>
      </c>
      <c r="D692" s="36">
        <v>267120.30967741902</v>
      </c>
      <c r="E692" s="33">
        <v>4.4903225806451603</v>
      </c>
      <c r="F692" s="33">
        <v>3.6662984946236601</v>
      </c>
      <c r="G692" s="2">
        <v>0.81648888888888904</v>
      </c>
      <c r="H692" s="2">
        <v>0.99</v>
      </c>
      <c r="I692" s="3"/>
      <c r="J692" s="3"/>
      <c r="K692" s="3"/>
      <c r="L692" s="3"/>
      <c r="M692" s="3"/>
      <c r="N692" s="3">
        <v>0</v>
      </c>
      <c r="O692" s="3"/>
      <c r="P692" s="3">
        <v>0</v>
      </c>
      <c r="Q692" s="3">
        <v>0</v>
      </c>
      <c r="R692" s="3">
        <v>0</v>
      </c>
      <c r="S692" s="3">
        <v>0</v>
      </c>
      <c r="T692" s="3">
        <v>0</v>
      </c>
      <c r="U692" s="3"/>
      <c r="V692" s="3"/>
      <c r="W692" s="3"/>
      <c r="X692" s="3"/>
      <c r="Y692" s="3"/>
      <c r="Z692" s="3"/>
      <c r="AA692" s="3"/>
      <c r="AB692" s="3"/>
      <c r="AC692" s="3"/>
      <c r="AD692" s="3"/>
      <c r="AE692" s="3">
        <v>0</v>
      </c>
      <c r="AF692" s="3">
        <v>0</v>
      </c>
      <c r="AG692" s="3"/>
      <c r="AH692" s="40"/>
      <c r="AI692" s="40"/>
      <c r="AJ692" s="40"/>
      <c r="AK692" s="40"/>
      <c r="AL692" s="40"/>
      <c r="AM692" s="40"/>
      <c r="AN692" s="40"/>
      <c r="AO692" s="40"/>
      <c r="AP692" s="40"/>
      <c r="AQ692" s="40"/>
      <c r="AR692" s="31"/>
      <c r="AS692" s="36">
        <v>0</v>
      </c>
      <c r="AY692" s="6"/>
      <c r="AZ692" s="2"/>
      <c r="BA692" s="2"/>
      <c r="BB692" s="2"/>
      <c r="BC692">
        <v>71500</v>
      </c>
      <c r="BD692">
        <v>56992</v>
      </c>
    </row>
    <row r="693" spans="3:56" x14ac:dyDescent="0.25">
      <c r="C693" s="1">
        <v>46313</v>
      </c>
      <c r="D693" s="36">
        <v>267120.30967741902</v>
      </c>
      <c r="E693" s="33">
        <v>4.4903225806451603</v>
      </c>
      <c r="F693" s="33">
        <v>3.66624860215054</v>
      </c>
      <c r="G693" s="2">
        <v>0.81647777777777797</v>
      </c>
      <c r="H693" s="2">
        <v>0.99</v>
      </c>
      <c r="I693" s="3"/>
      <c r="J693" s="3"/>
      <c r="K693" s="3"/>
      <c r="L693" s="3"/>
      <c r="M693" s="3"/>
      <c r="N693" s="3">
        <v>0</v>
      </c>
      <c r="O693" s="3"/>
      <c r="P693" s="3">
        <v>0</v>
      </c>
      <c r="Q693" s="3">
        <v>0</v>
      </c>
      <c r="R693" s="3">
        <v>0</v>
      </c>
      <c r="S693" s="3">
        <v>0</v>
      </c>
      <c r="T693" s="3">
        <v>0</v>
      </c>
      <c r="U693" s="3"/>
      <c r="V693" s="3"/>
      <c r="W693" s="3"/>
      <c r="X693" s="3"/>
      <c r="Y693" s="3"/>
      <c r="Z693" s="3"/>
      <c r="AA693" s="3"/>
      <c r="AB693" s="3"/>
      <c r="AC693" s="3"/>
      <c r="AD693" s="3"/>
      <c r="AE693" s="3">
        <v>0</v>
      </c>
      <c r="AF693" s="3">
        <v>0</v>
      </c>
      <c r="AG693" s="3"/>
      <c r="AH693" s="40"/>
      <c r="AI693" s="40"/>
      <c r="AJ693" s="40"/>
      <c r="AK693" s="40"/>
      <c r="AL693" s="40"/>
      <c r="AM693" s="40"/>
      <c r="AN693" s="40"/>
      <c r="AO693" s="40"/>
      <c r="AP693" s="40"/>
      <c r="AQ693" s="40"/>
      <c r="AR693" s="31"/>
      <c r="AS693" s="36">
        <v>0</v>
      </c>
      <c r="AY693" s="6"/>
      <c r="AZ693" s="2"/>
      <c r="BA693" s="2"/>
      <c r="BB693" s="2"/>
      <c r="BC693">
        <v>71500</v>
      </c>
      <c r="BD693">
        <v>56992</v>
      </c>
    </row>
    <row r="694" spans="3:56" x14ac:dyDescent="0.25">
      <c r="C694" s="1">
        <v>46314</v>
      </c>
      <c r="D694" s="36">
        <v>267120.30967741902</v>
      </c>
      <c r="E694" s="33">
        <v>4.4903225806451603</v>
      </c>
      <c r="F694" s="33">
        <v>3.66619870967742</v>
      </c>
      <c r="G694" s="2">
        <v>0.81646666666666701</v>
      </c>
      <c r="H694" s="2">
        <v>0.99</v>
      </c>
      <c r="I694" s="3"/>
      <c r="J694" s="3"/>
      <c r="K694" s="3"/>
      <c r="L694" s="3"/>
      <c r="M694" s="3"/>
      <c r="N694" s="3">
        <v>0</v>
      </c>
      <c r="O694" s="3"/>
      <c r="P694" s="3">
        <v>0</v>
      </c>
      <c r="Q694" s="3">
        <v>0</v>
      </c>
      <c r="R694" s="3">
        <v>0</v>
      </c>
      <c r="S694" s="3">
        <v>0</v>
      </c>
      <c r="T694" s="3">
        <v>0</v>
      </c>
      <c r="U694" s="3"/>
      <c r="V694" s="3"/>
      <c r="W694" s="3"/>
      <c r="X694" s="3"/>
      <c r="Y694" s="3"/>
      <c r="Z694" s="3"/>
      <c r="AA694" s="3"/>
      <c r="AB694" s="3"/>
      <c r="AC694" s="3"/>
      <c r="AD694" s="3"/>
      <c r="AE694" s="3">
        <v>0</v>
      </c>
      <c r="AF694" s="3">
        <v>0</v>
      </c>
      <c r="AG694" s="3"/>
      <c r="AH694" s="40"/>
      <c r="AI694" s="40"/>
      <c r="AJ694" s="40"/>
      <c r="AK694" s="40"/>
      <c r="AL694" s="40"/>
      <c r="AM694" s="40"/>
      <c r="AN694" s="40"/>
      <c r="AO694" s="40"/>
      <c r="AP694" s="40"/>
      <c r="AQ694" s="40"/>
      <c r="AR694" s="31"/>
      <c r="AS694" s="36">
        <v>0</v>
      </c>
      <c r="AY694" s="6"/>
      <c r="AZ694" s="2"/>
      <c r="BA694" s="2"/>
      <c r="BB694" s="2"/>
      <c r="BC694">
        <v>71500</v>
      </c>
      <c r="BD694">
        <v>56992</v>
      </c>
    </row>
    <row r="695" spans="3:56" x14ac:dyDescent="0.25">
      <c r="C695" s="1">
        <v>46315</v>
      </c>
      <c r="D695" s="36">
        <v>267120.30967741902</v>
      </c>
      <c r="E695" s="33">
        <v>4.4903225806451603</v>
      </c>
      <c r="F695" s="33">
        <v>3.6661488172043</v>
      </c>
      <c r="G695" s="2">
        <v>0.81645555555555505</v>
      </c>
      <c r="H695" s="2">
        <v>0.99</v>
      </c>
      <c r="I695" s="3"/>
      <c r="J695" s="3"/>
      <c r="K695" s="3"/>
      <c r="L695" s="3"/>
      <c r="M695" s="3"/>
      <c r="N695" s="3">
        <v>0</v>
      </c>
      <c r="O695" s="3"/>
      <c r="P695" s="3">
        <v>0</v>
      </c>
      <c r="Q695" s="3">
        <v>0</v>
      </c>
      <c r="R695" s="3">
        <v>0</v>
      </c>
      <c r="S695" s="3">
        <v>0</v>
      </c>
      <c r="T695" s="3">
        <v>0</v>
      </c>
      <c r="U695" s="3"/>
      <c r="V695" s="3"/>
      <c r="W695" s="3"/>
      <c r="X695" s="3"/>
      <c r="Y695" s="3"/>
      <c r="Z695" s="3"/>
      <c r="AA695" s="3"/>
      <c r="AB695" s="3"/>
      <c r="AC695" s="3"/>
      <c r="AD695" s="3"/>
      <c r="AE695" s="3">
        <v>0</v>
      </c>
      <c r="AF695" s="3">
        <v>0</v>
      </c>
      <c r="AG695" s="3"/>
      <c r="AH695" s="40"/>
      <c r="AI695" s="40"/>
      <c r="AJ695" s="40"/>
      <c r="AK695" s="40"/>
      <c r="AL695" s="40"/>
      <c r="AM695" s="40"/>
      <c r="AN695" s="40"/>
      <c r="AO695" s="40"/>
      <c r="AP695" s="40"/>
      <c r="AQ695" s="40"/>
      <c r="AR695" s="31"/>
      <c r="AS695" s="36">
        <v>0</v>
      </c>
      <c r="AY695" s="6"/>
      <c r="AZ695" s="2"/>
      <c r="BA695" s="2"/>
      <c r="BB695" s="2"/>
      <c r="BC695">
        <v>71500</v>
      </c>
      <c r="BD695">
        <v>56992</v>
      </c>
    </row>
    <row r="696" spans="3:56" x14ac:dyDescent="0.25">
      <c r="C696" s="1">
        <v>46316</v>
      </c>
      <c r="D696" s="36">
        <v>267120.30967741902</v>
      </c>
      <c r="E696" s="33">
        <v>4.4903225806451603</v>
      </c>
      <c r="F696" s="33">
        <v>3.6660989247311799</v>
      </c>
      <c r="G696" s="2">
        <v>0.81644444444444397</v>
      </c>
      <c r="H696" s="2">
        <v>0.99</v>
      </c>
      <c r="I696" s="3"/>
      <c r="J696" s="3"/>
      <c r="K696" s="3"/>
      <c r="L696" s="3"/>
      <c r="M696" s="3"/>
      <c r="N696" s="3">
        <v>0</v>
      </c>
      <c r="O696" s="3"/>
      <c r="P696" s="3">
        <v>0</v>
      </c>
      <c r="Q696" s="3">
        <v>0</v>
      </c>
      <c r="R696" s="3">
        <v>0</v>
      </c>
      <c r="S696" s="3">
        <v>0</v>
      </c>
      <c r="T696" s="3">
        <v>0</v>
      </c>
      <c r="U696" s="3"/>
      <c r="V696" s="3"/>
      <c r="W696" s="3"/>
      <c r="X696" s="3"/>
      <c r="Y696" s="3"/>
      <c r="Z696" s="3"/>
      <c r="AA696" s="3"/>
      <c r="AB696" s="3"/>
      <c r="AC696" s="3"/>
      <c r="AD696" s="3"/>
      <c r="AE696" s="3">
        <v>0</v>
      </c>
      <c r="AF696" s="3">
        <v>0</v>
      </c>
      <c r="AG696" s="3"/>
      <c r="AH696" s="40"/>
      <c r="AI696" s="40"/>
      <c r="AJ696" s="40"/>
      <c r="AK696" s="40"/>
      <c r="AL696" s="40"/>
      <c r="AM696" s="40"/>
      <c r="AN696" s="40"/>
      <c r="AO696" s="40"/>
      <c r="AP696" s="40"/>
      <c r="AQ696" s="40"/>
      <c r="AR696" s="31"/>
      <c r="AS696" s="36">
        <v>0</v>
      </c>
      <c r="AY696" s="6"/>
      <c r="AZ696" s="2"/>
      <c r="BA696" s="2"/>
      <c r="BB696" s="2"/>
      <c r="BC696">
        <v>71500</v>
      </c>
      <c r="BD696">
        <v>56992</v>
      </c>
    </row>
    <row r="697" spans="3:56" x14ac:dyDescent="0.25">
      <c r="C697" s="1">
        <v>46317</v>
      </c>
      <c r="D697" s="36">
        <v>267120.30967741902</v>
      </c>
      <c r="E697" s="33">
        <v>4.4903225806451603</v>
      </c>
      <c r="F697" s="33">
        <v>3.6660490322580599</v>
      </c>
      <c r="G697" s="2">
        <v>0.81643333333333301</v>
      </c>
      <c r="H697" s="2">
        <v>0.99</v>
      </c>
      <c r="I697" s="3"/>
      <c r="J697" s="3"/>
      <c r="K697" s="3"/>
      <c r="L697" s="3"/>
      <c r="M697" s="3"/>
      <c r="N697" s="3">
        <v>0</v>
      </c>
      <c r="O697" s="3"/>
      <c r="P697" s="3">
        <v>0</v>
      </c>
      <c r="Q697" s="3">
        <v>0</v>
      </c>
      <c r="R697" s="3">
        <v>0</v>
      </c>
      <c r="S697" s="3">
        <v>0</v>
      </c>
      <c r="T697" s="3">
        <v>0</v>
      </c>
      <c r="U697" s="3"/>
      <c r="V697" s="3"/>
      <c r="W697" s="3"/>
      <c r="X697" s="3"/>
      <c r="Y697" s="3"/>
      <c r="Z697" s="3"/>
      <c r="AA697" s="3"/>
      <c r="AB697" s="3"/>
      <c r="AC697" s="3"/>
      <c r="AD697" s="3"/>
      <c r="AE697" s="3">
        <v>0</v>
      </c>
      <c r="AF697" s="3">
        <v>0</v>
      </c>
      <c r="AG697" s="3"/>
      <c r="AH697" s="40"/>
      <c r="AI697" s="40"/>
      <c r="AJ697" s="40"/>
      <c r="AK697" s="40"/>
      <c r="AL697" s="40"/>
      <c r="AM697" s="40"/>
      <c r="AN697" s="40"/>
      <c r="AO697" s="40"/>
      <c r="AP697" s="40"/>
      <c r="AQ697" s="40"/>
      <c r="AR697" s="31"/>
      <c r="AS697" s="36">
        <v>0</v>
      </c>
      <c r="AY697" s="6"/>
      <c r="AZ697" s="2"/>
      <c r="BA697" s="2"/>
      <c r="BB697" s="2"/>
      <c r="BC697">
        <v>71500</v>
      </c>
      <c r="BD697">
        <v>56992</v>
      </c>
    </row>
    <row r="698" spans="3:56" x14ac:dyDescent="0.25">
      <c r="C698" s="1">
        <v>46318</v>
      </c>
      <c r="D698" s="36">
        <v>267120.30967741902</v>
      </c>
      <c r="E698" s="33">
        <v>4.4903225806451603</v>
      </c>
      <c r="F698" s="33">
        <v>3.6659991397849501</v>
      </c>
      <c r="G698" s="2">
        <v>0.81642222222222205</v>
      </c>
      <c r="H698" s="2">
        <v>0.99</v>
      </c>
      <c r="I698" s="3"/>
      <c r="J698" s="3"/>
      <c r="K698" s="3"/>
      <c r="L698" s="3"/>
      <c r="M698" s="3"/>
      <c r="N698" s="3">
        <v>0</v>
      </c>
      <c r="O698" s="3"/>
      <c r="P698" s="3">
        <v>0</v>
      </c>
      <c r="Q698" s="3">
        <v>0</v>
      </c>
      <c r="R698" s="3">
        <v>0</v>
      </c>
      <c r="S698" s="3">
        <v>0</v>
      </c>
      <c r="T698" s="3">
        <v>0</v>
      </c>
      <c r="U698" s="3"/>
      <c r="V698" s="3"/>
      <c r="W698" s="3"/>
      <c r="X698" s="3"/>
      <c r="Y698" s="3"/>
      <c r="Z698" s="3"/>
      <c r="AA698" s="3"/>
      <c r="AB698" s="3"/>
      <c r="AC698" s="3"/>
      <c r="AD698" s="3"/>
      <c r="AE698" s="3">
        <v>0</v>
      </c>
      <c r="AF698" s="3">
        <v>0</v>
      </c>
      <c r="AG698" s="3"/>
      <c r="AH698" s="40"/>
      <c r="AI698" s="40"/>
      <c r="AJ698" s="40"/>
      <c r="AK698" s="40"/>
      <c r="AL698" s="40"/>
      <c r="AM698" s="40"/>
      <c r="AN698" s="40"/>
      <c r="AO698" s="40"/>
      <c r="AP698" s="40"/>
      <c r="AQ698" s="40"/>
      <c r="AR698" s="31"/>
      <c r="AS698" s="36">
        <v>0</v>
      </c>
      <c r="AY698" s="6"/>
      <c r="AZ698" s="2"/>
      <c r="BA698" s="2"/>
      <c r="BB698" s="2"/>
      <c r="BC698">
        <v>71500</v>
      </c>
      <c r="BD698">
        <v>56992</v>
      </c>
    </row>
    <row r="699" spans="3:56" x14ac:dyDescent="0.25">
      <c r="C699" s="1">
        <v>46319</v>
      </c>
      <c r="D699" s="36">
        <v>267120.30967741902</v>
      </c>
      <c r="E699" s="33">
        <v>4.4903225806451603</v>
      </c>
      <c r="F699" s="33">
        <v>3.66594924731183</v>
      </c>
      <c r="G699" s="2">
        <v>0.81641111111111098</v>
      </c>
      <c r="H699" s="2">
        <v>0.99</v>
      </c>
      <c r="I699" s="3"/>
      <c r="J699" s="3"/>
      <c r="K699" s="3"/>
      <c r="L699" s="3"/>
      <c r="M699" s="3"/>
      <c r="N699" s="3">
        <v>0</v>
      </c>
      <c r="O699" s="3"/>
      <c r="P699" s="3">
        <v>0</v>
      </c>
      <c r="Q699" s="3">
        <v>0</v>
      </c>
      <c r="R699" s="3">
        <v>0</v>
      </c>
      <c r="S699" s="3">
        <v>0</v>
      </c>
      <c r="T699" s="3">
        <v>0</v>
      </c>
      <c r="U699" s="3"/>
      <c r="V699" s="3"/>
      <c r="W699" s="3"/>
      <c r="X699" s="3"/>
      <c r="Y699" s="3"/>
      <c r="Z699" s="3"/>
      <c r="AA699" s="3"/>
      <c r="AB699" s="3"/>
      <c r="AC699" s="3"/>
      <c r="AD699" s="3"/>
      <c r="AE699" s="3">
        <v>0</v>
      </c>
      <c r="AF699" s="3">
        <v>0</v>
      </c>
      <c r="AG699" s="3"/>
      <c r="AH699" s="40"/>
      <c r="AI699" s="40"/>
      <c r="AJ699" s="40"/>
      <c r="AK699" s="40"/>
      <c r="AL699" s="40"/>
      <c r="AM699" s="40"/>
      <c r="AN699" s="40"/>
      <c r="AO699" s="40"/>
      <c r="AP699" s="40"/>
      <c r="AQ699" s="40"/>
      <c r="AR699" s="31"/>
      <c r="AS699" s="36">
        <v>0</v>
      </c>
      <c r="AY699" s="6"/>
      <c r="AZ699" s="2"/>
      <c r="BA699" s="2"/>
      <c r="BB699" s="2"/>
      <c r="BC699">
        <v>71500</v>
      </c>
      <c r="BD699">
        <v>56992</v>
      </c>
    </row>
    <row r="700" spans="3:56" x14ac:dyDescent="0.25">
      <c r="C700" s="1">
        <v>46320</v>
      </c>
      <c r="D700" s="36">
        <v>267120.30967741902</v>
      </c>
      <c r="E700" s="33">
        <v>4.4903225806451603</v>
      </c>
      <c r="F700" s="33">
        <v>3.66589935483871</v>
      </c>
      <c r="G700" s="2">
        <v>0.81640000000000001</v>
      </c>
      <c r="H700" s="2">
        <v>0.99</v>
      </c>
      <c r="I700" s="3"/>
      <c r="J700" s="3"/>
      <c r="K700" s="3"/>
      <c r="L700" s="3"/>
      <c r="M700" s="3"/>
      <c r="N700" s="3">
        <v>0</v>
      </c>
      <c r="O700" s="3"/>
      <c r="P700" s="3">
        <v>0</v>
      </c>
      <c r="Q700" s="3">
        <v>0</v>
      </c>
      <c r="R700" s="3">
        <v>0</v>
      </c>
      <c r="S700" s="3">
        <v>0</v>
      </c>
      <c r="T700" s="3">
        <v>0</v>
      </c>
      <c r="U700" s="3"/>
      <c r="V700" s="3"/>
      <c r="W700" s="3"/>
      <c r="X700" s="3"/>
      <c r="Y700" s="3"/>
      <c r="Z700" s="3"/>
      <c r="AA700" s="3"/>
      <c r="AB700" s="3"/>
      <c r="AC700" s="3"/>
      <c r="AD700" s="3"/>
      <c r="AE700" s="3">
        <v>0</v>
      </c>
      <c r="AF700" s="3">
        <v>0</v>
      </c>
      <c r="AG700" s="3"/>
      <c r="AH700" s="40"/>
      <c r="AI700" s="40"/>
      <c r="AJ700" s="40"/>
      <c r="AK700" s="40"/>
      <c r="AL700" s="40"/>
      <c r="AM700" s="40"/>
      <c r="AN700" s="40"/>
      <c r="AO700" s="40"/>
      <c r="AP700" s="40"/>
      <c r="AQ700" s="40"/>
      <c r="AR700" s="31"/>
      <c r="AS700" s="36">
        <v>0</v>
      </c>
      <c r="AY700" s="6"/>
      <c r="AZ700" s="2"/>
      <c r="BA700" s="2"/>
      <c r="BB700" s="2"/>
      <c r="BC700">
        <v>71500</v>
      </c>
      <c r="BD700">
        <v>56992</v>
      </c>
    </row>
    <row r="701" spans="3:56" x14ac:dyDescent="0.25">
      <c r="C701" s="1">
        <v>46321</v>
      </c>
      <c r="D701" s="36">
        <v>267120.30967741902</v>
      </c>
      <c r="E701" s="33">
        <v>4.4903225806451603</v>
      </c>
      <c r="F701" s="33">
        <v>3.66584946236559</v>
      </c>
      <c r="G701" s="2">
        <v>0.81638888888888905</v>
      </c>
      <c r="H701" s="2">
        <v>0.99</v>
      </c>
      <c r="I701" s="3"/>
      <c r="J701" s="3"/>
      <c r="K701" s="3"/>
      <c r="L701" s="3"/>
      <c r="M701" s="3"/>
      <c r="N701" s="3">
        <v>0</v>
      </c>
      <c r="O701" s="3"/>
      <c r="P701" s="3">
        <v>0</v>
      </c>
      <c r="Q701" s="3">
        <v>0</v>
      </c>
      <c r="R701" s="3">
        <v>0</v>
      </c>
      <c r="S701" s="3">
        <v>0</v>
      </c>
      <c r="T701" s="3">
        <v>0</v>
      </c>
      <c r="U701" s="3"/>
      <c r="V701" s="3"/>
      <c r="W701" s="3"/>
      <c r="X701" s="3"/>
      <c r="Y701" s="3"/>
      <c r="Z701" s="3"/>
      <c r="AA701" s="3"/>
      <c r="AB701" s="3"/>
      <c r="AC701" s="3"/>
      <c r="AD701" s="3"/>
      <c r="AE701" s="3">
        <v>0</v>
      </c>
      <c r="AF701" s="3">
        <v>0</v>
      </c>
      <c r="AG701" s="3"/>
      <c r="AH701" s="40"/>
      <c r="AI701" s="40"/>
      <c r="AJ701" s="40"/>
      <c r="AK701" s="40"/>
      <c r="AL701" s="40"/>
      <c r="AM701" s="40"/>
      <c r="AN701" s="40"/>
      <c r="AO701" s="40"/>
      <c r="AP701" s="40"/>
      <c r="AQ701" s="40"/>
      <c r="AR701" s="31"/>
      <c r="AS701" s="36">
        <v>0</v>
      </c>
      <c r="AY701" s="6"/>
      <c r="AZ701" s="2"/>
      <c r="BA701" s="2"/>
      <c r="BB701" s="2"/>
      <c r="BC701">
        <v>71500</v>
      </c>
      <c r="BD701">
        <v>56992</v>
      </c>
    </row>
    <row r="702" spans="3:56" x14ac:dyDescent="0.25">
      <c r="C702" s="1">
        <v>46322</v>
      </c>
      <c r="D702" s="36">
        <v>267120.30967741902</v>
      </c>
      <c r="E702" s="33">
        <v>4.4903225806451603</v>
      </c>
      <c r="F702" s="33">
        <v>3.6657995698924699</v>
      </c>
      <c r="G702" s="2">
        <v>0.81637777777777798</v>
      </c>
      <c r="H702" s="2">
        <v>0.99</v>
      </c>
      <c r="I702" s="3"/>
      <c r="J702" s="3"/>
      <c r="K702" s="3"/>
      <c r="L702" s="3"/>
      <c r="M702" s="3"/>
      <c r="N702" s="3">
        <v>0</v>
      </c>
      <c r="O702" s="3"/>
      <c r="P702" s="3">
        <v>0</v>
      </c>
      <c r="Q702" s="3">
        <v>0</v>
      </c>
      <c r="R702" s="3">
        <v>0</v>
      </c>
      <c r="S702" s="3">
        <v>0</v>
      </c>
      <c r="T702" s="3">
        <v>0</v>
      </c>
      <c r="U702" s="3"/>
      <c r="V702" s="3"/>
      <c r="W702" s="3"/>
      <c r="X702" s="3"/>
      <c r="Y702" s="3"/>
      <c r="Z702" s="3"/>
      <c r="AA702" s="3"/>
      <c r="AB702" s="3"/>
      <c r="AC702" s="3"/>
      <c r="AD702" s="3"/>
      <c r="AE702" s="3">
        <v>0</v>
      </c>
      <c r="AF702" s="3">
        <v>0</v>
      </c>
      <c r="AG702" s="3"/>
      <c r="AH702" s="40"/>
      <c r="AI702" s="40"/>
      <c r="AJ702" s="40"/>
      <c r="AK702" s="40"/>
      <c r="AL702" s="40"/>
      <c r="AM702" s="40"/>
      <c r="AN702" s="40"/>
      <c r="AO702" s="40"/>
      <c r="AP702" s="40"/>
      <c r="AQ702" s="40"/>
      <c r="AR702" s="31"/>
      <c r="AS702" s="36">
        <v>0</v>
      </c>
      <c r="AY702" s="6"/>
      <c r="AZ702" s="2"/>
      <c r="BA702" s="2"/>
      <c r="BB702" s="2"/>
      <c r="BC702">
        <v>71500</v>
      </c>
      <c r="BD702">
        <v>56992</v>
      </c>
    </row>
    <row r="703" spans="3:56" x14ac:dyDescent="0.25">
      <c r="C703" s="1">
        <v>46323</v>
      </c>
      <c r="D703" s="36">
        <v>267120.30967741902</v>
      </c>
      <c r="E703" s="33">
        <v>4.4903225806451603</v>
      </c>
      <c r="F703" s="33">
        <v>3.6657496774193499</v>
      </c>
      <c r="G703" s="2">
        <v>0.81636666666666702</v>
      </c>
      <c r="H703" s="2">
        <v>0.99</v>
      </c>
      <c r="I703" s="3"/>
      <c r="J703" s="3"/>
      <c r="K703" s="3"/>
      <c r="L703" s="3"/>
      <c r="M703" s="3"/>
      <c r="N703" s="3">
        <v>0</v>
      </c>
      <c r="O703" s="3"/>
      <c r="P703" s="3">
        <v>0</v>
      </c>
      <c r="Q703" s="3">
        <v>0</v>
      </c>
      <c r="R703" s="3">
        <v>0</v>
      </c>
      <c r="S703" s="3">
        <v>0</v>
      </c>
      <c r="T703" s="3">
        <v>0</v>
      </c>
      <c r="U703" s="3"/>
      <c r="V703" s="3"/>
      <c r="W703" s="3"/>
      <c r="X703" s="3"/>
      <c r="Y703" s="3"/>
      <c r="Z703" s="3"/>
      <c r="AA703" s="3"/>
      <c r="AB703" s="3"/>
      <c r="AC703" s="3"/>
      <c r="AD703" s="3"/>
      <c r="AE703" s="3">
        <v>0</v>
      </c>
      <c r="AF703" s="3">
        <v>0</v>
      </c>
      <c r="AG703" s="3"/>
      <c r="AH703" s="40"/>
      <c r="AI703" s="40"/>
      <c r="AJ703" s="40"/>
      <c r="AK703" s="40"/>
      <c r="AL703" s="40"/>
      <c r="AM703" s="40"/>
      <c r="AN703" s="40"/>
      <c r="AO703" s="40"/>
      <c r="AP703" s="40"/>
      <c r="AQ703" s="40"/>
      <c r="AR703" s="31"/>
      <c r="AS703" s="36">
        <v>0</v>
      </c>
      <c r="AY703" s="6"/>
      <c r="AZ703" s="2"/>
      <c r="BA703" s="2"/>
      <c r="BB703" s="2"/>
      <c r="BC703">
        <v>71500</v>
      </c>
      <c r="BD703">
        <v>56992</v>
      </c>
    </row>
    <row r="704" spans="3:56" x14ac:dyDescent="0.25">
      <c r="C704" s="1">
        <v>46324</v>
      </c>
      <c r="D704" s="36">
        <v>267120.30967741902</v>
      </c>
      <c r="E704" s="33">
        <v>4.4903225806451603</v>
      </c>
      <c r="F704" s="33">
        <v>3.66569978494624</v>
      </c>
      <c r="G704" s="2">
        <v>0.81635555555555595</v>
      </c>
      <c r="H704" s="2">
        <v>0.99</v>
      </c>
      <c r="I704" s="3"/>
      <c r="J704" s="3"/>
      <c r="K704" s="3"/>
      <c r="L704" s="3"/>
      <c r="M704" s="3"/>
      <c r="N704" s="3">
        <v>0</v>
      </c>
      <c r="O704" s="3"/>
      <c r="P704" s="3">
        <v>0</v>
      </c>
      <c r="Q704" s="3">
        <v>0</v>
      </c>
      <c r="R704" s="3">
        <v>0</v>
      </c>
      <c r="S704" s="3">
        <v>0</v>
      </c>
      <c r="T704" s="3">
        <v>0</v>
      </c>
      <c r="U704" s="3"/>
      <c r="V704" s="3"/>
      <c r="W704" s="3"/>
      <c r="X704" s="3"/>
      <c r="Y704" s="3"/>
      <c r="Z704" s="3"/>
      <c r="AA704" s="3"/>
      <c r="AB704" s="3"/>
      <c r="AC704" s="3"/>
      <c r="AD704" s="3"/>
      <c r="AE704" s="3">
        <v>0</v>
      </c>
      <c r="AF704" s="3">
        <v>0</v>
      </c>
      <c r="AG704" s="3"/>
      <c r="AH704" s="40"/>
      <c r="AI704" s="40"/>
      <c r="AJ704" s="40"/>
      <c r="AK704" s="40"/>
      <c r="AL704" s="40"/>
      <c r="AM704" s="40"/>
      <c r="AN704" s="40"/>
      <c r="AO704" s="40"/>
      <c r="AP704" s="40"/>
      <c r="AQ704" s="40"/>
      <c r="AR704" s="31"/>
      <c r="AS704" s="36">
        <v>0</v>
      </c>
      <c r="AY704" s="6"/>
      <c r="AZ704" s="2"/>
      <c r="BA704" s="2"/>
      <c r="BB704" s="2"/>
      <c r="BC704">
        <v>71500</v>
      </c>
      <c r="BD704">
        <v>56992</v>
      </c>
    </row>
    <row r="705" spans="3:56" x14ac:dyDescent="0.25">
      <c r="C705" s="1">
        <v>46325</v>
      </c>
      <c r="D705" s="36">
        <v>267120.30967741902</v>
      </c>
      <c r="E705" s="33">
        <v>4.4903225806451603</v>
      </c>
      <c r="F705" s="33">
        <v>3.66564989247312</v>
      </c>
      <c r="G705" s="2">
        <v>0.81634444444444398</v>
      </c>
      <c r="H705" s="2">
        <v>0.99</v>
      </c>
      <c r="I705" s="3"/>
      <c r="J705" s="3"/>
      <c r="K705" s="3"/>
      <c r="L705" s="3"/>
      <c r="M705" s="3"/>
      <c r="N705" s="3">
        <v>0</v>
      </c>
      <c r="O705" s="3"/>
      <c r="P705" s="3">
        <v>0</v>
      </c>
      <c r="Q705" s="3">
        <v>0</v>
      </c>
      <c r="R705" s="3">
        <v>0</v>
      </c>
      <c r="S705" s="3">
        <v>0</v>
      </c>
      <c r="T705" s="3">
        <v>0</v>
      </c>
      <c r="U705" s="3"/>
      <c r="V705" s="3"/>
      <c r="W705" s="3"/>
      <c r="X705" s="3"/>
      <c r="Y705" s="3"/>
      <c r="Z705" s="3"/>
      <c r="AA705" s="3"/>
      <c r="AB705" s="3"/>
      <c r="AC705" s="3"/>
      <c r="AD705" s="3"/>
      <c r="AE705" s="3">
        <v>0</v>
      </c>
      <c r="AF705" s="3">
        <v>0</v>
      </c>
      <c r="AG705" s="3"/>
      <c r="AH705" s="40"/>
      <c r="AI705" s="40"/>
      <c r="AJ705" s="40"/>
      <c r="AK705" s="40"/>
      <c r="AL705" s="40"/>
      <c r="AM705" s="40"/>
      <c r="AN705" s="40"/>
      <c r="AO705" s="40"/>
      <c r="AP705" s="40"/>
      <c r="AQ705" s="40"/>
      <c r="AR705" s="31"/>
      <c r="AS705" s="36">
        <v>0</v>
      </c>
      <c r="AY705" s="6"/>
      <c r="AZ705" s="2"/>
      <c r="BA705" s="2"/>
      <c r="BB705" s="2"/>
      <c r="BC705">
        <v>71500</v>
      </c>
      <c r="BD705">
        <v>56992</v>
      </c>
    </row>
    <row r="706" spans="3:56" x14ac:dyDescent="0.25">
      <c r="C706" s="1">
        <v>46326</v>
      </c>
      <c r="D706" s="36">
        <v>267120.30967741902</v>
      </c>
      <c r="E706" s="33">
        <v>4.4903225806451603</v>
      </c>
      <c r="F706" s="33">
        <v>3.6656</v>
      </c>
      <c r="G706" s="2">
        <v>0.81633333333333302</v>
      </c>
      <c r="H706" s="2">
        <v>0.99</v>
      </c>
      <c r="I706" s="3"/>
      <c r="J706" s="3"/>
      <c r="K706" s="3"/>
      <c r="L706" s="3"/>
      <c r="M706" s="3"/>
      <c r="N706" s="3">
        <v>0</v>
      </c>
      <c r="O706" s="3"/>
      <c r="P706" s="3">
        <v>0</v>
      </c>
      <c r="Q706" s="3">
        <v>0</v>
      </c>
      <c r="R706" s="3">
        <v>0</v>
      </c>
      <c r="S706" s="3">
        <v>0</v>
      </c>
      <c r="T706" s="3">
        <v>0</v>
      </c>
      <c r="U706" s="3"/>
      <c r="V706" s="3"/>
      <c r="W706" s="3"/>
      <c r="X706" s="3"/>
      <c r="Y706" s="3"/>
      <c r="Z706" s="3"/>
      <c r="AA706" s="3"/>
      <c r="AB706" s="3"/>
      <c r="AC706" s="3"/>
      <c r="AD706" s="3"/>
      <c r="AE706" s="3">
        <v>0</v>
      </c>
      <c r="AF706" s="3">
        <v>0</v>
      </c>
      <c r="AG706" s="3"/>
      <c r="AH706" s="40"/>
      <c r="AI706" s="40"/>
      <c r="AJ706" s="40"/>
      <c r="AK706" s="40"/>
      <c r="AL706" s="40"/>
      <c r="AM706" s="40"/>
      <c r="AN706" s="40"/>
      <c r="AO706" s="40"/>
      <c r="AP706" s="40"/>
      <c r="AQ706" s="40"/>
      <c r="AR706" s="31"/>
      <c r="AS706" s="36">
        <v>0</v>
      </c>
      <c r="AY706" s="6"/>
      <c r="AZ706" s="2"/>
      <c r="BA706" s="2"/>
      <c r="BB706" s="2"/>
      <c r="BC706">
        <v>71500</v>
      </c>
      <c r="BD706">
        <v>56992</v>
      </c>
    </row>
    <row r="707" spans="3:56" x14ac:dyDescent="0.25">
      <c r="C707" s="1">
        <v>46327</v>
      </c>
      <c r="D707" s="36">
        <v>247960.808333333</v>
      </c>
      <c r="E707" s="33">
        <v>4.18333333333333</v>
      </c>
      <c r="F707" s="33">
        <v>3.41499444444444</v>
      </c>
      <c r="G707" s="2">
        <v>0.81633333333333302</v>
      </c>
      <c r="H707" s="2">
        <v>0.99</v>
      </c>
      <c r="I707" s="3"/>
      <c r="J707" s="3"/>
      <c r="K707" s="3"/>
      <c r="L707" s="3"/>
      <c r="M707" s="3"/>
      <c r="N707" s="3">
        <v>0</v>
      </c>
      <c r="O707" s="3"/>
      <c r="P707" s="3">
        <v>0</v>
      </c>
      <c r="Q707" s="3">
        <v>0</v>
      </c>
      <c r="R707" s="3">
        <v>0</v>
      </c>
      <c r="S707" s="3">
        <v>0</v>
      </c>
      <c r="T707" s="3">
        <v>0</v>
      </c>
      <c r="U707" s="3"/>
      <c r="V707" s="3"/>
      <c r="W707" s="3"/>
      <c r="X707" s="3"/>
      <c r="Y707" s="3"/>
      <c r="Z707" s="3"/>
      <c r="AA707" s="3"/>
      <c r="AB707" s="3"/>
      <c r="AC707" s="3"/>
      <c r="AD707" s="3"/>
      <c r="AE707" s="3">
        <v>0</v>
      </c>
      <c r="AF707" s="3">
        <v>0</v>
      </c>
      <c r="AG707" s="3"/>
      <c r="AH707" s="40"/>
      <c r="AI707" s="40"/>
      <c r="AJ707" s="40"/>
      <c r="AK707" s="40"/>
      <c r="AL707" s="40"/>
      <c r="AM707" s="40"/>
      <c r="AN707" s="40"/>
      <c r="AO707" s="40"/>
      <c r="AP707" s="40"/>
      <c r="AQ707" s="40"/>
      <c r="AR707" s="31"/>
      <c r="AS707" s="36">
        <v>0</v>
      </c>
      <c r="AY707" s="6"/>
      <c r="AZ707" s="2"/>
      <c r="BA707" s="2"/>
      <c r="BB707" s="2"/>
      <c r="BC707">
        <v>71500</v>
      </c>
      <c r="BD707">
        <v>56992</v>
      </c>
    </row>
    <row r="708" spans="3:56" x14ac:dyDescent="0.25">
      <c r="C708" s="1">
        <v>46328</v>
      </c>
      <c r="D708" s="36">
        <v>247960.808333333</v>
      </c>
      <c r="E708" s="33">
        <v>4.18333333333333</v>
      </c>
      <c r="F708" s="33">
        <v>3.4149479629629602</v>
      </c>
      <c r="G708" s="2">
        <v>0.81632222222222195</v>
      </c>
      <c r="H708" s="2">
        <v>0.99</v>
      </c>
      <c r="I708" s="3"/>
      <c r="J708" s="3"/>
      <c r="K708" s="3"/>
      <c r="L708" s="3"/>
      <c r="M708" s="3"/>
      <c r="N708" s="3">
        <v>0</v>
      </c>
      <c r="O708" s="3"/>
      <c r="P708" s="3">
        <v>0</v>
      </c>
      <c r="Q708" s="3">
        <v>0</v>
      </c>
      <c r="R708" s="3">
        <v>0</v>
      </c>
      <c r="S708" s="3">
        <v>0</v>
      </c>
      <c r="T708" s="3">
        <v>0</v>
      </c>
      <c r="U708" s="3"/>
      <c r="V708" s="3"/>
      <c r="W708" s="3"/>
      <c r="X708" s="3"/>
      <c r="Y708" s="3"/>
      <c r="Z708" s="3"/>
      <c r="AA708" s="3"/>
      <c r="AB708" s="3"/>
      <c r="AC708" s="3"/>
      <c r="AD708" s="3"/>
      <c r="AE708" s="3">
        <v>0</v>
      </c>
      <c r="AF708" s="3">
        <v>0</v>
      </c>
      <c r="AG708" s="3"/>
      <c r="AH708" s="40"/>
      <c r="AI708" s="40"/>
      <c r="AJ708" s="40"/>
      <c r="AK708" s="40"/>
      <c r="AL708" s="40"/>
      <c r="AM708" s="40"/>
      <c r="AN708" s="40"/>
      <c r="AO708" s="40"/>
      <c r="AP708" s="40"/>
      <c r="AQ708" s="40"/>
      <c r="AR708" s="31"/>
      <c r="AS708" s="36">
        <v>0</v>
      </c>
      <c r="AY708" s="6"/>
      <c r="AZ708" s="2"/>
      <c r="BA708" s="2"/>
      <c r="BB708" s="2"/>
      <c r="BC708">
        <v>71500</v>
      </c>
      <c r="BD708">
        <v>56992</v>
      </c>
    </row>
    <row r="709" spans="3:56" x14ac:dyDescent="0.25">
      <c r="C709" s="1">
        <v>46329</v>
      </c>
      <c r="D709" s="36">
        <v>247960.808333333</v>
      </c>
      <c r="E709" s="33">
        <v>4.18333333333333</v>
      </c>
      <c r="F709" s="33">
        <v>3.41490148148148</v>
      </c>
      <c r="G709" s="2">
        <v>0.81631111111111099</v>
      </c>
      <c r="H709" s="2">
        <v>0.99</v>
      </c>
      <c r="I709" s="3"/>
      <c r="J709" s="3"/>
      <c r="K709" s="3"/>
      <c r="L709" s="3"/>
      <c r="M709" s="3"/>
      <c r="N709" s="3">
        <v>0</v>
      </c>
      <c r="O709" s="3"/>
      <c r="P709" s="3">
        <v>0</v>
      </c>
      <c r="Q709" s="3">
        <v>0</v>
      </c>
      <c r="R709" s="3">
        <v>0</v>
      </c>
      <c r="S709" s="3">
        <v>0</v>
      </c>
      <c r="T709" s="3">
        <v>0</v>
      </c>
      <c r="U709" s="3"/>
      <c r="V709" s="3"/>
      <c r="W709" s="3"/>
      <c r="X709" s="3"/>
      <c r="Y709" s="3"/>
      <c r="Z709" s="3"/>
      <c r="AA709" s="3"/>
      <c r="AB709" s="3"/>
      <c r="AC709" s="3"/>
      <c r="AD709" s="3"/>
      <c r="AE709" s="3">
        <v>0</v>
      </c>
      <c r="AF709" s="3">
        <v>0</v>
      </c>
      <c r="AG709" s="3"/>
      <c r="AH709" s="40"/>
      <c r="AI709" s="40"/>
      <c r="AJ709" s="40"/>
      <c r="AK709" s="40"/>
      <c r="AL709" s="40"/>
      <c r="AM709" s="40"/>
      <c r="AN709" s="40"/>
      <c r="AO709" s="40"/>
      <c r="AP709" s="40"/>
      <c r="AQ709" s="40"/>
      <c r="AR709" s="31"/>
      <c r="AS709" s="36">
        <v>0</v>
      </c>
      <c r="AY709" s="6"/>
      <c r="AZ709" s="2"/>
      <c r="BA709" s="2"/>
      <c r="BB709" s="2"/>
      <c r="BC709">
        <v>71500</v>
      </c>
      <c r="BD709">
        <v>56992</v>
      </c>
    </row>
    <row r="710" spans="3:56" x14ac:dyDescent="0.25">
      <c r="C710" s="1">
        <v>46330</v>
      </c>
      <c r="D710" s="36">
        <v>247960.808333333</v>
      </c>
      <c r="E710" s="33">
        <v>4.18333333333333</v>
      </c>
      <c r="F710" s="33">
        <v>3.4148550000000002</v>
      </c>
      <c r="G710" s="2">
        <v>0.81630000000000003</v>
      </c>
      <c r="H710" s="2">
        <v>0.99</v>
      </c>
      <c r="I710" s="3"/>
      <c r="J710" s="3"/>
      <c r="K710" s="3"/>
      <c r="L710" s="3"/>
      <c r="M710" s="3"/>
      <c r="N710" s="3">
        <v>0</v>
      </c>
      <c r="O710" s="3"/>
      <c r="P710" s="3">
        <v>0</v>
      </c>
      <c r="Q710" s="3">
        <v>0</v>
      </c>
      <c r="R710" s="3">
        <v>0</v>
      </c>
      <c r="S710" s="3">
        <v>0</v>
      </c>
      <c r="T710" s="3">
        <v>0</v>
      </c>
      <c r="U710" s="3"/>
      <c r="V710" s="3"/>
      <c r="W710" s="3"/>
      <c r="X710" s="3"/>
      <c r="Y710" s="3"/>
      <c r="Z710" s="3"/>
      <c r="AA710" s="3"/>
      <c r="AB710" s="3"/>
      <c r="AC710" s="3"/>
      <c r="AD710" s="3"/>
      <c r="AE710" s="3">
        <v>0</v>
      </c>
      <c r="AF710" s="3">
        <v>0</v>
      </c>
      <c r="AG710" s="3"/>
      <c r="AH710" s="40"/>
      <c r="AI710" s="40"/>
      <c r="AJ710" s="40"/>
      <c r="AK710" s="40"/>
      <c r="AL710" s="40"/>
      <c r="AM710" s="40"/>
      <c r="AN710" s="40"/>
      <c r="AO710" s="40"/>
      <c r="AP710" s="40"/>
      <c r="AQ710" s="40"/>
      <c r="AR710" s="31"/>
      <c r="AS710" s="36">
        <v>0</v>
      </c>
      <c r="AY710" s="6"/>
      <c r="AZ710" s="2"/>
      <c r="BA710" s="2"/>
      <c r="BB710" s="2"/>
      <c r="BC710">
        <v>71500</v>
      </c>
      <c r="BD710">
        <v>56992</v>
      </c>
    </row>
    <row r="711" spans="3:56" x14ac:dyDescent="0.25">
      <c r="C711" s="1">
        <v>46331</v>
      </c>
      <c r="D711" s="36">
        <v>247960.808333333</v>
      </c>
      <c r="E711" s="33">
        <v>4.18333333333333</v>
      </c>
      <c r="F711" s="33">
        <v>3.41480851851852</v>
      </c>
      <c r="G711" s="2">
        <v>0.81628888888888895</v>
      </c>
      <c r="H711" s="2">
        <v>0.99</v>
      </c>
      <c r="I711" s="3"/>
      <c r="J711" s="3"/>
      <c r="K711" s="3"/>
      <c r="L711" s="3"/>
      <c r="M711" s="3"/>
      <c r="N711" s="3">
        <v>0</v>
      </c>
      <c r="O711" s="3"/>
      <c r="P711" s="3">
        <v>0</v>
      </c>
      <c r="Q711" s="3">
        <v>0</v>
      </c>
      <c r="R711" s="3">
        <v>0</v>
      </c>
      <c r="S711" s="3">
        <v>0</v>
      </c>
      <c r="T711" s="3">
        <v>0</v>
      </c>
      <c r="U711" s="3"/>
      <c r="V711" s="3"/>
      <c r="W711" s="3"/>
      <c r="X711" s="3"/>
      <c r="Y711" s="3"/>
      <c r="Z711" s="3"/>
      <c r="AA711" s="3"/>
      <c r="AB711" s="3"/>
      <c r="AC711" s="3"/>
      <c r="AD711" s="3"/>
      <c r="AE711" s="3">
        <v>0</v>
      </c>
      <c r="AF711" s="3">
        <v>0</v>
      </c>
      <c r="AG711" s="3"/>
      <c r="AH711" s="40"/>
      <c r="AI711" s="40"/>
      <c r="AJ711" s="40"/>
      <c r="AK711" s="40"/>
      <c r="AL711" s="40"/>
      <c r="AM711" s="40"/>
      <c r="AN711" s="40"/>
      <c r="AO711" s="40"/>
      <c r="AP711" s="40"/>
      <c r="AQ711" s="40"/>
      <c r="AR711" s="31"/>
      <c r="AS711" s="36">
        <v>0</v>
      </c>
      <c r="AY711" s="6"/>
      <c r="AZ711" s="2"/>
      <c r="BA711" s="2"/>
      <c r="BB711" s="2"/>
      <c r="BC711">
        <v>71500</v>
      </c>
      <c r="BD711">
        <v>56992</v>
      </c>
    </row>
    <row r="712" spans="3:56" x14ac:dyDescent="0.25">
      <c r="C712" s="1">
        <v>46332</v>
      </c>
      <c r="D712" s="36">
        <v>247960.808333333</v>
      </c>
      <c r="E712" s="33">
        <v>4.18333333333333</v>
      </c>
      <c r="F712" s="33">
        <v>3.4147620370370402</v>
      </c>
      <c r="G712" s="2">
        <v>0.81627777777777799</v>
      </c>
      <c r="H712" s="2">
        <v>0.99</v>
      </c>
      <c r="I712" s="3"/>
      <c r="J712" s="3"/>
      <c r="K712" s="3"/>
      <c r="L712" s="3"/>
      <c r="M712" s="3"/>
      <c r="N712" s="3">
        <v>0</v>
      </c>
      <c r="O712" s="3"/>
      <c r="P712" s="3">
        <v>0</v>
      </c>
      <c r="Q712" s="3">
        <v>0</v>
      </c>
      <c r="R712" s="3">
        <v>0</v>
      </c>
      <c r="S712" s="3">
        <v>0</v>
      </c>
      <c r="T712" s="3">
        <v>0</v>
      </c>
      <c r="U712" s="3"/>
      <c r="V712" s="3"/>
      <c r="W712" s="3"/>
      <c r="X712" s="3"/>
      <c r="Y712" s="3"/>
      <c r="Z712" s="3"/>
      <c r="AA712" s="3"/>
      <c r="AB712" s="3"/>
      <c r="AC712" s="3"/>
      <c r="AD712" s="3"/>
      <c r="AE712" s="3">
        <v>0</v>
      </c>
      <c r="AF712" s="3">
        <v>0</v>
      </c>
      <c r="AG712" s="3"/>
      <c r="AH712" s="40"/>
      <c r="AI712" s="40"/>
      <c r="AJ712" s="40"/>
      <c r="AK712" s="40"/>
      <c r="AL712" s="40"/>
      <c r="AM712" s="40"/>
      <c r="AN712" s="40"/>
      <c r="AO712" s="40"/>
      <c r="AP712" s="40"/>
      <c r="AQ712" s="40"/>
      <c r="AR712" s="31"/>
      <c r="AS712" s="36">
        <v>0</v>
      </c>
      <c r="AY712" s="6"/>
      <c r="AZ712" s="2"/>
      <c r="BA712" s="2"/>
      <c r="BB712" s="2"/>
      <c r="BC712">
        <v>71500</v>
      </c>
      <c r="BD712">
        <v>56992</v>
      </c>
    </row>
    <row r="713" spans="3:56" x14ac:dyDescent="0.25">
      <c r="C713" s="1">
        <v>46333</v>
      </c>
      <c r="D713" s="36">
        <v>247960.808333333</v>
      </c>
      <c r="E713" s="33">
        <v>4.18333333333333</v>
      </c>
      <c r="F713" s="33">
        <v>3.4147155555555599</v>
      </c>
      <c r="G713" s="2">
        <v>0.81626666666666703</v>
      </c>
      <c r="H713" s="2">
        <v>0.99</v>
      </c>
      <c r="I713" s="3"/>
      <c r="J713" s="3"/>
      <c r="K713" s="3"/>
      <c r="L713" s="3"/>
      <c r="M713" s="3"/>
      <c r="N713" s="3">
        <v>0</v>
      </c>
      <c r="O713" s="3"/>
      <c r="P713" s="3">
        <v>0</v>
      </c>
      <c r="Q713" s="3">
        <v>0</v>
      </c>
      <c r="R713" s="3">
        <v>0</v>
      </c>
      <c r="S713" s="3">
        <v>0</v>
      </c>
      <c r="T713" s="3">
        <v>0</v>
      </c>
      <c r="U713" s="3"/>
      <c r="V713" s="3"/>
      <c r="W713" s="3"/>
      <c r="X713" s="3"/>
      <c r="Y713" s="3"/>
      <c r="Z713" s="3"/>
      <c r="AA713" s="3"/>
      <c r="AB713" s="3"/>
      <c r="AC713" s="3"/>
      <c r="AD713" s="3"/>
      <c r="AE713" s="3">
        <v>0</v>
      </c>
      <c r="AF713" s="3">
        <v>0</v>
      </c>
      <c r="AG713" s="3"/>
      <c r="AH713" s="40"/>
      <c r="AI713" s="40"/>
      <c r="AJ713" s="40"/>
      <c r="AK713" s="40"/>
      <c r="AL713" s="40"/>
      <c r="AM713" s="40"/>
      <c r="AN713" s="40"/>
      <c r="AO713" s="40"/>
      <c r="AP713" s="40"/>
      <c r="AQ713" s="40"/>
      <c r="AR713" s="31"/>
      <c r="AS713" s="36">
        <v>0</v>
      </c>
      <c r="AY713" s="6"/>
      <c r="AZ713" s="2"/>
      <c r="BA713" s="2"/>
      <c r="BB713" s="2"/>
      <c r="BC713">
        <v>71500</v>
      </c>
      <c r="BD713">
        <v>56992</v>
      </c>
    </row>
    <row r="714" spans="3:56" x14ac:dyDescent="0.25">
      <c r="C714" s="1">
        <v>46334</v>
      </c>
      <c r="D714" s="36">
        <v>247960.808333333</v>
      </c>
      <c r="E714" s="33">
        <v>4.18333333333333</v>
      </c>
      <c r="F714" s="33">
        <v>3.4146690740740699</v>
      </c>
      <c r="G714" s="2">
        <v>0.81625555555555596</v>
      </c>
      <c r="H714" s="2">
        <v>0.99</v>
      </c>
      <c r="I714" s="3"/>
      <c r="J714" s="3"/>
      <c r="K714" s="3"/>
      <c r="L714" s="3"/>
      <c r="M714" s="3"/>
      <c r="N714" s="3">
        <v>0</v>
      </c>
      <c r="O714" s="3"/>
      <c r="P714" s="3">
        <v>0</v>
      </c>
      <c r="Q714" s="3">
        <v>0</v>
      </c>
      <c r="R714" s="3">
        <v>0</v>
      </c>
      <c r="S714" s="3">
        <v>0</v>
      </c>
      <c r="T714" s="3">
        <v>0</v>
      </c>
      <c r="U714" s="3"/>
      <c r="V714" s="3"/>
      <c r="W714" s="3"/>
      <c r="X714" s="3"/>
      <c r="Y714" s="3"/>
      <c r="Z714" s="3"/>
      <c r="AA714" s="3"/>
      <c r="AB714" s="3"/>
      <c r="AC714" s="3"/>
      <c r="AD714" s="3"/>
      <c r="AE714" s="3">
        <v>0</v>
      </c>
      <c r="AF714" s="3">
        <v>0</v>
      </c>
      <c r="AG714" s="3"/>
      <c r="AH714" s="40"/>
      <c r="AI714" s="40"/>
      <c r="AJ714" s="40"/>
      <c r="AK714" s="40"/>
      <c r="AL714" s="40"/>
      <c r="AM714" s="40"/>
      <c r="AN714" s="40"/>
      <c r="AO714" s="40"/>
      <c r="AP714" s="40"/>
      <c r="AQ714" s="40"/>
      <c r="AR714" s="31"/>
      <c r="AS714" s="36">
        <v>0</v>
      </c>
      <c r="AY714" s="6"/>
      <c r="AZ714" s="2"/>
      <c r="BA714" s="2"/>
      <c r="BB714" s="2"/>
      <c r="BC714">
        <v>71500</v>
      </c>
      <c r="BD714">
        <v>56992</v>
      </c>
    </row>
    <row r="715" spans="3:56" x14ac:dyDescent="0.25">
      <c r="C715" s="1">
        <v>46335</v>
      </c>
      <c r="D715" s="36">
        <v>247960.808333333</v>
      </c>
      <c r="E715" s="33">
        <v>4.18333333333333</v>
      </c>
      <c r="F715" s="33">
        <v>3.4146225925925902</v>
      </c>
      <c r="G715" s="2">
        <v>0.816244444444444</v>
      </c>
      <c r="H715" s="2">
        <v>0.99</v>
      </c>
      <c r="I715" s="3"/>
      <c r="J715" s="3"/>
      <c r="K715" s="3"/>
      <c r="L715" s="3"/>
      <c r="M715" s="3"/>
      <c r="N715" s="3">
        <v>0</v>
      </c>
      <c r="O715" s="3"/>
      <c r="P715" s="3">
        <v>0</v>
      </c>
      <c r="Q715" s="3">
        <v>0</v>
      </c>
      <c r="R715" s="3">
        <v>0</v>
      </c>
      <c r="S715" s="3">
        <v>0</v>
      </c>
      <c r="T715" s="3">
        <v>0</v>
      </c>
      <c r="U715" s="3"/>
      <c r="V715" s="3"/>
      <c r="W715" s="3"/>
      <c r="X715" s="3"/>
      <c r="Y715" s="3"/>
      <c r="Z715" s="3"/>
      <c r="AA715" s="3"/>
      <c r="AB715" s="3"/>
      <c r="AC715" s="3"/>
      <c r="AD715" s="3"/>
      <c r="AE715" s="3">
        <v>0</v>
      </c>
      <c r="AF715" s="3">
        <v>0</v>
      </c>
      <c r="AG715" s="3"/>
      <c r="AH715" s="40"/>
      <c r="AI715" s="40"/>
      <c r="AJ715" s="40"/>
      <c r="AK715" s="40"/>
      <c r="AL715" s="40"/>
      <c r="AM715" s="40"/>
      <c r="AN715" s="40"/>
      <c r="AO715" s="40"/>
      <c r="AP715" s="40"/>
      <c r="AQ715" s="40"/>
      <c r="AR715" s="31"/>
      <c r="AS715" s="36">
        <v>0</v>
      </c>
      <c r="AY715" s="6"/>
      <c r="AZ715" s="2"/>
      <c r="BA715" s="2"/>
      <c r="BB715" s="2"/>
      <c r="BC715">
        <v>71500</v>
      </c>
      <c r="BD715">
        <v>56992</v>
      </c>
    </row>
    <row r="716" spans="3:56" x14ac:dyDescent="0.25">
      <c r="C716" s="1">
        <v>46336</v>
      </c>
      <c r="D716" s="36">
        <v>247960.808333333</v>
      </c>
      <c r="E716" s="33">
        <v>4.18333333333333</v>
      </c>
      <c r="F716" s="33">
        <v>3.4145761111111099</v>
      </c>
      <c r="G716" s="2">
        <v>0.81623333333333303</v>
      </c>
      <c r="H716" s="2">
        <v>0.99</v>
      </c>
      <c r="I716" s="3"/>
      <c r="J716" s="3"/>
      <c r="K716" s="3"/>
      <c r="L716" s="3"/>
      <c r="M716" s="3"/>
      <c r="N716" s="3">
        <v>0</v>
      </c>
      <c r="O716" s="3"/>
      <c r="P716" s="3">
        <v>0</v>
      </c>
      <c r="Q716" s="3">
        <v>0</v>
      </c>
      <c r="R716" s="3">
        <v>0</v>
      </c>
      <c r="S716" s="3">
        <v>0</v>
      </c>
      <c r="T716" s="3">
        <v>0</v>
      </c>
      <c r="U716" s="3"/>
      <c r="V716" s="3"/>
      <c r="W716" s="3"/>
      <c r="X716" s="3"/>
      <c r="Y716" s="3"/>
      <c r="Z716" s="3"/>
      <c r="AA716" s="3"/>
      <c r="AB716" s="3"/>
      <c r="AC716" s="3"/>
      <c r="AD716" s="3"/>
      <c r="AE716" s="3">
        <v>0</v>
      </c>
      <c r="AF716" s="3">
        <v>0</v>
      </c>
      <c r="AG716" s="3"/>
      <c r="AH716" s="40"/>
      <c r="AI716" s="40"/>
      <c r="AJ716" s="40"/>
      <c r="AK716" s="40"/>
      <c r="AL716" s="40"/>
      <c r="AM716" s="40"/>
      <c r="AN716" s="40"/>
      <c r="AO716" s="40"/>
      <c r="AP716" s="40"/>
      <c r="AQ716" s="40"/>
      <c r="AR716" s="31"/>
      <c r="AS716" s="36">
        <v>0</v>
      </c>
      <c r="AY716" s="6"/>
      <c r="AZ716" s="2"/>
      <c r="BA716" s="2"/>
      <c r="BB716" s="2"/>
      <c r="BC716">
        <v>71500</v>
      </c>
      <c r="BD716">
        <v>56992</v>
      </c>
    </row>
    <row r="717" spans="3:56" x14ac:dyDescent="0.25">
      <c r="C717" s="1">
        <v>46337</v>
      </c>
      <c r="D717" s="36">
        <v>247960.808333333</v>
      </c>
      <c r="E717" s="33">
        <v>4.18333333333333</v>
      </c>
      <c r="F717" s="33">
        <v>3.4145296296296301</v>
      </c>
      <c r="G717" s="2">
        <v>0.81622222222222196</v>
      </c>
      <c r="H717" s="2">
        <v>0.99</v>
      </c>
      <c r="I717" s="3"/>
      <c r="J717" s="3"/>
      <c r="K717" s="3"/>
      <c r="L717" s="3"/>
      <c r="M717" s="3"/>
      <c r="N717" s="3">
        <v>0</v>
      </c>
      <c r="O717" s="3"/>
      <c r="P717" s="3">
        <v>0</v>
      </c>
      <c r="Q717" s="3">
        <v>0</v>
      </c>
      <c r="R717" s="3">
        <v>0</v>
      </c>
      <c r="S717" s="3">
        <v>0</v>
      </c>
      <c r="T717" s="3">
        <v>0</v>
      </c>
      <c r="U717" s="3"/>
      <c r="V717" s="3"/>
      <c r="W717" s="3"/>
      <c r="X717" s="3"/>
      <c r="Y717" s="3"/>
      <c r="Z717" s="3"/>
      <c r="AA717" s="3"/>
      <c r="AB717" s="3"/>
      <c r="AC717" s="3"/>
      <c r="AD717" s="3"/>
      <c r="AE717" s="3">
        <v>0</v>
      </c>
      <c r="AF717" s="3">
        <v>0</v>
      </c>
      <c r="AG717" s="3"/>
      <c r="AH717" s="40"/>
      <c r="AI717" s="40"/>
      <c r="AJ717" s="40"/>
      <c r="AK717" s="40"/>
      <c r="AL717" s="40"/>
      <c r="AM717" s="40"/>
      <c r="AN717" s="40"/>
      <c r="AO717" s="40"/>
      <c r="AP717" s="40"/>
      <c r="AQ717" s="40"/>
      <c r="AR717" s="31"/>
      <c r="AS717" s="36">
        <v>0</v>
      </c>
      <c r="AY717" s="6"/>
      <c r="AZ717" s="2"/>
      <c r="BA717" s="2"/>
      <c r="BB717" s="2"/>
      <c r="BC717">
        <v>71500</v>
      </c>
      <c r="BD717">
        <v>56992</v>
      </c>
    </row>
    <row r="718" spans="3:56" x14ac:dyDescent="0.25">
      <c r="C718" s="1">
        <v>46338</v>
      </c>
      <c r="D718" s="36">
        <v>247960.808333333</v>
      </c>
      <c r="E718" s="33">
        <v>4.18333333333333</v>
      </c>
      <c r="F718" s="33">
        <v>3.4144831481481499</v>
      </c>
      <c r="G718" s="2">
        <v>0.816211111111111</v>
      </c>
      <c r="H718" s="2">
        <v>0.99</v>
      </c>
      <c r="I718" s="3"/>
      <c r="J718" s="3"/>
      <c r="K718" s="3"/>
      <c r="L718" s="3"/>
      <c r="M718" s="3"/>
      <c r="N718" s="3">
        <v>0</v>
      </c>
      <c r="O718" s="3"/>
      <c r="P718" s="3">
        <v>0</v>
      </c>
      <c r="Q718" s="3">
        <v>0</v>
      </c>
      <c r="R718" s="3">
        <v>0</v>
      </c>
      <c r="S718" s="3">
        <v>0</v>
      </c>
      <c r="T718" s="3">
        <v>0</v>
      </c>
      <c r="U718" s="3"/>
      <c r="V718" s="3"/>
      <c r="W718" s="3"/>
      <c r="X718" s="3"/>
      <c r="Y718" s="3"/>
      <c r="Z718" s="3"/>
      <c r="AA718" s="3"/>
      <c r="AB718" s="3"/>
      <c r="AC718" s="3"/>
      <c r="AD718" s="3"/>
      <c r="AE718" s="3">
        <v>0</v>
      </c>
      <c r="AF718" s="3">
        <v>0</v>
      </c>
      <c r="AG718" s="3"/>
      <c r="AH718" s="40"/>
      <c r="AI718" s="40"/>
      <c r="AJ718" s="40"/>
      <c r="AK718" s="40"/>
      <c r="AL718" s="40"/>
      <c r="AM718" s="40"/>
      <c r="AN718" s="40"/>
      <c r="AO718" s="40"/>
      <c r="AP718" s="40"/>
      <c r="AQ718" s="40"/>
      <c r="AR718" s="31"/>
      <c r="AS718" s="36">
        <v>0</v>
      </c>
      <c r="AY718" s="6"/>
      <c r="AZ718" s="2"/>
      <c r="BA718" s="2"/>
      <c r="BB718" s="2"/>
      <c r="BC718">
        <v>71500</v>
      </c>
      <c r="BD718">
        <v>56992</v>
      </c>
    </row>
    <row r="719" spans="3:56" x14ac:dyDescent="0.25">
      <c r="C719" s="1">
        <v>46339</v>
      </c>
      <c r="D719" s="36">
        <v>247960.808333333</v>
      </c>
      <c r="E719" s="33">
        <v>4.18333333333333</v>
      </c>
      <c r="F719" s="33">
        <v>3.4144366666666701</v>
      </c>
      <c r="G719" s="2">
        <v>0.81620000000000004</v>
      </c>
      <c r="H719" s="2">
        <v>0.99</v>
      </c>
      <c r="I719" s="3"/>
      <c r="J719" s="3"/>
      <c r="K719" s="3"/>
      <c r="L719" s="3"/>
      <c r="M719" s="3"/>
      <c r="N719" s="3">
        <v>0</v>
      </c>
      <c r="O719" s="3"/>
      <c r="P719" s="3">
        <v>0</v>
      </c>
      <c r="Q719" s="3">
        <v>0</v>
      </c>
      <c r="R719" s="3">
        <v>0</v>
      </c>
      <c r="S719" s="3">
        <v>0</v>
      </c>
      <c r="T719" s="3">
        <v>0</v>
      </c>
      <c r="U719" s="3"/>
      <c r="V719" s="3"/>
      <c r="W719" s="3"/>
      <c r="X719" s="3"/>
      <c r="Y719" s="3"/>
      <c r="Z719" s="3"/>
      <c r="AA719" s="3"/>
      <c r="AB719" s="3"/>
      <c r="AC719" s="3"/>
      <c r="AD719" s="3"/>
      <c r="AE719" s="3">
        <v>0</v>
      </c>
      <c r="AF719" s="3">
        <v>0</v>
      </c>
      <c r="AG719" s="3"/>
      <c r="AH719" s="40"/>
      <c r="AI719" s="40"/>
      <c r="AJ719" s="40"/>
      <c r="AK719" s="40"/>
      <c r="AL719" s="40"/>
      <c r="AM719" s="40"/>
      <c r="AN719" s="40"/>
      <c r="AO719" s="40"/>
      <c r="AP719" s="40"/>
      <c r="AQ719" s="40"/>
      <c r="AR719" s="31"/>
      <c r="AS719" s="36">
        <v>0</v>
      </c>
      <c r="AY719" s="6"/>
      <c r="AZ719" s="2"/>
      <c r="BA719" s="2"/>
      <c r="BB719" s="2"/>
      <c r="BC719">
        <v>71500</v>
      </c>
      <c r="BD719">
        <v>56992</v>
      </c>
    </row>
    <row r="720" spans="3:56" x14ac:dyDescent="0.25">
      <c r="C720" s="1">
        <v>46340</v>
      </c>
      <c r="D720" s="36">
        <v>247960.808333333</v>
      </c>
      <c r="E720" s="33">
        <v>4.18333333333333</v>
      </c>
      <c r="F720" s="33">
        <v>3.4143901851851899</v>
      </c>
      <c r="G720" s="2">
        <v>0.81618888888888896</v>
      </c>
      <c r="H720" s="2">
        <v>0.99</v>
      </c>
      <c r="I720" s="3"/>
      <c r="J720" s="3"/>
      <c r="K720" s="3"/>
      <c r="L720" s="3"/>
      <c r="M720" s="3"/>
      <c r="N720" s="3">
        <v>0</v>
      </c>
      <c r="O720" s="3"/>
      <c r="P720" s="3">
        <v>0</v>
      </c>
      <c r="Q720" s="3">
        <v>0</v>
      </c>
      <c r="R720" s="3">
        <v>0</v>
      </c>
      <c r="S720" s="3">
        <v>0</v>
      </c>
      <c r="T720" s="3">
        <v>0</v>
      </c>
      <c r="U720" s="3"/>
      <c r="V720" s="3"/>
      <c r="W720" s="3"/>
      <c r="X720" s="3"/>
      <c r="Y720" s="3"/>
      <c r="Z720" s="3"/>
      <c r="AA720" s="3"/>
      <c r="AB720" s="3"/>
      <c r="AC720" s="3"/>
      <c r="AD720" s="3"/>
      <c r="AE720" s="3">
        <v>0</v>
      </c>
      <c r="AF720" s="3">
        <v>0</v>
      </c>
      <c r="AG720" s="3"/>
      <c r="AH720" s="40"/>
      <c r="AI720" s="40"/>
      <c r="AJ720" s="40"/>
      <c r="AK720" s="40"/>
      <c r="AL720" s="40"/>
      <c r="AM720" s="40"/>
      <c r="AN720" s="40"/>
      <c r="AO720" s="40"/>
      <c r="AP720" s="40"/>
      <c r="AQ720" s="40"/>
      <c r="AR720" s="31"/>
      <c r="AS720" s="36">
        <v>0</v>
      </c>
      <c r="AY720" s="6"/>
      <c r="AZ720" s="2"/>
      <c r="BA720" s="2"/>
      <c r="BB720" s="2"/>
      <c r="BC720">
        <v>71500</v>
      </c>
      <c r="BD720">
        <v>56992</v>
      </c>
    </row>
    <row r="721" spans="3:56" x14ac:dyDescent="0.25">
      <c r="C721" s="1">
        <v>46341</v>
      </c>
      <c r="D721" s="36">
        <v>247960.808333333</v>
      </c>
      <c r="E721" s="33">
        <v>4.18333333333333</v>
      </c>
      <c r="F721" s="33">
        <v>3.4143437037036999</v>
      </c>
      <c r="G721" s="2">
        <v>0.816177777777778</v>
      </c>
      <c r="H721" s="2">
        <v>0.99</v>
      </c>
      <c r="I721" s="3"/>
      <c r="J721" s="3"/>
      <c r="K721" s="3"/>
      <c r="L721" s="3"/>
      <c r="M721" s="3"/>
      <c r="N721" s="3">
        <v>0</v>
      </c>
      <c r="O721" s="3"/>
      <c r="P721" s="3">
        <v>0</v>
      </c>
      <c r="Q721" s="3">
        <v>0</v>
      </c>
      <c r="R721" s="3">
        <v>0</v>
      </c>
      <c r="S721" s="3">
        <v>0</v>
      </c>
      <c r="T721" s="3">
        <v>0</v>
      </c>
      <c r="U721" s="3"/>
      <c r="V721" s="3"/>
      <c r="W721" s="3"/>
      <c r="X721" s="3"/>
      <c r="Y721" s="3"/>
      <c r="Z721" s="3"/>
      <c r="AA721" s="3"/>
      <c r="AB721" s="3"/>
      <c r="AC721" s="3"/>
      <c r="AD721" s="3"/>
      <c r="AE721" s="3">
        <v>0</v>
      </c>
      <c r="AF721" s="3">
        <v>0</v>
      </c>
      <c r="AG721" s="3"/>
      <c r="AH721" s="40"/>
      <c r="AI721" s="40"/>
      <c r="AJ721" s="40"/>
      <c r="AK721" s="40"/>
      <c r="AL721" s="40"/>
      <c r="AM721" s="40"/>
      <c r="AN721" s="40"/>
      <c r="AO721" s="40"/>
      <c r="AP721" s="40"/>
      <c r="AQ721" s="40"/>
      <c r="AR721" s="31"/>
      <c r="AS721" s="36">
        <v>0</v>
      </c>
      <c r="AY721" s="6"/>
      <c r="AZ721" s="2"/>
      <c r="BA721" s="2"/>
      <c r="BB721" s="2"/>
      <c r="BC721">
        <v>71500</v>
      </c>
      <c r="BD721">
        <v>56992</v>
      </c>
    </row>
    <row r="722" spans="3:56" x14ac:dyDescent="0.25">
      <c r="C722" s="1">
        <v>46342</v>
      </c>
      <c r="D722" s="36">
        <v>247960.808333333</v>
      </c>
      <c r="E722" s="33">
        <v>4.18333333333333</v>
      </c>
      <c r="F722" s="33">
        <v>3.4142972222222201</v>
      </c>
      <c r="G722" s="2">
        <v>0.81616666666666704</v>
      </c>
      <c r="H722" s="2">
        <v>0.99</v>
      </c>
      <c r="I722" s="3"/>
      <c r="J722" s="3"/>
      <c r="K722" s="3"/>
      <c r="L722" s="3"/>
      <c r="M722" s="3"/>
      <c r="N722" s="3">
        <v>0</v>
      </c>
      <c r="O722" s="3"/>
      <c r="P722" s="3">
        <v>0</v>
      </c>
      <c r="Q722" s="3">
        <v>0</v>
      </c>
      <c r="R722" s="3">
        <v>0</v>
      </c>
      <c r="S722" s="3">
        <v>0</v>
      </c>
      <c r="T722" s="3">
        <v>0</v>
      </c>
      <c r="U722" s="3"/>
      <c r="V722" s="3"/>
      <c r="W722" s="3"/>
      <c r="X722" s="3"/>
      <c r="Y722" s="3"/>
      <c r="Z722" s="3"/>
      <c r="AA722" s="3"/>
      <c r="AB722" s="3"/>
      <c r="AC722" s="3"/>
      <c r="AD722" s="3"/>
      <c r="AE722" s="3">
        <v>0</v>
      </c>
      <c r="AF722" s="3">
        <v>0</v>
      </c>
      <c r="AG722" s="3"/>
      <c r="AH722" s="40"/>
      <c r="AI722" s="40"/>
      <c r="AJ722" s="40"/>
      <c r="AK722" s="40"/>
      <c r="AL722" s="40"/>
      <c r="AM722" s="40"/>
      <c r="AN722" s="40"/>
      <c r="AO722" s="40"/>
      <c r="AP722" s="40"/>
      <c r="AQ722" s="40"/>
      <c r="AR722" s="31"/>
      <c r="AS722" s="36">
        <v>0</v>
      </c>
      <c r="AY722" s="6"/>
      <c r="AZ722" s="2"/>
      <c r="BA722" s="2"/>
      <c r="BB722" s="2"/>
      <c r="BC722">
        <v>71500</v>
      </c>
      <c r="BD722">
        <v>56992</v>
      </c>
    </row>
    <row r="723" spans="3:56" x14ac:dyDescent="0.25">
      <c r="C723" s="1">
        <v>46343</v>
      </c>
      <c r="D723" s="36">
        <v>247960.808333333</v>
      </c>
      <c r="E723" s="33">
        <v>4.18333333333333</v>
      </c>
      <c r="F723" s="33">
        <v>3.4142507407407399</v>
      </c>
      <c r="G723" s="2">
        <v>0.81615555555555597</v>
      </c>
      <c r="H723" s="2">
        <v>0.99</v>
      </c>
      <c r="I723" s="3"/>
      <c r="J723" s="3"/>
      <c r="K723" s="3"/>
      <c r="L723" s="3"/>
      <c r="M723" s="3"/>
      <c r="N723" s="3">
        <v>0</v>
      </c>
      <c r="O723" s="3"/>
      <c r="P723" s="3">
        <v>0</v>
      </c>
      <c r="Q723" s="3">
        <v>0</v>
      </c>
      <c r="R723" s="3">
        <v>0</v>
      </c>
      <c r="S723" s="3">
        <v>0</v>
      </c>
      <c r="T723" s="3">
        <v>0</v>
      </c>
      <c r="U723" s="3"/>
      <c r="V723" s="3"/>
      <c r="W723" s="3"/>
      <c r="X723" s="3"/>
      <c r="Y723" s="3"/>
      <c r="Z723" s="3"/>
      <c r="AA723" s="3"/>
      <c r="AB723" s="3"/>
      <c r="AC723" s="3"/>
      <c r="AD723" s="3"/>
      <c r="AE723" s="3">
        <v>0</v>
      </c>
      <c r="AF723" s="3">
        <v>0</v>
      </c>
      <c r="AG723" s="3"/>
      <c r="AH723" s="40"/>
      <c r="AI723" s="40"/>
      <c r="AJ723" s="40"/>
      <c r="AK723" s="40"/>
      <c r="AL723" s="40"/>
      <c r="AM723" s="40"/>
      <c r="AN723" s="40"/>
      <c r="AO723" s="40"/>
      <c r="AP723" s="40"/>
      <c r="AQ723" s="40"/>
      <c r="AR723" s="31"/>
      <c r="AS723" s="36">
        <v>0</v>
      </c>
      <c r="AY723" s="6"/>
      <c r="AZ723" s="2"/>
      <c r="BA723" s="2"/>
      <c r="BB723" s="2"/>
      <c r="BC723">
        <v>71500</v>
      </c>
      <c r="BD723">
        <v>56992</v>
      </c>
    </row>
    <row r="724" spans="3:56" x14ac:dyDescent="0.25">
      <c r="C724" s="1">
        <v>46344</v>
      </c>
      <c r="D724" s="36">
        <v>247960.808333333</v>
      </c>
      <c r="E724" s="33">
        <v>4.18333333333333</v>
      </c>
      <c r="F724" s="33">
        <v>3.4142042592592601</v>
      </c>
      <c r="G724" s="2">
        <v>0.81614444444444401</v>
      </c>
      <c r="H724" s="2">
        <v>0.99</v>
      </c>
      <c r="I724" s="3"/>
      <c r="J724" s="3"/>
      <c r="K724" s="3"/>
      <c r="L724" s="3"/>
      <c r="M724" s="3"/>
      <c r="N724" s="3">
        <v>0</v>
      </c>
      <c r="O724" s="3"/>
      <c r="P724" s="3">
        <v>0</v>
      </c>
      <c r="Q724" s="3">
        <v>0</v>
      </c>
      <c r="R724" s="3">
        <v>0</v>
      </c>
      <c r="S724" s="3">
        <v>0</v>
      </c>
      <c r="T724" s="3">
        <v>0</v>
      </c>
      <c r="U724" s="3"/>
      <c r="V724" s="3"/>
      <c r="W724" s="3"/>
      <c r="X724" s="3"/>
      <c r="Y724" s="3"/>
      <c r="Z724" s="3"/>
      <c r="AA724" s="3"/>
      <c r="AB724" s="3"/>
      <c r="AC724" s="3"/>
      <c r="AD724" s="3"/>
      <c r="AE724" s="3">
        <v>0</v>
      </c>
      <c r="AF724" s="3">
        <v>0</v>
      </c>
      <c r="AG724" s="3"/>
      <c r="AH724" s="40"/>
      <c r="AI724" s="40"/>
      <c r="AJ724" s="40"/>
      <c r="AK724" s="40"/>
      <c r="AL724" s="40"/>
      <c r="AM724" s="40"/>
      <c r="AN724" s="40"/>
      <c r="AO724" s="40"/>
      <c r="AP724" s="40"/>
      <c r="AQ724" s="40"/>
      <c r="AR724" s="31"/>
      <c r="AS724" s="36">
        <v>0</v>
      </c>
      <c r="AY724" s="6"/>
      <c r="AZ724" s="2"/>
      <c r="BA724" s="2"/>
      <c r="BB724" s="2"/>
      <c r="BC724">
        <v>71500</v>
      </c>
      <c r="BD724">
        <v>56992</v>
      </c>
    </row>
    <row r="725" spans="3:56" x14ac:dyDescent="0.25">
      <c r="C725" s="1">
        <v>46345</v>
      </c>
      <c r="D725" s="36">
        <v>247960.808333333</v>
      </c>
      <c r="E725" s="33">
        <v>4.18333333333333</v>
      </c>
      <c r="F725" s="33">
        <v>3.4141577777777798</v>
      </c>
      <c r="G725" s="2">
        <v>0.81613333333333304</v>
      </c>
      <c r="H725" s="2">
        <v>0.99</v>
      </c>
      <c r="I725" s="3"/>
      <c r="J725" s="3"/>
      <c r="K725" s="3"/>
      <c r="L725" s="3"/>
      <c r="M725" s="3"/>
      <c r="N725" s="3">
        <v>0</v>
      </c>
      <c r="O725" s="3"/>
      <c r="P725" s="3">
        <v>0</v>
      </c>
      <c r="Q725" s="3">
        <v>0</v>
      </c>
      <c r="R725" s="3">
        <v>0</v>
      </c>
      <c r="S725" s="3">
        <v>0</v>
      </c>
      <c r="T725" s="3">
        <v>0</v>
      </c>
      <c r="U725" s="3"/>
      <c r="V725" s="3"/>
      <c r="W725" s="3"/>
      <c r="X725" s="3"/>
      <c r="Y725" s="3"/>
      <c r="Z725" s="3"/>
      <c r="AA725" s="3"/>
      <c r="AB725" s="3"/>
      <c r="AC725" s="3"/>
      <c r="AD725" s="3"/>
      <c r="AE725" s="3">
        <v>0</v>
      </c>
      <c r="AF725" s="3">
        <v>0</v>
      </c>
      <c r="AG725" s="3"/>
      <c r="AH725" s="40"/>
      <c r="AI725" s="40"/>
      <c r="AJ725" s="40"/>
      <c r="AK725" s="40"/>
      <c r="AL725" s="40"/>
      <c r="AM725" s="40"/>
      <c r="AN725" s="40"/>
      <c r="AO725" s="40"/>
      <c r="AP725" s="40"/>
      <c r="AQ725" s="40"/>
      <c r="AR725" s="31"/>
      <c r="AS725" s="36">
        <v>0</v>
      </c>
      <c r="AY725" s="6"/>
      <c r="AZ725" s="2"/>
      <c r="BA725" s="2"/>
      <c r="BB725" s="2"/>
      <c r="BC725">
        <v>71500</v>
      </c>
      <c r="BD725">
        <v>56992</v>
      </c>
    </row>
    <row r="726" spans="3:56" x14ac:dyDescent="0.25">
      <c r="C726" s="1">
        <v>46346</v>
      </c>
      <c r="D726" s="36">
        <v>247960.808333333</v>
      </c>
      <c r="E726" s="33">
        <v>4.18333333333333</v>
      </c>
      <c r="F726" s="33">
        <v>3.4141112962963001</v>
      </c>
      <c r="G726" s="2">
        <v>0.81612222222222197</v>
      </c>
      <c r="H726" s="2">
        <v>0.99</v>
      </c>
      <c r="I726" s="3"/>
      <c r="J726" s="3"/>
      <c r="K726" s="3"/>
      <c r="L726" s="3"/>
      <c r="M726" s="3"/>
      <c r="N726" s="3">
        <v>0</v>
      </c>
      <c r="O726" s="3"/>
      <c r="P726" s="3">
        <v>0</v>
      </c>
      <c r="Q726" s="3">
        <v>0</v>
      </c>
      <c r="R726" s="3">
        <v>0</v>
      </c>
      <c r="S726" s="3">
        <v>0</v>
      </c>
      <c r="T726" s="3">
        <v>0</v>
      </c>
      <c r="U726" s="3"/>
      <c r="V726" s="3"/>
      <c r="W726" s="3"/>
      <c r="X726" s="3"/>
      <c r="Y726" s="3"/>
      <c r="Z726" s="3"/>
      <c r="AA726" s="3"/>
      <c r="AB726" s="3"/>
      <c r="AC726" s="3"/>
      <c r="AD726" s="3"/>
      <c r="AE726" s="3">
        <v>0</v>
      </c>
      <c r="AF726" s="3">
        <v>0</v>
      </c>
      <c r="AG726" s="3"/>
      <c r="AH726" s="40"/>
      <c r="AI726" s="40"/>
      <c r="AJ726" s="40"/>
      <c r="AK726" s="40"/>
      <c r="AL726" s="40"/>
      <c r="AM726" s="40"/>
      <c r="AN726" s="40"/>
      <c r="AO726" s="40"/>
      <c r="AP726" s="40"/>
      <c r="AQ726" s="40"/>
      <c r="AR726" s="31"/>
      <c r="AS726" s="36">
        <v>0</v>
      </c>
      <c r="AY726" s="6"/>
      <c r="AZ726" s="2"/>
      <c r="BA726" s="2"/>
      <c r="BB726" s="2"/>
      <c r="BC726">
        <v>71500</v>
      </c>
      <c r="BD726">
        <v>56992</v>
      </c>
    </row>
    <row r="727" spans="3:56" x14ac:dyDescent="0.25">
      <c r="C727" s="1">
        <v>46347</v>
      </c>
      <c r="D727" s="36">
        <v>247960.808333333</v>
      </c>
      <c r="E727" s="33">
        <v>4.18333333333333</v>
      </c>
      <c r="F727" s="33">
        <v>3.4140648148148101</v>
      </c>
      <c r="G727" s="2">
        <v>0.81611111111111101</v>
      </c>
      <c r="H727" s="2">
        <v>0.99</v>
      </c>
      <c r="I727" s="3"/>
      <c r="J727" s="3"/>
      <c r="K727" s="3"/>
      <c r="L727" s="3"/>
      <c r="M727" s="3"/>
      <c r="N727" s="3">
        <v>0</v>
      </c>
      <c r="O727" s="3"/>
      <c r="P727" s="3">
        <v>0</v>
      </c>
      <c r="Q727" s="3">
        <v>0</v>
      </c>
      <c r="R727" s="3">
        <v>0</v>
      </c>
      <c r="S727" s="3">
        <v>0</v>
      </c>
      <c r="T727" s="3">
        <v>0</v>
      </c>
      <c r="U727" s="3"/>
      <c r="V727" s="3"/>
      <c r="W727" s="3"/>
      <c r="X727" s="3"/>
      <c r="Y727" s="3"/>
      <c r="Z727" s="3"/>
      <c r="AA727" s="3"/>
      <c r="AB727" s="3"/>
      <c r="AC727" s="3"/>
      <c r="AD727" s="3"/>
      <c r="AE727" s="3">
        <v>0</v>
      </c>
      <c r="AF727" s="3">
        <v>0</v>
      </c>
      <c r="AG727" s="3"/>
      <c r="AH727" s="40"/>
      <c r="AI727" s="40"/>
      <c r="AJ727" s="40"/>
      <c r="AK727" s="40"/>
      <c r="AL727" s="40"/>
      <c r="AM727" s="40"/>
      <c r="AN727" s="40"/>
      <c r="AO727" s="40"/>
      <c r="AP727" s="40"/>
      <c r="AQ727" s="40"/>
      <c r="AR727" s="31"/>
      <c r="AS727" s="36">
        <v>0</v>
      </c>
      <c r="AY727" s="6"/>
      <c r="AZ727" s="2"/>
      <c r="BA727" s="2"/>
      <c r="BB727" s="2"/>
      <c r="BC727">
        <v>71500</v>
      </c>
      <c r="BD727">
        <v>56992</v>
      </c>
    </row>
    <row r="728" spans="3:56" x14ac:dyDescent="0.25">
      <c r="C728" s="1">
        <v>46348</v>
      </c>
      <c r="D728" s="36">
        <v>247960.808333333</v>
      </c>
      <c r="E728" s="33">
        <v>4.18333333333333</v>
      </c>
      <c r="F728" s="33">
        <v>3.4140183333333298</v>
      </c>
      <c r="G728" s="2">
        <v>0.81610000000000005</v>
      </c>
      <c r="H728" s="2">
        <v>0.99</v>
      </c>
      <c r="I728" s="3"/>
      <c r="J728" s="3"/>
      <c r="K728" s="3"/>
      <c r="L728" s="3"/>
      <c r="M728" s="3"/>
      <c r="N728" s="3">
        <v>0</v>
      </c>
      <c r="O728" s="3"/>
      <c r="P728" s="3">
        <v>0</v>
      </c>
      <c r="Q728" s="3">
        <v>0</v>
      </c>
      <c r="R728" s="3">
        <v>0</v>
      </c>
      <c r="S728" s="3">
        <v>0</v>
      </c>
      <c r="T728" s="3">
        <v>0</v>
      </c>
      <c r="U728" s="3"/>
      <c r="V728" s="3"/>
      <c r="W728" s="3"/>
      <c r="X728" s="3"/>
      <c r="Y728" s="3"/>
      <c r="Z728" s="3"/>
      <c r="AA728" s="3"/>
      <c r="AB728" s="3"/>
      <c r="AC728" s="3"/>
      <c r="AD728" s="3"/>
      <c r="AE728" s="3">
        <v>0</v>
      </c>
      <c r="AF728" s="3">
        <v>0</v>
      </c>
      <c r="AG728" s="3"/>
      <c r="AH728" s="40"/>
      <c r="AI728" s="40"/>
      <c r="AJ728" s="40"/>
      <c r="AK728" s="40"/>
      <c r="AL728" s="40"/>
      <c r="AM728" s="40"/>
      <c r="AN728" s="40"/>
      <c r="AO728" s="40"/>
      <c r="AP728" s="40"/>
      <c r="AQ728" s="40"/>
      <c r="AR728" s="31"/>
      <c r="AS728" s="36">
        <v>0</v>
      </c>
      <c r="AY728" s="6"/>
      <c r="AZ728" s="2"/>
      <c r="BA728" s="2"/>
      <c r="BB728" s="2"/>
      <c r="BC728">
        <v>71500</v>
      </c>
      <c r="BD728">
        <v>56992</v>
      </c>
    </row>
    <row r="729" spans="3:56" x14ac:dyDescent="0.25">
      <c r="C729" s="1">
        <v>46349</v>
      </c>
      <c r="D729" s="36">
        <v>247960.808333333</v>
      </c>
      <c r="E729" s="33">
        <v>4.18333333333333</v>
      </c>
      <c r="F729" s="33">
        <v>3.41397185185185</v>
      </c>
      <c r="G729" s="2">
        <v>0.81608888888888897</v>
      </c>
      <c r="H729" s="2">
        <v>0.99</v>
      </c>
      <c r="I729" s="3"/>
      <c r="J729" s="3"/>
      <c r="K729" s="3"/>
      <c r="L729" s="3"/>
      <c r="M729" s="3"/>
      <c r="N729" s="3">
        <v>0</v>
      </c>
      <c r="O729" s="3"/>
      <c r="P729" s="3">
        <v>0</v>
      </c>
      <c r="Q729" s="3">
        <v>0</v>
      </c>
      <c r="R729" s="3">
        <v>0</v>
      </c>
      <c r="S729" s="3">
        <v>0</v>
      </c>
      <c r="T729" s="3">
        <v>0</v>
      </c>
      <c r="U729" s="3"/>
      <c r="V729" s="3"/>
      <c r="W729" s="3"/>
      <c r="X729" s="3"/>
      <c r="Y729" s="3"/>
      <c r="Z729" s="3"/>
      <c r="AA729" s="3"/>
      <c r="AB729" s="3"/>
      <c r="AC729" s="3"/>
      <c r="AD729" s="3"/>
      <c r="AE729" s="3">
        <v>0</v>
      </c>
      <c r="AF729" s="3">
        <v>0</v>
      </c>
      <c r="AG729" s="3"/>
      <c r="AH729" s="40"/>
      <c r="AI729" s="40"/>
      <c r="AJ729" s="40"/>
      <c r="AK729" s="40"/>
      <c r="AL729" s="40"/>
      <c r="AM729" s="40"/>
      <c r="AN729" s="40"/>
      <c r="AO729" s="40"/>
      <c r="AP729" s="40"/>
      <c r="AQ729" s="40"/>
      <c r="AR729" s="31"/>
      <c r="AS729" s="36">
        <v>0</v>
      </c>
      <c r="AY729" s="6"/>
      <c r="AZ729" s="2"/>
      <c r="BA729" s="2"/>
      <c r="BB729" s="2"/>
      <c r="BC729">
        <v>71500</v>
      </c>
      <c r="BD729">
        <v>56992</v>
      </c>
    </row>
    <row r="730" spans="3:56" x14ac:dyDescent="0.25">
      <c r="C730" s="1">
        <v>46350</v>
      </c>
      <c r="D730" s="36">
        <v>247960.808333333</v>
      </c>
      <c r="E730" s="33">
        <v>4.18333333333333</v>
      </c>
      <c r="F730" s="33">
        <v>3.4139253703703698</v>
      </c>
      <c r="G730" s="2">
        <v>0.81607777777777801</v>
      </c>
      <c r="H730" s="2">
        <v>0.99</v>
      </c>
      <c r="I730" s="3"/>
      <c r="J730" s="3"/>
      <c r="K730" s="3"/>
      <c r="L730" s="3"/>
      <c r="M730" s="3"/>
      <c r="N730" s="3">
        <v>0</v>
      </c>
      <c r="O730" s="3"/>
      <c r="P730" s="3">
        <v>0</v>
      </c>
      <c r="Q730" s="3">
        <v>0</v>
      </c>
      <c r="R730" s="3">
        <v>0</v>
      </c>
      <c r="S730" s="3">
        <v>0</v>
      </c>
      <c r="T730" s="3">
        <v>0</v>
      </c>
      <c r="U730" s="3"/>
      <c r="V730" s="3"/>
      <c r="W730" s="3"/>
      <c r="X730" s="3"/>
      <c r="Y730" s="3"/>
      <c r="Z730" s="3"/>
      <c r="AA730" s="3"/>
      <c r="AB730" s="3"/>
      <c r="AC730" s="3"/>
      <c r="AD730" s="3"/>
      <c r="AE730" s="3">
        <v>0</v>
      </c>
      <c r="AF730" s="3">
        <v>0</v>
      </c>
      <c r="AG730" s="3"/>
      <c r="AH730" s="40"/>
      <c r="AI730" s="40"/>
      <c r="AJ730" s="40"/>
      <c r="AK730" s="40"/>
      <c r="AL730" s="40"/>
      <c r="AM730" s="40"/>
      <c r="AN730" s="40"/>
      <c r="AO730" s="40"/>
      <c r="AP730" s="40"/>
      <c r="AQ730" s="40"/>
      <c r="AR730" s="31"/>
      <c r="AS730" s="36">
        <v>0</v>
      </c>
      <c r="AY730" s="6"/>
      <c r="AZ730" s="2"/>
      <c r="BA730" s="2"/>
      <c r="BB730" s="2"/>
      <c r="BC730">
        <v>71500</v>
      </c>
      <c r="BD730">
        <v>56992</v>
      </c>
    </row>
    <row r="731" spans="3:56" x14ac:dyDescent="0.25">
      <c r="C731" s="1">
        <v>46351</v>
      </c>
      <c r="D731" s="36">
        <v>247960.808333333</v>
      </c>
      <c r="E731" s="33">
        <v>4.18333333333333</v>
      </c>
      <c r="F731" s="33">
        <v>3.41387888888889</v>
      </c>
      <c r="G731" s="2">
        <v>0.81606666666666705</v>
      </c>
      <c r="H731" s="2">
        <v>0.99</v>
      </c>
      <c r="I731" s="3"/>
      <c r="J731" s="3"/>
      <c r="K731" s="3"/>
      <c r="L731" s="3"/>
      <c r="M731" s="3"/>
      <c r="N731" s="3">
        <v>0</v>
      </c>
      <c r="O731" s="3"/>
      <c r="P731" s="3">
        <v>0</v>
      </c>
      <c r="Q731" s="3">
        <v>0</v>
      </c>
      <c r="R731" s="3">
        <v>0</v>
      </c>
      <c r="S731" s="3">
        <v>0</v>
      </c>
      <c r="T731" s="3">
        <v>0</v>
      </c>
      <c r="U731" s="3"/>
      <c r="V731" s="3"/>
      <c r="W731" s="3"/>
      <c r="X731" s="3"/>
      <c r="Y731" s="3"/>
      <c r="Z731" s="3"/>
      <c r="AA731" s="3"/>
      <c r="AB731" s="3"/>
      <c r="AC731" s="3"/>
      <c r="AD731" s="3"/>
      <c r="AE731" s="3">
        <v>0</v>
      </c>
      <c r="AF731" s="3">
        <v>0</v>
      </c>
      <c r="AG731" s="3"/>
      <c r="AH731" s="40"/>
      <c r="AI731" s="40"/>
      <c r="AJ731" s="40"/>
      <c r="AK731" s="40"/>
      <c r="AL731" s="40"/>
      <c r="AM731" s="40"/>
      <c r="AN731" s="40"/>
      <c r="AO731" s="40"/>
      <c r="AP731" s="40"/>
      <c r="AQ731" s="40"/>
      <c r="AR731" s="31"/>
      <c r="AS731" s="36">
        <v>0</v>
      </c>
      <c r="AY731" s="6"/>
      <c r="AZ731" s="2"/>
      <c r="BA731" s="2"/>
      <c r="BB731" s="2"/>
      <c r="BC731">
        <v>71500</v>
      </c>
      <c r="BD731">
        <v>56992</v>
      </c>
    </row>
    <row r="732" spans="3:56" x14ac:dyDescent="0.25">
      <c r="C732" s="1">
        <v>46352</v>
      </c>
      <c r="D732" s="36">
        <v>247960.808333333</v>
      </c>
      <c r="E732" s="33">
        <v>4.18333333333333</v>
      </c>
      <c r="F732" s="33">
        <v>3.4138324074074098</v>
      </c>
      <c r="G732" s="2">
        <v>0.81605555555555598</v>
      </c>
      <c r="H732" s="2">
        <v>0.99</v>
      </c>
      <c r="I732" s="3"/>
      <c r="J732" s="3"/>
      <c r="K732" s="3"/>
      <c r="L732" s="3"/>
      <c r="M732" s="3"/>
      <c r="N732" s="3">
        <v>0</v>
      </c>
      <c r="O732" s="3"/>
      <c r="P732" s="3">
        <v>0</v>
      </c>
      <c r="Q732" s="3">
        <v>0</v>
      </c>
      <c r="R732" s="3">
        <v>0</v>
      </c>
      <c r="S732" s="3">
        <v>0</v>
      </c>
      <c r="T732" s="3">
        <v>0</v>
      </c>
      <c r="U732" s="3"/>
      <c r="V732" s="3"/>
      <c r="W732" s="3"/>
      <c r="X732" s="3"/>
      <c r="Y732" s="3"/>
      <c r="Z732" s="3"/>
      <c r="AA732" s="3"/>
      <c r="AB732" s="3"/>
      <c r="AC732" s="3"/>
      <c r="AD732" s="3"/>
      <c r="AE732" s="3">
        <v>0</v>
      </c>
      <c r="AF732" s="3">
        <v>0</v>
      </c>
      <c r="AG732" s="3"/>
      <c r="AH732" s="40"/>
      <c r="AI732" s="40"/>
      <c r="AJ732" s="40"/>
      <c r="AK732" s="40"/>
      <c r="AL732" s="40"/>
      <c r="AM732" s="40"/>
      <c r="AN732" s="40"/>
      <c r="AO732" s="40"/>
      <c r="AP732" s="40"/>
      <c r="AQ732" s="40"/>
      <c r="AR732" s="31"/>
      <c r="AS732" s="36">
        <v>0</v>
      </c>
      <c r="AY732" s="6"/>
      <c r="AZ732" s="2"/>
      <c r="BA732" s="2"/>
      <c r="BB732" s="2"/>
      <c r="BC732">
        <v>71500</v>
      </c>
      <c r="BD732">
        <v>56992</v>
      </c>
    </row>
    <row r="733" spans="3:56" x14ac:dyDescent="0.25">
      <c r="C733" s="1">
        <v>46353</v>
      </c>
      <c r="D733" s="36">
        <v>247960.808333333</v>
      </c>
      <c r="E733" s="33">
        <v>4.18333333333333</v>
      </c>
      <c r="F733" s="33">
        <v>3.41378592592593</v>
      </c>
      <c r="G733" s="2">
        <v>0.81604444444444402</v>
      </c>
      <c r="H733" s="2">
        <v>0.99</v>
      </c>
      <c r="I733" s="3"/>
      <c r="J733" s="3"/>
      <c r="K733" s="3"/>
      <c r="L733" s="3"/>
      <c r="M733" s="3"/>
      <c r="N733" s="3">
        <v>0</v>
      </c>
      <c r="O733" s="3"/>
      <c r="P733" s="3">
        <v>0</v>
      </c>
      <c r="Q733" s="3">
        <v>0</v>
      </c>
      <c r="R733" s="3">
        <v>0</v>
      </c>
      <c r="S733" s="3">
        <v>0</v>
      </c>
      <c r="T733" s="3">
        <v>0</v>
      </c>
      <c r="U733" s="3"/>
      <c r="V733" s="3"/>
      <c r="W733" s="3"/>
      <c r="X733" s="3"/>
      <c r="Y733" s="3"/>
      <c r="Z733" s="3"/>
      <c r="AA733" s="3"/>
      <c r="AB733" s="3"/>
      <c r="AC733" s="3"/>
      <c r="AD733" s="3"/>
      <c r="AE733" s="3">
        <v>0</v>
      </c>
      <c r="AF733" s="3">
        <v>0</v>
      </c>
      <c r="AG733" s="3"/>
      <c r="AH733" s="40"/>
      <c r="AI733" s="40"/>
      <c r="AJ733" s="40"/>
      <c r="AK733" s="40"/>
      <c r="AL733" s="40"/>
      <c r="AM733" s="40"/>
      <c r="AN733" s="40"/>
      <c r="AO733" s="40"/>
      <c r="AP733" s="40"/>
      <c r="AQ733" s="40"/>
      <c r="AR733" s="31"/>
      <c r="AS733" s="36">
        <v>0</v>
      </c>
      <c r="AY733" s="6"/>
      <c r="AZ733" s="2"/>
      <c r="BA733" s="2"/>
      <c r="BB733" s="2"/>
      <c r="BC733">
        <v>71500</v>
      </c>
      <c r="BD733">
        <v>56992</v>
      </c>
    </row>
    <row r="734" spans="3:56" x14ac:dyDescent="0.25">
      <c r="C734" s="1">
        <v>46354</v>
      </c>
      <c r="D734" s="36">
        <v>247960.808333333</v>
      </c>
      <c r="E734" s="33">
        <v>4.18333333333333</v>
      </c>
      <c r="F734" s="33">
        <v>3.41373944444444</v>
      </c>
      <c r="G734" s="2">
        <v>0.81603333333333306</v>
      </c>
      <c r="H734" s="2">
        <v>0.99</v>
      </c>
      <c r="I734" s="3"/>
      <c r="J734" s="3"/>
      <c r="K734" s="3"/>
      <c r="L734" s="3"/>
      <c r="M734" s="3"/>
      <c r="N734" s="3">
        <v>0</v>
      </c>
      <c r="O734" s="3"/>
      <c r="P734" s="3">
        <v>0</v>
      </c>
      <c r="Q734" s="3">
        <v>0</v>
      </c>
      <c r="R734" s="3">
        <v>0</v>
      </c>
      <c r="S734" s="3">
        <v>0</v>
      </c>
      <c r="T734" s="3">
        <v>0</v>
      </c>
      <c r="U734" s="3"/>
      <c r="V734" s="3"/>
      <c r="W734" s="3"/>
      <c r="X734" s="3"/>
      <c r="Y734" s="3"/>
      <c r="Z734" s="3"/>
      <c r="AA734" s="3"/>
      <c r="AB734" s="3"/>
      <c r="AC734" s="3"/>
      <c r="AD734" s="3"/>
      <c r="AE734" s="3">
        <v>0</v>
      </c>
      <c r="AF734" s="3">
        <v>0</v>
      </c>
      <c r="AG734" s="3"/>
      <c r="AH734" s="40"/>
      <c r="AI734" s="40"/>
      <c r="AJ734" s="40"/>
      <c r="AK734" s="40"/>
      <c r="AL734" s="40"/>
      <c r="AM734" s="40"/>
      <c r="AN734" s="40"/>
      <c r="AO734" s="40"/>
      <c r="AP734" s="40"/>
      <c r="AQ734" s="40"/>
      <c r="AR734" s="31"/>
      <c r="AS734" s="36">
        <v>0</v>
      </c>
      <c r="AY734" s="6"/>
      <c r="AZ734" s="2"/>
      <c r="BA734" s="2"/>
      <c r="BB734" s="2"/>
      <c r="BC734">
        <v>71500</v>
      </c>
      <c r="BD734">
        <v>56992</v>
      </c>
    </row>
    <row r="735" spans="3:56" x14ac:dyDescent="0.25">
      <c r="C735" s="1">
        <v>46355</v>
      </c>
      <c r="D735" s="36">
        <v>247960.808333333</v>
      </c>
      <c r="E735" s="33">
        <v>4.18333333333333</v>
      </c>
      <c r="F735" s="33">
        <v>3.4136929629629602</v>
      </c>
      <c r="G735" s="2">
        <v>0.81602222222222198</v>
      </c>
      <c r="H735" s="2">
        <v>0.99</v>
      </c>
      <c r="I735" s="3"/>
      <c r="J735" s="3"/>
      <c r="K735" s="3"/>
      <c r="L735" s="3"/>
      <c r="M735" s="3"/>
      <c r="N735" s="3">
        <v>0</v>
      </c>
      <c r="O735" s="3"/>
      <c r="P735" s="3">
        <v>0</v>
      </c>
      <c r="Q735" s="3">
        <v>0</v>
      </c>
      <c r="R735" s="3">
        <v>0</v>
      </c>
      <c r="S735" s="3">
        <v>0</v>
      </c>
      <c r="T735" s="3">
        <v>0</v>
      </c>
      <c r="U735" s="3"/>
      <c r="V735" s="3"/>
      <c r="W735" s="3"/>
      <c r="X735" s="3"/>
      <c r="Y735" s="3"/>
      <c r="Z735" s="3"/>
      <c r="AA735" s="3"/>
      <c r="AB735" s="3"/>
      <c r="AC735" s="3"/>
      <c r="AD735" s="3"/>
      <c r="AE735" s="3">
        <v>0</v>
      </c>
      <c r="AF735" s="3">
        <v>0</v>
      </c>
      <c r="AG735" s="3"/>
      <c r="AH735" s="40"/>
      <c r="AI735" s="40"/>
      <c r="AJ735" s="40"/>
      <c r="AK735" s="40"/>
      <c r="AL735" s="40"/>
      <c r="AM735" s="40"/>
      <c r="AN735" s="40"/>
      <c r="AO735" s="40"/>
      <c r="AP735" s="40"/>
      <c r="AQ735" s="40"/>
      <c r="AR735" s="31"/>
      <c r="AS735" s="36">
        <v>0</v>
      </c>
      <c r="AY735" s="6"/>
      <c r="AZ735" s="2"/>
      <c r="BA735" s="2"/>
      <c r="BB735" s="2"/>
      <c r="BC735">
        <v>71500</v>
      </c>
      <c r="BD735">
        <v>56992</v>
      </c>
    </row>
    <row r="736" spans="3:56" x14ac:dyDescent="0.25">
      <c r="C736" s="1">
        <v>46356</v>
      </c>
      <c r="D736" s="36">
        <v>247960.808333333</v>
      </c>
      <c r="E736" s="33">
        <v>4.18333333333333</v>
      </c>
      <c r="F736" s="33">
        <v>3.41364648148148</v>
      </c>
      <c r="G736" s="2">
        <v>0.81601111111111102</v>
      </c>
      <c r="H736" s="2">
        <v>0.99</v>
      </c>
      <c r="I736" s="3"/>
      <c r="J736" s="3"/>
      <c r="K736" s="3"/>
      <c r="L736" s="3"/>
      <c r="M736" s="3"/>
      <c r="N736" s="3">
        <v>0</v>
      </c>
      <c r="O736" s="3"/>
      <c r="P736" s="3">
        <v>0</v>
      </c>
      <c r="Q736" s="3">
        <v>0</v>
      </c>
      <c r="R736" s="3">
        <v>0</v>
      </c>
      <c r="S736" s="3">
        <v>0</v>
      </c>
      <c r="T736" s="3">
        <v>0</v>
      </c>
      <c r="U736" s="3"/>
      <c r="V736" s="3"/>
      <c r="W736" s="3"/>
      <c r="X736" s="3"/>
      <c r="Y736" s="3"/>
      <c r="Z736" s="3"/>
      <c r="AA736" s="3"/>
      <c r="AB736" s="3"/>
      <c r="AC736" s="3"/>
      <c r="AD736" s="3"/>
      <c r="AE736" s="3">
        <v>0</v>
      </c>
      <c r="AF736" s="3">
        <v>0</v>
      </c>
      <c r="AG736" s="3"/>
      <c r="AH736" s="40"/>
      <c r="AI736" s="40"/>
      <c r="AJ736" s="40"/>
      <c r="AK736" s="40"/>
      <c r="AL736" s="40"/>
      <c r="AM736" s="40"/>
      <c r="AN736" s="40"/>
      <c r="AO736" s="40"/>
      <c r="AP736" s="40"/>
      <c r="AQ736" s="40"/>
      <c r="AR736" s="31"/>
      <c r="AS736" s="36">
        <v>0</v>
      </c>
      <c r="AY736" s="6"/>
      <c r="AZ736" s="2"/>
      <c r="BA736" s="2"/>
      <c r="BB736" s="2"/>
      <c r="BC736">
        <v>71500</v>
      </c>
      <c r="BD736">
        <v>56992</v>
      </c>
    </row>
    <row r="737" spans="3:56" x14ac:dyDescent="0.25">
      <c r="C737" s="1">
        <v>46357</v>
      </c>
      <c r="D737" s="36">
        <v>235895.33709677399</v>
      </c>
      <c r="E737" s="33">
        <v>4.1709677419354803</v>
      </c>
      <c r="F737" s="33">
        <v>3.4035096774193501</v>
      </c>
      <c r="G737" s="2">
        <v>0.81599999999999995</v>
      </c>
      <c r="H737" s="2">
        <v>0.99</v>
      </c>
      <c r="I737" s="3"/>
      <c r="J737" s="3"/>
      <c r="K737" s="3"/>
      <c r="L737" s="3"/>
      <c r="M737" s="3"/>
      <c r="N737" s="3">
        <v>0</v>
      </c>
      <c r="O737" s="3"/>
      <c r="P737" s="3">
        <v>0</v>
      </c>
      <c r="Q737" s="3">
        <v>0</v>
      </c>
      <c r="R737" s="3">
        <v>0</v>
      </c>
      <c r="S737" s="3">
        <v>0</v>
      </c>
      <c r="T737" s="3">
        <v>0</v>
      </c>
      <c r="U737" s="3"/>
      <c r="V737" s="3"/>
      <c r="W737" s="3"/>
      <c r="X737" s="3"/>
      <c r="Y737" s="3"/>
      <c r="Z737" s="3"/>
      <c r="AA737" s="3"/>
      <c r="AB737" s="3"/>
      <c r="AC737" s="3"/>
      <c r="AD737" s="3"/>
      <c r="AE737" s="3">
        <v>0</v>
      </c>
      <c r="AF737" s="3">
        <v>0</v>
      </c>
      <c r="AG737" s="3"/>
      <c r="AH737" s="40"/>
      <c r="AI737" s="40"/>
      <c r="AJ737" s="40"/>
      <c r="AK737" s="40"/>
      <c r="AL737" s="40"/>
      <c r="AM737" s="40"/>
      <c r="AN737" s="40"/>
      <c r="AO737" s="40"/>
      <c r="AP737" s="40"/>
      <c r="AQ737" s="40"/>
      <c r="AR737" s="31"/>
      <c r="AS737" s="36">
        <v>0</v>
      </c>
      <c r="AY737" s="6"/>
      <c r="AZ737" s="2"/>
      <c r="BA737" s="2"/>
      <c r="BB737" s="2"/>
      <c r="BC737">
        <v>71500</v>
      </c>
      <c r="BD737">
        <v>56992</v>
      </c>
    </row>
    <row r="738" spans="3:56" x14ac:dyDescent="0.25">
      <c r="C738" s="1">
        <v>46358</v>
      </c>
      <c r="D738" s="36">
        <v>235895.33709677399</v>
      </c>
      <c r="E738" s="33">
        <v>4.1709677419354803</v>
      </c>
      <c r="F738" s="33">
        <v>3.4034633333333302</v>
      </c>
      <c r="G738" s="2">
        <v>0.81598888888888899</v>
      </c>
      <c r="H738" s="2">
        <v>0.99</v>
      </c>
      <c r="I738" s="3"/>
      <c r="J738" s="3"/>
      <c r="K738" s="3"/>
      <c r="L738" s="3"/>
      <c r="M738" s="3"/>
      <c r="N738" s="3">
        <v>0</v>
      </c>
      <c r="O738" s="3"/>
      <c r="P738" s="3">
        <v>0</v>
      </c>
      <c r="Q738" s="3">
        <v>0</v>
      </c>
      <c r="R738" s="3">
        <v>0</v>
      </c>
      <c r="S738" s="3">
        <v>0</v>
      </c>
      <c r="T738" s="3">
        <v>0</v>
      </c>
      <c r="U738" s="3"/>
      <c r="V738" s="3"/>
      <c r="W738" s="3"/>
      <c r="X738" s="3"/>
      <c r="Y738" s="3"/>
      <c r="Z738" s="3"/>
      <c r="AA738" s="3"/>
      <c r="AB738" s="3"/>
      <c r="AC738" s="3"/>
      <c r="AD738" s="3"/>
      <c r="AE738" s="3">
        <v>0</v>
      </c>
      <c r="AF738" s="3">
        <v>0</v>
      </c>
      <c r="AG738" s="3"/>
      <c r="AH738" s="40"/>
      <c r="AI738" s="40"/>
      <c r="AJ738" s="40"/>
      <c r="AK738" s="40"/>
      <c r="AL738" s="40"/>
      <c r="AM738" s="40"/>
      <c r="AN738" s="40"/>
      <c r="AO738" s="40"/>
      <c r="AP738" s="40"/>
      <c r="AQ738" s="40"/>
      <c r="AR738" s="31"/>
      <c r="AS738" s="36">
        <v>0</v>
      </c>
      <c r="AY738" s="6"/>
      <c r="AZ738" s="2"/>
      <c r="BA738" s="2"/>
      <c r="BB738" s="2"/>
      <c r="BC738">
        <v>71500</v>
      </c>
      <c r="BD738">
        <v>56992</v>
      </c>
    </row>
    <row r="739" spans="3:56" x14ac:dyDescent="0.25">
      <c r="C739" s="1">
        <v>46359</v>
      </c>
      <c r="D739" s="36">
        <v>235895.33709677399</v>
      </c>
      <c r="E739" s="33">
        <v>4.1709677419354803</v>
      </c>
      <c r="F739" s="33">
        <v>3.4034169892473098</v>
      </c>
      <c r="G739" s="2">
        <v>0.81597777777777802</v>
      </c>
      <c r="H739" s="2">
        <v>0.99</v>
      </c>
      <c r="I739" s="3"/>
      <c r="J739" s="3"/>
      <c r="K739" s="3"/>
      <c r="L739" s="3"/>
      <c r="M739" s="3"/>
      <c r="N739" s="3">
        <v>0</v>
      </c>
      <c r="O739" s="3"/>
      <c r="P739" s="3">
        <v>0</v>
      </c>
      <c r="Q739" s="3">
        <v>0</v>
      </c>
      <c r="R739" s="3">
        <v>0</v>
      </c>
      <c r="S739" s="3">
        <v>0</v>
      </c>
      <c r="T739" s="3">
        <v>0</v>
      </c>
      <c r="U739" s="3"/>
      <c r="V739" s="3"/>
      <c r="W739" s="3"/>
      <c r="X739" s="3"/>
      <c r="Y739" s="3"/>
      <c r="Z739" s="3"/>
      <c r="AA739" s="3"/>
      <c r="AB739" s="3"/>
      <c r="AC739" s="3"/>
      <c r="AD739" s="3"/>
      <c r="AE739" s="3">
        <v>0</v>
      </c>
      <c r="AF739" s="3">
        <v>0</v>
      </c>
      <c r="AG739" s="3"/>
      <c r="AH739" s="40"/>
      <c r="AI739" s="40"/>
      <c r="AJ739" s="40"/>
      <c r="AK739" s="40"/>
      <c r="AL739" s="40"/>
      <c r="AM739" s="40"/>
      <c r="AN739" s="40"/>
      <c r="AO739" s="40"/>
      <c r="AP739" s="40"/>
      <c r="AQ739" s="40"/>
      <c r="AR739" s="31"/>
      <c r="AS739" s="36">
        <v>0</v>
      </c>
      <c r="AY739" s="6"/>
      <c r="AZ739" s="2"/>
      <c r="BA739" s="2"/>
      <c r="BB739" s="2"/>
      <c r="BC739">
        <v>71500</v>
      </c>
      <c r="BD739">
        <v>56992</v>
      </c>
    </row>
    <row r="740" spans="3:56" x14ac:dyDescent="0.25">
      <c r="C740" s="1">
        <v>46360</v>
      </c>
      <c r="D740" s="36">
        <v>235895.33709677399</v>
      </c>
      <c r="E740" s="33">
        <v>4.1709677419354803</v>
      </c>
      <c r="F740" s="33">
        <v>3.40337064516129</v>
      </c>
      <c r="G740" s="2">
        <v>0.81596666666666695</v>
      </c>
      <c r="H740" s="2">
        <v>0.99</v>
      </c>
      <c r="I740" s="3"/>
      <c r="J740" s="3"/>
      <c r="K740" s="3"/>
      <c r="L740" s="3"/>
      <c r="M740" s="3"/>
      <c r="N740" s="3">
        <v>0</v>
      </c>
      <c r="O740" s="3"/>
      <c r="P740" s="3">
        <v>0</v>
      </c>
      <c r="Q740" s="3">
        <v>0</v>
      </c>
      <c r="R740" s="3">
        <v>0</v>
      </c>
      <c r="S740" s="3">
        <v>0</v>
      </c>
      <c r="T740" s="3">
        <v>0</v>
      </c>
      <c r="U740" s="3"/>
      <c r="V740" s="3"/>
      <c r="W740" s="3"/>
      <c r="X740" s="3"/>
      <c r="Y740" s="3"/>
      <c r="Z740" s="3"/>
      <c r="AA740" s="3"/>
      <c r="AB740" s="3"/>
      <c r="AC740" s="3"/>
      <c r="AD740" s="3"/>
      <c r="AE740" s="3">
        <v>0</v>
      </c>
      <c r="AF740" s="3">
        <v>0</v>
      </c>
      <c r="AG740" s="3"/>
      <c r="AH740" s="40"/>
      <c r="AI740" s="40"/>
      <c r="AJ740" s="40"/>
      <c r="AK740" s="40"/>
      <c r="AL740" s="40"/>
      <c r="AM740" s="40"/>
      <c r="AN740" s="40"/>
      <c r="AO740" s="40"/>
      <c r="AP740" s="40"/>
      <c r="AQ740" s="40"/>
      <c r="AR740" s="31"/>
      <c r="AS740" s="36">
        <v>0</v>
      </c>
      <c r="AY740" s="6"/>
      <c r="AZ740" s="2"/>
      <c r="BA740" s="2"/>
      <c r="BB740" s="2"/>
      <c r="BC740">
        <v>71500</v>
      </c>
      <c r="BD740">
        <v>56992</v>
      </c>
    </row>
    <row r="741" spans="3:56" x14ac:dyDescent="0.25">
      <c r="C741" s="1">
        <v>46361</v>
      </c>
      <c r="D741" s="36">
        <v>235895.33709677399</v>
      </c>
      <c r="E741" s="33">
        <v>4.1709677419354803</v>
      </c>
      <c r="F741" s="33">
        <v>3.4033243010752701</v>
      </c>
      <c r="G741" s="2">
        <v>0.81595555555555599</v>
      </c>
      <c r="H741" s="2">
        <v>0.99</v>
      </c>
      <c r="I741" s="3"/>
      <c r="J741" s="3"/>
      <c r="K741" s="3"/>
      <c r="L741" s="3"/>
      <c r="M741" s="3"/>
      <c r="N741" s="3">
        <v>0</v>
      </c>
      <c r="O741" s="3"/>
      <c r="P741" s="3">
        <v>0</v>
      </c>
      <c r="Q741" s="3">
        <v>0</v>
      </c>
      <c r="R741" s="3">
        <v>0</v>
      </c>
      <c r="S741" s="3">
        <v>0</v>
      </c>
      <c r="T741" s="3">
        <v>0</v>
      </c>
      <c r="U741" s="3"/>
      <c r="V741" s="3"/>
      <c r="W741" s="3"/>
      <c r="X741" s="3"/>
      <c r="Y741" s="3"/>
      <c r="Z741" s="3"/>
      <c r="AA741" s="3"/>
      <c r="AB741" s="3"/>
      <c r="AC741" s="3"/>
      <c r="AD741" s="3"/>
      <c r="AE741" s="3">
        <v>0</v>
      </c>
      <c r="AF741" s="3">
        <v>0</v>
      </c>
      <c r="AG741" s="3"/>
      <c r="AH741" s="40"/>
      <c r="AI741" s="40"/>
      <c r="AJ741" s="40"/>
      <c r="AK741" s="40"/>
      <c r="AL741" s="40"/>
      <c r="AM741" s="40"/>
      <c r="AN741" s="40"/>
      <c r="AO741" s="40"/>
      <c r="AP741" s="40"/>
      <c r="AQ741" s="40"/>
      <c r="AR741" s="31"/>
      <c r="AS741" s="36">
        <v>0</v>
      </c>
      <c r="AY741" s="6"/>
      <c r="AZ741" s="2"/>
      <c r="BA741" s="2"/>
      <c r="BB741" s="2"/>
      <c r="BC741">
        <v>71500</v>
      </c>
      <c r="BD741">
        <v>56992</v>
      </c>
    </row>
    <row r="742" spans="3:56" x14ac:dyDescent="0.25">
      <c r="C742" s="1">
        <v>46362</v>
      </c>
      <c r="D742" s="36">
        <v>235895.33709677399</v>
      </c>
      <c r="E742" s="33">
        <v>4.1709677419354803</v>
      </c>
      <c r="F742" s="33">
        <v>3.4032779569892502</v>
      </c>
      <c r="G742" s="2">
        <v>0.81594444444444403</v>
      </c>
      <c r="H742" s="2">
        <v>0.99</v>
      </c>
      <c r="I742" s="3"/>
      <c r="J742" s="3"/>
      <c r="K742" s="3"/>
      <c r="L742" s="3"/>
      <c r="M742" s="3"/>
      <c r="N742" s="3">
        <v>0</v>
      </c>
      <c r="O742" s="3"/>
      <c r="P742" s="3">
        <v>0</v>
      </c>
      <c r="Q742" s="3">
        <v>0</v>
      </c>
      <c r="R742" s="3">
        <v>0</v>
      </c>
      <c r="S742" s="3">
        <v>0</v>
      </c>
      <c r="T742" s="3">
        <v>0</v>
      </c>
      <c r="U742" s="3"/>
      <c r="V742" s="3"/>
      <c r="W742" s="3"/>
      <c r="X742" s="3"/>
      <c r="Y742" s="3"/>
      <c r="Z742" s="3"/>
      <c r="AA742" s="3"/>
      <c r="AB742" s="3"/>
      <c r="AC742" s="3"/>
      <c r="AD742" s="3"/>
      <c r="AE742" s="3">
        <v>0</v>
      </c>
      <c r="AF742" s="3">
        <v>0</v>
      </c>
      <c r="AG742" s="3"/>
      <c r="AH742" s="40"/>
      <c r="AI742" s="40"/>
      <c r="AJ742" s="40"/>
      <c r="AK742" s="40"/>
      <c r="AL742" s="40"/>
      <c r="AM742" s="40"/>
      <c r="AN742" s="40"/>
      <c r="AO742" s="40"/>
      <c r="AP742" s="40"/>
      <c r="AQ742" s="40"/>
      <c r="AR742" s="31"/>
      <c r="AS742" s="36">
        <v>0</v>
      </c>
      <c r="AY742" s="6"/>
      <c r="AZ742" s="2"/>
      <c r="BA742" s="2"/>
      <c r="BB742" s="2"/>
      <c r="BC742">
        <v>71500</v>
      </c>
      <c r="BD742">
        <v>56992</v>
      </c>
    </row>
    <row r="743" spans="3:56" x14ac:dyDescent="0.25">
      <c r="C743" s="1">
        <v>46363</v>
      </c>
      <c r="D743" s="36">
        <v>235895.33709677399</v>
      </c>
      <c r="E743" s="33">
        <v>4.1709677419354803</v>
      </c>
      <c r="F743" s="33">
        <v>3.4032316129032298</v>
      </c>
      <c r="G743" s="2">
        <v>0.81593333333333296</v>
      </c>
      <c r="H743" s="2">
        <v>0.99</v>
      </c>
      <c r="I743" s="3"/>
      <c r="J743" s="3"/>
      <c r="K743" s="3"/>
      <c r="L743" s="3"/>
      <c r="M743" s="3"/>
      <c r="N743" s="3">
        <v>0</v>
      </c>
      <c r="O743" s="3"/>
      <c r="P743" s="3">
        <v>0</v>
      </c>
      <c r="Q743" s="3">
        <v>0</v>
      </c>
      <c r="R743" s="3">
        <v>0</v>
      </c>
      <c r="S743" s="3">
        <v>0</v>
      </c>
      <c r="T743" s="3">
        <v>0</v>
      </c>
      <c r="U743" s="3"/>
      <c r="V743" s="3"/>
      <c r="W743" s="3"/>
      <c r="X743" s="3"/>
      <c r="Y743" s="3"/>
      <c r="Z743" s="3"/>
      <c r="AA743" s="3"/>
      <c r="AB743" s="3"/>
      <c r="AC743" s="3"/>
      <c r="AD743" s="3"/>
      <c r="AE743" s="3">
        <v>0</v>
      </c>
      <c r="AF743" s="3">
        <v>0</v>
      </c>
      <c r="AG743" s="3"/>
      <c r="AH743" s="40"/>
      <c r="AI743" s="40"/>
      <c r="AJ743" s="40"/>
      <c r="AK743" s="40"/>
      <c r="AL743" s="40"/>
      <c r="AM743" s="40"/>
      <c r="AN743" s="40"/>
      <c r="AO743" s="40"/>
      <c r="AP743" s="40"/>
      <c r="AQ743" s="40"/>
      <c r="AR743" s="31"/>
      <c r="AS743" s="36">
        <v>0</v>
      </c>
      <c r="AY743" s="6"/>
      <c r="AZ743" s="2"/>
      <c r="BA743" s="2"/>
      <c r="BB743" s="2"/>
      <c r="BC743">
        <v>71500</v>
      </c>
      <c r="BD743">
        <v>56992</v>
      </c>
    </row>
    <row r="744" spans="3:56" x14ac:dyDescent="0.25">
      <c r="C744" s="1">
        <v>46364</v>
      </c>
      <c r="D744" s="36">
        <v>235895.33709677399</v>
      </c>
      <c r="E744" s="33">
        <v>4.1709677419354803</v>
      </c>
      <c r="F744" s="33">
        <v>3.4031852688172002</v>
      </c>
      <c r="G744" s="2">
        <v>0.81592222222222199</v>
      </c>
      <c r="H744" s="2">
        <v>0.99</v>
      </c>
      <c r="I744" s="3"/>
      <c r="J744" s="3"/>
      <c r="K744" s="3"/>
      <c r="L744" s="3"/>
      <c r="M744" s="3"/>
      <c r="N744" s="3">
        <v>0</v>
      </c>
      <c r="O744" s="3"/>
      <c r="P744" s="3">
        <v>0</v>
      </c>
      <c r="Q744" s="3">
        <v>0</v>
      </c>
      <c r="R744" s="3">
        <v>0</v>
      </c>
      <c r="S744" s="3">
        <v>0</v>
      </c>
      <c r="T744" s="3">
        <v>0</v>
      </c>
      <c r="U744" s="3"/>
      <c r="V744" s="3"/>
      <c r="W744" s="3"/>
      <c r="X744" s="3"/>
      <c r="Y744" s="3"/>
      <c r="Z744" s="3"/>
      <c r="AA744" s="3"/>
      <c r="AB744" s="3"/>
      <c r="AC744" s="3"/>
      <c r="AD744" s="3"/>
      <c r="AE744" s="3">
        <v>0</v>
      </c>
      <c r="AF744" s="3">
        <v>0</v>
      </c>
      <c r="AG744" s="3"/>
      <c r="AH744" s="40"/>
      <c r="AI744" s="40"/>
      <c r="AJ744" s="40"/>
      <c r="AK744" s="40"/>
      <c r="AL744" s="40"/>
      <c r="AM744" s="40"/>
      <c r="AN744" s="40"/>
      <c r="AO744" s="40"/>
      <c r="AP744" s="40"/>
      <c r="AQ744" s="40"/>
      <c r="AR744" s="31"/>
      <c r="AS744" s="36">
        <v>0</v>
      </c>
      <c r="AY744" s="6"/>
      <c r="AZ744" s="2"/>
      <c r="BA744" s="2"/>
      <c r="BB744" s="2"/>
      <c r="BC744">
        <v>71500</v>
      </c>
      <c r="BD744">
        <v>56992</v>
      </c>
    </row>
    <row r="745" spans="3:56" x14ac:dyDescent="0.25">
      <c r="C745" s="1">
        <v>46365</v>
      </c>
      <c r="D745" s="36">
        <v>235895.33709677399</v>
      </c>
      <c r="E745" s="33">
        <v>4.1709677419354803</v>
      </c>
      <c r="F745" s="33">
        <v>3.4031389247311798</v>
      </c>
      <c r="G745" s="2">
        <v>0.81591111111111103</v>
      </c>
      <c r="H745" s="2">
        <v>0.99</v>
      </c>
      <c r="I745" s="3"/>
      <c r="J745" s="3"/>
      <c r="K745" s="3"/>
      <c r="L745" s="3"/>
      <c r="M745" s="3"/>
      <c r="N745" s="3">
        <v>0</v>
      </c>
      <c r="O745" s="3"/>
      <c r="P745" s="3">
        <v>0</v>
      </c>
      <c r="Q745" s="3">
        <v>0</v>
      </c>
      <c r="R745" s="3">
        <v>0</v>
      </c>
      <c r="S745" s="3">
        <v>0</v>
      </c>
      <c r="T745" s="3">
        <v>0</v>
      </c>
      <c r="U745" s="3"/>
      <c r="V745" s="3"/>
      <c r="W745" s="3"/>
      <c r="X745" s="3"/>
      <c r="Y745" s="3"/>
      <c r="Z745" s="3"/>
      <c r="AA745" s="3"/>
      <c r="AB745" s="3"/>
      <c r="AC745" s="3"/>
      <c r="AD745" s="3"/>
      <c r="AE745" s="3">
        <v>0</v>
      </c>
      <c r="AF745" s="3">
        <v>0</v>
      </c>
      <c r="AG745" s="3"/>
      <c r="AH745" s="40"/>
      <c r="AI745" s="40"/>
      <c r="AJ745" s="40"/>
      <c r="AK745" s="40"/>
      <c r="AL745" s="40"/>
      <c r="AM745" s="40"/>
      <c r="AN745" s="40"/>
      <c r="AO745" s="40"/>
      <c r="AP745" s="40"/>
      <c r="AQ745" s="40"/>
      <c r="AR745" s="31"/>
      <c r="AS745" s="36">
        <v>0</v>
      </c>
      <c r="AY745" s="6"/>
      <c r="AZ745" s="2"/>
      <c r="BA745" s="2"/>
      <c r="BB745" s="2"/>
      <c r="BC745">
        <v>71500</v>
      </c>
      <c r="BD745">
        <v>56992</v>
      </c>
    </row>
    <row r="746" spans="3:56" x14ac:dyDescent="0.25">
      <c r="C746" s="1">
        <v>46366</v>
      </c>
      <c r="D746" s="36">
        <v>235895.33709677399</v>
      </c>
      <c r="E746" s="33">
        <v>4.1709677419354803</v>
      </c>
      <c r="F746" s="33">
        <v>3.40309258064516</v>
      </c>
      <c r="G746" s="2">
        <v>0.81589999999999996</v>
      </c>
      <c r="H746" s="2">
        <v>0.99</v>
      </c>
      <c r="I746" s="3"/>
      <c r="J746" s="3"/>
      <c r="K746" s="3"/>
      <c r="L746" s="3"/>
      <c r="M746" s="3"/>
      <c r="N746" s="3">
        <v>0</v>
      </c>
      <c r="O746" s="3"/>
      <c r="P746" s="3">
        <v>0</v>
      </c>
      <c r="Q746" s="3">
        <v>0</v>
      </c>
      <c r="R746" s="3">
        <v>0</v>
      </c>
      <c r="S746" s="3">
        <v>0</v>
      </c>
      <c r="T746" s="3">
        <v>0</v>
      </c>
      <c r="U746" s="3"/>
      <c r="V746" s="3"/>
      <c r="W746" s="3"/>
      <c r="X746" s="3"/>
      <c r="Y746" s="3"/>
      <c r="Z746" s="3"/>
      <c r="AA746" s="3"/>
      <c r="AB746" s="3"/>
      <c r="AC746" s="3"/>
      <c r="AD746" s="3"/>
      <c r="AE746" s="3">
        <v>0</v>
      </c>
      <c r="AF746" s="3">
        <v>0</v>
      </c>
      <c r="AG746" s="3"/>
      <c r="AH746" s="40"/>
      <c r="AI746" s="40"/>
      <c r="AJ746" s="40"/>
      <c r="AK746" s="40"/>
      <c r="AL746" s="40"/>
      <c r="AM746" s="40"/>
      <c r="AN746" s="40"/>
      <c r="AO746" s="40"/>
      <c r="AP746" s="40"/>
      <c r="AQ746" s="40"/>
      <c r="AR746" s="31"/>
      <c r="AS746" s="36">
        <v>0</v>
      </c>
      <c r="AY746" s="6"/>
      <c r="AZ746" s="2"/>
      <c r="BA746" s="2"/>
      <c r="BB746" s="2"/>
      <c r="BC746">
        <v>71500</v>
      </c>
      <c r="BD746">
        <v>56992</v>
      </c>
    </row>
    <row r="747" spans="3:56" x14ac:dyDescent="0.25">
      <c r="C747" s="1">
        <v>46367</v>
      </c>
      <c r="D747" s="36">
        <v>235895.33709677399</v>
      </c>
      <c r="E747" s="33">
        <v>4.1709677419354803</v>
      </c>
      <c r="F747" s="33">
        <v>3.4030462365591401</v>
      </c>
      <c r="G747" s="2">
        <v>0.815888888888889</v>
      </c>
      <c r="H747" s="2">
        <v>0.99</v>
      </c>
      <c r="I747" s="3"/>
      <c r="J747" s="3"/>
      <c r="K747" s="3"/>
      <c r="L747" s="3"/>
      <c r="M747" s="3"/>
      <c r="N747" s="3">
        <v>0</v>
      </c>
      <c r="O747" s="3"/>
      <c r="P747" s="3">
        <v>0</v>
      </c>
      <c r="Q747" s="3">
        <v>0</v>
      </c>
      <c r="R747" s="3">
        <v>0</v>
      </c>
      <c r="S747" s="3">
        <v>0</v>
      </c>
      <c r="T747" s="3">
        <v>0</v>
      </c>
      <c r="U747" s="3"/>
      <c r="V747" s="3"/>
      <c r="W747" s="3"/>
      <c r="X747" s="3"/>
      <c r="Y747" s="3"/>
      <c r="Z747" s="3"/>
      <c r="AA747" s="3"/>
      <c r="AB747" s="3"/>
      <c r="AC747" s="3"/>
      <c r="AD747" s="3"/>
      <c r="AE747" s="3">
        <v>0</v>
      </c>
      <c r="AF747" s="3">
        <v>0</v>
      </c>
      <c r="AG747" s="3"/>
      <c r="AH747" s="40"/>
      <c r="AI747" s="40"/>
      <c r="AJ747" s="40"/>
      <c r="AK747" s="40"/>
      <c r="AL747" s="40"/>
      <c r="AM747" s="40"/>
      <c r="AN747" s="40"/>
      <c r="AO747" s="40"/>
      <c r="AP747" s="40"/>
      <c r="AQ747" s="40"/>
      <c r="AR747" s="31"/>
      <c r="AS747" s="36">
        <v>0</v>
      </c>
      <c r="AY747" s="6"/>
      <c r="AZ747" s="2"/>
      <c r="BA747" s="2"/>
      <c r="BB747" s="2"/>
      <c r="BC747">
        <v>71500</v>
      </c>
      <c r="BD747">
        <v>56992</v>
      </c>
    </row>
    <row r="748" spans="3:56" x14ac:dyDescent="0.25">
      <c r="C748" s="1">
        <v>46368</v>
      </c>
      <c r="D748" s="36">
        <v>235895.33709677399</v>
      </c>
      <c r="E748" s="33">
        <v>4.1709677419354803</v>
      </c>
      <c r="F748" s="33">
        <v>3.4029998924731202</v>
      </c>
      <c r="G748" s="2">
        <v>0.81587777777777803</v>
      </c>
      <c r="H748" s="2">
        <v>0.99</v>
      </c>
      <c r="I748" s="3"/>
      <c r="J748" s="3"/>
      <c r="K748" s="3"/>
      <c r="L748" s="3"/>
      <c r="M748" s="3"/>
      <c r="N748" s="3">
        <v>0</v>
      </c>
      <c r="O748" s="3"/>
      <c r="P748" s="3">
        <v>0</v>
      </c>
      <c r="Q748" s="3">
        <v>0</v>
      </c>
      <c r="R748" s="3">
        <v>0</v>
      </c>
      <c r="S748" s="3">
        <v>0</v>
      </c>
      <c r="T748" s="3">
        <v>0</v>
      </c>
      <c r="U748" s="3"/>
      <c r="V748" s="3"/>
      <c r="W748" s="3"/>
      <c r="X748" s="3"/>
      <c r="Y748" s="3"/>
      <c r="Z748" s="3"/>
      <c r="AA748" s="3"/>
      <c r="AB748" s="3"/>
      <c r="AC748" s="3"/>
      <c r="AD748" s="3"/>
      <c r="AE748" s="3">
        <v>0</v>
      </c>
      <c r="AF748" s="3">
        <v>0</v>
      </c>
      <c r="AG748" s="3"/>
      <c r="AH748" s="40"/>
      <c r="AI748" s="40"/>
      <c r="AJ748" s="40"/>
      <c r="AK748" s="40"/>
      <c r="AL748" s="40"/>
      <c r="AM748" s="40"/>
      <c r="AN748" s="40"/>
      <c r="AO748" s="40"/>
      <c r="AP748" s="40"/>
      <c r="AQ748" s="40"/>
      <c r="AR748" s="31"/>
      <c r="AS748" s="36">
        <v>0</v>
      </c>
      <c r="AY748" s="6"/>
      <c r="AZ748" s="2"/>
      <c r="BA748" s="2"/>
      <c r="BB748" s="2"/>
      <c r="BC748">
        <v>71500</v>
      </c>
      <c r="BD748">
        <v>56992</v>
      </c>
    </row>
    <row r="749" spans="3:56" x14ac:dyDescent="0.25">
      <c r="C749" s="1">
        <v>46369</v>
      </c>
      <c r="D749" s="36">
        <v>235895.33709677399</v>
      </c>
      <c r="E749" s="33">
        <v>4.1709677419354803</v>
      </c>
      <c r="F749" s="33">
        <v>3.4029535483870998</v>
      </c>
      <c r="G749" s="2">
        <v>0.81586666666666696</v>
      </c>
      <c r="H749" s="2">
        <v>0.99</v>
      </c>
      <c r="I749" s="3"/>
      <c r="J749" s="3"/>
      <c r="K749" s="3"/>
      <c r="L749" s="3"/>
      <c r="M749" s="3"/>
      <c r="N749" s="3">
        <v>0</v>
      </c>
      <c r="O749" s="3"/>
      <c r="P749" s="3">
        <v>0</v>
      </c>
      <c r="Q749" s="3">
        <v>0</v>
      </c>
      <c r="R749" s="3">
        <v>0</v>
      </c>
      <c r="S749" s="3">
        <v>0</v>
      </c>
      <c r="T749" s="3">
        <v>0</v>
      </c>
      <c r="U749" s="3"/>
      <c r="V749" s="3"/>
      <c r="W749" s="3"/>
      <c r="X749" s="3"/>
      <c r="Y749" s="3"/>
      <c r="Z749" s="3"/>
      <c r="AA749" s="3"/>
      <c r="AB749" s="3"/>
      <c r="AC749" s="3"/>
      <c r="AD749" s="3"/>
      <c r="AE749" s="3">
        <v>0</v>
      </c>
      <c r="AF749" s="3">
        <v>0</v>
      </c>
      <c r="AG749" s="3"/>
      <c r="AH749" s="40"/>
      <c r="AI749" s="40"/>
      <c r="AJ749" s="40"/>
      <c r="AK749" s="40"/>
      <c r="AL749" s="40"/>
      <c r="AM749" s="40"/>
      <c r="AN749" s="40"/>
      <c r="AO749" s="40"/>
      <c r="AP749" s="40"/>
      <c r="AQ749" s="40"/>
      <c r="AR749" s="31"/>
      <c r="AS749" s="36">
        <v>0</v>
      </c>
      <c r="AY749" s="6"/>
      <c r="AZ749" s="2"/>
      <c r="BA749" s="2"/>
      <c r="BB749" s="2"/>
      <c r="BC749">
        <v>71500</v>
      </c>
      <c r="BD749">
        <v>56992</v>
      </c>
    </row>
    <row r="750" spans="3:56" x14ac:dyDescent="0.25">
      <c r="C750" s="1">
        <v>46370</v>
      </c>
      <c r="D750" s="36">
        <v>235895.33709677399</v>
      </c>
      <c r="E750" s="33">
        <v>4.1709677419354803</v>
      </c>
      <c r="F750" s="33">
        <v>3.40290720430108</v>
      </c>
      <c r="G750" s="2">
        <v>0.815855555555556</v>
      </c>
      <c r="H750" s="2">
        <v>0.99</v>
      </c>
      <c r="I750" s="3"/>
      <c r="J750" s="3"/>
      <c r="K750" s="3"/>
      <c r="L750" s="3"/>
      <c r="M750" s="3"/>
      <c r="N750" s="3">
        <v>0</v>
      </c>
      <c r="O750" s="3"/>
      <c r="P750" s="3">
        <v>0</v>
      </c>
      <c r="Q750" s="3">
        <v>0</v>
      </c>
      <c r="R750" s="3">
        <v>0</v>
      </c>
      <c r="S750" s="3">
        <v>0</v>
      </c>
      <c r="T750" s="3">
        <v>0</v>
      </c>
      <c r="U750" s="3"/>
      <c r="V750" s="3"/>
      <c r="W750" s="3"/>
      <c r="X750" s="3"/>
      <c r="Y750" s="3"/>
      <c r="Z750" s="3"/>
      <c r="AA750" s="3"/>
      <c r="AB750" s="3"/>
      <c r="AC750" s="3"/>
      <c r="AD750" s="3"/>
      <c r="AE750" s="3">
        <v>0</v>
      </c>
      <c r="AF750" s="3">
        <v>0</v>
      </c>
      <c r="AG750" s="3"/>
      <c r="AH750" s="40"/>
      <c r="AI750" s="40"/>
      <c r="AJ750" s="40"/>
      <c r="AK750" s="40"/>
      <c r="AL750" s="40"/>
      <c r="AM750" s="40"/>
      <c r="AN750" s="40"/>
      <c r="AO750" s="40"/>
      <c r="AP750" s="40"/>
      <c r="AQ750" s="40"/>
      <c r="AR750" s="31"/>
      <c r="AS750" s="36">
        <v>0</v>
      </c>
      <c r="AY750" s="6"/>
      <c r="AZ750" s="2"/>
      <c r="BA750" s="2"/>
      <c r="BB750" s="2"/>
      <c r="BC750">
        <v>71500</v>
      </c>
      <c r="BD750">
        <v>56992</v>
      </c>
    </row>
    <row r="751" spans="3:56" x14ac:dyDescent="0.25">
      <c r="C751" s="1">
        <v>46371</v>
      </c>
      <c r="D751" s="36">
        <v>235895.33709677399</v>
      </c>
      <c r="E751" s="33">
        <v>4.1709677419354803</v>
      </c>
      <c r="F751" s="33">
        <v>3.4028608602150499</v>
      </c>
      <c r="G751" s="2">
        <v>0.81584444444444404</v>
      </c>
      <c r="H751" s="2">
        <v>0.99</v>
      </c>
      <c r="I751" s="3"/>
      <c r="J751" s="3"/>
      <c r="K751" s="3"/>
      <c r="L751" s="3"/>
      <c r="M751" s="3"/>
      <c r="N751" s="3">
        <v>0</v>
      </c>
      <c r="O751" s="3"/>
      <c r="P751" s="3">
        <v>0</v>
      </c>
      <c r="Q751" s="3">
        <v>0</v>
      </c>
      <c r="R751" s="3">
        <v>0</v>
      </c>
      <c r="S751" s="3">
        <v>0</v>
      </c>
      <c r="T751" s="3">
        <v>0</v>
      </c>
      <c r="U751" s="3"/>
      <c r="V751" s="3"/>
      <c r="W751" s="3"/>
      <c r="X751" s="3"/>
      <c r="Y751" s="3"/>
      <c r="Z751" s="3"/>
      <c r="AA751" s="3"/>
      <c r="AB751" s="3"/>
      <c r="AC751" s="3"/>
      <c r="AD751" s="3"/>
      <c r="AE751" s="3">
        <v>0</v>
      </c>
      <c r="AF751" s="3">
        <v>0</v>
      </c>
      <c r="AG751" s="3"/>
      <c r="AH751" s="40"/>
      <c r="AI751" s="40"/>
      <c r="AJ751" s="40"/>
      <c r="AK751" s="40"/>
      <c r="AL751" s="40"/>
      <c r="AM751" s="40"/>
      <c r="AN751" s="40"/>
      <c r="AO751" s="40"/>
      <c r="AP751" s="40"/>
      <c r="AQ751" s="40"/>
      <c r="AR751" s="31"/>
      <c r="AS751" s="36">
        <v>0</v>
      </c>
      <c r="AY751" s="6"/>
      <c r="AZ751" s="2"/>
      <c r="BA751" s="2"/>
      <c r="BB751" s="2"/>
      <c r="BC751">
        <v>71500</v>
      </c>
      <c r="BD751">
        <v>56992</v>
      </c>
    </row>
    <row r="752" spans="3:56" x14ac:dyDescent="0.25">
      <c r="C752" s="1">
        <v>46372</v>
      </c>
      <c r="D752" s="36">
        <v>235895.33709677399</v>
      </c>
      <c r="E752" s="33">
        <v>4.1709677419354803</v>
      </c>
      <c r="F752" s="33">
        <v>3.40281451612903</v>
      </c>
      <c r="G752" s="2">
        <v>0.81583333333333297</v>
      </c>
      <c r="H752" s="2">
        <v>0.99</v>
      </c>
      <c r="I752" s="3"/>
      <c r="J752" s="3"/>
      <c r="K752" s="3"/>
      <c r="L752" s="3"/>
      <c r="M752" s="3"/>
      <c r="N752" s="3">
        <v>0</v>
      </c>
      <c r="O752" s="3"/>
      <c r="P752" s="3">
        <v>0</v>
      </c>
      <c r="Q752" s="3">
        <v>0</v>
      </c>
      <c r="R752" s="3">
        <v>0</v>
      </c>
      <c r="S752" s="3">
        <v>0</v>
      </c>
      <c r="T752" s="3">
        <v>0</v>
      </c>
      <c r="U752" s="3"/>
      <c r="V752" s="3"/>
      <c r="W752" s="3"/>
      <c r="X752" s="3"/>
      <c r="Y752" s="3"/>
      <c r="Z752" s="3"/>
      <c r="AA752" s="3"/>
      <c r="AB752" s="3"/>
      <c r="AC752" s="3"/>
      <c r="AD752" s="3"/>
      <c r="AE752" s="3">
        <v>0</v>
      </c>
      <c r="AF752" s="3">
        <v>0</v>
      </c>
      <c r="AG752" s="3"/>
      <c r="AH752" s="40"/>
      <c r="AI752" s="40"/>
      <c r="AJ752" s="40"/>
      <c r="AK752" s="40"/>
      <c r="AL752" s="40"/>
      <c r="AM752" s="40"/>
      <c r="AN752" s="40"/>
      <c r="AO752" s="40"/>
      <c r="AP752" s="40"/>
      <c r="AQ752" s="40"/>
      <c r="AR752" s="31"/>
      <c r="AS752" s="36">
        <v>0</v>
      </c>
      <c r="AY752" s="6"/>
      <c r="AZ752" s="2"/>
      <c r="BA752" s="2"/>
      <c r="BB752" s="2"/>
      <c r="BC752">
        <v>71500</v>
      </c>
      <c r="BD752">
        <v>56992</v>
      </c>
    </row>
    <row r="753" spans="3:56" x14ac:dyDescent="0.25">
      <c r="C753" s="1">
        <v>46373</v>
      </c>
      <c r="D753" s="36">
        <v>235895.33709677399</v>
      </c>
      <c r="E753" s="33">
        <v>4.1709677419354803</v>
      </c>
      <c r="F753" s="33">
        <v>3.4027681720430101</v>
      </c>
      <c r="G753" s="2">
        <v>0.815822222222222</v>
      </c>
      <c r="H753" s="2">
        <v>0.99</v>
      </c>
      <c r="I753" s="3"/>
      <c r="J753" s="3"/>
      <c r="K753" s="3"/>
      <c r="L753" s="3"/>
      <c r="M753" s="3"/>
      <c r="N753" s="3">
        <v>0</v>
      </c>
      <c r="O753" s="3"/>
      <c r="P753" s="3">
        <v>0</v>
      </c>
      <c r="Q753" s="3">
        <v>0</v>
      </c>
      <c r="R753" s="3">
        <v>0</v>
      </c>
      <c r="S753" s="3">
        <v>0</v>
      </c>
      <c r="T753" s="3">
        <v>0</v>
      </c>
      <c r="U753" s="3"/>
      <c r="V753" s="3"/>
      <c r="W753" s="3"/>
      <c r="X753" s="3"/>
      <c r="Y753" s="3"/>
      <c r="Z753" s="3"/>
      <c r="AA753" s="3"/>
      <c r="AB753" s="3"/>
      <c r="AC753" s="3"/>
      <c r="AD753" s="3"/>
      <c r="AE753" s="3">
        <v>0</v>
      </c>
      <c r="AF753" s="3">
        <v>0</v>
      </c>
      <c r="AG753" s="3"/>
      <c r="AH753" s="40"/>
      <c r="AI753" s="40"/>
      <c r="AJ753" s="40"/>
      <c r="AK753" s="40"/>
      <c r="AL753" s="40"/>
      <c r="AM753" s="40"/>
      <c r="AN753" s="40"/>
      <c r="AO753" s="40"/>
      <c r="AP753" s="40"/>
      <c r="AQ753" s="40"/>
      <c r="AR753" s="31"/>
      <c r="AS753" s="36">
        <v>0</v>
      </c>
      <c r="AY753" s="6"/>
      <c r="AZ753" s="2"/>
      <c r="BA753" s="2"/>
      <c r="BB753" s="2"/>
      <c r="BC753">
        <v>71500</v>
      </c>
      <c r="BD753">
        <v>56992</v>
      </c>
    </row>
    <row r="754" spans="3:56" x14ac:dyDescent="0.25">
      <c r="C754" s="1">
        <v>46374</v>
      </c>
      <c r="D754" s="36">
        <v>235895.33709677399</v>
      </c>
      <c r="E754" s="33">
        <v>4.1709677419354803</v>
      </c>
      <c r="F754" s="33">
        <v>3.4027218279569902</v>
      </c>
      <c r="G754" s="2">
        <v>0.81581111111111104</v>
      </c>
      <c r="H754" s="2">
        <v>0.99</v>
      </c>
      <c r="I754" s="3"/>
      <c r="J754" s="3"/>
      <c r="K754" s="3"/>
      <c r="L754" s="3"/>
      <c r="M754" s="3"/>
      <c r="N754" s="3">
        <v>0</v>
      </c>
      <c r="O754" s="3"/>
      <c r="P754" s="3">
        <v>0</v>
      </c>
      <c r="Q754" s="3">
        <v>0</v>
      </c>
      <c r="R754" s="3">
        <v>0</v>
      </c>
      <c r="S754" s="3">
        <v>0</v>
      </c>
      <c r="T754" s="3">
        <v>0</v>
      </c>
      <c r="U754" s="3"/>
      <c r="V754" s="3"/>
      <c r="W754" s="3"/>
      <c r="X754" s="3"/>
      <c r="Y754" s="3"/>
      <c r="Z754" s="3"/>
      <c r="AA754" s="3"/>
      <c r="AB754" s="3"/>
      <c r="AC754" s="3"/>
      <c r="AD754" s="3"/>
      <c r="AE754" s="3">
        <v>0</v>
      </c>
      <c r="AF754" s="3">
        <v>0</v>
      </c>
      <c r="AG754" s="3"/>
      <c r="AH754" s="40"/>
      <c r="AI754" s="40"/>
      <c r="AJ754" s="40"/>
      <c r="AK754" s="40"/>
      <c r="AL754" s="40"/>
      <c r="AM754" s="40"/>
      <c r="AN754" s="40"/>
      <c r="AO754" s="40"/>
      <c r="AP754" s="40"/>
      <c r="AQ754" s="40"/>
      <c r="AR754" s="31"/>
      <c r="AS754" s="36">
        <v>0</v>
      </c>
      <c r="AY754" s="6"/>
      <c r="AZ754" s="2"/>
      <c r="BA754" s="2"/>
      <c r="BB754" s="2"/>
      <c r="BC754">
        <v>71500</v>
      </c>
      <c r="BD754">
        <v>56992</v>
      </c>
    </row>
    <row r="755" spans="3:56" x14ac:dyDescent="0.25">
      <c r="C755" s="1">
        <v>46375</v>
      </c>
      <c r="D755" s="36">
        <v>235895.33709677399</v>
      </c>
      <c r="E755" s="33">
        <v>4.1709677419354803</v>
      </c>
      <c r="F755" s="33">
        <v>3.4026754838709699</v>
      </c>
      <c r="G755" s="2">
        <v>0.81579999999999997</v>
      </c>
      <c r="H755" s="2">
        <v>0.99</v>
      </c>
      <c r="I755" s="3"/>
      <c r="J755" s="3"/>
      <c r="K755" s="3"/>
      <c r="L755" s="3"/>
      <c r="M755" s="3"/>
      <c r="N755" s="3">
        <v>0</v>
      </c>
      <c r="O755" s="3"/>
      <c r="P755" s="3">
        <v>0</v>
      </c>
      <c r="Q755" s="3">
        <v>0</v>
      </c>
      <c r="R755" s="3">
        <v>0</v>
      </c>
      <c r="S755" s="3">
        <v>0</v>
      </c>
      <c r="T755" s="3">
        <v>0</v>
      </c>
      <c r="U755" s="3"/>
      <c r="V755" s="3"/>
      <c r="W755" s="3"/>
      <c r="X755" s="3"/>
      <c r="Y755" s="3"/>
      <c r="Z755" s="3"/>
      <c r="AA755" s="3"/>
      <c r="AB755" s="3"/>
      <c r="AC755" s="3"/>
      <c r="AD755" s="3"/>
      <c r="AE755" s="3">
        <v>0</v>
      </c>
      <c r="AF755" s="3">
        <v>0</v>
      </c>
      <c r="AG755" s="3"/>
      <c r="AH755" s="40"/>
      <c r="AI755" s="40"/>
      <c r="AJ755" s="40"/>
      <c r="AK755" s="40"/>
      <c r="AL755" s="40"/>
      <c r="AM755" s="40"/>
      <c r="AN755" s="40"/>
      <c r="AO755" s="40"/>
      <c r="AP755" s="40"/>
      <c r="AQ755" s="40"/>
      <c r="AR755" s="31"/>
      <c r="AS755" s="36">
        <v>0</v>
      </c>
      <c r="AY755" s="6"/>
      <c r="AZ755" s="2"/>
      <c r="BA755" s="2"/>
      <c r="BB755" s="2"/>
      <c r="BC755">
        <v>71500</v>
      </c>
      <c r="BD755">
        <v>56992</v>
      </c>
    </row>
    <row r="756" spans="3:56" x14ac:dyDescent="0.25">
      <c r="C756" s="1">
        <v>46376</v>
      </c>
      <c r="D756" s="36">
        <v>235895.33709677399</v>
      </c>
      <c r="E756" s="33">
        <v>4.1709677419354803</v>
      </c>
      <c r="F756" s="33">
        <v>3.40262913978495</v>
      </c>
      <c r="G756" s="2">
        <v>0.81578888888888901</v>
      </c>
      <c r="H756" s="2">
        <v>0.99</v>
      </c>
      <c r="I756" s="3"/>
      <c r="J756" s="3"/>
      <c r="K756" s="3"/>
      <c r="L756" s="3"/>
      <c r="M756" s="3"/>
      <c r="N756" s="3">
        <v>0</v>
      </c>
      <c r="O756" s="3"/>
      <c r="P756" s="3">
        <v>0</v>
      </c>
      <c r="Q756" s="3">
        <v>0</v>
      </c>
      <c r="R756" s="3">
        <v>0</v>
      </c>
      <c r="S756" s="3">
        <v>0</v>
      </c>
      <c r="T756" s="3">
        <v>0</v>
      </c>
      <c r="U756" s="3"/>
      <c r="V756" s="3"/>
      <c r="W756" s="3"/>
      <c r="X756" s="3"/>
      <c r="Y756" s="3"/>
      <c r="Z756" s="3"/>
      <c r="AA756" s="3"/>
      <c r="AB756" s="3"/>
      <c r="AC756" s="3"/>
      <c r="AD756" s="3"/>
      <c r="AE756" s="3">
        <v>0</v>
      </c>
      <c r="AF756" s="3">
        <v>0</v>
      </c>
      <c r="AG756" s="3"/>
      <c r="AH756" s="40"/>
      <c r="AI756" s="40"/>
      <c r="AJ756" s="40"/>
      <c r="AK756" s="40"/>
      <c r="AL756" s="40"/>
      <c r="AM756" s="40"/>
      <c r="AN756" s="40"/>
      <c r="AO756" s="40"/>
      <c r="AP756" s="40"/>
      <c r="AQ756" s="40"/>
      <c r="AR756" s="31"/>
      <c r="AS756" s="36">
        <v>0</v>
      </c>
      <c r="AY756" s="6"/>
      <c r="AZ756" s="2"/>
      <c r="BA756" s="2"/>
      <c r="BB756" s="2"/>
      <c r="BC756">
        <v>71500</v>
      </c>
      <c r="BD756">
        <v>56992</v>
      </c>
    </row>
    <row r="757" spans="3:56" x14ac:dyDescent="0.25">
      <c r="C757" s="1">
        <v>46377</v>
      </c>
      <c r="D757" s="36">
        <v>235895.33709677399</v>
      </c>
      <c r="E757" s="33">
        <v>4.1709677419354803</v>
      </c>
      <c r="F757" s="33">
        <v>3.4025827956989199</v>
      </c>
      <c r="G757" s="2">
        <v>0.81577777777777805</v>
      </c>
      <c r="H757" s="2">
        <v>0.99</v>
      </c>
      <c r="I757" s="3"/>
      <c r="J757" s="3"/>
      <c r="K757" s="3"/>
      <c r="L757" s="3"/>
      <c r="M757" s="3"/>
      <c r="N757" s="3">
        <v>0</v>
      </c>
      <c r="O757" s="3"/>
      <c r="P757" s="3">
        <v>0</v>
      </c>
      <c r="Q757" s="3">
        <v>0</v>
      </c>
      <c r="R757" s="3">
        <v>0</v>
      </c>
      <c r="S757" s="3">
        <v>0</v>
      </c>
      <c r="T757" s="3">
        <v>0</v>
      </c>
      <c r="U757" s="3"/>
      <c r="V757" s="3"/>
      <c r="W757" s="3"/>
      <c r="X757" s="3"/>
      <c r="Y757" s="3"/>
      <c r="Z757" s="3"/>
      <c r="AA757" s="3"/>
      <c r="AB757" s="3"/>
      <c r="AC757" s="3"/>
      <c r="AD757" s="3"/>
      <c r="AE757" s="3">
        <v>0</v>
      </c>
      <c r="AF757" s="3">
        <v>0</v>
      </c>
      <c r="AG757" s="3"/>
      <c r="AH757" s="40"/>
      <c r="AI757" s="40"/>
      <c r="AJ757" s="40"/>
      <c r="AK757" s="40"/>
      <c r="AL757" s="40"/>
      <c r="AM757" s="40"/>
      <c r="AN757" s="40"/>
      <c r="AO757" s="40"/>
      <c r="AP757" s="40"/>
      <c r="AQ757" s="40"/>
      <c r="AR757" s="31"/>
      <c r="AS757" s="36">
        <v>0</v>
      </c>
      <c r="AY757" s="6"/>
      <c r="AZ757" s="2"/>
      <c r="BA757" s="2"/>
      <c r="BB757" s="2"/>
      <c r="BC757">
        <v>71500</v>
      </c>
      <c r="BD757">
        <v>56992</v>
      </c>
    </row>
    <row r="758" spans="3:56" x14ac:dyDescent="0.25">
      <c r="C758" s="1">
        <v>46378</v>
      </c>
      <c r="D758" s="36">
        <v>235895.33709677399</v>
      </c>
      <c r="E758" s="33">
        <v>4.1709677419354803</v>
      </c>
      <c r="F758" s="33">
        <v>3.4025364516129</v>
      </c>
      <c r="G758" s="2">
        <v>0.81576666666666697</v>
      </c>
      <c r="H758" s="2">
        <v>0.99</v>
      </c>
      <c r="I758" s="3"/>
      <c r="J758" s="3"/>
      <c r="K758" s="3"/>
      <c r="L758" s="3"/>
      <c r="M758" s="3"/>
      <c r="N758" s="3">
        <v>0</v>
      </c>
      <c r="O758" s="3"/>
      <c r="P758" s="3">
        <v>0</v>
      </c>
      <c r="Q758" s="3">
        <v>0</v>
      </c>
      <c r="R758" s="3">
        <v>0</v>
      </c>
      <c r="S758" s="3">
        <v>0</v>
      </c>
      <c r="T758" s="3">
        <v>0</v>
      </c>
      <c r="U758" s="3"/>
      <c r="V758" s="3"/>
      <c r="W758" s="3"/>
      <c r="X758" s="3"/>
      <c r="Y758" s="3"/>
      <c r="Z758" s="3"/>
      <c r="AA758" s="3"/>
      <c r="AB758" s="3"/>
      <c r="AC758" s="3"/>
      <c r="AD758" s="3"/>
      <c r="AE758" s="3">
        <v>0</v>
      </c>
      <c r="AF758" s="3">
        <v>0</v>
      </c>
      <c r="AG758" s="3"/>
      <c r="AH758" s="40"/>
      <c r="AI758" s="40"/>
      <c r="AJ758" s="40"/>
      <c r="AK758" s="40"/>
      <c r="AL758" s="40"/>
      <c r="AM758" s="40"/>
      <c r="AN758" s="40"/>
      <c r="AO758" s="40"/>
      <c r="AP758" s="40"/>
      <c r="AQ758" s="40"/>
      <c r="AR758" s="31"/>
      <c r="AS758" s="36">
        <v>0</v>
      </c>
      <c r="AY758" s="6"/>
      <c r="AZ758" s="2"/>
      <c r="BA758" s="2"/>
      <c r="BB758" s="2"/>
      <c r="BC758">
        <v>71500</v>
      </c>
      <c r="BD758">
        <v>56992</v>
      </c>
    </row>
    <row r="759" spans="3:56" x14ac:dyDescent="0.25">
      <c r="C759" s="1">
        <v>46379</v>
      </c>
      <c r="D759" s="36">
        <v>235895.33709677399</v>
      </c>
      <c r="E759" s="33">
        <v>4.1709677419354803</v>
      </c>
      <c r="F759" s="33">
        <v>3.4024901075268801</v>
      </c>
      <c r="G759" s="2">
        <v>0.81575555555555601</v>
      </c>
      <c r="H759" s="2">
        <v>0.99</v>
      </c>
      <c r="I759" s="3"/>
      <c r="J759" s="3"/>
      <c r="K759" s="3"/>
      <c r="L759" s="3"/>
      <c r="M759" s="3"/>
      <c r="N759" s="3">
        <v>0</v>
      </c>
      <c r="O759" s="3"/>
      <c r="P759" s="3">
        <v>0</v>
      </c>
      <c r="Q759" s="3">
        <v>0</v>
      </c>
      <c r="R759" s="3">
        <v>0</v>
      </c>
      <c r="S759" s="3">
        <v>0</v>
      </c>
      <c r="T759" s="3">
        <v>0</v>
      </c>
      <c r="U759" s="3"/>
      <c r="V759" s="3"/>
      <c r="W759" s="3"/>
      <c r="X759" s="3"/>
      <c r="Y759" s="3"/>
      <c r="Z759" s="3"/>
      <c r="AA759" s="3"/>
      <c r="AB759" s="3"/>
      <c r="AC759" s="3"/>
      <c r="AD759" s="3"/>
      <c r="AE759" s="3">
        <v>0</v>
      </c>
      <c r="AF759" s="3">
        <v>0</v>
      </c>
      <c r="AG759" s="3"/>
      <c r="AH759" s="40"/>
      <c r="AI759" s="40"/>
      <c r="AJ759" s="40"/>
      <c r="AK759" s="40"/>
      <c r="AL759" s="40"/>
      <c r="AM759" s="40"/>
      <c r="AN759" s="40"/>
      <c r="AO759" s="40"/>
      <c r="AP759" s="40"/>
      <c r="AQ759" s="40"/>
      <c r="AR759" s="31"/>
      <c r="AS759" s="36">
        <v>0</v>
      </c>
      <c r="AY759" s="6"/>
      <c r="AZ759" s="2"/>
      <c r="BA759" s="2"/>
      <c r="BB759" s="2"/>
      <c r="BC759">
        <v>71500</v>
      </c>
      <c r="BD759">
        <v>56992</v>
      </c>
    </row>
    <row r="760" spans="3:56" x14ac:dyDescent="0.25">
      <c r="C760" s="1">
        <v>46380</v>
      </c>
      <c r="D760" s="36">
        <v>235895.33709677399</v>
      </c>
      <c r="E760" s="33">
        <v>4.1709677419354803</v>
      </c>
      <c r="F760" s="33">
        <v>3.4024437634408602</v>
      </c>
      <c r="G760" s="2">
        <v>0.81574444444444405</v>
      </c>
      <c r="H760" s="2">
        <v>0.99</v>
      </c>
      <c r="I760" s="3"/>
      <c r="J760" s="3"/>
      <c r="K760" s="3"/>
      <c r="L760" s="3"/>
      <c r="M760" s="3"/>
      <c r="N760" s="3">
        <v>0</v>
      </c>
      <c r="O760" s="3"/>
      <c r="P760" s="3">
        <v>0</v>
      </c>
      <c r="Q760" s="3">
        <v>0</v>
      </c>
      <c r="R760" s="3">
        <v>0</v>
      </c>
      <c r="S760" s="3">
        <v>0</v>
      </c>
      <c r="T760" s="3">
        <v>0</v>
      </c>
      <c r="U760" s="3"/>
      <c r="V760" s="3"/>
      <c r="W760" s="3"/>
      <c r="X760" s="3"/>
      <c r="Y760" s="3"/>
      <c r="Z760" s="3"/>
      <c r="AA760" s="3"/>
      <c r="AB760" s="3"/>
      <c r="AC760" s="3"/>
      <c r="AD760" s="3"/>
      <c r="AE760" s="3">
        <v>0</v>
      </c>
      <c r="AF760" s="3">
        <v>0</v>
      </c>
      <c r="AG760" s="3"/>
      <c r="AH760" s="40"/>
      <c r="AI760" s="40"/>
      <c r="AJ760" s="40"/>
      <c r="AK760" s="40"/>
      <c r="AL760" s="40"/>
      <c r="AM760" s="40"/>
      <c r="AN760" s="40"/>
      <c r="AO760" s="40"/>
      <c r="AP760" s="40"/>
      <c r="AQ760" s="40"/>
      <c r="AR760" s="31"/>
      <c r="AS760" s="36">
        <v>0</v>
      </c>
      <c r="AY760" s="6"/>
      <c r="AZ760" s="2"/>
      <c r="BA760" s="2"/>
      <c r="BB760" s="2"/>
      <c r="BC760">
        <v>71500</v>
      </c>
      <c r="BD760">
        <v>56992</v>
      </c>
    </row>
    <row r="761" spans="3:56" x14ac:dyDescent="0.25">
      <c r="C761" s="1">
        <v>46381</v>
      </c>
      <c r="D761" s="36">
        <v>235895.33709677399</v>
      </c>
      <c r="E761" s="33">
        <v>4.1709677419354803</v>
      </c>
      <c r="F761" s="33">
        <v>3.4023974193548399</v>
      </c>
      <c r="G761" s="2">
        <v>0.81573333333333298</v>
      </c>
      <c r="H761" s="2">
        <v>0.99</v>
      </c>
      <c r="I761" s="3"/>
      <c r="J761" s="3"/>
      <c r="K761" s="3"/>
      <c r="L761" s="3"/>
      <c r="M761" s="3"/>
      <c r="N761" s="3">
        <v>0</v>
      </c>
      <c r="O761" s="3"/>
      <c r="P761" s="3">
        <v>0</v>
      </c>
      <c r="Q761" s="3">
        <v>0</v>
      </c>
      <c r="R761" s="3">
        <v>0</v>
      </c>
      <c r="S761" s="3">
        <v>0</v>
      </c>
      <c r="T761" s="3">
        <v>0</v>
      </c>
      <c r="U761" s="3"/>
      <c r="V761" s="3"/>
      <c r="W761" s="3"/>
      <c r="X761" s="3"/>
      <c r="Y761" s="3"/>
      <c r="Z761" s="3"/>
      <c r="AA761" s="3"/>
      <c r="AB761" s="3"/>
      <c r="AC761" s="3"/>
      <c r="AD761" s="3"/>
      <c r="AE761" s="3">
        <v>0</v>
      </c>
      <c r="AF761" s="3">
        <v>0</v>
      </c>
      <c r="AG761" s="3"/>
      <c r="AH761" s="40"/>
      <c r="AI761" s="40"/>
      <c r="AJ761" s="40"/>
      <c r="AK761" s="40"/>
      <c r="AL761" s="40"/>
      <c r="AM761" s="40"/>
      <c r="AN761" s="40"/>
      <c r="AO761" s="40"/>
      <c r="AP761" s="40"/>
      <c r="AQ761" s="40"/>
      <c r="AR761" s="31"/>
      <c r="AS761" s="36">
        <v>0</v>
      </c>
      <c r="AY761" s="6"/>
      <c r="AZ761" s="2"/>
      <c r="BA761" s="2"/>
      <c r="BB761" s="2"/>
      <c r="BC761">
        <v>71500</v>
      </c>
      <c r="BD761">
        <v>56992</v>
      </c>
    </row>
    <row r="762" spans="3:56" x14ac:dyDescent="0.25">
      <c r="C762" s="1">
        <v>46382</v>
      </c>
      <c r="D762" s="36">
        <v>235895.33709677399</v>
      </c>
      <c r="E762" s="33">
        <v>4.1709677419354803</v>
      </c>
      <c r="F762" s="33">
        <v>3.40235107526882</v>
      </c>
      <c r="G762" s="2">
        <v>0.81572222222222202</v>
      </c>
      <c r="H762" s="2">
        <v>0.99</v>
      </c>
      <c r="I762" s="3"/>
      <c r="J762" s="3"/>
      <c r="K762" s="3"/>
      <c r="L762" s="3"/>
      <c r="M762" s="3"/>
      <c r="N762" s="3">
        <v>0</v>
      </c>
      <c r="O762" s="3"/>
      <c r="P762" s="3">
        <v>0</v>
      </c>
      <c r="Q762" s="3">
        <v>0</v>
      </c>
      <c r="R762" s="3">
        <v>0</v>
      </c>
      <c r="S762" s="3">
        <v>0</v>
      </c>
      <c r="T762" s="3">
        <v>0</v>
      </c>
      <c r="U762" s="3"/>
      <c r="V762" s="3"/>
      <c r="W762" s="3"/>
      <c r="X762" s="3"/>
      <c r="Y762" s="3"/>
      <c r="Z762" s="3"/>
      <c r="AA762" s="3"/>
      <c r="AB762" s="3"/>
      <c r="AC762" s="3"/>
      <c r="AD762" s="3"/>
      <c r="AE762" s="3">
        <v>0</v>
      </c>
      <c r="AF762" s="3">
        <v>0</v>
      </c>
      <c r="AG762" s="3"/>
      <c r="AH762" s="40"/>
      <c r="AI762" s="40"/>
      <c r="AJ762" s="40"/>
      <c r="AK762" s="40"/>
      <c r="AL762" s="40"/>
      <c r="AM762" s="40"/>
      <c r="AN762" s="40"/>
      <c r="AO762" s="40"/>
      <c r="AP762" s="40"/>
      <c r="AQ762" s="40"/>
      <c r="AR762" s="31"/>
      <c r="AS762" s="36">
        <v>0</v>
      </c>
      <c r="AY762" s="6"/>
      <c r="AZ762" s="2"/>
      <c r="BA762" s="2"/>
      <c r="BB762" s="2"/>
      <c r="BC762">
        <v>71500</v>
      </c>
      <c r="BD762">
        <v>56992</v>
      </c>
    </row>
    <row r="763" spans="3:56" x14ac:dyDescent="0.25">
      <c r="C763" s="1">
        <v>46383</v>
      </c>
      <c r="D763" s="36">
        <v>235895.33709677399</v>
      </c>
      <c r="E763" s="33">
        <v>4.1709677419354803</v>
      </c>
      <c r="F763" s="33">
        <v>3.4023047311828001</v>
      </c>
      <c r="G763" s="2">
        <v>0.81571111111111105</v>
      </c>
      <c r="H763" s="2">
        <v>0.99</v>
      </c>
      <c r="I763" s="3"/>
      <c r="J763" s="3"/>
      <c r="K763" s="3"/>
      <c r="L763" s="3"/>
      <c r="M763" s="3"/>
      <c r="N763" s="3">
        <v>0</v>
      </c>
      <c r="O763" s="3"/>
      <c r="P763" s="3">
        <v>0</v>
      </c>
      <c r="Q763" s="3">
        <v>0</v>
      </c>
      <c r="R763" s="3">
        <v>0</v>
      </c>
      <c r="S763" s="3">
        <v>0</v>
      </c>
      <c r="T763" s="3">
        <v>0</v>
      </c>
      <c r="U763" s="3"/>
      <c r="V763" s="3"/>
      <c r="W763" s="3"/>
      <c r="X763" s="3"/>
      <c r="Y763" s="3"/>
      <c r="Z763" s="3"/>
      <c r="AA763" s="3"/>
      <c r="AB763" s="3"/>
      <c r="AC763" s="3"/>
      <c r="AD763" s="3"/>
      <c r="AE763" s="3">
        <v>0</v>
      </c>
      <c r="AF763" s="3">
        <v>0</v>
      </c>
      <c r="AG763" s="3"/>
      <c r="AH763" s="40"/>
      <c r="AI763" s="40"/>
      <c r="AJ763" s="40"/>
      <c r="AK763" s="40"/>
      <c r="AL763" s="40"/>
      <c r="AM763" s="40"/>
      <c r="AN763" s="40"/>
      <c r="AO763" s="40"/>
      <c r="AP763" s="40"/>
      <c r="AQ763" s="40"/>
      <c r="AR763" s="31"/>
      <c r="AS763" s="36">
        <v>0</v>
      </c>
      <c r="AY763" s="6"/>
      <c r="AZ763" s="2"/>
      <c r="BA763" s="2"/>
      <c r="BB763" s="2"/>
      <c r="BC763">
        <v>71500</v>
      </c>
      <c r="BD763">
        <v>56992</v>
      </c>
    </row>
    <row r="764" spans="3:56" x14ac:dyDescent="0.25">
      <c r="C764" s="1">
        <v>46384</v>
      </c>
      <c r="D764" s="36">
        <v>235895.33709677399</v>
      </c>
      <c r="E764" s="33">
        <v>4.1709677419354803</v>
      </c>
      <c r="F764" s="33">
        <v>3.40225838709677</v>
      </c>
      <c r="G764" s="2">
        <v>0.81569999999999998</v>
      </c>
      <c r="H764" s="2">
        <v>0.99</v>
      </c>
      <c r="I764" s="3"/>
      <c r="J764" s="3"/>
      <c r="K764" s="3"/>
      <c r="L764" s="3"/>
      <c r="M764" s="3"/>
      <c r="N764" s="3">
        <v>0</v>
      </c>
      <c r="O764" s="3"/>
      <c r="P764" s="3">
        <v>0</v>
      </c>
      <c r="Q764" s="3">
        <v>0</v>
      </c>
      <c r="R764" s="3">
        <v>0</v>
      </c>
      <c r="S764" s="3">
        <v>0</v>
      </c>
      <c r="T764" s="3">
        <v>0</v>
      </c>
      <c r="U764" s="3"/>
      <c r="V764" s="3"/>
      <c r="W764" s="3"/>
      <c r="X764" s="3"/>
      <c r="Y764" s="3"/>
      <c r="Z764" s="3"/>
      <c r="AA764" s="3"/>
      <c r="AB764" s="3"/>
      <c r="AC764" s="3"/>
      <c r="AD764" s="3"/>
      <c r="AE764" s="3">
        <v>0</v>
      </c>
      <c r="AF764" s="3">
        <v>0</v>
      </c>
      <c r="AG764" s="3"/>
      <c r="AH764" s="40"/>
      <c r="AI764" s="40"/>
      <c r="AJ764" s="40"/>
      <c r="AK764" s="40"/>
      <c r="AL764" s="40"/>
      <c r="AM764" s="40"/>
      <c r="AN764" s="40"/>
      <c r="AO764" s="40"/>
      <c r="AP764" s="40"/>
      <c r="AQ764" s="40"/>
      <c r="AR764" s="31"/>
      <c r="AS764" s="36">
        <v>0</v>
      </c>
      <c r="AY764" s="6"/>
      <c r="AZ764" s="2"/>
      <c r="BA764" s="2"/>
      <c r="BB764" s="2"/>
      <c r="BC764">
        <v>71500</v>
      </c>
      <c r="BD764">
        <v>56992</v>
      </c>
    </row>
    <row r="765" spans="3:56" x14ac:dyDescent="0.25">
      <c r="C765" s="1">
        <v>46385</v>
      </c>
      <c r="D765" s="36">
        <v>235895.33709677399</v>
      </c>
      <c r="E765" s="33">
        <v>4.1709677419354803</v>
      </c>
      <c r="F765" s="33">
        <v>3.4022120430107501</v>
      </c>
      <c r="G765" s="2">
        <v>0.81568888888888902</v>
      </c>
      <c r="H765" s="2">
        <v>0.99</v>
      </c>
      <c r="I765" s="3"/>
      <c r="J765" s="3"/>
      <c r="K765" s="3"/>
      <c r="L765" s="3"/>
      <c r="M765" s="3"/>
      <c r="N765" s="3">
        <v>0</v>
      </c>
      <c r="O765" s="3"/>
      <c r="P765" s="3">
        <v>0</v>
      </c>
      <c r="Q765" s="3">
        <v>0</v>
      </c>
      <c r="R765" s="3">
        <v>0</v>
      </c>
      <c r="S765" s="3">
        <v>0</v>
      </c>
      <c r="T765" s="3">
        <v>0</v>
      </c>
      <c r="U765" s="3"/>
      <c r="V765" s="3"/>
      <c r="W765" s="3"/>
      <c r="X765" s="3"/>
      <c r="Y765" s="3"/>
      <c r="Z765" s="3"/>
      <c r="AA765" s="3"/>
      <c r="AB765" s="3"/>
      <c r="AC765" s="3"/>
      <c r="AD765" s="3"/>
      <c r="AE765" s="3">
        <v>0</v>
      </c>
      <c r="AF765" s="3">
        <v>0</v>
      </c>
      <c r="AG765" s="3"/>
      <c r="AH765" s="40"/>
      <c r="AI765" s="40"/>
      <c r="AJ765" s="40"/>
      <c r="AK765" s="40"/>
      <c r="AL765" s="40"/>
      <c r="AM765" s="40"/>
      <c r="AN765" s="40"/>
      <c r="AO765" s="40"/>
      <c r="AP765" s="40"/>
      <c r="AQ765" s="40"/>
      <c r="AR765" s="31"/>
      <c r="AS765" s="36">
        <v>0</v>
      </c>
      <c r="AY765" s="6"/>
      <c r="AZ765" s="2"/>
      <c r="BA765" s="2"/>
      <c r="BB765" s="2"/>
      <c r="BC765">
        <v>71500</v>
      </c>
      <c r="BD765">
        <v>56992</v>
      </c>
    </row>
    <row r="766" spans="3:56" x14ac:dyDescent="0.25">
      <c r="C766" s="1">
        <v>46386</v>
      </c>
      <c r="D766" s="36">
        <v>235895.33709677399</v>
      </c>
      <c r="E766" s="33">
        <v>4.1709677419354803</v>
      </c>
      <c r="F766" s="33">
        <v>3.4021656989247302</v>
      </c>
      <c r="G766" s="2">
        <v>0.81567777777777795</v>
      </c>
      <c r="H766" s="2">
        <v>0.99</v>
      </c>
      <c r="I766" s="3"/>
      <c r="J766" s="3"/>
      <c r="K766" s="3"/>
      <c r="L766" s="3"/>
      <c r="M766" s="3"/>
      <c r="N766" s="3">
        <v>0</v>
      </c>
      <c r="O766" s="3"/>
      <c r="P766" s="3">
        <v>0</v>
      </c>
      <c r="Q766" s="3">
        <v>0</v>
      </c>
      <c r="R766" s="3">
        <v>0</v>
      </c>
      <c r="S766" s="3">
        <v>0</v>
      </c>
      <c r="T766" s="3">
        <v>0</v>
      </c>
      <c r="U766" s="3"/>
      <c r="V766" s="3"/>
      <c r="W766" s="3"/>
      <c r="X766" s="3"/>
      <c r="Y766" s="3"/>
      <c r="Z766" s="3"/>
      <c r="AA766" s="3"/>
      <c r="AB766" s="3"/>
      <c r="AC766" s="3"/>
      <c r="AD766" s="3"/>
      <c r="AE766" s="3">
        <v>0</v>
      </c>
      <c r="AF766" s="3">
        <v>0</v>
      </c>
      <c r="AG766" s="3"/>
      <c r="AH766" s="40"/>
      <c r="AI766" s="40"/>
      <c r="AJ766" s="40"/>
      <c r="AK766" s="40"/>
      <c r="AL766" s="40"/>
      <c r="AM766" s="40"/>
      <c r="AN766" s="40"/>
      <c r="AO766" s="40"/>
      <c r="AP766" s="40"/>
      <c r="AQ766" s="40"/>
      <c r="AR766" s="31"/>
      <c r="AS766" s="36">
        <v>0</v>
      </c>
      <c r="AY766" s="6"/>
      <c r="AZ766" s="2"/>
      <c r="BA766" s="2"/>
      <c r="BB766" s="2"/>
      <c r="BC766">
        <v>71500</v>
      </c>
      <c r="BD766">
        <v>56992</v>
      </c>
    </row>
    <row r="767" spans="3:56" x14ac:dyDescent="0.25">
      <c r="C767" s="1">
        <v>46387</v>
      </c>
      <c r="D767" s="36">
        <v>235895.33709677399</v>
      </c>
      <c r="E767" s="33">
        <v>4.1709677419354803</v>
      </c>
      <c r="F767" s="33">
        <v>3.4021193548387099</v>
      </c>
      <c r="G767" s="2">
        <v>0.81566666666666698</v>
      </c>
      <c r="H767" s="2">
        <v>0.99</v>
      </c>
      <c r="I767" s="3"/>
      <c r="J767" s="3"/>
      <c r="K767" s="3"/>
      <c r="L767" s="3"/>
      <c r="M767" s="3"/>
      <c r="N767" s="3">
        <v>0</v>
      </c>
      <c r="O767" s="3"/>
      <c r="P767" s="3">
        <v>0</v>
      </c>
      <c r="Q767" s="3">
        <v>0</v>
      </c>
      <c r="R767" s="3">
        <v>0</v>
      </c>
      <c r="S767" s="3">
        <v>0</v>
      </c>
      <c r="T767" s="3">
        <v>0</v>
      </c>
      <c r="U767" s="3"/>
      <c r="V767" s="3"/>
      <c r="W767" s="3"/>
      <c r="X767" s="3"/>
      <c r="Y767" s="3"/>
      <c r="Z767" s="3"/>
      <c r="AA767" s="3"/>
      <c r="AB767" s="3"/>
      <c r="AC767" s="3"/>
      <c r="AD767" s="3"/>
      <c r="AE767" s="3">
        <v>0</v>
      </c>
      <c r="AF767" s="3">
        <v>0</v>
      </c>
      <c r="AG767" s="3"/>
      <c r="AH767" s="40"/>
      <c r="AI767" s="40"/>
      <c r="AJ767" s="40"/>
      <c r="AK767" s="40"/>
      <c r="AL767" s="40"/>
      <c r="AM767" s="40"/>
      <c r="AN767" s="40"/>
      <c r="AO767" s="40"/>
      <c r="AP767" s="40"/>
      <c r="AQ767" s="40"/>
      <c r="AR767" s="31"/>
      <c r="AS767" s="36">
        <v>0</v>
      </c>
      <c r="AY767" s="6"/>
      <c r="AZ767" s="2"/>
      <c r="BA767" s="2"/>
      <c r="BB767" s="2"/>
      <c r="BC767">
        <v>71500</v>
      </c>
      <c r="BD767">
        <v>56992</v>
      </c>
    </row>
    <row r="768" spans="3:56" x14ac:dyDescent="0.25">
      <c r="C768" s="1">
        <v>46388</v>
      </c>
      <c r="D768" s="36">
        <v>249932.632258064</v>
      </c>
      <c r="E768" s="33">
        <v>4.2064516129032299</v>
      </c>
      <c r="F768" s="33">
        <v>3.4310623655914001</v>
      </c>
      <c r="G768" s="2">
        <v>0.81566666666666698</v>
      </c>
      <c r="H768" s="2">
        <v>0.99</v>
      </c>
      <c r="I768" s="3"/>
      <c r="J768" s="3"/>
      <c r="K768" s="3"/>
      <c r="L768" s="3"/>
      <c r="M768" s="3"/>
      <c r="N768" s="3">
        <v>0</v>
      </c>
      <c r="O768" s="3"/>
      <c r="P768" s="3">
        <v>0</v>
      </c>
      <c r="Q768" s="3">
        <v>0</v>
      </c>
      <c r="R768" s="3">
        <v>0</v>
      </c>
      <c r="S768" s="3">
        <v>0</v>
      </c>
      <c r="T768" s="3">
        <v>0</v>
      </c>
      <c r="U768" s="3"/>
      <c r="V768" s="3"/>
      <c r="W768" s="3"/>
      <c r="X768" s="3"/>
      <c r="Y768" s="3"/>
      <c r="Z768" s="3"/>
      <c r="AA768" s="3"/>
      <c r="AB768" s="3"/>
      <c r="AC768" s="3"/>
      <c r="AD768" s="3"/>
      <c r="AE768" s="3">
        <v>0</v>
      </c>
      <c r="AF768" s="3">
        <v>0</v>
      </c>
      <c r="AG768" s="3"/>
      <c r="AH768" s="40"/>
      <c r="AI768" s="40"/>
      <c r="AJ768" s="40"/>
      <c r="AK768" s="40"/>
      <c r="AL768" s="40"/>
      <c r="AM768" s="40"/>
      <c r="AN768" s="40"/>
      <c r="AO768" s="40"/>
      <c r="AP768" s="40"/>
      <c r="AQ768" s="40"/>
      <c r="AR768" s="31"/>
      <c r="AS768" s="36">
        <v>0</v>
      </c>
      <c r="AY768" s="6"/>
      <c r="AZ768" s="2"/>
      <c r="BA768" s="2"/>
      <c r="BB768" s="2"/>
      <c r="BC768">
        <v>71500</v>
      </c>
      <c r="BD768">
        <v>56992</v>
      </c>
    </row>
    <row r="769" spans="3:56" x14ac:dyDescent="0.25">
      <c r="C769" s="1">
        <v>46389</v>
      </c>
      <c r="D769" s="36">
        <v>249932.632258064</v>
      </c>
      <c r="E769" s="33">
        <v>4.2064516129032299</v>
      </c>
      <c r="F769" s="33">
        <v>3.4310156272401402</v>
      </c>
      <c r="G769" s="2">
        <v>0.81565555555555602</v>
      </c>
      <c r="H769" s="2">
        <v>0.99</v>
      </c>
      <c r="I769" s="3"/>
      <c r="J769" s="3"/>
      <c r="K769" s="3"/>
      <c r="L769" s="3"/>
      <c r="M769" s="3"/>
      <c r="N769" s="3">
        <v>0</v>
      </c>
      <c r="O769" s="3"/>
      <c r="P769" s="3">
        <v>0</v>
      </c>
      <c r="Q769" s="3">
        <v>0</v>
      </c>
      <c r="R769" s="3">
        <v>0</v>
      </c>
      <c r="S769" s="3">
        <v>0</v>
      </c>
      <c r="T769" s="3">
        <v>0</v>
      </c>
      <c r="U769" s="3"/>
      <c r="V769" s="3"/>
      <c r="W769" s="3"/>
      <c r="X769" s="3"/>
      <c r="Y769" s="3"/>
      <c r="Z769" s="3"/>
      <c r="AA769" s="3"/>
      <c r="AB769" s="3"/>
      <c r="AC769" s="3"/>
      <c r="AD769" s="3"/>
      <c r="AE769" s="3">
        <v>0</v>
      </c>
      <c r="AF769" s="3">
        <v>0</v>
      </c>
      <c r="AG769" s="3"/>
      <c r="AH769" s="40"/>
      <c r="AI769" s="40"/>
      <c r="AJ769" s="40"/>
      <c r="AK769" s="40"/>
      <c r="AL769" s="40"/>
      <c r="AM769" s="40"/>
      <c r="AN769" s="40"/>
      <c r="AO769" s="40"/>
      <c r="AP769" s="40"/>
      <c r="AQ769" s="40"/>
      <c r="AR769" s="31"/>
      <c r="AS769" s="36">
        <v>0</v>
      </c>
      <c r="AY769" s="6"/>
      <c r="AZ769" s="2"/>
      <c r="BA769" s="2"/>
      <c r="BB769" s="2"/>
      <c r="BC769">
        <v>71500</v>
      </c>
      <c r="BD769">
        <v>56992</v>
      </c>
    </row>
    <row r="770" spans="3:56" x14ac:dyDescent="0.25">
      <c r="C770" s="1">
        <v>46390</v>
      </c>
      <c r="D770" s="36">
        <v>249932.632258064</v>
      </c>
      <c r="E770" s="33">
        <v>4.2064516129032299</v>
      </c>
      <c r="F770" s="33">
        <v>3.4309688888888901</v>
      </c>
      <c r="G770" s="2">
        <v>0.81564444444444395</v>
      </c>
      <c r="H770" s="2">
        <v>0.99</v>
      </c>
      <c r="I770" s="3"/>
      <c r="J770" s="3"/>
      <c r="K770" s="3"/>
      <c r="L770" s="3"/>
      <c r="M770" s="3"/>
      <c r="N770" s="3">
        <v>0</v>
      </c>
      <c r="O770" s="3"/>
      <c r="P770" s="3">
        <v>0</v>
      </c>
      <c r="Q770" s="3">
        <v>0</v>
      </c>
      <c r="R770" s="3">
        <v>0</v>
      </c>
      <c r="S770" s="3">
        <v>0</v>
      </c>
      <c r="T770" s="3">
        <v>0</v>
      </c>
      <c r="U770" s="3"/>
      <c r="V770" s="3"/>
      <c r="W770" s="3"/>
      <c r="X770" s="3"/>
      <c r="Y770" s="3"/>
      <c r="Z770" s="3"/>
      <c r="AA770" s="3"/>
      <c r="AB770" s="3"/>
      <c r="AC770" s="3"/>
      <c r="AD770" s="3"/>
      <c r="AE770" s="3">
        <v>0</v>
      </c>
      <c r="AF770" s="3">
        <v>0</v>
      </c>
      <c r="AG770" s="3"/>
      <c r="AH770" s="40"/>
      <c r="AI770" s="40"/>
      <c r="AJ770" s="40"/>
      <c r="AK770" s="40"/>
      <c r="AL770" s="40"/>
      <c r="AM770" s="40"/>
      <c r="AN770" s="40"/>
      <c r="AO770" s="40"/>
      <c r="AP770" s="40"/>
      <c r="AQ770" s="40"/>
      <c r="AR770" s="31"/>
      <c r="AS770" s="36">
        <v>0</v>
      </c>
      <c r="AY770" s="6"/>
      <c r="AZ770" s="2"/>
      <c r="BA770" s="2"/>
      <c r="BB770" s="2"/>
      <c r="BC770">
        <v>71500</v>
      </c>
      <c r="BD770">
        <v>56992</v>
      </c>
    </row>
    <row r="771" spans="3:56" x14ac:dyDescent="0.25">
      <c r="C771" s="1">
        <v>46391</v>
      </c>
      <c r="D771" s="36">
        <v>249932.632258064</v>
      </c>
      <c r="E771" s="33">
        <v>4.2064516129032299</v>
      </c>
      <c r="F771" s="33">
        <v>3.4309221505376302</v>
      </c>
      <c r="G771" s="2">
        <v>0.81563333333333299</v>
      </c>
      <c r="H771" s="2">
        <v>0.99</v>
      </c>
      <c r="I771" s="3"/>
      <c r="J771" s="3"/>
      <c r="K771" s="3"/>
      <c r="L771" s="3"/>
      <c r="M771" s="3"/>
      <c r="N771" s="3">
        <v>0</v>
      </c>
      <c r="O771" s="3"/>
      <c r="P771" s="3">
        <v>0</v>
      </c>
      <c r="Q771" s="3">
        <v>0</v>
      </c>
      <c r="R771" s="3">
        <v>0</v>
      </c>
      <c r="S771" s="3">
        <v>0</v>
      </c>
      <c r="T771" s="3">
        <v>0</v>
      </c>
      <c r="U771" s="3"/>
      <c r="V771" s="3"/>
      <c r="W771" s="3"/>
      <c r="X771" s="3"/>
      <c r="Y771" s="3"/>
      <c r="Z771" s="3"/>
      <c r="AA771" s="3"/>
      <c r="AB771" s="3"/>
      <c r="AC771" s="3"/>
      <c r="AD771" s="3"/>
      <c r="AE771" s="3">
        <v>0</v>
      </c>
      <c r="AF771" s="3">
        <v>0</v>
      </c>
      <c r="AG771" s="3"/>
      <c r="AH771" s="40"/>
      <c r="AI771" s="40"/>
      <c r="AJ771" s="40"/>
      <c r="AK771" s="40"/>
      <c r="AL771" s="40"/>
      <c r="AM771" s="40"/>
      <c r="AN771" s="40"/>
      <c r="AO771" s="40"/>
      <c r="AP771" s="40"/>
      <c r="AQ771" s="40"/>
      <c r="AR771" s="31"/>
      <c r="AS771" s="36">
        <v>0</v>
      </c>
      <c r="AY771" s="6"/>
      <c r="AZ771" s="2"/>
      <c r="BA771" s="2"/>
      <c r="BB771" s="2"/>
      <c r="BC771">
        <v>71500</v>
      </c>
      <c r="BD771">
        <v>56992</v>
      </c>
    </row>
    <row r="772" spans="3:56" x14ac:dyDescent="0.25">
      <c r="C772" s="1">
        <v>46392</v>
      </c>
      <c r="D772" s="36">
        <v>249932.632258064</v>
      </c>
      <c r="E772" s="33">
        <v>4.2064516129032299</v>
      </c>
      <c r="F772" s="33">
        <v>3.43087541218638</v>
      </c>
      <c r="G772" s="2">
        <v>0.81562222222222203</v>
      </c>
      <c r="H772" s="2">
        <v>0.99</v>
      </c>
      <c r="I772" s="3"/>
      <c r="J772" s="3"/>
      <c r="K772" s="3"/>
      <c r="L772" s="3"/>
      <c r="M772" s="3"/>
      <c r="N772" s="3">
        <v>0</v>
      </c>
      <c r="O772" s="3"/>
      <c r="P772" s="3">
        <v>0</v>
      </c>
      <c r="Q772" s="3">
        <v>0</v>
      </c>
      <c r="R772" s="3">
        <v>0</v>
      </c>
      <c r="S772" s="3">
        <v>0</v>
      </c>
      <c r="T772" s="3">
        <v>0</v>
      </c>
      <c r="U772" s="3"/>
      <c r="V772" s="3"/>
      <c r="W772" s="3"/>
      <c r="X772" s="3"/>
      <c r="Y772" s="3"/>
      <c r="Z772" s="3"/>
      <c r="AA772" s="3"/>
      <c r="AB772" s="3"/>
      <c r="AC772" s="3"/>
      <c r="AD772" s="3"/>
      <c r="AE772" s="3">
        <v>0</v>
      </c>
      <c r="AF772" s="3">
        <v>0</v>
      </c>
      <c r="AG772" s="3"/>
      <c r="AH772" s="40"/>
      <c r="AI772" s="40"/>
      <c r="AJ772" s="40"/>
      <c r="AK772" s="40"/>
      <c r="AL772" s="40"/>
      <c r="AM772" s="40"/>
      <c r="AN772" s="40"/>
      <c r="AO772" s="40"/>
      <c r="AP772" s="40"/>
      <c r="AQ772" s="40"/>
      <c r="AR772" s="31"/>
      <c r="AS772" s="36">
        <v>0</v>
      </c>
      <c r="AY772" s="6"/>
      <c r="AZ772" s="2"/>
      <c r="BA772" s="2"/>
      <c r="BB772" s="2"/>
      <c r="BC772">
        <v>71500</v>
      </c>
      <c r="BD772">
        <v>56992</v>
      </c>
    </row>
    <row r="773" spans="3:56" x14ac:dyDescent="0.25">
      <c r="C773" s="1">
        <v>46393</v>
      </c>
      <c r="D773" s="36">
        <v>249932.632258064</v>
      </c>
      <c r="E773" s="33">
        <v>4.2064516129032299</v>
      </c>
      <c r="F773" s="33">
        <v>3.4308286738351299</v>
      </c>
      <c r="G773" s="2">
        <v>0.81561111111111095</v>
      </c>
      <c r="H773" s="2">
        <v>0.99</v>
      </c>
      <c r="I773" s="3"/>
      <c r="J773" s="3"/>
      <c r="K773" s="3"/>
      <c r="L773" s="3"/>
      <c r="M773" s="3"/>
      <c r="N773" s="3">
        <v>0</v>
      </c>
      <c r="O773" s="3"/>
      <c r="P773" s="3">
        <v>0</v>
      </c>
      <c r="Q773" s="3">
        <v>0</v>
      </c>
      <c r="R773" s="3">
        <v>0</v>
      </c>
      <c r="S773" s="3">
        <v>0</v>
      </c>
      <c r="T773" s="3">
        <v>0</v>
      </c>
      <c r="U773" s="3"/>
      <c r="V773" s="3"/>
      <c r="W773" s="3"/>
      <c r="X773" s="3"/>
      <c r="Y773" s="3"/>
      <c r="Z773" s="3"/>
      <c r="AA773" s="3"/>
      <c r="AB773" s="3"/>
      <c r="AC773" s="3"/>
      <c r="AD773" s="3"/>
      <c r="AE773" s="3">
        <v>0</v>
      </c>
      <c r="AF773" s="3">
        <v>0</v>
      </c>
      <c r="AG773" s="3"/>
      <c r="AH773" s="40"/>
      <c r="AI773" s="40"/>
      <c r="AJ773" s="40"/>
      <c r="AK773" s="40"/>
      <c r="AL773" s="40"/>
      <c r="AM773" s="40"/>
      <c r="AN773" s="40"/>
      <c r="AO773" s="40"/>
      <c r="AP773" s="40"/>
      <c r="AQ773" s="40"/>
      <c r="AR773" s="31"/>
      <c r="AS773" s="36">
        <v>0</v>
      </c>
      <c r="AY773" s="6"/>
      <c r="AZ773" s="2"/>
      <c r="BA773" s="2"/>
      <c r="BB773" s="2"/>
      <c r="BC773">
        <v>71500</v>
      </c>
      <c r="BD773">
        <v>56992</v>
      </c>
    </row>
    <row r="774" spans="3:56" x14ac:dyDescent="0.25">
      <c r="C774" s="1">
        <v>46394</v>
      </c>
      <c r="D774" s="36">
        <v>249932.632258064</v>
      </c>
      <c r="E774" s="33">
        <v>4.2064516129032299</v>
      </c>
      <c r="F774" s="33">
        <v>3.43078193548387</v>
      </c>
      <c r="G774" s="2">
        <v>0.81559999999999999</v>
      </c>
      <c r="H774" s="2">
        <v>0.99</v>
      </c>
      <c r="I774" s="3"/>
      <c r="J774" s="3"/>
      <c r="K774" s="3"/>
      <c r="L774" s="3"/>
      <c r="M774" s="3"/>
      <c r="N774" s="3">
        <v>0</v>
      </c>
      <c r="O774" s="3"/>
      <c r="P774" s="3">
        <v>0</v>
      </c>
      <c r="Q774" s="3">
        <v>0</v>
      </c>
      <c r="R774" s="3">
        <v>0</v>
      </c>
      <c r="S774" s="3">
        <v>0</v>
      </c>
      <c r="T774" s="3">
        <v>0</v>
      </c>
      <c r="U774" s="3"/>
      <c r="V774" s="3"/>
      <c r="W774" s="3"/>
      <c r="X774" s="3"/>
      <c r="Y774" s="3"/>
      <c r="Z774" s="3"/>
      <c r="AA774" s="3"/>
      <c r="AB774" s="3"/>
      <c r="AC774" s="3"/>
      <c r="AD774" s="3"/>
      <c r="AE774" s="3">
        <v>0</v>
      </c>
      <c r="AF774" s="3">
        <v>0</v>
      </c>
      <c r="AG774" s="3"/>
      <c r="AH774" s="40"/>
      <c r="AI774" s="40"/>
      <c r="AJ774" s="40"/>
      <c r="AK774" s="40"/>
      <c r="AL774" s="40"/>
      <c r="AM774" s="40"/>
      <c r="AN774" s="40"/>
      <c r="AO774" s="40"/>
      <c r="AP774" s="40"/>
      <c r="AQ774" s="40"/>
      <c r="AR774" s="31"/>
      <c r="AS774" s="36">
        <v>0</v>
      </c>
      <c r="AY774" s="6"/>
      <c r="AZ774" s="2"/>
      <c r="BA774" s="2"/>
      <c r="BB774" s="2"/>
      <c r="BC774">
        <v>71500</v>
      </c>
      <c r="BD774">
        <v>56992</v>
      </c>
    </row>
    <row r="775" spans="3:56" x14ac:dyDescent="0.25">
      <c r="C775" s="1">
        <v>46395</v>
      </c>
      <c r="D775" s="36">
        <v>249932.632258064</v>
      </c>
      <c r="E775" s="33">
        <v>4.2064516129032299</v>
      </c>
      <c r="F775" s="33">
        <v>3.4307351971326199</v>
      </c>
      <c r="G775" s="2">
        <v>0.81558888888888903</v>
      </c>
      <c r="H775" s="2">
        <v>0.99</v>
      </c>
      <c r="I775" s="3"/>
      <c r="J775" s="3"/>
      <c r="K775" s="3"/>
      <c r="L775" s="3"/>
      <c r="M775" s="3"/>
      <c r="N775" s="3">
        <v>0</v>
      </c>
      <c r="O775" s="3"/>
      <c r="P775" s="3">
        <v>0</v>
      </c>
      <c r="Q775" s="3">
        <v>0</v>
      </c>
      <c r="R775" s="3">
        <v>0</v>
      </c>
      <c r="S775" s="3">
        <v>0</v>
      </c>
      <c r="T775" s="3">
        <v>0</v>
      </c>
      <c r="U775" s="3"/>
      <c r="V775" s="3"/>
      <c r="W775" s="3"/>
      <c r="X775" s="3"/>
      <c r="Y775" s="3"/>
      <c r="Z775" s="3"/>
      <c r="AA775" s="3"/>
      <c r="AB775" s="3"/>
      <c r="AC775" s="3"/>
      <c r="AD775" s="3"/>
      <c r="AE775" s="3">
        <v>0</v>
      </c>
      <c r="AF775" s="3">
        <v>0</v>
      </c>
      <c r="AG775" s="3"/>
      <c r="AH775" s="40"/>
      <c r="AI775" s="40"/>
      <c r="AJ775" s="40"/>
      <c r="AK775" s="40"/>
      <c r="AL775" s="40"/>
      <c r="AM775" s="40"/>
      <c r="AN775" s="40"/>
      <c r="AO775" s="40"/>
      <c r="AP775" s="40"/>
      <c r="AQ775" s="40"/>
      <c r="AR775" s="31"/>
      <c r="AS775" s="36">
        <v>0</v>
      </c>
      <c r="AY775" s="6"/>
      <c r="AZ775" s="2"/>
      <c r="BA775" s="2"/>
      <c r="BB775" s="2"/>
      <c r="BC775">
        <v>71500</v>
      </c>
      <c r="BD775">
        <v>56992</v>
      </c>
    </row>
    <row r="776" spans="3:56" x14ac:dyDescent="0.25">
      <c r="C776" s="1">
        <v>46396</v>
      </c>
      <c r="D776" s="36">
        <v>249932.632258064</v>
      </c>
      <c r="E776" s="33">
        <v>4.2064516129032299</v>
      </c>
      <c r="F776" s="33">
        <v>3.43068845878136</v>
      </c>
      <c r="G776" s="2">
        <v>0.81557777777777796</v>
      </c>
      <c r="H776" s="2">
        <v>0.99</v>
      </c>
      <c r="I776" s="3"/>
      <c r="J776" s="3"/>
      <c r="K776" s="3"/>
      <c r="L776" s="3"/>
      <c r="M776" s="3"/>
      <c r="N776" s="3">
        <v>0</v>
      </c>
      <c r="O776" s="3"/>
      <c r="P776" s="3">
        <v>0</v>
      </c>
      <c r="Q776" s="3">
        <v>0</v>
      </c>
      <c r="R776" s="3">
        <v>0</v>
      </c>
      <c r="S776" s="3">
        <v>0</v>
      </c>
      <c r="T776" s="3">
        <v>0</v>
      </c>
      <c r="U776" s="3"/>
      <c r="V776" s="3"/>
      <c r="W776" s="3"/>
      <c r="X776" s="3"/>
      <c r="Y776" s="3"/>
      <c r="Z776" s="3"/>
      <c r="AA776" s="3"/>
      <c r="AB776" s="3"/>
      <c r="AC776" s="3"/>
      <c r="AD776" s="3"/>
      <c r="AE776" s="3">
        <v>0</v>
      </c>
      <c r="AF776" s="3">
        <v>0</v>
      </c>
      <c r="AG776" s="3"/>
      <c r="AH776" s="40"/>
      <c r="AI776" s="40"/>
      <c r="AJ776" s="40"/>
      <c r="AK776" s="40"/>
      <c r="AL776" s="40"/>
      <c r="AM776" s="40"/>
      <c r="AN776" s="40"/>
      <c r="AO776" s="40"/>
      <c r="AP776" s="40"/>
      <c r="AQ776" s="40"/>
      <c r="AR776" s="31"/>
      <c r="AS776" s="36">
        <v>0</v>
      </c>
      <c r="AY776" s="6"/>
      <c r="AZ776" s="2"/>
      <c r="BA776" s="2"/>
      <c r="BB776" s="2"/>
      <c r="BC776">
        <v>71500</v>
      </c>
      <c r="BD776">
        <v>56992</v>
      </c>
    </row>
    <row r="777" spans="3:56" x14ac:dyDescent="0.25">
      <c r="C777" s="1">
        <v>46397</v>
      </c>
      <c r="D777" s="36">
        <v>249932.632258064</v>
      </c>
      <c r="E777" s="33">
        <v>4.2064516129032299</v>
      </c>
      <c r="F777" s="33">
        <v>3.4306417204301098</v>
      </c>
      <c r="G777" s="2">
        <v>0.815566666666667</v>
      </c>
      <c r="H777" s="2">
        <v>0.99</v>
      </c>
      <c r="I777" s="3"/>
      <c r="J777" s="3"/>
      <c r="K777" s="3"/>
      <c r="L777" s="3"/>
      <c r="M777" s="3"/>
      <c r="N777" s="3">
        <v>0</v>
      </c>
      <c r="O777" s="3"/>
      <c r="P777" s="3">
        <v>0</v>
      </c>
      <c r="Q777" s="3">
        <v>0</v>
      </c>
      <c r="R777" s="3">
        <v>0</v>
      </c>
      <c r="S777" s="3">
        <v>0</v>
      </c>
      <c r="T777" s="3">
        <v>0</v>
      </c>
      <c r="U777" s="3"/>
      <c r="V777" s="3"/>
      <c r="W777" s="3"/>
      <c r="X777" s="3"/>
      <c r="Y777" s="3"/>
      <c r="Z777" s="3"/>
      <c r="AA777" s="3"/>
      <c r="AB777" s="3"/>
      <c r="AC777" s="3"/>
      <c r="AD777" s="3"/>
      <c r="AE777" s="3">
        <v>0</v>
      </c>
      <c r="AF777" s="3">
        <v>0</v>
      </c>
      <c r="AG777" s="3"/>
      <c r="AH777" s="40"/>
      <c r="AI777" s="40"/>
      <c r="AJ777" s="40"/>
      <c r="AK777" s="40"/>
      <c r="AL777" s="40"/>
      <c r="AM777" s="40"/>
      <c r="AN777" s="40"/>
      <c r="AO777" s="40"/>
      <c r="AP777" s="40"/>
      <c r="AQ777" s="40"/>
      <c r="AR777" s="31"/>
      <c r="AS777" s="36">
        <v>0</v>
      </c>
      <c r="AY777" s="6"/>
      <c r="AZ777" s="2"/>
      <c r="BA777" s="2"/>
      <c r="BB777" s="2"/>
      <c r="BC777">
        <v>71500</v>
      </c>
      <c r="BD777">
        <v>56992</v>
      </c>
    </row>
    <row r="778" spans="3:56" x14ac:dyDescent="0.25">
      <c r="C778" s="1">
        <v>46398</v>
      </c>
      <c r="D778" s="36">
        <v>249932.632258064</v>
      </c>
      <c r="E778" s="33">
        <v>4.2064516129032299</v>
      </c>
      <c r="F778" s="33">
        <v>3.4305949820788499</v>
      </c>
      <c r="G778" s="2">
        <v>0.81555555555555603</v>
      </c>
      <c r="H778" s="2">
        <v>0.99</v>
      </c>
      <c r="I778" s="3"/>
      <c r="J778" s="3"/>
      <c r="K778" s="3"/>
      <c r="L778" s="3"/>
      <c r="M778" s="3"/>
      <c r="N778" s="3">
        <v>0</v>
      </c>
      <c r="O778" s="3"/>
      <c r="P778" s="3">
        <v>0</v>
      </c>
      <c r="Q778" s="3">
        <v>0</v>
      </c>
      <c r="R778" s="3">
        <v>0</v>
      </c>
      <c r="S778" s="3">
        <v>0</v>
      </c>
      <c r="T778" s="3">
        <v>0</v>
      </c>
      <c r="U778" s="3"/>
      <c r="V778" s="3"/>
      <c r="W778" s="3"/>
      <c r="X778" s="3"/>
      <c r="Y778" s="3"/>
      <c r="Z778" s="3"/>
      <c r="AA778" s="3"/>
      <c r="AB778" s="3"/>
      <c r="AC778" s="3"/>
      <c r="AD778" s="3"/>
      <c r="AE778" s="3">
        <v>0</v>
      </c>
      <c r="AF778" s="3">
        <v>0</v>
      </c>
      <c r="AG778" s="3"/>
      <c r="AH778" s="40"/>
      <c r="AI778" s="40"/>
      <c r="AJ778" s="40"/>
      <c r="AK778" s="40"/>
      <c r="AL778" s="40"/>
      <c r="AM778" s="40"/>
      <c r="AN778" s="40"/>
      <c r="AO778" s="40"/>
      <c r="AP778" s="40"/>
      <c r="AQ778" s="40"/>
      <c r="AR778" s="31"/>
      <c r="AS778" s="36">
        <v>0</v>
      </c>
      <c r="AY778" s="6"/>
      <c r="AZ778" s="2"/>
      <c r="BA778" s="2"/>
      <c r="BB778" s="2"/>
      <c r="BC778">
        <v>71500</v>
      </c>
      <c r="BD778">
        <v>56992</v>
      </c>
    </row>
    <row r="779" spans="3:56" x14ac:dyDescent="0.25">
      <c r="C779" s="1">
        <v>46399</v>
      </c>
      <c r="D779" s="36">
        <v>249932.632258064</v>
      </c>
      <c r="E779" s="33">
        <v>4.2064516129032299</v>
      </c>
      <c r="F779" s="33">
        <v>3.4305482437275998</v>
      </c>
      <c r="G779" s="2">
        <v>0.81554444444444396</v>
      </c>
      <c r="H779" s="2">
        <v>0.99</v>
      </c>
      <c r="I779" s="3"/>
      <c r="J779" s="3"/>
      <c r="K779" s="3"/>
      <c r="L779" s="3"/>
      <c r="M779" s="3"/>
      <c r="N779" s="3">
        <v>0</v>
      </c>
      <c r="O779" s="3"/>
      <c r="P779" s="3">
        <v>0</v>
      </c>
      <c r="Q779" s="3">
        <v>0</v>
      </c>
      <c r="R779" s="3">
        <v>0</v>
      </c>
      <c r="S779" s="3">
        <v>0</v>
      </c>
      <c r="T779" s="3">
        <v>0</v>
      </c>
      <c r="U779" s="3"/>
      <c r="V779" s="3"/>
      <c r="W779" s="3"/>
      <c r="X779" s="3"/>
      <c r="Y779" s="3"/>
      <c r="Z779" s="3"/>
      <c r="AA779" s="3"/>
      <c r="AB779" s="3"/>
      <c r="AC779" s="3"/>
      <c r="AD779" s="3"/>
      <c r="AE779" s="3">
        <v>0</v>
      </c>
      <c r="AF779" s="3">
        <v>0</v>
      </c>
      <c r="AG779" s="3"/>
      <c r="AH779" s="40"/>
      <c r="AI779" s="40"/>
      <c r="AJ779" s="40"/>
      <c r="AK779" s="40"/>
      <c r="AL779" s="40"/>
      <c r="AM779" s="40"/>
      <c r="AN779" s="40"/>
      <c r="AO779" s="40"/>
      <c r="AP779" s="40"/>
      <c r="AQ779" s="40"/>
      <c r="AR779" s="31"/>
      <c r="AS779" s="36">
        <v>0</v>
      </c>
      <c r="AY779" s="6"/>
      <c r="AZ779" s="2"/>
      <c r="BA779" s="2"/>
      <c r="BB779" s="2"/>
      <c r="BC779">
        <v>71500</v>
      </c>
      <c r="BD779">
        <v>56992</v>
      </c>
    </row>
    <row r="780" spans="3:56" x14ac:dyDescent="0.25">
      <c r="C780" s="1">
        <v>46400</v>
      </c>
      <c r="D780" s="36">
        <v>249932.632258064</v>
      </c>
      <c r="E780" s="33">
        <v>4.2064516129032299</v>
      </c>
      <c r="F780" s="33">
        <v>3.4305015053763399</v>
      </c>
      <c r="G780" s="2">
        <v>0.815533333333333</v>
      </c>
      <c r="H780" s="2">
        <v>0.99</v>
      </c>
      <c r="I780" s="3"/>
      <c r="J780" s="3"/>
      <c r="K780" s="3"/>
      <c r="L780" s="3"/>
      <c r="M780" s="3"/>
      <c r="N780" s="3">
        <v>0</v>
      </c>
      <c r="O780" s="3"/>
      <c r="P780" s="3">
        <v>0</v>
      </c>
      <c r="Q780" s="3">
        <v>0</v>
      </c>
      <c r="R780" s="3">
        <v>0</v>
      </c>
      <c r="S780" s="3">
        <v>0</v>
      </c>
      <c r="T780" s="3">
        <v>0</v>
      </c>
      <c r="U780" s="3"/>
      <c r="V780" s="3"/>
      <c r="W780" s="3"/>
      <c r="X780" s="3"/>
      <c r="Y780" s="3"/>
      <c r="Z780" s="3"/>
      <c r="AA780" s="3"/>
      <c r="AB780" s="3"/>
      <c r="AC780" s="3"/>
      <c r="AD780" s="3"/>
      <c r="AE780" s="3">
        <v>0</v>
      </c>
      <c r="AF780" s="3">
        <v>0</v>
      </c>
      <c r="AG780" s="3"/>
      <c r="AH780" s="40"/>
      <c r="AI780" s="40"/>
      <c r="AJ780" s="40"/>
      <c r="AK780" s="40"/>
      <c r="AL780" s="40"/>
      <c r="AM780" s="40"/>
      <c r="AN780" s="40"/>
      <c r="AO780" s="40"/>
      <c r="AP780" s="40"/>
      <c r="AQ780" s="40"/>
      <c r="AR780" s="31"/>
      <c r="AS780" s="36">
        <v>0</v>
      </c>
      <c r="AY780" s="6"/>
      <c r="AZ780" s="2"/>
      <c r="BA780" s="2"/>
      <c r="BB780" s="2"/>
      <c r="BC780">
        <v>71500</v>
      </c>
      <c r="BD780">
        <v>56992</v>
      </c>
    </row>
    <row r="781" spans="3:56" x14ac:dyDescent="0.25">
      <c r="C781" s="1">
        <v>46401</v>
      </c>
      <c r="D781" s="36">
        <v>249932.632258064</v>
      </c>
      <c r="E781" s="33">
        <v>4.2064516129032299</v>
      </c>
      <c r="F781" s="33">
        <v>3.4304547670250898</v>
      </c>
      <c r="G781" s="2">
        <v>0.81552222222222204</v>
      </c>
      <c r="H781" s="2">
        <v>0.99</v>
      </c>
      <c r="I781" s="3"/>
      <c r="J781" s="3"/>
      <c r="K781" s="3"/>
      <c r="L781" s="3"/>
      <c r="M781" s="3"/>
      <c r="N781" s="3">
        <v>0</v>
      </c>
      <c r="O781" s="3"/>
      <c r="P781" s="3">
        <v>0</v>
      </c>
      <c r="Q781" s="3">
        <v>0</v>
      </c>
      <c r="R781" s="3">
        <v>0</v>
      </c>
      <c r="S781" s="3">
        <v>0</v>
      </c>
      <c r="T781" s="3">
        <v>0</v>
      </c>
      <c r="U781" s="3"/>
      <c r="V781" s="3"/>
      <c r="W781" s="3"/>
      <c r="X781" s="3"/>
      <c r="Y781" s="3"/>
      <c r="Z781" s="3"/>
      <c r="AA781" s="3"/>
      <c r="AB781" s="3"/>
      <c r="AC781" s="3"/>
      <c r="AD781" s="3"/>
      <c r="AE781" s="3">
        <v>0</v>
      </c>
      <c r="AF781" s="3">
        <v>0</v>
      </c>
      <c r="AG781" s="3"/>
      <c r="AH781" s="40"/>
      <c r="AI781" s="40"/>
      <c r="AJ781" s="40"/>
      <c r="AK781" s="40"/>
      <c r="AL781" s="40"/>
      <c r="AM781" s="40"/>
      <c r="AN781" s="40"/>
      <c r="AO781" s="40"/>
      <c r="AP781" s="40"/>
      <c r="AQ781" s="40"/>
      <c r="AR781" s="31"/>
      <c r="AS781" s="36">
        <v>0</v>
      </c>
      <c r="AY781" s="6"/>
      <c r="AZ781" s="2"/>
      <c r="BA781" s="2"/>
      <c r="BB781" s="2"/>
      <c r="BC781">
        <v>71500</v>
      </c>
      <c r="BD781">
        <v>56992</v>
      </c>
    </row>
    <row r="782" spans="3:56" x14ac:dyDescent="0.25">
      <c r="C782" s="1">
        <v>46402</v>
      </c>
      <c r="D782" s="36">
        <v>249932.632258064</v>
      </c>
      <c r="E782" s="33">
        <v>4.2064516129032299</v>
      </c>
      <c r="F782" s="33">
        <v>3.4304080286738401</v>
      </c>
      <c r="G782" s="2">
        <v>0.81551111111111096</v>
      </c>
      <c r="H782" s="2">
        <v>0.99</v>
      </c>
      <c r="I782" s="3"/>
      <c r="J782" s="3"/>
      <c r="K782" s="3"/>
      <c r="L782" s="3"/>
      <c r="M782" s="3"/>
      <c r="N782" s="3">
        <v>0</v>
      </c>
      <c r="O782" s="3"/>
      <c r="P782" s="3">
        <v>0</v>
      </c>
      <c r="Q782" s="3">
        <v>0</v>
      </c>
      <c r="R782" s="3">
        <v>0</v>
      </c>
      <c r="S782" s="3">
        <v>0</v>
      </c>
      <c r="T782" s="3">
        <v>0</v>
      </c>
      <c r="U782" s="3"/>
      <c r="V782" s="3"/>
      <c r="W782" s="3"/>
      <c r="X782" s="3"/>
      <c r="Y782" s="3"/>
      <c r="Z782" s="3"/>
      <c r="AA782" s="3"/>
      <c r="AB782" s="3"/>
      <c r="AC782" s="3"/>
      <c r="AD782" s="3"/>
      <c r="AE782" s="3">
        <v>0</v>
      </c>
      <c r="AF782" s="3">
        <v>0</v>
      </c>
      <c r="AG782" s="3"/>
      <c r="AH782" s="40"/>
      <c r="AI782" s="40"/>
      <c r="AJ782" s="40"/>
      <c r="AK782" s="40"/>
      <c r="AL782" s="40"/>
      <c r="AM782" s="40"/>
      <c r="AN782" s="40"/>
      <c r="AO782" s="40"/>
      <c r="AP782" s="40"/>
      <c r="AQ782" s="40"/>
      <c r="AR782" s="31"/>
      <c r="AS782" s="36">
        <v>0</v>
      </c>
      <c r="AY782" s="6"/>
      <c r="AZ782" s="2"/>
      <c r="BA782" s="2"/>
      <c r="BB782" s="2"/>
      <c r="BC782">
        <v>71500</v>
      </c>
      <c r="BD782">
        <v>56992</v>
      </c>
    </row>
    <row r="783" spans="3:56" x14ac:dyDescent="0.25">
      <c r="C783" s="1">
        <v>46403</v>
      </c>
      <c r="D783" s="36">
        <v>249932.632258064</v>
      </c>
      <c r="E783" s="33">
        <v>4.2064516129032299</v>
      </c>
      <c r="F783" s="33">
        <v>3.4303612903225802</v>
      </c>
      <c r="G783" s="2">
        <v>0.8155</v>
      </c>
      <c r="H783" s="2">
        <v>0.99</v>
      </c>
      <c r="I783" s="3"/>
      <c r="J783" s="3"/>
      <c r="K783" s="3"/>
      <c r="L783" s="3"/>
      <c r="M783" s="3"/>
      <c r="N783" s="3">
        <v>0</v>
      </c>
      <c r="O783" s="3"/>
      <c r="P783" s="3">
        <v>0</v>
      </c>
      <c r="Q783" s="3">
        <v>0</v>
      </c>
      <c r="R783" s="3">
        <v>0</v>
      </c>
      <c r="S783" s="3">
        <v>0</v>
      </c>
      <c r="T783" s="3">
        <v>0</v>
      </c>
      <c r="U783" s="3"/>
      <c r="V783" s="3"/>
      <c r="W783" s="3"/>
      <c r="X783" s="3"/>
      <c r="Y783" s="3"/>
      <c r="Z783" s="3"/>
      <c r="AA783" s="3"/>
      <c r="AB783" s="3"/>
      <c r="AC783" s="3"/>
      <c r="AD783" s="3"/>
      <c r="AE783" s="3">
        <v>0</v>
      </c>
      <c r="AF783" s="3">
        <v>0</v>
      </c>
      <c r="AG783" s="3"/>
      <c r="AH783" s="40"/>
      <c r="AI783" s="40"/>
      <c r="AJ783" s="40"/>
      <c r="AK783" s="40"/>
      <c r="AL783" s="40"/>
      <c r="AM783" s="40"/>
      <c r="AN783" s="40"/>
      <c r="AO783" s="40"/>
      <c r="AP783" s="40"/>
      <c r="AQ783" s="40"/>
      <c r="AR783" s="31"/>
      <c r="AS783" s="36">
        <v>0</v>
      </c>
      <c r="AY783" s="6"/>
      <c r="AZ783" s="2"/>
      <c r="BA783" s="2"/>
      <c r="BB783" s="2"/>
      <c r="BC783">
        <v>71500</v>
      </c>
      <c r="BD783">
        <v>56992</v>
      </c>
    </row>
    <row r="784" spans="3:56" x14ac:dyDescent="0.25">
      <c r="C784" s="1">
        <v>46404</v>
      </c>
      <c r="D784" s="36">
        <v>249932.632258064</v>
      </c>
      <c r="E784" s="33">
        <v>4.2064516129032299</v>
      </c>
      <c r="F784" s="33">
        <v>3.4303145519713301</v>
      </c>
      <c r="G784" s="2">
        <v>0.81548888888888904</v>
      </c>
      <c r="H784" s="2">
        <v>0.99</v>
      </c>
      <c r="I784" s="3"/>
      <c r="J784" s="3"/>
      <c r="K784" s="3"/>
      <c r="L784" s="3"/>
      <c r="M784" s="3"/>
      <c r="N784" s="3">
        <v>0</v>
      </c>
      <c r="O784" s="3"/>
      <c r="P784" s="3">
        <v>0</v>
      </c>
      <c r="Q784" s="3">
        <v>0</v>
      </c>
      <c r="R784" s="3">
        <v>0</v>
      </c>
      <c r="S784" s="3">
        <v>0</v>
      </c>
      <c r="T784" s="3">
        <v>0</v>
      </c>
      <c r="U784" s="3"/>
      <c r="V784" s="3"/>
      <c r="W784" s="3"/>
      <c r="X784" s="3"/>
      <c r="Y784" s="3"/>
      <c r="Z784" s="3"/>
      <c r="AA784" s="3"/>
      <c r="AB784" s="3"/>
      <c r="AC784" s="3"/>
      <c r="AD784" s="3"/>
      <c r="AE784" s="3">
        <v>0</v>
      </c>
      <c r="AF784" s="3">
        <v>0</v>
      </c>
      <c r="AG784" s="3"/>
      <c r="AH784" s="40"/>
      <c r="AI784" s="40"/>
      <c r="AJ784" s="40"/>
      <c r="AK784" s="40"/>
      <c r="AL784" s="40"/>
      <c r="AM784" s="40"/>
      <c r="AN784" s="40"/>
      <c r="AO784" s="40"/>
      <c r="AP784" s="40"/>
      <c r="AQ784" s="40"/>
      <c r="AR784" s="31"/>
      <c r="AS784" s="36">
        <v>0</v>
      </c>
      <c r="AY784" s="6"/>
      <c r="AZ784" s="2"/>
      <c r="BA784" s="2"/>
      <c r="BB784" s="2"/>
      <c r="BC784">
        <v>71500</v>
      </c>
      <c r="BD784">
        <v>56992</v>
      </c>
    </row>
    <row r="785" spans="3:56" x14ac:dyDescent="0.25">
      <c r="C785" s="1">
        <v>46405</v>
      </c>
      <c r="D785" s="36">
        <v>249932.632258064</v>
      </c>
      <c r="E785" s="33">
        <v>4.2064516129032299</v>
      </c>
      <c r="F785" s="33">
        <v>3.4302678136200702</v>
      </c>
      <c r="G785" s="2">
        <v>0.81547777777777797</v>
      </c>
      <c r="H785" s="2">
        <v>0.99</v>
      </c>
      <c r="I785" s="3"/>
      <c r="J785" s="3"/>
      <c r="K785" s="3"/>
      <c r="L785" s="3"/>
      <c r="M785" s="3"/>
      <c r="N785" s="3">
        <v>0</v>
      </c>
      <c r="O785" s="3"/>
      <c r="P785" s="3">
        <v>0</v>
      </c>
      <c r="Q785" s="3">
        <v>0</v>
      </c>
      <c r="R785" s="3">
        <v>0</v>
      </c>
      <c r="S785" s="3">
        <v>0</v>
      </c>
      <c r="T785" s="3">
        <v>0</v>
      </c>
      <c r="U785" s="3"/>
      <c r="V785" s="3"/>
      <c r="W785" s="3"/>
      <c r="X785" s="3"/>
      <c r="Y785" s="3"/>
      <c r="Z785" s="3"/>
      <c r="AA785" s="3"/>
      <c r="AB785" s="3"/>
      <c r="AC785" s="3"/>
      <c r="AD785" s="3"/>
      <c r="AE785" s="3">
        <v>0</v>
      </c>
      <c r="AF785" s="3">
        <v>0</v>
      </c>
      <c r="AG785" s="3"/>
      <c r="AH785" s="40"/>
      <c r="AI785" s="40"/>
      <c r="AJ785" s="40"/>
      <c r="AK785" s="40"/>
      <c r="AL785" s="40"/>
      <c r="AM785" s="40"/>
      <c r="AN785" s="40"/>
      <c r="AO785" s="40"/>
      <c r="AP785" s="40"/>
      <c r="AQ785" s="40"/>
      <c r="AR785" s="31"/>
      <c r="AS785" s="36">
        <v>0</v>
      </c>
      <c r="AY785" s="6"/>
      <c r="AZ785" s="2"/>
      <c r="BA785" s="2"/>
      <c r="BB785" s="2"/>
      <c r="BC785">
        <v>71500</v>
      </c>
      <c r="BD785">
        <v>56992</v>
      </c>
    </row>
    <row r="786" spans="3:56" x14ac:dyDescent="0.25">
      <c r="C786" s="1">
        <v>46406</v>
      </c>
      <c r="D786" s="36">
        <v>249932.632258064</v>
      </c>
      <c r="E786" s="33">
        <v>4.2064516129032299</v>
      </c>
      <c r="F786" s="33">
        <v>3.43022107526882</v>
      </c>
      <c r="G786" s="2">
        <v>0.81546666666666701</v>
      </c>
      <c r="H786" s="2">
        <v>0.99</v>
      </c>
      <c r="I786" s="3"/>
      <c r="J786" s="3"/>
      <c r="K786" s="3"/>
      <c r="L786" s="3"/>
      <c r="M786" s="3"/>
      <c r="N786" s="3">
        <v>0</v>
      </c>
      <c r="O786" s="3"/>
      <c r="P786" s="3">
        <v>0</v>
      </c>
      <c r="Q786" s="3">
        <v>0</v>
      </c>
      <c r="R786" s="3">
        <v>0</v>
      </c>
      <c r="S786" s="3">
        <v>0</v>
      </c>
      <c r="T786" s="3">
        <v>0</v>
      </c>
      <c r="U786" s="3"/>
      <c r="V786" s="3"/>
      <c r="W786" s="3"/>
      <c r="X786" s="3"/>
      <c r="Y786" s="3"/>
      <c r="Z786" s="3"/>
      <c r="AA786" s="3"/>
      <c r="AB786" s="3"/>
      <c r="AC786" s="3"/>
      <c r="AD786" s="3"/>
      <c r="AE786" s="3">
        <v>0</v>
      </c>
      <c r="AF786" s="3">
        <v>0</v>
      </c>
      <c r="AG786" s="3"/>
      <c r="AH786" s="40"/>
      <c r="AI786" s="40"/>
      <c r="AJ786" s="40"/>
      <c r="AK786" s="40"/>
      <c r="AL786" s="40"/>
      <c r="AM786" s="40"/>
      <c r="AN786" s="40"/>
      <c r="AO786" s="40"/>
      <c r="AP786" s="40"/>
      <c r="AQ786" s="40"/>
      <c r="AR786" s="31"/>
      <c r="AS786" s="36">
        <v>0</v>
      </c>
      <c r="AY786" s="6"/>
      <c r="AZ786" s="2"/>
      <c r="BA786" s="2"/>
      <c r="BB786" s="2"/>
      <c r="BC786">
        <v>71500</v>
      </c>
      <c r="BD786">
        <v>56992</v>
      </c>
    </row>
    <row r="787" spans="3:56" x14ac:dyDescent="0.25">
      <c r="C787" s="1">
        <v>46407</v>
      </c>
      <c r="D787" s="36">
        <v>249932.632258064</v>
      </c>
      <c r="E787" s="33">
        <v>4.2064516129032299</v>
      </c>
      <c r="F787" s="33">
        <v>3.4301743369175601</v>
      </c>
      <c r="G787" s="2">
        <v>0.81545555555555505</v>
      </c>
      <c r="H787" s="2">
        <v>0.99</v>
      </c>
      <c r="I787" s="3"/>
      <c r="J787" s="3"/>
      <c r="K787" s="3"/>
      <c r="L787" s="3"/>
      <c r="M787" s="3"/>
      <c r="N787" s="3">
        <v>0</v>
      </c>
      <c r="O787" s="3"/>
      <c r="P787" s="3">
        <v>0</v>
      </c>
      <c r="Q787" s="3">
        <v>0</v>
      </c>
      <c r="R787" s="3">
        <v>0</v>
      </c>
      <c r="S787" s="3">
        <v>0</v>
      </c>
      <c r="T787" s="3">
        <v>0</v>
      </c>
      <c r="U787" s="3"/>
      <c r="V787" s="3"/>
      <c r="W787" s="3"/>
      <c r="X787" s="3"/>
      <c r="Y787" s="3"/>
      <c r="Z787" s="3"/>
      <c r="AA787" s="3"/>
      <c r="AB787" s="3"/>
      <c r="AC787" s="3"/>
      <c r="AD787" s="3"/>
      <c r="AE787" s="3">
        <v>0</v>
      </c>
      <c r="AF787" s="3">
        <v>0</v>
      </c>
      <c r="AG787" s="3"/>
      <c r="AH787" s="40"/>
      <c r="AI787" s="40"/>
      <c r="AJ787" s="40"/>
      <c r="AK787" s="40"/>
      <c r="AL787" s="40"/>
      <c r="AM787" s="40"/>
      <c r="AN787" s="40"/>
      <c r="AO787" s="40"/>
      <c r="AP787" s="40"/>
      <c r="AQ787" s="40"/>
      <c r="AR787" s="31"/>
      <c r="AS787" s="36">
        <v>0</v>
      </c>
      <c r="AY787" s="6"/>
      <c r="AZ787" s="2"/>
      <c r="BA787" s="2"/>
      <c r="BB787" s="2"/>
      <c r="BC787">
        <v>71500</v>
      </c>
      <c r="BD787">
        <v>56992</v>
      </c>
    </row>
    <row r="788" spans="3:56" x14ac:dyDescent="0.25">
      <c r="C788" s="1">
        <v>46408</v>
      </c>
      <c r="D788" s="36">
        <v>249932.632258064</v>
      </c>
      <c r="E788" s="33">
        <v>4.2064516129032299</v>
      </c>
      <c r="F788" s="33">
        <v>3.43012759856631</v>
      </c>
      <c r="G788" s="2">
        <v>0.81544444444444397</v>
      </c>
      <c r="H788" s="2">
        <v>0.99</v>
      </c>
      <c r="I788" s="3"/>
      <c r="J788" s="3"/>
      <c r="K788" s="3"/>
      <c r="L788" s="3"/>
      <c r="M788" s="3"/>
      <c r="N788" s="3">
        <v>0</v>
      </c>
      <c r="O788" s="3"/>
      <c r="P788" s="3">
        <v>0</v>
      </c>
      <c r="Q788" s="3">
        <v>0</v>
      </c>
      <c r="R788" s="3">
        <v>0</v>
      </c>
      <c r="S788" s="3">
        <v>0</v>
      </c>
      <c r="T788" s="3">
        <v>0</v>
      </c>
      <c r="U788" s="3"/>
      <c r="V788" s="3"/>
      <c r="W788" s="3"/>
      <c r="X788" s="3"/>
      <c r="Y788" s="3"/>
      <c r="Z788" s="3"/>
      <c r="AA788" s="3"/>
      <c r="AB788" s="3"/>
      <c r="AC788" s="3"/>
      <c r="AD788" s="3"/>
      <c r="AE788" s="3">
        <v>0</v>
      </c>
      <c r="AF788" s="3">
        <v>0</v>
      </c>
      <c r="AG788" s="3"/>
      <c r="AH788" s="40"/>
      <c r="AI788" s="40"/>
      <c r="AJ788" s="40"/>
      <c r="AK788" s="40"/>
      <c r="AL788" s="40"/>
      <c r="AM788" s="40"/>
      <c r="AN788" s="40"/>
      <c r="AO788" s="40"/>
      <c r="AP788" s="40"/>
      <c r="AQ788" s="40"/>
      <c r="AR788" s="31"/>
      <c r="AS788" s="36">
        <v>0</v>
      </c>
      <c r="AY788" s="6"/>
      <c r="AZ788" s="2"/>
      <c r="BA788" s="2"/>
      <c r="BB788" s="2"/>
      <c r="BC788">
        <v>71500</v>
      </c>
      <c r="BD788">
        <v>56992</v>
      </c>
    </row>
    <row r="789" spans="3:56" x14ac:dyDescent="0.25">
      <c r="C789" s="1">
        <v>46409</v>
      </c>
      <c r="D789" s="36">
        <v>249932.632258064</v>
      </c>
      <c r="E789" s="33">
        <v>4.2064516129032299</v>
      </c>
      <c r="F789" s="33">
        <v>3.4300808602150501</v>
      </c>
      <c r="G789" s="2">
        <v>0.81543333333333301</v>
      </c>
      <c r="H789" s="2">
        <v>0.99</v>
      </c>
      <c r="I789" s="3"/>
      <c r="J789" s="3"/>
      <c r="K789" s="3"/>
      <c r="L789" s="3"/>
      <c r="M789" s="3"/>
      <c r="N789" s="3">
        <v>0</v>
      </c>
      <c r="O789" s="3"/>
      <c r="P789" s="3">
        <v>0</v>
      </c>
      <c r="Q789" s="3">
        <v>0</v>
      </c>
      <c r="R789" s="3">
        <v>0</v>
      </c>
      <c r="S789" s="3">
        <v>0</v>
      </c>
      <c r="T789" s="3">
        <v>0</v>
      </c>
      <c r="U789" s="3"/>
      <c r="V789" s="3"/>
      <c r="W789" s="3"/>
      <c r="X789" s="3"/>
      <c r="Y789" s="3"/>
      <c r="Z789" s="3"/>
      <c r="AA789" s="3"/>
      <c r="AB789" s="3"/>
      <c r="AC789" s="3"/>
      <c r="AD789" s="3"/>
      <c r="AE789" s="3">
        <v>0</v>
      </c>
      <c r="AF789" s="3">
        <v>0</v>
      </c>
      <c r="AG789" s="3"/>
      <c r="AH789" s="40"/>
      <c r="AI789" s="40"/>
      <c r="AJ789" s="40"/>
      <c r="AK789" s="40"/>
      <c r="AL789" s="40"/>
      <c r="AM789" s="40"/>
      <c r="AN789" s="40"/>
      <c r="AO789" s="40"/>
      <c r="AP789" s="40"/>
      <c r="AQ789" s="40"/>
      <c r="AR789" s="31"/>
      <c r="AS789" s="36">
        <v>0</v>
      </c>
      <c r="AY789" s="6"/>
      <c r="AZ789" s="2"/>
      <c r="BA789" s="2"/>
      <c r="BB789" s="2"/>
      <c r="BC789">
        <v>71500</v>
      </c>
      <c r="BD789">
        <v>56992</v>
      </c>
    </row>
    <row r="790" spans="3:56" x14ac:dyDescent="0.25">
      <c r="C790" s="1">
        <v>46410</v>
      </c>
      <c r="D790" s="36">
        <v>249932.632258064</v>
      </c>
      <c r="E790" s="33">
        <v>4.2064516129032299</v>
      </c>
      <c r="F790" s="33">
        <v>3.4300341218638</v>
      </c>
      <c r="G790" s="2">
        <v>0.81542222222222205</v>
      </c>
      <c r="H790" s="2">
        <v>0.99</v>
      </c>
      <c r="I790" s="3"/>
      <c r="J790" s="3"/>
      <c r="K790" s="3"/>
      <c r="L790" s="3"/>
      <c r="M790" s="3"/>
      <c r="N790" s="3">
        <v>0</v>
      </c>
      <c r="O790" s="3"/>
      <c r="P790" s="3">
        <v>0</v>
      </c>
      <c r="Q790" s="3">
        <v>0</v>
      </c>
      <c r="R790" s="3">
        <v>0</v>
      </c>
      <c r="S790" s="3">
        <v>0</v>
      </c>
      <c r="T790" s="3">
        <v>0</v>
      </c>
      <c r="U790" s="3"/>
      <c r="V790" s="3"/>
      <c r="W790" s="3"/>
      <c r="X790" s="3"/>
      <c r="Y790" s="3"/>
      <c r="Z790" s="3"/>
      <c r="AA790" s="3"/>
      <c r="AB790" s="3"/>
      <c r="AC790" s="3"/>
      <c r="AD790" s="3"/>
      <c r="AE790" s="3">
        <v>0</v>
      </c>
      <c r="AF790" s="3">
        <v>0</v>
      </c>
      <c r="AG790" s="3"/>
      <c r="AH790" s="40"/>
      <c r="AI790" s="40"/>
      <c r="AJ790" s="40"/>
      <c r="AK790" s="40"/>
      <c r="AL790" s="40"/>
      <c r="AM790" s="40"/>
      <c r="AN790" s="40"/>
      <c r="AO790" s="40"/>
      <c r="AP790" s="40"/>
      <c r="AQ790" s="40"/>
      <c r="AR790" s="31"/>
      <c r="AS790" s="36">
        <v>0</v>
      </c>
      <c r="AY790" s="6"/>
      <c r="AZ790" s="2"/>
      <c r="BA790" s="2"/>
      <c r="BB790" s="2"/>
      <c r="BC790">
        <v>71500</v>
      </c>
      <c r="BD790">
        <v>56992</v>
      </c>
    </row>
    <row r="791" spans="3:56" x14ac:dyDescent="0.25">
      <c r="C791" s="1">
        <v>46411</v>
      </c>
      <c r="D791" s="36">
        <v>249932.632258064</v>
      </c>
      <c r="E791" s="33">
        <v>4.2064516129032299</v>
      </c>
      <c r="F791" s="33">
        <v>3.4299873835125401</v>
      </c>
      <c r="G791" s="2">
        <v>0.81541111111111098</v>
      </c>
      <c r="H791" s="2">
        <v>0.99</v>
      </c>
      <c r="I791" s="3"/>
      <c r="J791" s="3"/>
      <c r="K791" s="3"/>
      <c r="L791" s="3"/>
      <c r="M791" s="3"/>
      <c r="N791" s="3">
        <v>0</v>
      </c>
      <c r="O791" s="3"/>
      <c r="P791" s="3">
        <v>0</v>
      </c>
      <c r="Q791" s="3">
        <v>0</v>
      </c>
      <c r="R791" s="3">
        <v>0</v>
      </c>
      <c r="S791" s="3">
        <v>0</v>
      </c>
      <c r="T791" s="3">
        <v>0</v>
      </c>
      <c r="U791" s="3"/>
      <c r="V791" s="3"/>
      <c r="W791" s="3"/>
      <c r="X791" s="3"/>
      <c r="Y791" s="3"/>
      <c r="Z791" s="3"/>
      <c r="AA791" s="3"/>
      <c r="AB791" s="3"/>
      <c r="AC791" s="3"/>
      <c r="AD791" s="3"/>
      <c r="AE791" s="3">
        <v>0</v>
      </c>
      <c r="AF791" s="3">
        <v>0</v>
      </c>
      <c r="AG791" s="3"/>
      <c r="AH791" s="40"/>
      <c r="AI791" s="40"/>
      <c r="AJ791" s="40"/>
      <c r="AK791" s="40"/>
      <c r="AL791" s="40"/>
      <c r="AM791" s="40"/>
      <c r="AN791" s="40"/>
      <c r="AO791" s="40"/>
      <c r="AP791" s="40"/>
      <c r="AQ791" s="40"/>
      <c r="AR791" s="31"/>
      <c r="AS791" s="36">
        <v>0</v>
      </c>
      <c r="AY791" s="6"/>
      <c r="AZ791" s="2"/>
      <c r="BA791" s="2"/>
      <c r="BB791" s="2"/>
      <c r="BC791">
        <v>71500</v>
      </c>
      <c r="BD791">
        <v>56992</v>
      </c>
    </row>
    <row r="792" spans="3:56" x14ac:dyDescent="0.25">
      <c r="C792" s="1">
        <v>46412</v>
      </c>
      <c r="D792" s="36">
        <v>249932.632258064</v>
      </c>
      <c r="E792" s="33">
        <v>4.2064516129032299</v>
      </c>
      <c r="F792" s="33">
        <v>3.4299406451612899</v>
      </c>
      <c r="G792" s="2">
        <v>0.81540000000000001</v>
      </c>
      <c r="H792" s="2">
        <v>0.99</v>
      </c>
      <c r="I792" s="3"/>
      <c r="J792" s="3"/>
      <c r="K792" s="3"/>
      <c r="L792" s="3"/>
      <c r="M792" s="3"/>
      <c r="N792" s="3">
        <v>0</v>
      </c>
      <c r="O792" s="3"/>
      <c r="P792" s="3">
        <v>0</v>
      </c>
      <c r="Q792" s="3">
        <v>0</v>
      </c>
      <c r="R792" s="3">
        <v>0</v>
      </c>
      <c r="S792" s="3">
        <v>0</v>
      </c>
      <c r="T792" s="3">
        <v>0</v>
      </c>
      <c r="U792" s="3"/>
      <c r="V792" s="3"/>
      <c r="W792" s="3"/>
      <c r="X792" s="3"/>
      <c r="Y792" s="3"/>
      <c r="Z792" s="3"/>
      <c r="AA792" s="3"/>
      <c r="AB792" s="3"/>
      <c r="AC792" s="3"/>
      <c r="AD792" s="3"/>
      <c r="AE792" s="3">
        <v>0</v>
      </c>
      <c r="AF792" s="3">
        <v>0</v>
      </c>
      <c r="AG792" s="3"/>
      <c r="AH792" s="40"/>
      <c r="AI792" s="40"/>
      <c r="AJ792" s="40"/>
      <c r="AK792" s="40"/>
      <c r="AL792" s="40"/>
      <c r="AM792" s="40"/>
      <c r="AN792" s="40"/>
      <c r="AO792" s="40"/>
      <c r="AP792" s="40"/>
      <c r="AQ792" s="40"/>
      <c r="AR792" s="31"/>
      <c r="AS792" s="36">
        <v>0</v>
      </c>
      <c r="AY792" s="6"/>
      <c r="AZ792" s="2"/>
      <c r="BA792" s="2"/>
      <c r="BB792" s="2"/>
      <c r="BC792">
        <v>71500</v>
      </c>
      <c r="BD792">
        <v>56992</v>
      </c>
    </row>
    <row r="793" spans="3:56" x14ac:dyDescent="0.25">
      <c r="C793" s="1">
        <v>46413</v>
      </c>
      <c r="D793" s="36">
        <v>249932.632258064</v>
      </c>
      <c r="E793" s="33">
        <v>4.2064516129032299</v>
      </c>
      <c r="F793" s="33">
        <v>3.4298939068100398</v>
      </c>
      <c r="G793" s="2">
        <v>0.81538888888888905</v>
      </c>
      <c r="H793" s="2">
        <v>0.99</v>
      </c>
      <c r="I793" s="3"/>
      <c r="J793" s="3"/>
      <c r="K793" s="3"/>
      <c r="L793" s="3"/>
      <c r="M793" s="3"/>
      <c r="N793" s="3">
        <v>0</v>
      </c>
      <c r="O793" s="3"/>
      <c r="P793" s="3">
        <v>0</v>
      </c>
      <c r="Q793" s="3">
        <v>0</v>
      </c>
      <c r="R793" s="3">
        <v>0</v>
      </c>
      <c r="S793" s="3">
        <v>0</v>
      </c>
      <c r="T793" s="3">
        <v>0</v>
      </c>
      <c r="U793" s="3"/>
      <c r="V793" s="3"/>
      <c r="W793" s="3"/>
      <c r="X793" s="3"/>
      <c r="Y793" s="3"/>
      <c r="Z793" s="3"/>
      <c r="AA793" s="3"/>
      <c r="AB793" s="3"/>
      <c r="AC793" s="3"/>
      <c r="AD793" s="3"/>
      <c r="AE793" s="3">
        <v>0</v>
      </c>
      <c r="AF793" s="3">
        <v>0</v>
      </c>
      <c r="AG793" s="3"/>
      <c r="AH793" s="40"/>
      <c r="AI793" s="40"/>
      <c r="AJ793" s="40"/>
      <c r="AK793" s="40"/>
      <c r="AL793" s="40"/>
      <c r="AM793" s="40"/>
      <c r="AN793" s="40"/>
      <c r="AO793" s="40"/>
      <c r="AP793" s="40"/>
      <c r="AQ793" s="40"/>
      <c r="AR793" s="31"/>
      <c r="AS793" s="36">
        <v>0</v>
      </c>
      <c r="AY793" s="6"/>
      <c r="AZ793" s="2"/>
      <c r="BA793" s="2"/>
      <c r="BB793" s="2"/>
      <c r="BC793">
        <v>71500</v>
      </c>
      <c r="BD793">
        <v>56992</v>
      </c>
    </row>
    <row r="794" spans="3:56" x14ac:dyDescent="0.25">
      <c r="C794" s="1">
        <v>46414</v>
      </c>
      <c r="D794" s="36">
        <v>249932.632258064</v>
      </c>
      <c r="E794" s="33">
        <v>4.2064516129032299</v>
      </c>
      <c r="F794" s="33">
        <v>3.4298471684587799</v>
      </c>
      <c r="G794" s="2">
        <v>0.81537777777777798</v>
      </c>
      <c r="H794" s="2">
        <v>0.99</v>
      </c>
      <c r="I794" s="3"/>
      <c r="J794" s="3"/>
      <c r="K794" s="3"/>
      <c r="L794" s="3"/>
      <c r="M794" s="3"/>
      <c r="N794" s="3">
        <v>0</v>
      </c>
      <c r="O794" s="3"/>
      <c r="P794" s="3">
        <v>0</v>
      </c>
      <c r="Q794" s="3">
        <v>0</v>
      </c>
      <c r="R794" s="3">
        <v>0</v>
      </c>
      <c r="S794" s="3">
        <v>0</v>
      </c>
      <c r="T794" s="3">
        <v>0</v>
      </c>
      <c r="U794" s="3"/>
      <c r="V794" s="3"/>
      <c r="W794" s="3"/>
      <c r="X794" s="3"/>
      <c r="Y794" s="3"/>
      <c r="Z794" s="3"/>
      <c r="AA794" s="3"/>
      <c r="AB794" s="3"/>
      <c r="AC794" s="3"/>
      <c r="AD794" s="3"/>
      <c r="AE794" s="3">
        <v>0</v>
      </c>
      <c r="AF794" s="3">
        <v>0</v>
      </c>
      <c r="AG794" s="3"/>
      <c r="AH794" s="40"/>
      <c r="AI794" s="40"/>
      <c r="AJ794" s="40"/>
      <c r="AK794" s="40"/>
      <c r="AL794" s="40"/>
      <c r="AM794" s="40"/>
      <c r="AN794" s="40"/>
      <c r="AO794" s="40"/>
      <c r="AP794" s="40"/>
      <c r="AQ794" s="40"/>
      <c r="AR794" s="31"/>
      <c r="AS794" s="36">
        <v>0</v>
      </c>
      <c r="AY794" s="6"/>
      <c r="AZ794" s="2"/>
      <c r="BA794" s="2"/>
      <c r="BB794" s="2"/>
      <c r="BC794">
        <v>71500</v>
      </c>
      <c r="BD794">
        <v>56992</v>
      </c>
    </row>
    <row r="795" spans="3:56" x14ac:dyDescent="0.25">
      <c r="C795" s="1">
        <v>46415</v>
      </c>
      <c r="D795" s="36">
        <v>249932.632258064</v>
      </c>
      <c r="E795" s="33">
        <v>4.2064516129032299</v>
      </c>
      <c r="F795" s="33">
        <v>3.4298004301075302</v>
      </c>
      <c r="G795" s="2">
        <v>0.81536666666666702</v>
      </c>
      <c r="H795" s="2">
        <v>0.99</v>
      </c>
      <c r="I795" s="3"/>
      <c r="J795" s="3"/>
      <c r="K795" s="3"/>
      <c r="L795" s="3"/>
      <c r="M795" s="3"/>
      <c r="N795" s="3">
        <v>0</v>
      </c>
      <c r="O795" s="3"/>
      <c r="P795" s="3">
        <v>0</v>
      </c>
      <c r="Q795" s="3">
        <v>0</v>
      </c>
      <c r="R795" s="3">
        <v>0</v>
      </c>
      <c r="S795" s="3">
        <v>0</v>
      </c>
      <c r="T795" s="3">
        <v>0</v>
      </c>
      <c r="U795" s="3"/>
      <c r="V795" s="3"/>
      <c r="W795" s="3"/>
      <c r="X795" s="3"/>
      <c r="Y795" s="3"/>
      <c r="Z795" s="3"/>
      <c r="AA795" s="3"/>
      <c r="AB795" s="3"/>
      <c r="AC795" s="3"/>
      <c r="AD795" s="3"/>
      <c r="AE795" s="3">
        <v>0</v>
      </c>
      <c r="AF795" s="3">
        <v>0</v>
      </c>
      <c r="AG795" s="3"/>
      <c r="AH795" s="40"/>
      <c r="AI795" s="40"/>
      <c r="AJ795" s="40"/>
      <c r="AK795" s="40"/>
      <c r="AL795" s="40"/>
      <c r="AM795" s="40"/>
      <c r="AN795" s="40"/>
      <c r="AO795" s="40"/>
      <c r="AP795" s="40"/>
      <c r="AQ795" s="40"/>
      <c r="AR795" s="31"/>
      <c r="AS795" s="36">
        <v>0</v>
      </c>
      <c r="AY795" s="6"/>
      <c r="AZ795" s="2"/>
      <c r="BA795" s="2"/>
      <c r="BB795" s="2"/>
      <c r="BC795">
        <v>71500</v>
      </c>
      <c r="BD795">
        <v>56992</v>
      </c>
    </row>
    <row r="796" spans="3:56" x14ac:dyDescent="0.25">
      <c r="C796" s="1">
        <v>46416</v>
      </c>
      <c r="D796" s="36">
        <v>249932.632258064</v>
      </c>
      <c r="E796" s="33">
        <v>4.2064516129032299</v>
      </c>
      <c r="F796" s="33">
        <v>3.4297536917562699</v>
      </c>
      <c r="G796" s="2">
        <v>0.81535555555555606</v>
      </c>
      <c r="H796" s="2">
        <v>0.99</v>
      </c>
      <c r="I796" s="3"/>
      <c r="J796" s="3"/>
      <c r="K796" s="3"/>
      <c r="L796" s="3"/>
      <c r="M796" s="3"/>
      <c r="N796" s="3">
        <v>0</v>
      </c>
      <c r="O796" s="3"/>
      <c r="P796" s="3">
        <v>0</v>
      </c>
      <c r="Q796" s="3">
        <v>0</v>
      </c>
      <c r="R796" s="3">
        <v>0</v>
      </c>
      <c r="S796" s="3">
        <v>0</v>
      </c>
      <c r="T796" s="3">
        <v>0</v>
      </c>
      <c r="U796" s="3"/>
      <c r="V796" s="3"/>
      <c r="W796" s="3"/>
      <c r="X796" s="3"/>
      <c r="Y796" s="3"/>
      <c r="Z796" s="3"/>
      <c r="AA796" s="3"/>
      <c r="AB796" s="3"/>
      <c r="AC796" s="3"/>
      <c r="AD796" s="3"/>
      <c r="AE796" s="3">
        <v>0</v>
      </c>
      <c r="AF796" s="3">
        <v>0</v>
      </c>
      <c r="AG796" s="3"/>
      <c r="AH796" s="40"/>
      <c r="AI796" s="40"/>
      <c r="AJ796" s="40"/>
      <c r="AK796" s="40"/>
      <c r="AL796" s="40"/>
      <c r="AM796" s="40"/>
      <c r="AN796" s="40"/>
      <c r="AO796" s="40"/>
      <c r="AP796" s="40"/>
      <c r="AQ796" s="40"/>
      <c r="AR796" s="31"/>
      <c r="AS796" s="36">
        <v>0</v>
      </c>
      <c r="AY796" s="6"/>
      <c r="AZ796" s="2"/>
      <c r="BA796" s="2"/>
      <c r="BB796" s="2"/>
      <c r="BC796">
        <v>71500</v>
      </c>
      <c r="BD796">
        <v>56992</v>
      </c>
    </row>
    <row r="797" spans="3:56" x14ac:dyDescent="0.25">
      <c r="C797" s="1">
        <v>46417</v>
      </c>
      <c r="D797" s="36">
        <v>249932.632258064</v>
      </c>
      <c r="E797" s="33">
        <v>4.2064516129032299</v>
      </c>
      <c r="F797" s="33">
        <v>3.4297069534050202</v>
      </c>
      <c r="G797" s="2">
        <v>0.81534444444444398</v>
      </c>
      <c r="H797" s="2">
        <v>0.99</v>
      </c>
      <c r="I797" s="3"/>
      <c r="J797" s="3"/>
      <c r="K797" s="3"/>
      <c r="L797" s="3"/>
      <c r="M797" s="3"/>
      <c r="N797" s="3">
        <v>0</v>
      </c>
      <c r="O797" s="3"/>
      <c r="P797" s="3">
        <v>0</v>
      </c>
      <c r="Q797" s="3">
        <v>0</v>
      </c>
      <c r="R797" s="3">
        <v>0</v>
      </c>
      <c r="S797" s="3">
        <v>0</v>
      </c>
      <c r="T797" s="3">
        <v>0</v>
      </c>
      <c r="U797" s="3"/>
      <c r="V797" s="3"/>
      <c r="W797" s="3"/>
      <c r="X797" s="3"/>
      <c r="Y797" s="3"/>
      <c r="Z797" s="3"/>
      <c r="AA797" s="3"/>
      <c r="AB797" s="3"/>
      <c r="AC797" s="3"/>
      <c r="AD797" s="3"/>
      <c r="AE797" s="3">
        <v>0</v>
      </c>
      <c r="AF797" s="3">
        <v>0</v>
      </c>
      <c r="AG797" s="3"/>
      <c r="AH797" s="40"/>
      <c r="AI797" s="40"/>
      <c r="AJ797" s="40"/>
      <c r="AK797" s="40"/>
      <c r="AL797" s="40"/>
      <c r="AM797" s="40"/>
      <c r="AN797" s="40"/>
      <c r="AO797" s="40"/>
      <c r="AP797" s="40"/>
      <c r="AQ797" s="40"/>
      <c r="AR797" s="31"/>
      <c r="AS797" s="36">
        <v>0</v>
      </c>
      <c r="AY797" s="6"/>
      <c r="AZ797" s="2"/>
      <c r="BA797" s="2"/>
      <c r="BB797" s="2"/>
      <c r="BC797">
        <v>71500</v>
      </c>
      <c r="BD797">
        <v>56992</v>
      </c>
    </row>
    <row r="798" spans="3:56" x14ac:dyDescent="0.25">
      <c r="C798" s="1">
        <v>46418</v>
      </c>
      <c r="D798" s="36">
        <v>249932.632258064</v>
      </c>
      <c r="E798" s="33">
        <v>4.2064516129032299</v>
      </c>
      <c r="F798" s="33">
        <v>3.4296602150537598</v>
      </c>
      <c r="G798" s="2">
        <v>0.81533333333333302</v>
      </c>
      <c r="H798" s="2">
        <v>0.99</v>
      </c>
      <c r="I798" s="3"/>
      <c r="J798" s="3"/>
      <c r="K798" s="3"/>
      <c r="L798" s="3"/>
      <c r="M798" s="3"/>
      <c r="N798" s="3">
        <v>0</v>
      </c>
      <c r="O798" s="3"/>
      <c r="P798" s="3">
        <v>0</v>
      </c>
      <c r="Q798" s="3">
        <v>0</v>
      </c>
      <c r="R798" s="3">
        <v>0</v>
      </c>
      <c r="S798" s="3">
        <v>0</v>
      </c>
      <c r="T798" s="3">
        <v>0</v>
      </c>
      <c r="U798" s="3"/>
      <c r="V798" s="3"/>
      <c r="W798" s="3"/>
      <c r="X798" s="3"/>
      <c r="Y798" s="3"/>
      <c r="Z798" s="3"/>
      <c r="AA798" s="3"/>
      <c r="AB798" s="3"/>
      <c r="AC798" s="3"/>
      <c r="AD798" s="3"/>
      <c r="AE798" s="3">
        <v>0</v>
      </c>
      <c r="AF798" s="3">
        <v>0</v>
      </c>
      <c r="AG798" s="3"/>
      <c r="AH798" s="40"/>
      <c r="AI798" s="40"/>
      <c r="AJ798" s="40"/>
      <c r="AK798" s="40"/>
      <c r="AL798" s="40"/>
      <c r="AM798" s="40"/>
      <c r="AN798" s="40"/>
      <c r="AO798" s="40"/>
      <c r="AP798" s="40"/>
      <c r="AQ798" s="40"/>
      <c r="AR798" s="31"/>
      <c r="AS798" s="36">
        <v>0</v>
      </c>
      <c r="AY798" s="6"/>
      <c r="AZ798" s="2"/>
      <c r="BA798" s="2"/>
      <c r="BB798" s="2"/>
      <c r="BC798">
        <v>71500</v>
      </c>
      <c r="BD798">
        <v>56992</v>
      </c>
    </row>
    <row r="799" spans="3:56" x14ac:dyDescent="0.25">
      <c r="C799" s="1">
        <v>46419</v>
      </c>
      <c r="D799" s="36">
        <v>266565.27857142902</v>
      </c>
      <c r="E799" s="33">
        <v>4.5857142857142899</v>
      </c>
      <c r="F799" s="33">
        <v>3.7388857142857099</v>
      </c>
      <c r="G799" s="2">
        <v>0.81533333333333302</v>
      </c>
      <c r="H799" s="2">
        <v>0.99</v>
      </c>
      <c r="I799" s="3"/>
      <c r="J799" s="3"/>
      <c r="K799" s="3"/>
      <c r="L799" s="3"/>
      <c r="M799" s="3"/>
      <c r="N799" s="3">
        <v>0</v>
      </c>
      <c r="O799" s="3"/>
      <c r="P799" s="3">
        <v>0</v>
      </c>
      <c r="Q799" s="3">
        <v>0</v>
      </c>
      <c r="R799" s="3">
        <v>0</v>
      </c>
      <c r="S799" s="3">
        <v>0</v>
      </c>
      <c r="T799" s="3">
        <v>0</v>
      </c>
      <c r="U799" s="3"/>
      <c r="V799" s="3"/>
      <c r="W799" s="3"/>
      <c r="X799" s="3"/>
      <c r="Y799" s="3"/>
      <c r="Z799" s="3"/>
      <c r="AA799" s="3"/>
      <c r="AB799" s="3"/>
      <c r="AC799" s="3"/>
      <c r="AD799" s="3"/>
      <c r="AE799" s="3">
        <v>0</v>
      </c>
      <c r="AF799" s="3">
        <v>0</v>
      </c>
      <c r="AG799" s="3"/>
      <c r="AH799" s="40"/>
      <c r="AI799" s="40"/>
      <c r="AJ799" s="40"/>
      <c r="AK799" s="40"/>
      <c r="AL799" s="40"/>
      <c r="AM799" s="40"/>
      <c r="AN799" s="40"/>
      <c r="AO799" s="40"/>
      <c r="AP799" s="40"/>
      <c r="AQ799" s="40"/>
      <c r="AR799" s="31"/>
      <c r="AS799" s="36">
        <v>0</v>
      </c>
      <c r="AY799" s="6"/>
      <c r="AZ799" s="2"/>
      <c r="BA799" s="2"/>
      <c r="BB799" s="2"/>
      <c r="BC799">
        <v>71500</v>
      </c>
      <c r="BD799">
        <v>56992</v>
      </c>
    </row>
    <row r="800" spans="3:56" x14ac:dyDescent="0.25">
      <c r="C800" s="1">
        <v>46420</v>
      </c>
      <c r="D800" s="36">
        <v>266565.27857142902</v>
      </c>
      <c r="E800" s="33">
        <v>4.5857142857142899</v>
      </c>
      <c r="F800" s="33">
        <v>3.7388347619047599</v>
      </c>
      <c r="G800" s="2">
        <v>0.81532222222222195</v>
      </c>
      <c r="H800" s="2">
        <v>0.99</v>
      </c>
      <c r="I800" s="3"/>
      <c r="J800" s="3"/>
      <c r="K800" s="3"/>
      <c r="L800" s="3"/>
      <c r="M800" s="3"/>
      <c r="N800" s="3">
        <v>0</v>
      </c>
      <c r="O800" s="3"/>
      <c r="P800" s="3">
        <v>0</v>
      </c>
      <c r="Q800" s="3">
        <v>0</v>
      </c>
      <c r="R800" s="3">
        <v>0</v>
      </c>
      <c r="S800" s="3">
        <v>0</v>
      </c>
      <c r="T800" s="3">
        <v>0</v>
      </c>
      <c r="U800" s="3"/>
      <c r="V800" s="3"/>
      <c r="W800" s="3"/>
      <c r="X800" s="3"/>
      <c r="Y800" s="3"/>
      <c r="Z800" s="3"/>
      <c r="AA800" s="3"/>
      <c r="AB800" s="3"/>
      <c r="AC800" s="3"/>
      <c r="AD800" s="3"/>
      <c r="AE800" s="3">
        <v>0</v>
      </c>
      <c r="AF800" s="3">
        <v>0</v>
      </c>
      <c r="AG800" s="3"/>
      <c r="AH800" s="40"/>
      <c r="AI800" s="40"/>
      <c r="AJ800" s="40"/>
      <c r="AK800" s="40"/>
      <c r="AL800" s="40"/>
      <c r="AM800" s="40"/>
      <c r="AN800" s="40"/>
      <c r="AO800" s="40"/>
      <c r="AP800" s="40"/>
      <c r="AQ800" s="40"/>
      <c r="AR800" s="31"/>
      <c r="AS800" s="36">
        <v>0</v>
      </c>
      <c r="AY800" s="6"/>
      <c r="AZ800" s="2"/>
      <c r="BA800" s="2"/>
      <c r="BB800" s="2"/>
      <c r="BC800">
        <v>71500</v>
      </c>
      <c r="BD800">
        <v>56992</v>
      </c>
    </row>
    <row r="801" spans="3:56" x14ac:dyDescent="0.25">
      <c r="C801" s="1">
        <v>46421</v>
      </c>
      <c r="D801" s="36">
        <v>266565.27857142902</v>
      </c>
      <c r="E801" s="33">
        <v>4.5857142857142899</v>
      </c>
      <c r="F801" s="33">
        <v>3.73878380952381</v>
      </c>
      <c r="G801" s="2">
        <v>0.81531111111111099</v>
      </c>
      <c r="H801" s="2">
        <v>0.99</v>
      </c>
      <c r="I801" s="3"/>
      <c r="J801" s="3"/>
      <c r="K801" s="3"/>
      <c r="L801" s="3"/>
      <c r="M801" s="3"/>
      <c r="N801" s="3">
        <v>0</v>
      </c>
      <c r="O801" s="3"/>
      <c r="P801" s="3">
        <v>0</v>
      </c>
      <c r="Q801" s="3">
        <v>0</v>
      </c>
      <c r="R801" s="3">
        <v>0</v>
      </c>
      <c r="S801" s="3">
        <v>0</v>
      </c>
      <c r="T801" s="3">
        <v>0</v>
      </c>
      <c r="U801" s="3"/>
      <c r="V801" s="3"/>
      <c r="W801" s="3"/>
      <c r="X801" s="3"/>
      <c r="Y801" s="3"/>
      <c r="Z801" s="3"/>
      <c r="AA801" s="3"/>
      <c r="AB801" s="3"/>
      <c r="AC801" s="3"/>
      <c r="AD801" s="3"/>
      <c r="AE801" s="3">
        <v>0</v>
      </c>
      <c r="AF801" s="3">
        <v>0</v>
      </c>
      <c r="AG801" s="3"/>
      <c r="AH801" s="40"/>
      <c r="AI801" s="40"/>
      <c r="AJ801" s="40"/>
      <c r="AK801" s="40"/>
      <c r="AL801" s="40"/>
      <c r="AM801" s="40"/>
      <c r="AN801" s="40"/>
      <c r="AO801" s="40"/>
      <c r="AP801" s="40"/>
      <c r="AQ801" s="40"/>
      <c r="AR801" s="31"/>
      <c r="AS801" s="36">
        <v>0</v>
      </c>
      <c r="AY801" s="6"/>
      <c r="AZ801" s="2"/>
      <c r="BA801" s="2"/>
      <c r="BB801" s="2"/>
      <c r="BC801">
        <v>71500</v>
      </c>
      <c r="BD801">
        <v>56992</v>
      </c>
    </row>
    <row r="802" spans="3:56" x14ac:dyDescent="0.25">
      <c r="C802" s="1">
        <v>46422</v>
      </c>
      <c r="D802" s="36">
        <v>266565.27857142902</v>
      </c>
      <c r="E802" s="33">
        <v>4.5857142857142899</v>
      </c>
      <c r="F802" s="33">
        <v>3.73873285714286</v>
      </c>
      <c r="G802" s="2">
        <v>0.81530000000000002</v>
      </c>
      <c r="H802" s="2">
        <v>0.99</v>
      </c>
      <c r="I802" s="3"/>
      <c r="J802" s="3"/>
      <c r="K802" s="3"/>
      <c r="L802" s="3"/>
      <c r="M802" s="3"/>
      <c r="N802" s="3">
        <v>0</v>
      </c>
      <c r="O802" s="3"/>
      <c r="P802" s="3">
        <v>0</v>
      </c>
      <c r="Q802" s="3">
        <v>0</v>
      </c>
      <c r="R802" s="3">
        <v>0</v>
      </c>
      <c r="S802" s="3">
        <v>0</v>
      </c>
      <c r="T802" s="3">
        <v>0</v>
      </c>
      <c r="U802" s="3"/>
      <c r="V802" s="3"/>
      <c r="W802" s="3"/>
      <c r="X802" s="3"/>
      <c r="Y802" s="3"/>
      <c r="Z802" s="3"/>
      <c r="AA802" s="3"/>
      <c r="AB802" s="3"/>
      <c r="AC802" s="3"/>
      <c r="AD802" s="3"/>
      <c r="AE802" s="3">
        <v>0</v>
      </c>
      <c r="AF802" s="3">
        <v>0</v>
      </c>
      <c r="AG802" s="3"/>
      <c r="AH802" s="40"/>
      <c r="AI802" s="40"/>
      <c r="AJ802" s="40"/>
      <c r="AK802" s="40"/>
      <c r="AL802" s="40"/>
      <c r="AM802" s="40"/>
      <c r="AN802" s="40"/>
      <c r="AO802" s="40"/>
      <c r="AP802" s="40"/>
      <c r="AQ802" s="40"/>
      <c r="AR802" s="31"/>
      <c r="AS802" s="36">
        <v>0</v>
      </c>
      <c r="AY802" s="6"/>
      <c r="AZ802" s="2"/>
      <c r="BA802" s="2"/>
      <c r="BB802" s="2"/>
      <c r="BC802">
        <v>71500</v>
      </c>
      <c r="BD802">
        <v>56992</v>
      </c>
    </row>
    <row r="803" spans="3:56" x14ac:dyDescent="0.25">
      <c r="C803" s="1">
        <v>46423</v>
      </c>
      <c r="D803" s="36">
        <v>266565.27857142902</v>
      </c>
      <c r="E803" s="33">
        <v>4.5857142857142899</v>
      </c>
      <c r="F803" s="33">
        <v>3.73868190476191</v>
      </c>
      <c r="G803" s="2">
        <v>0.81528888888888895</v>
      </c>
      <c r="H803" s="2">
        <v>0.99</v>
      </c>
      <c r="I803" s="3"/>
      <c r="J803" s="3"/>
      <c r="K803" s="3"/>
      <c r="L803" s="3"/>
      <c r="M803" s="3"/>
      <c r="N803" s="3">
        <v>0</v>
      </c>
      <c r="O803" s="3"/>
      <c r="P803" s="3">
        <v>0</v>
      </c>
      <c r="Q803" s="3">
        <v>0</v>
      </c>
      <c r="R803" s="3">
        <v>0</v>
      </c>
      <c r="S803" s="3">
        <v>0</v>
      </c>
      <c r="T803" s="3">
        <v>0</v>
      </c>
      <c r="U803" s="3"/>
      <c r="V803" s="3"/>
      <c r="W803" s="3"/>
      <c r="X803" s="3"/>
      <c r="Y803" s="3"/>
      <c r="Z803" s="3"/>
      <c r="AA803" s="3"/>
      <c r="AB803" s="3"/>
      <c r="AC803" s="3"/>
      <c r="AD803" s="3"/>
      <c r="AE803" s="3">
        <v>0</v>
      </c>
      <c r="AF803" s="3">
        <v>0</v>
      </c>
      <c r="AG803" s="3"/>
      <c r="AH803" s="40"/>
      <c r="AI803" s="40"/>
      <c r="AJ803" s="40"/>
      <c r="AK803" s="40"/>
      <c r="AL803" s="40"/>
      <c r="AM803" s="40"/>
      <c r="AN803" s="40"/>
      <c r="AO803" s="40"/>
      <c r="AP803" s="40"/>
      <c r="AQ803" s="40"/>
      <c r="AR803" s="31"/>
      <c r="AS803" s="36">
        <v>0</v>
      </c>
      <c r="AY803" s="6"/>
      <c r="AZ803" s="2"/>
      <c r="BA803" s="2"/>
      <c r="BB803" s="2"/>
      <c r="BC803">
        <v>71500</v>
      </c>
      <c r="BD803">
        <v>56992</v>
      </c>
    </row>
    <row r="804" spans="3:56" x14ac:dyDescent="0.25">
      <c r="C804" s="1">
        <v>46424</v>
      </c>
      <c r="D804" s="36">
        <v>266565.27857142902</v>
      </c>
      <c r="E804" s="33">
        <v>4.5857142857142899</v>
      </c>
      <c r="F804" s="33">
        <v>3.7386309523809498</v>
      </c>
      <c r="G804" s="2">
        <v>0.81527777777777799</v>
      </c>
      <c r="H804" s="2">
        <v>0.99</v>
      </c>
      <c r="I804" s="3"/>
      <c r="J804" s="3"/>
      <c r="K804" s="3"/>
      <c r="L804" s="3"/>
      <c r="M804" s="3"/>
      <c r="N804" s="3">
        <v>0</v>
      </c>
      <c r="O804" s="3"/>
      <c r="P804" s="3">
        <v>0</v>
      </c>
      <c r="Q804" s="3">
        <v>0</v>
      </c>
      <c r="R804" s="3">
        <v>0</v>
      </c>
      <c r="S804" s="3">
        <v>0</v>
      </c>
      <c r="T804" s="3">
        <v>0</v>
      </c>
      <c r="U804" s="3"/>
      <c r="V804" s="3"/>
      <c r="W804" s="3"/>
      <c r="X804" s="3"/>
      <c r="Y804" s="3"/>
      <c r="Z804" s="3"/>
      <c r="AA804" s="3"/>
      <c r="AB804" s="3"/>
      <c r="AC804" s="3"/>
      <c r="AD804" s="3"/>
      <c r="AE804" s="3">
        <v>0</v>
      </c>
      <c r="AF804" s="3">
        <v>0</v>
      </c>
      <c r="AG804" s="3"/>
      <c r="AH804" s="40"/>
      <c r="AI804" s="40"/>
      <c r="AJ804" s="40"/>
      <c r="AK804" s="40"/>
      <c r="AL804" s="40"/>
      <c r="AM804" s="40"/>
      <c r="AN804" s="40"/>
      <c r="AO804" s="40"/>
      <c r="AP804" s="40"/>
      <c r="AQ804" s="40"/>
      <c r="AR804" s="31"/>
      <c r="AS804" s="36">
        <v>0</v>
      </c>
      <c r="AY804" s="6"/>
      <c r="AZ804" s="2"/>
      <c r="BA804" s="2"/>
      <c r="BB804" s="2"/>
      <c r="BC804">
        <v>71500</v>
      </c>
      <c r="BD804">
        <v>56992</v>
      </c>
    </row>
    <row r="805" spans="3:56" x14ac:dyDescent="0.25">
      <c r="C805" s="1">
        <v>46425</v>
      </c>
      <c r="D805" s="36">
        <v>266565.27857142902</v>
      </c>
      <c r="E805" s="33">
        <v>4.5857142857142899</v>
      </c>
      <c r="F805" s="33">
        <v>3.7385799999999998</v>
      </c>
      <c r="G805" s="2">
        <v>0.81526666666666703</v>
      </c>
      <c r="H805" s="2">
        <v>0.99</v>
      </c>
      <c r="I805" s="3"/>
      <c r="J805" s="3"/>
      <c r="K805" s="3"/>
      <c r="L805" s="3"/>
      <c r="M805" s="3"/>
      <c r="N805" s="3">
        <v>0</v>
      </c>
      <c r="O805" s="3"/>
      <c r="P805" s="3">
        <v>0</v>
      </c>
      <c r="Q805" s="3">
        <v>0</v>
      </c>
      <c r="R805" s="3">
        <v>0</v>
      </c>
      <c r="S805" s="3">
        <v>0</v>
      </c>
      <c r="T805" s="3">
        <v>0</v>
      </c>
      <c r="U805" s="3"/>
      <c r="V805" s="3"/>
      <c r="W805" s="3"/>
      <c r="X805" s="3"/>
      <c r="Y805" s="3"/>
      <c r="Z805" s="3"/>
      <c r="AA805" s="3"/>
      <c r="AB805" s="3"/>
      <c r="AC805" s="3"/>
      <c r="AD805" s="3"/>
      <c r="AE805" s="3">
        <v>0</v>
      </c>
      <c r="AF805" s="3">
        <v>0</v>
      </c>
      <c r="AG805" s="3"/>
      <c r="AH805" s="40"/>
      <c r="AI805" s="40"/>
      <c r="AJ805" s="40"/>
      <c r="AK805" s="40"/>
      <c r="AL805" s="40"/>
      <c r="AM805" s="40"/>
      <c r="AN805" s="40"/>
      <c r="AO805" s="40"/>
      <c r="AP805" s="40"/>
      <c r="AQ805" s="40"/>
      <c r="AR805" s="31"/>
      <c r="AS805" s="36">
        <v>0</v>
      </c>
      <c r="AY805" s="6"/>
      <c r="AZ805" s="2"/>
      <c r="BA805" s="2"/>
      <c r="BB805" s="2"/>
      <c r="BC805">
        <v>71500</v>
      </c>
      <c r="BD805">
        <v>56992</v>
      </c>
    </row>
    <row r="806" spans="3:56" x14ac:dyDescent="0.25">
      <c r="C806" s="1">
        <v>46426</v>
      </c>
      <c r="D806" s="36">
        <v>266565.27857142902</v>
      </c>
      <c r="E806" s="33">
        <v>4.5857142857142899</v>
      </c>
      <c r="F806" s="33">
        <v>3.7385290476190498</v>
      </c>
      <c r="G806" s="2">
        <v>0.81525555555555596</v>
      </c>
      <c r="H806" s="2">
        <v>0.99</v>
      </c>
      <c r="I806" s="3"/>
      <c r="J806" s="3"/>
      <c r="K806" s="3"/>
      <c r="L806" s="3"/>
      <c r="M806" s="3"/>
      <c r="N806" s="3">
        <v>0</v>
      </c>
      <c r="O806" s="3"/>
      <c r="P806" s="3">
        <v>0</v>
      </c>
      <c r="Q806" s="3">
        <v>0</v>
      </c>
      <c r="R806" s="3">
        <v>0</v>
      </c>
      <c r="S806" s="3">
        <v>0</v>
      </c>
      <c r="T806" s="3">
        <v>0</v>
      </c>
      <c r="U806" s="3"/>
      <c r="V806" s="3"/>
      <c r="W806" s="3"/>
      <c r="X806" s="3"/>
      <c r="Y806" s="3"/>
      <c r="Z806" s="3"/>
      <c r="AA806" s="3"/>
      <c r="AB806" s="3"/>
      <c r="AC806" s="3"/>
      <c r="AD806" s="3"/>
      <c r="AE806" s="3">
        <v>0</v>
      </c>
      <c r="AF806" s="3">
        <v>0</v>
      </c>
      <c r="AG806" s="3"/>
      <c r="AH806" s="40"/>
      <c r="AI806" s="40"/>
      <c r="AJ806" s="40"/>
      <c r="AK806" s="40"/>
      <c r="AL806" s="40"/>
      <c r="AM806" s="40"/>
      <c r="AN806" s="40"/>
      <c r="AO806" s="40"/>
      <c r="AP806" s="40"/>
      <c r="AQ806" s="40"/>
      <c r="AR806" s="31"/>
      <c r="AS806" s="36">
        <v>0</v>
      </c>
      <c r="AY806" s="6"/>
      <c r="AZ806" s="2"/>
      <c r="BA806" s="2"/>
      <c r="BB806" s="2"/>
      <c r="BC806">
        <v>71500</v>
      </c>
      <c r="BD806">
        <v>56992</v>
      </c>
    </row>
    <row r="807" spans="3:56" x14ac:dyDescent="0.25">
      <c r="C807" s="1">
        <v>46427</v>
      </c>
      <c r="D807" s="36">
        <v>266565.27857142902</v>
      </c>
      <c r="E807" s="33">
        <v>4.5857142857142899</v>
      </c>
      <c r="F807" s="33">
        <v>3.7384780952380998</v>
      </c>
      <c r="G807" s="2">
        <v>0.81524444444444399</v>
      </c>
      <c r="H807" s="2">
        <v>0.99</v>
      </c>
      <c r="I807" s="3"/>
      <c r="J807" s="3"/>
      <c r="K807" s="3"/>
      <c r="L807" s="3"/>
      <c r="M807" s="3"/>
      <c r="N807" s="3">
        <v>0</v>
      </c>
      <c r="O807" s="3"/>
      <c r="P807" s="3">
        <v>0</v>
      </c>
      <c r="Q807" s="3">
        <v>0</v>
      </c>
      <c r="R807" s="3">
        <v>0</v>
      </c>
      <c r="S807" s="3">
        <v>0</v>
      </c>
      <c r="T807" s="3">
        <v>0</v>
      </c>
      <c r="U807" s="3"/>
      <c r="V807" s="3"/>
      <c r="W807" s="3"/>
      <c r="X807" s="3"/>
      <c r="Y807" s="3"/>
      <c r="Z807" s="3"/>
      <c r="AA807" s="3"/>
      <c r="AB807" s="3"/>
      <c r="AC807" s="3"/>
      <c r="AD807" s="3"/>
      <c r="AE807" s="3">
        <v>0</v>
      </c>
      <c r="AF807" s="3">
        <v>0</v>
      </c>
      <c r="AG807" s="3"/>
      <c r="AH807" s="40"/>
      <c r="AI807" s="40"/>
      <c r="AJ807" s="40"/>
      <c r="AK807" s="40"/>
      <c r="AL807" s="40"/>
      <c r="AM807" s="40"/>
      <c r="AN807" s="40"/>
      <c r="AO807" s="40"/>
      <c r="AP807" s="40"/>
      <c r="AQ807" s="40"/>
      <c r="AR807" s="31"/>
      <c r="AS807" s="36">
        <v>0</v>
      </c>
      <c r="AY807" s="6"/>
      <c r="AZ807" s="2"/>
      <c r="BA807" s="2"/>
      <c r="BB807" s="2"/>
      <c r="BC807">
        <v>71500</v>
      </c>
      <c r="BD807">
        <v>56992</v>
      </c>
    </row>
    <row r="808" spans="3:56" x14ac:dyDescent="0.25">
      <c r="C808" s="1">
        <v>46428</v>
      </c>
      <c r="D808" s="36">
        <v>266565.27857142902</v>
      </c>
      <c r="E808" s="33">
        <v>4.5857142857142899</v>
      </c>
      <c r="F808" s="33">
        <v>3.7384271428571401</v>
      </c>
      <c r="G808" s="2">
        <v>0.81523333333333303</v>
      </c>
      <c r="H808" s="2">
        <v>0.99</v>
      </c>
      <c r="I808" s="3"/>
      <c r="J808" s="3"/>
      <c r="K808" s="3"/>
      <c r="L808" s="3"/>
      <c r="M808" s="3"/>
      <c r="N808" s="3">
        <v>0</v>
      </c>
      <c r="O808" s="3"/>
      <c r="P808" s="3">
        <v>0</v>
      </c>
      <c r="Q808" s="3">
        <v>0</v>
      </c>
      <c r="R808" s="3">
        <v>0</v>
      </c>
      <c r="S808" s="3">
        <v>0</v>
      </c>
      <c r="T808" s="3">
        <v>0</v>
      </c>
      <c r="U808" s="3"/>
      <c r="V808" s="3"/>
      <c r="W808" s="3"/>
      <c r="X808" s="3"/>
      <c r="Y808" s="3"/>
      <c r="Z808" s="3"/>
      <c r="AA808" s="3"/>
      <c r="AB808" s="3"/>
      <c r="AC808" s="3"/>
      <c r="AD808" s="3"/>
      <c r="AE808" s="3">
        <v>0</v>
      </c>
      <c r="AF808" s="3">
        <v>0</v>
      </c>
      <c r="AG808" s="3"/>
      <c r="AH808" s="40"/>
      <c r="AI808" s="40"/>
      <c r="AJ808" s="40"/>
      <c r="AK808" s="40"/>
      <c r="AL808" s="40"/>
      <c r="AM808" s="40"/>
      <c r="AN808" s="40"/>
      <c r="AO808" s="40"/>
      <c r="AP808" s="40"/>
      <c r="AQ808" s="40"/>
      <c r="AR808" s="31"/>
      <c r="AS808" s="36">
        <v>0</v>
      </c>
      <c r="AY808" s="6"/>
      <c r="AZ808" s="2"/>
      <c r="BA808" s="2"/>
      <c r="BB808" s="2"/>
      <c r="BC808">
        <v>71500</v>
      </c>
      <c r="BD808">
        <v>56992</v>
      </c>
    </row>
    <row r="809" spans="3:56" x14ac:dyDescent="0.25">
      <c r="C809" s="1">
        <v>46429</v>
      </c>
      <c r="D809" s="36">
        <v>266565.27857142902</v>
      </c>
      <c r="E809" s="33">
        <v>4.5857142857142899</v>
      </c>
      <c r="F809" s="33">
        <v>3.7383761904761901</v>
      </c>
      <c r="G809" s="2">
        <v>0.81522222222222196</v>
      </c>
      <c r="H809" s="2">
        <v>0.99</v>
      </c>
      <c r="I809" s="3"/>
      <c r="J809" s="3"/>
      <c r="K809" s="3"/>
      <c r="L809" s="3"/>
      <c r="M809" s="3"/>
      <c r="N809" s="3">
        <v>0</v>
      </c>
      <c r="O809" s="3"/>
      <c r="P809" s="3">
        <v>0</v>
      </c>
      <c r="Q809" s="3">
        <v>0</v>
      </c>
      <c r="R809" s="3">
        <v>0</v>
      </c>
      <c r="S809" s="3">
        <v>0</v>
      </c>
      <c r="T809" s="3">
        <v>0</v>
      </c>
      <c r="U809" s="3"/>
      <c r="V809" s="3"/>
      <c r="W809" s="3"/>
      <c r="X809" s="3"/>
      <c r="Y809" s="3"/>
      <c r="Z809" s="3"/>
      <c r="AA809" s="3"/>
      <c r="AB809" s="3"/>
      <c r="AC809" s="3"/>
      <c r="AD809" s="3"/>
      <c r="AE809" s="3">
        <v>0</v>
      </c>
      <c r="AF809" s="3">
        <v>0</v>
      </c>
      <c r="AG809" s="3"/>
      <c r="AH809" s="40"/>
      <c r="AI809" s="40"/>
      <c r="AJ809" s="40"/>
      <c r="AK809" s="40"/>
      <c r="AL809" s="40"/>
      <c r="AM809" s="40"/>
      <c r="AN809" s="40"/>
      <c r="AO809" s="40"/>
      <c r="AP809" s="40"/>
      <c r="AQ809" s="40"/>
      <c r="AR809" s="31"/>
      <c r="AS809" s="36">
        <v>0</v>
      </c>
      <c r="AY809" s="6"/>
      <c r="AZ809" s="2"/>
      <c r="BA809" s="2"/>
      <c r="BB809" s="2"/>
      <c r="BC809">
        <v>71500</v>
      </c>
      <c r="BD809">
        <v>56992</v>
      </c>
    </row>
    <row r="810" spans="3:56" x14ac:dyDescent="0.25">
      <c r="C810" s="1">
        <v>46430</v>
      </c>
      <c r="D810" s="36">
        <v>266565.27857142902</v>
      </c>
      <c r="E810" s="33">
        <v>4.5857142857142899</v>
      </c>
      <c r="F810" s="33">
        <v>3.7383252380952401</v>
      </c>
      <c r="G810" s="2">
        <v>0.815211111111111</v>
      </c>
      <c r="H810" s="2">
        <v>0.99</v>
      </c>
      <c r="I810" s="3"/>
      <c r="J810" s="3"/>
      <c r="K810" s="3"/>
      <c r="L810" s="3"/>
      <c r="M810" s="3"/>
      <c r="N810" s="3">
        <v>0</v>
      </c>
      <c r="O810" s="3"/>
      <c r="P810" s="3">
        <v>0</v>
      </c>
      <c r="Q810" s="3">
        <v>0</v>
      </c>
      <c r="R810" s="3">
        <v>0</v>
      </c>
      <c r="S810" s="3">
        <v>0</v>
      </c>
      <c r="T810" s="3">
        <v>0</v>
      </c>
      <c r="U810" s="3"/>
      <c r="V810" s="3"/>
      <c r="W810" s="3"/>
      <c r="X810" s="3"/>
      <c r="Y810" s="3"/>
      <c r="Z810" s="3"/>
      <c r="AA810" s="3"/>
      <c r="AB810" s="3"/>
      <c r="AC810" s="3"/>
      <c r="AD810" s="3"/>
      <c r="AE810" s="3">
        <v>0</v>
      </c>
      <c r="AF810" s="3">
        <v>0</v>
      </c>
      <c r="AG810" s="3"/>
      <c r="AH810" s="40"/>
      <c r="AI810" s="40"/>
      <c r="AJ810" s="40"/>
      <c r="AK810" s="40"/>
      <c r="AL810" s="40"/>
      <c r="AM810" s="40"/>
      <c r="AN810" s="40"/>
      <c r="AO810" s="40"/>
      <c r="AP810" s="40"/>
      <c r="AQ810" s="40"/>
      <c r="AR810" s="31"/>
      <c r="AS810" s="36">
        <v>0</v>
      </c>
      <c r="AY810" s="6"/>
      <c r="AZ810" s="2"/>
      <c r="BA810" s="2"/>
      <c r="BB810" s="2"/>
      <c r="BC810">
        <v>71500</v>
      </c>
      <c r="BD810">
        <v>56992</v>
      </c>
    </row>
    <row r="811" spans="3:56" x14ac:dyDescent="0.25">
      <c r="C811" s="1">
        <v>46431</v>
      </c>
      <c r="D811" s="36">
        <v>266565.27857142902</v>
      </c>
      <c r="E811" s="33">
        <v>4.5857142857142899</v>
      </c>
      <c r="F811" s="33">
        <v>3.7382742857142901</v>
      </c>
      <c r="G811" s="2">
        <v>0.81520000000000004</v>
      </c>
      <c r="H811" s="2">
        <v>0.99</v>
      </c>
      <c r="I811" s="3"/>
      <c r="J811" s="3"/>
      <c r="K811" s="3"/>
      <c r="L811" s="3"/>
      <c r="M811" s="3"/>
      <c r="N811" s="3">
        <v>0</v>
      </c>
      <c r="O811" s="3"/>
      <c r="P811" s="3">
        <v>0</v>
      </c>
      <c r="Q811" s="3">
        <v>0</v>
      </c>
      <c r="R811" s="3">
        <v>0</v>
      </c>
      <c r="S811" s="3">
        <v>0</v>
      </c>
      <c r="T811" s="3">
        <v>0</v>
      </c>
      <c r="U811" s="3"/>
      <c r="V811" s="3"/>
      <c r="W811" s="3"/>
      <c r="X811" s="3"/>
      <c r="Y811" s="3"/>
      <c r="Z811" s="3"/>
      <c r="AA811" s="3"/>
      <c r="AB811" s="3"/>
      <c r="AC811" s="3"/>
      <c r="AD811" s="3"/>
      <c r="AE811" s="3">
        <v>0</v>
      </c>
      <c r="AF811" s="3">
        <v>0</v>
      </c>
      <c r="AG811" s="3"/>
      <c r="AH811" s="40"/>
      <c r="AI811" s="40"/>
      <c r="AJ811" s="40"/>
      <c r="AK811" s="40"/>
      <c r="AL811" s="40"/>
      <c r="AM811" s="40"/>
      <c r="AN811" s="40"/>
      <c r="AO811" s="40"/>
      <c r="AP811" s="40"/>
      <c r="AQ811" s="40"/>
      <c r="AR811" s="31"/>
      <c r="AS811" s="36">
        <v>0</v>
      </c>
      <c r="AY811" s="6"/>
      <c r="AZ811" s="2"/>
      <c r="BA811" s="2"/>
      <c r="BB811" s="2"/>
      <c r="BC811">
        <v>71500</v>
      </c>
      <c r="BD811">
        <v>56992</v>
      </c>
    </row>
    <row r="812" spans="3:56" x14ac:dyDescent="0.25">
      <c r="C812" s="1">
        <v>46432</v>
      </c>
      <c r="D812" s="36">
        <v>266565.27857142902</v>
      </c>
      <c r="E812" s="33">
        <v>4.5857142857142899</v>
      </c>
      <c r="F812" s="33">
        <v>3.7382233333333299</v>
      </c>
      <c r="G812" s="2">
        <v>0.81518888888888896</v>
      </c>
      <c r="H812" s="2">
        <v>0.99</v>
      </c>
      <c r="I812" s="3"/>
      <c r="J812" s="3"/>
      <c r="K812" s="3"/>
      <c r="L812" s="3"/>
      <c r="M812" s="3"/>
      <c r="N812" s="3">
        <v>0</v>
      </c>
      <c r="O812" s="3"/>
      <c r="P812" s="3">
        <v>0</v>
      </c>
      <c r="Q812" s="3">
        <v>0</v>
      </c>
      <c r="R812" s="3">
        <v>0</v>
      </c>
      <c r="S812" s="3">
        <v>0</v>
      </c>
      <c r="T812" s="3">
        <v>0</v>
      </c>
      <c r="U812" s="3"/>
      <c r="V812" s="3"/>
      <c r="W812" s="3"/>
      <c r="X812" s="3"/>
      <c r="Y812" s="3"/>
      <c r="Z812" s="3"/>
      <c r="AA812" s="3"/>
      <c r="AB812" s="3"/>
      <c r="AC812" s="3"/>
      <c r="AD812" s="3"/>
      <c r="AE812" s="3">
        <v>0</v>
      </c>
      <c r="AF812" s="3">
        <v>0</v>
      </c>
      <c r="AG812" s="3"/>
      <c r="AH812" s="40"/>
      <c r="AI812" s="40"/>
      <c r="AJ812" s="40"/>
      <c r="AK812" s="40"/>
      <c r="AL812" s="40"/>
      <c r="AM812" s="40"/>
      <c r="AN812" s="40"/>
      <c r="AO812" s="40"/>
      <c r="AP812" s="40"/>
      <c r="AQ812" s="40"/>
      <c r="AR812" s="31"/>
      <c r="AS812" s="36">
        <v>0</v>
      </c>
      <c r="AY812" s="6"/>
      <c r="AZ812" s="2"/>
      <c r="BA812" s="2"/>
      <c r="BB812" s="2"/>
      <c r="BC812">
        <v>71500</v>
      </c>
      <c r="BD812">
        <v>56992</v>
      </c>
    </row>
    <row r="813" spans="3:56" x14ac:dyDescent="0.25">
      <c r="C813" s="1">
        <v>46433</v>
      </c>
      <c r="D813" s="36">
        <v>266565.27857142902</v>
      </c>
      <c r="E813" s="33">
        <v>4.5857142857142899</v>
      </c>
      <c r="F813" s="33">
        <v>3.7381723809523799</v>
      </c>
      <c r="G813" s="2">
        <v>0.815177777777778</v>
      </c>
      <c r="H813" s="2">
        <v>0.99</v>
      </c>
      <c r="I813" s="3"/>
      <c r="J813" s="3"/>
      <c r="K813" s="3"/>
      <c r="L813" s="3"/>
      <c r="M813" s="3"/>
      <c r="N813" s="3">
        <v>0</v>
      </c>
      <c r="O813" s="3"/>
      <c r="P813" s="3">
        <v>0</v>
      </c>
      <c r="Q813" s="3">
        <v>0</v>
      </c>
      <c r="R813" s="3">
        <v>0</v>
      </c>
      <c r="S813" s="3">
        <v>0</v>
      </c>
      <c r="T813" s="3">
        <v>0</v>
      </c>
      <c r="U813" s="3"/>
      <c r="V813" s="3"/>
      <c r="W813" s="3"/>
      <c r="X813" s="3"/>
      <c r="Y813" s="3"/>
      <c r="Z813" s="3"/>
      <c r="AA813" s="3"/>
      <c r="AB813" s="3"/>
      <c r="AC813" s="3"/>
      <c r="AD813" s="3"/>
      <c r="AE813" s="3">
        <v>0</v>
      </c>
      <c r="AF813" s="3">
        <v>0</v>
      </c>
      <c r="AG813" s="3"/>
      <c r="AH813" s="40"/>
      <c r="AI813" s="40"/>
      <c r="AJ813" s="40"/>
      <c r="AK813" s="40"/>
      <c r="AL813" s="40"/>
      <c r="AM813" s="40"/>
      <c r="AN813" s="40"/>
      <c r="AO813" s="40"/>
      <c r="AP813" s="40"/>
      <c r="AQ813" s="40"/>
      <c r="AR813" s="31"/>
      <c r="AS813" s="36">
        <v>0</v>
      </c>
      <c r="AY813" s="6"/>
      <c r="AZ813" s="2"/>
      <c r="BA813" s="2"/>
      <c r="BB813" s="2"/>
      <c r="BC813">
        <v>71500</v>
      </c>
      <c r="BD813">
        <v>56992</v>
      </c>
    </row>
    <row r="814" spans="3:56" x14ac:dyDescent="0.25">
      <c r="C814" s="1">
        <v>46434</v>
      </c>
      <c r="D814" s="36">
        <v>266565.27857142902</v>
      </c>
      <c r="E814" s="33">
        <v>4.5857142857142899</v>
      </c>
      <c r="F814" s="33">
        <v>3.7381214285714299</v>
      </c>
      <c r="G814" s="2">
        <v>0.81516666666666704</v>
      </c>
      <c r="H814" s="2">
        <v>0.99</v>
      </c>
      <c r="I814" s="3"/>
      <c r="J814" s="3"/>
      <c r="K814" s="3"/>
      <c r="L814" s="3"/>
      <c r="M814" s="3"/>
      <c r="N814" s="3">
        <v>0</v>
      </c>
      <c r="O814" s="3"/>
      <c r="P814" s="3">
        <v>0</v>
      </c>
      <c r="Q814" s="3">
        <v>0</v>
      </c>
      <c r="R814" s="3">
        <v>0</v>
      </c>
      <c r="S814" s="3">
        <v>0</v>
      </c>
      <c r="T814" s="3">
        <v>0</v>
      </c>
      <c r="U814" s="3"/>
      <c r="V814" s="3"/>
      <c r="W814" s="3"/>
      <c r="X814" s="3"/>
      <c r="Y814" s="3"/>
      <c r="Z814" s="3"/>
      <c r="AA814" s="3"/>
      <c r="AB814" s="3"/>
      <c r="AC814" s="3"/>
      <c r="AD814" s="3"/>
      <c r="AE814" s="3">
        <v>0</v>
      </c>
      <c r="AF814" s="3">
        <v>0</v>
      </c>
      <c r="AG814" s="3"/>
      <c r="AH814" s="40"/>
      <c r="AI814" s="40"/>
      <c r="AJ814" s="40"/>
      <c r="AK814" s="40"/>
      <c r="AL814" s="40"/>
      <c r="AM814" s="40"/>
      <c r="AN814" s="40"/>
      <c r="AO814" s="40"/>
      <c r="AP814" s="40"/>
      <c r="AQ814" s="40"/>
      <c r="AR814" s="31"/>
      <c r="AS814" s="36">
        <v>0</v>
      </c>
      <c r="AY814" s="6"/>
      <c r="AZ814" s="2"/>
      <c r="BA814" s="2"/>
      <c r="BB814" s="2"/>
      <c r="BC814">
        <v>71500</v>
      </c>
      <c r="BD814">
        <v>56992</v>
      </c>
    </row>
    <row r="815" spans="3:56" x14ac:dyDescent="0.25">
      <c r="C815" s="1">
        <v>46435</v>
      </c>
      <c r="D815" s="36">
        <v>266565.27857142902</v>
      </c>
      <c r="E815" s="33">
        <v>4.5857142857142899</v>
      </c>
      <c r="F815" s="33">
        <v>3.7380704761904799</v>
      </c>
      <c r="G815" s="2">
        <v>0.81515555555555597</v>
      </c>
      <c r="H815" s="2">
        <v>0.99</v>
      </c>
      <c r="I815" s="3"/>
      <c r="J815" s="3"/>
      <c r="K815" s="3"/>
      <c r="L815" s="3"/>
      <c r="M815" s="3"/>
      <c r="N815" s="3">
        <v>0</v>
      </c>
      <c r="O815" s="3"/>
      <c r="P815" s="3">
        <v>0</v>
      </c>
      <c r="Q815" s="3">
        <v>0</v>
      </c>
      <c r="R815" s="3">
        <v>0</v>
      </c>
      <c r="S815" s="3">
        <v>0</v>
      </c>
      <c r="T815" s="3">
        <v>0</v>
      </c>
      <c r="U815" s="3"/>
      <c r="V815" s="3"/>
      <c r="W815" s="3"/>
      <c r="X815" s="3"/>
      <c r="Y815" s="3"/>
      <c r="Z815" s="3"/>
      <c r="AA815" s="3"/>
      <c r="AB815" s="3"/>
      <c r="AC815" s="3"/>
      <c r="AD815" s="3"/>
      <c r="AE815" s="3">
        <v>0</v>
      </c>
      <c r="AF815" s="3">
        <v>0</v>
      </c>
      <c r="AG815" s="3"/>
      <c r="AH815" s="40"/>
      <c r="AI815" s="40"/>
      <c r="AJ815" s="40"/>
      <c r="AK815" s="40"/>
      <c r="AL815" s="40"/>
      <c r="AM815" s="40"/>
      <c r="AN815" s="40"/>
      <c r="AO815" s="40"/>
      <c r="AP815" s="40"/>
      <c r="AQ815" s="40"/>
      <c r="AR815" s="31"/>
      <c r="AS815" s="36">
        <v>0</v>
      </c>
      <c r="AY815" s="6"/>
      <c r="AZ815" s="2"/>
      <c r="BA815" s="2"/>
      <c r="BB815" s="2"/>
      <c r="BC815">
        <v>71500</v>
      </c>
      <c r="BD815">
        <v>56992</v>
      </c>
    </row>
    <row r="816" spans="3:56" x14ac:dyDescent="0.25">
      <c r="C816" s="1">
        <v>46436</v>
      </c>
      <c r="D816" s="36">
        <v>266565.27857142902</v>
      </c>
      <c r="E816" s="33">
        <v>4.5857142857142899</v>
      </c>
      <c r="F816" s="33">
        <v>3.7380195238095202</v>
      </c>
      <c r="G816" s="2">
        <v>0.81514444444444401</v>
      </c>
      <c r="H816" s="2">
        <v>0.99</v>
      </c>
      <c r="I816" s="3"/>
      <c r="J816" s="3"/>
      <c r="K816" s="3"/>
      <c r="L816" s="3"/>
      <c r="M816" s="3"/>
      <c r="N816" s="3">
        <v>0</v>
      </c>
      <c r="O816" s="3"/>
      <c r="P816" s="3">
        <v>0</v>
      </c>
      <c r="Q816" s="3">
        <v>0</v>
      </c>
      <c r="R816" s="3">
        <v>0</v>
      </c>
      <c r="S816" s="3">
        <v>0</v>
      </c>
      <c r="T816" s="3">
        <v>0</v>
      </c>
      <c r="U816" s="3"/>
      <c r="V816" s="3"/>
      <c r="W816" s="3"/>
      <c r="X816" s="3"/>
      <c r="Y816" s="3"/>
      <c r="Z816" s="3"/>
      <c r="AA816" s="3"/>
      <c r="AB816" s="3"/>
      <c r="AC816" s="3"/>
      <c r="AD816" s="3"/>
      <c r="AE816" s="3">
        <v>0</v>
      </c>
      <c r="AF816" s="3">
        <v>0</v>
      </c>
      <c r="AG816" s="3"/>
      <c r="AH816" s="40"/>
      <c r="AI816" s="40"/>
      <c r="AJ816" s="40"/>
      <c r="AK816" s="40"/>
      <c r="AL816" s="40"/>
      <c r="AM816" s="40"/>
      <c r="AN816" s="40"/>
      <c r="AO816" s="40"/>
      <c r="AP816" s="40"/>
      <c r="AQ816" s="40"/>
      <c r="AR816" s="31"/>
      <c r="AS816" s="36">
        <v>0</v>
      </c>
      <c r="AY816" s="6"/>
      <c r="AZ816" s="2"/>
      <c r="BA816" s="2"/>
      <c r="BB816" s="2"/>
      <c r="BC816">
        <v>71500</v>
      </c>
      <c r="BD816">
        <v>56992</v>
      </c>
    </row>
    <row r="817" spans="3:56" x14ac:dyDescent="0.25">
      <c r="C817" s="1">
        <v>46437</v>
      </c>
      <c r="D817" s="36">
        <v>266565.27857142902</v>
      </c>
      <c r="E817" s="33">
        <v>4.5857142857142899</v>
      </c>
      <c r="F817" s="33">
        <v>3.7379685714285702</v>
      </c>
      <c r="G817" s="2">
        <v>0.81513333333333304</v>
      </c>
      <c r="H817" s="2">
        <v>0.99</v>
      </c>
      <c r="I817" s="3"/>
      <c r="J817" s="3"/>
      <c r="K817" s="3"/>
      <c r="L817" s="3"/>
      <c r="M817" s="3"/>
      <c r="N817" s="3">
        <v>0</v>
      </c>
      <c r="O817" s="3"/>
      <c r="P817" s="3">
        <v>0</v>
      </c>
      <c r="Q817" s="3">
        <v>0</v>
      </c>
      <c r="R817" s="3">
        <v>0</v>
      </c>
      <c r="S817" s="3">
        <v>0</v>
      </c>
      <c r="T817" s="3">
        <v>0</v>
      </c>
      <c r="U817" s="3"/>
      <c r="V817" s="3"/>
      <c r="W817" s="3"/>
      <c r="X817" s="3"/>
      <c r="Y817" s="3"/>
      <c r="Z817" s="3"/>
      <c r="AA817" s="3"/>
      <c r="AB817" s="3"/>
      <c r="AC817" s="3"/>
      <c r="AD817" s="3"/>
      <c r="AE817" s="3">
        <v>0</v>
      </c>
      <c r="AF817" s="3">
        <v>0</v>
      </c>
      <c r="AG817" s="3"/>
      <c r="AH817" s="40"/>
      <c r="AI817" s="40"/>
      <c r="AJ817" s="40"/>
      <c r="AK817" s="40"/>
      <c r="AL817" s="40"/>
      <c r="AM817" s="40"/>
      <c r="AN817" s="40"/>
      <c r="AO817" s="40"/>
      <c r="AP817" s="40"/>
      <c r="AQ817" s="40"/>
      <c r="AR817" s="31"/>
      <c r="AS817" s="36">
        <v>0</v>
      </c>
      <c r="AY817" s="6"/>
      <c r="AZ817" s="2"/>
      <c r="BA817" s="2"/>
      <c r="BB817" s="2"/>
      <c r="BC817">
        <v>71500</v>
      </c>
      <c r="BD817">
        <v>56992</v>
      </c>
    </row>
    <row r="818" spans="3:56" x14ac:dyDescent="0.25">
      <c r="C818" s="1">
        <v>46438</v>
      </c>
      <c r="D818" s="36">
        <v>266565.27857142902</v>
      </c>
      <c r="E818" s="33">
        <v>4.5857142857142899</v>
      </c>
      <c r="F818" s="33">
        <v>3.7379176190476202</v>
      </c>
      <c r="G818" s="2">
        <v>0.81512222222222197</v>
      </c>
      <c r="H818" s="2">
        <v>0.99</v>
      </c>
      <c r="I818" s="3"/>
      <c r="J818" s="3"/>
      <c r="K818" s="3"/>
      <c r="L818" s="3"/>
      <c r="M818" s="3"/>
      <c r="N818" s="3">
        <v>0</v>
      </c>
      <c r="O818" s="3"/>
      <c r="P818" s="3">
        <v>0</v>
      </c>
      <c r="Q818" s="3">
        <v>0</v>
      </c>
      <c r="R818" s="3">
        <v>0</v>
      </c>
      <c r="S818" s="3">
        <v>0</v>
      </c>
      <c r="T818" s="3">
        <v>0</v>
      </c>
      <c r="U818" s="3"/>
      <c r="V818" s="3"/>
      <c r="W818" s="3"/>
      <c r="X818" s="3"/>
      <c r="Y818" s="3"/>
      <c r="Z818" s="3"/>
      <c r="AA818" s="3"/>
      <c r="AB818" s="3"/>
      <c r="AC818" s="3"/>
      <c r="AD818" s="3"/>
      <c r="AE818" s="3">
        <v>0</v>
      </c>
      <c r="AF818" s="3">
        <v>0</v>
      </c>
      <c r="AG818" s="3"/>
      <c r="AH818" s="40"/>
      <c r="AI818" s="40"/>
      <c r="AJ818" s="40"/>
      <c r="AK818" s="40"/>
      <c r="AL818" s="40"/>
      <c r="AM818" s="40"/>
      <c r="AN818" s="40"/>
      <c r="AO818" s="40"/>
      <c r="AP818" s="40"/>
      <c r="AQ818" s="40"/>
      <c r="AR818" s="31"/>
      <c r="AS818" s="36">
        <v>0</v>
      </c>
      <c r="AY818" s="6"/>
      <c r="AZ818" s="2"/>
      <c r="BA818" s="2"/>
      <c r="BB818" s="2"/>
      <c r="BC818">
        <v>71500</v>
      </c>
      <c r="BD818">
        <v>56992</v>
      </c>
    </row>
    <row r="819" spans="3:56" x14ac:dyDescent="0.25">
      <c r="C819" s="1">
        <v>46439</v>
      </c>
      <c r="D819" s="36">
        <v>266565.27857142902</v>
      </c>
      <c r="E819" s="33">
        <v>4.5857142857142899</v>
      </c>
      <c r="F819" s="33">
        <v>3.7378666666666698</v>
      </c>
      <c r="G819" s="2">
        <v>0.81511111111111101</v>
      </c>
      <c r="H819" s="2">
        <v>0.99</v>
      </c>
      <c r="I819" s="3"/>
      <c r="J819" s="3"/>
      <c r="K819" s="3"/>
      <c r="L819" s="3"/>
      <c r="M819" s="3"/>
      <c r="N819" s="3">
        <v>0</v>
      </c>
      <c r="O819" s="3"/>
      <c r="P819" s="3">
        <v>0</v>
      </c>
      <c r="Q819" s="3">
        <v>0</v>
      </c>
      <c r="R819" s="3">
        <v>0</v>
      </c>
      <c r="S819" s="3">
        <v>0</v>
      </c>
      <c r="T819" s="3">
        <v>0</v>
      </c>
      <c r="U819" s="3"/>
      <c r="V819" s="3"/>
      <c r="W819" s="3"/>
      <c r="X819" s="3"/>
      <c r="Y819" s="3"/>
      <c r="Z819" s="3"/>
      <c r="AA819" s="3"/>
      <c r="AB819" s="3"/>
      <c r="AC819" s="3"/>
      <c r="AD819" s="3"/>
      <c r="AE819" s="3">
        <v>0</v>
      </c>
      <c r="AF819" s="3">
        <v>0</v>
      </c>
      <c r="AG819" s="3"/>
      <c r="AH819" s="40"/>
      <c r="AI819" s="40"/>
      <c r="AJ819" s="40"/>
      <c r="AK819" s="40"/>
      <c r="AL819" s="40"/>
      <c r="AM819" s="40"/>
      <c r="AN819" s="40"/>
      <c r="AO819" s="40"/>
      <c r="AP819" s="40"/>
      <c r="AQ819" s="40"/>
      <c r="AR819" s="31"/>
      <c r="AS819" s="36">
        <v>0</v>
      </c>
      <c r="AY819" s="6"/>
      <c r="AZ819" s="2"/>
      <c r="BA819" s="2"/>
      <c r="BB819" s="2"/>
      <c r="BC819">
        <v>71500</v>
      </c>
      <c r="BD819">
        <v>56992</v>
      </c>
    </row>
    <row r="820" spans="3:56" x14ac:dyDescent="0.25">
      <c r="C820" s="1">
        <v>46440</v>
      </c>
      <c r="D820" s="36">
        <v>266565.27857142902</v>
      </c>
      <c r="E820" s="33">
        <v>4.5857142857142899</v>
      </c>
      <c r="F820" s="33">
        <v>3.73781571428571</v>
      </c>
      <c r="G820" s="2">
        <v>0.81510000000000005</v>
      </c>
      <c r="H820" s="2">
        <v>0.99</v>
      </c>
      <c r="I820" s="3"/>
      <c r="J820" s="3"/>
      <c r="K820" s="3"/>
      <c r="L820" s="3"/>
      <c r="M820" s="3"/>
      <c r="N820" s="3">
        <v>0</v>
      </c>
      <c r="O820" s="3"/>
      <c r="P820" s="3">
        <v>0</v>
      </c>
      <c r="Q820" s="3">
        <v>0</v>
      </c>
      <c r="R820" s="3">
        <v>0</v>
      </c>
      <c r="S820" s="3">
        <v>0</v>
      </c>
      <c r="T820" s="3">
        <v>0</v>
      </c>
      <c r="U820" s="3"/>
      <c r="V820" s="3"/>
      <c r="W820" s="3"/>
      <c r="X820" s="3"/>
      <c r="Y820" s="3"/>
      <c r="Z820" s="3"/>
      <c r="AA820" s="3"/>
      <c r="AB820" s="3"/>
      <c r="AC820" s="3"/>
      <c r="AD820" s="3"/>
      <c r="AE820" s="3">
        <v>0</v>
      </c>
      <c r="AF820" s="3">
        <v>0</v>
      </c>
      <c r="AG820" s="3"/>
      <c r="AH820" s="40"/>
      <c r="AI820" s="40"/>
      <c r="AJ820" s="40"/>
      <c r="AK820" s="40"/>
      <c r="AL820" s="40"/>
      <c r="AM820" s="40"/>
      <c r="AN820" s="40"/>
      <c r="AO820" s="40"/>
      <c r="AP820" s="40"/>
      <c r="AQ820" s="40"/>
      <c r="AR820" s="31"/>
      <c r="AS820" s="36">
        <v>0</v>
      </c>
      <c r="AY820" s="6"/>
      <c r="AZ820" s="2"/>
      <c r="BA820" s="2"/>
      <c r="BB820" s="2"/>
      <c r="BC820">
        <v>71500</v>
      </c>
      <c r="BD820">
        <v>56992</v>
      </c>
    </row>
    <row r="821" spans="3:56" x14ac:dyDescent="0.25">
      <c r="C821" s="1">
        <v>46441</v>
      </c>
      <c r="D821" s="36">
        <v>266565.27857142902</v>
      </c>
      <c r="E821" s="33">
        <v>4.5857142857142899</v>
      </c>
      <c r="F821" s="33">
        <v>3.73776476190476</v>
      </c>
      <c r="G821" s="2">
        <v>0.81508888888888897</v>
      </c>
      <c r="H821" s="2">
        <v>0.99</v>
      </c>
      <c r="I821" s="3"/>
      <c r="J821" s="3"/>
      <c r="K821" s="3"/>
      <c r="L821" s="3"/>
      <c r="M821" s="3"/>
      <c r="N821" s="3">
        <v>0</v>
      </c>
      <c r="O821" s="3"/>
      <c r="P821" s="3">
        <v>0</v>
      </c>
      <c r="Q821" s="3">
        <v>0</v>
      </c>
      <c r="R821" s="3">
        <v>0</v>
      </c>
      <c r="S821" s="3">
        <v>0</v>
      </c>
      <c r="T821" s="3">
        <v>0</v>
      </c>
      <c r="U821" s="3"/>
      <c r="V821" s="3"/>
      <c r="W821" s="3"/>
      <c r="X821" s="3"/>
      <c r="Y821" s="3"/>
      <c r="Z821" s="3"/>
      <c r="AA821" s="3"/>
      <c r="AB821" s="3"/>
      <c r="AC821" s="3"/>
      <c r="AD821" s="3"/>
      <c r="AE821" s="3">
        <v>0</v>
      </c>
      <c r="AF821" s="3">
        <v>0</v>
      </c>
      <c r="AG821" s="3"/>
      <c r="AH821" s="40"/>
      <c r="AI821" s="40"/>
      <c r="AJ821" s="40"/>
      <c r="AK821" s="40"/>
      <c r="AL821" s="40"/>
      <c r="AM821" s="40"/>
      <c r="AN821" s="40"/>
      <c r="AO821" s="40"/>
      <c r="AP821" s="40"/>
      <c r="AQ821" s="40"/>
      <c r="AR821" s="31"/>
      <c r="AS821" s="36">
        <v>0</v>
      </c>
      <c r="AY821" s="6"/>
      <c r="AZ821" s="2"/>
      <c r="BA821" s="2"/>
      <c r="BB821" s="2"/>
      <c r="BC821">
        <v>71500</v>
      </c>
      <c r="BD821">
        <v>56992</v>
      </c>
    </row>
    <row r="822" spans="3:56" x14ac:dyDescent="0.25">
      <c r="C822" s="1">
        <v>46442</v>
      </c>
      <c r="D822" s="36">
        <v>266565.27857142902</v>
      </c>
      <c r="E822" s="33">
        <v>4.5857142857142899</v>
      </c>
      <c r="F822" s="33">
        <v>3.73771380952381</v>
      </c>
      <c r="G822" s="2">
        <v>0.81507777777777801</v>
      </c>
      <c r="H822" s="2">
        <v>0.99</v>
      </c>
      <c r="I822" s="3"/>
      <c r="J822" s="3"/>
      <c r="K822" s="3"/>
      <c r="L822" s="3"/>
      <c r="M822" s="3"/>
      <c r="N822" s="3">
        <v>0</v>
      </c>
      <c r="O822" s="3"/>
      <c r="P822" s="3">
        <v>0</v>
      </c>
      <c r="Q822" s="3">
        <v>0</v>
      </c>
      <c r="R822" s="3">
        <v>0</v>
      </c>
      <c r="S822" s="3">
        <v>0</v>
      </c>
      <c r="T822" s="3">
        <v>0</v>
      </c>
      <c r="U822" s="3"/>
      <c r="V822" s="3"/>
      <c r="W822" s="3"/>
      <c r="X822" s="3"/>
      <c r="Y822" s="3"/>
      <c r="Z822" s="3"/>
      <c r="AA822" s="3"/>
      <c r="AB822" s="3"/>
      <c r="AC822" s="3"/>
      <c r="AD822" s="3"/>
      <c r="AE822" s="3">
        <v>0</v>
      </c>
      <c r="AF822" s="3">
        <v>0</v>
      </c>
      <c r="AG822" s="3"/>
      <c r="AH822" s="40"/>
      <c r="AI822" s="40"/>
      <c r="AJ822" s="40"/>
      <c r="AK822" s="40"/>
      <c r="AL822" s="40"/>
      <c r="AM822" s="40"/>
      <c r="AN822" s="40"/>
      <c r="AO822" s="40"/>
      <c r="AP822" s="40"/>
      <c r="AQ822" s="40"/>
      <c r="AR822" s="31"/>
      <c r="AS822" s="36">
        <v>0</v>
      </c>
      <c r="AY822" s="6"/>
      <c r="AZ822" s="2"/>
      <c r="BA822" s="2"/>
      <c r="BB822" s="2"/>
      <c r="BC822">
        <v>71500</v>
      </c>
      <c r="BD822">
        <v>56992</v>
      </c>
    </row>
    <row r="823" spans="3:56" x14ac:dyDescent="0.25">
      <c r="C823" s="1">
        <v>46443</v>
      </c>
      <c r="D823" s="36">
        <v>266565.27857142902</v>
      </c>
      <c r="E823" s="33">
        <v>4.5857142857142899</v>
      </c>
      <c r="F823" s="33">
        <v>3.7376628571428601</v>
      </c>
      <c r="G823" s="2">
        <v>0.81506666666666705</v>
      </c>
      <c r="H823" s="2">
        <v>0.99</v>
      </c>
      <c r="I823" s="3"/>
      <c r="J823" s="3"/>
      <c r="K823" s="3"/>
      <c r="L823" s="3"/>
      <c r="M823" s="3"/>
      <c r="N823" s="3">
        <v>0</v>
      </c>
      <c r="O823" s="3"/>
      <c r="P823" s="3">
        <v>0</v>
      </c>
      <c r="Q823" s="3">
        <v>0</v>
      </c>
      <c r="R823" s="3">
        <v>0</v>
      </c>
      <c r="S823" s="3">
        <v>0</v>
      </c>
      <c r="T823" s="3">
        <v>0</v>
      </c>
      <c r="U823" s="3"/>
      <c r="V823" s="3"/>
      <c r="W823" s="3"/>
      <c r="X823" s="3"/>
      <c r="Y823" s="3"/>
      <c r="Z823" s="3"/>
      <c r="AA823" s="3"/>
      <c r="AB823" s="3"/>
      <c r="AC823" s="3"/>
      <c r="AD823" s="3"/>
      <c r="AE823" s="3">
        <v>0</v>
      </c>
      <c r="AF823" s="3">
        <v>0</v>
      </c>
      <c r="AG823" s="3"/>
      <c r="AH823" s="40"/>
      <c r="AI823" s="40"/>
      <c r="AJ823" s="40"/>
      <c r="AK823" s="40"/>
      <c r="AL823" s="40"/>
      <c r="AM823" s="40"/>
      <c r="AN823" s="40"/>
      <c r="AO823" s="40"/>
      <c r="AP823" s="40"/>
      <c r="AQ823" s="40"/>
      <c r="AR823" s="31"/>
      <c r="AS823" s="36">
        <v>0</v>
      </c>
      <c r="AY823" s="6"/>
      <c r="AZ823" s="2"/>
      <c r="BA823" s="2"/>
      <c r="BB823" s="2"/>
      <c r="BC823">
        <v>71500</v>
      </c>
      <c r="BD823">
        <v>56992</v>
      </c>
    </row>
    <row r="824" spans="3:56" x14ac:dyDescent="0.25">
      <c r="C824" s="1">
        <v>46444</v>
      </c>
      <c r="D824" s="36">
        <v>266565.27857142902</v>
      </c>
      <c r="E824" s="33">
        <v>4.5857142857142899</v>
      </c>
      <c r="F824" s="33">
        <v>3.7376119047619101</v>
      </c>
      <c r="G824" s="2">
        <v>0.81505555555555598</v>
      </c>
      <c r="H824" s="2">
        <v>0.99</v>
      </c>
      <c r="I824" s="3"/>
      <c r="J824" s="3"/>
      <c r="K824" s="3"/>
      <c r="L824" s="3"/>
      <c r="M824" s="3"/>
      <c r="N824" s="3">
        <v>0</v>
      </c>
      <c r="O824" s="3"/>
      <c r="P824" s="3">
        <v>0</v>
      </c>
      <c r="Q824" s="3">
        <v>0</v>
      </c>
      <c r="R824" s="3">
        <v>0</v>
      </c>
      <c r="S824" s="3">
        <v>0</v>
      </c>
      <c r="T824" s="3">
        <v>0</v>
      </c>
      <c r="U824" s="3"/>
      <c r="V824" s="3"/>
      <c r="W824" s="3"/>
      <c r="X824" s="3"/>
      <c r="Y824" s="3"/>
      <c r="Z824" s="3"/>
      <c r="AA824" s="3"/>
      <c r="AB824" s="3"/>
      <c r="AC824" s="3"/>
      <c r="AD824" s="3"/>
      <c r="AE824" s="3">
        <v>0</v>
      </c>
      <c r="AF824" s="3">
        <v>0</v>
      </c>
      <c r="AG824" s="3"/>
      <c r="AH824" s="40"/>
      <c r="AI824" s="40"/>
      <c r="AJ824" s="40"/>
      <c r="AK824" s="40"/>
      <c r="AL824" s="40"/>
      <c r="AM824" s="40"/>
      <c r="AN824" s="40"/>
      <c r="AO824" s="40"/>
      <c r="AP824" s="40"/>
      <c r="AQ824" s="40"/>
      <c r="AR824" s="31"/>
      <c r="AS824" s="36">
        <v>0</v>
      </c>
      <c r="AY824" s="6"/>
      <c r="AZ824" s="2"/>
      <c r="BA824" s="2"/>
      <c r="BB824" s="2"/>
      <c r="BC824">
        <v>71500</v>
      </c>
      <c r="BD824">
        <v>56992</v>
      </c>
    </row>
    <row r="825" spans="3:56" x14ac:dyDescent="0.25">
      <c r="C825" s="1">
        <v>46445</v>
      </c>
      <c r="D825" s="36">
        <v>266565.27857142902</v>
      </c>
      <c r="E825" s="33">
        <v>4.5857142857142899</v>
      </c>
      <c r="F825" s="33">
        <v>3.7375609523809499</v>
      </c>
      <c r="G825" s="2">
        <v>0.81504444444444402</v>
      </c>
      <c r="H825" s="2">
        <v>0.99</v>
      </c>
      <c r="I825" s="3"/>
      <c r="J825" s="3"/>
      <c r="K825" s="3"/>
      <c r="L825" s="3"/>
      <c r="M825" s="3"/>
      <c r="N825" s="3">
        <v>0</v>
      </c>
      <c r="O825" s="3"/>
      <c r="P825" s="3">
        <v>0</v>
      </c>
      <c r="Q825" s="3">
        <v>0</v>
      </c>
      <c r="R825" s="3">
        <v>0</v>
      </c>
      <c r="S825" s="3">
        <v>0</v>
      </c>
      <c r="T825" s="3">
        <v>0</v>
      </c>
      <c r="U825" s="3"/>
      <c r="V825" s="3"/>
      <c r="W825" s="3"/>
      <c r="X825" s="3"/>
      <c r="Y825" s="3"/>
      <c r="Z825" s="3"/>
      <c r="AA825" s="3"/>
      <c r="AB825" s="3"/>
      <c r="AC825" s="3"/>
      <c r="AD825" s="3"/>
      <c r="AE825" s="3">
        <v>0</v>
      </c>
      <c r="AF825" s="3">
        <v>0</v>
      </c>
      <c r="AG825" s="3"/>
      <c r="AH825" s="40"/>
      <c r="AI825" s="40"/>
      <c r="AJ825" s="40"/>
      <c r="AK825" s="40"/>
      <c r="AL825" s="40"/>
      <c r="AM825" s="40"/>
      <c r="AN825" s="40"/>
      <c r="AO825" s="40"/>
      <c r="AP825" s="40"/>
      <c r="AQ825" s="40"/>
      <c r="AR825" s="31"/>
      <c r="AS825" s="36">
        <v>0</v>
      </c>
      <c r="AY825" s="6"/>
      <c r="AZ825" s="2"/>
      <c r="BA825" s="2"/>
      <c r="BB825" s="2"/>
      <c r="BC825">
        <v>71500</v>
      </c>
      <c r="BD825">
        <v>56992</v>
      </c>
    </row>
    <row r="826" spans="3:56" x14ac:dyDescent="0.25">
      <c r="C826" s="1">
        <v>46446</v>
      </c>
      <c r="D826" s="36">
        <v>266565.27857142902</v>
      </c>
      <c r="E826" s="33">
        <v>4.5857142857142899</v>
      </c>
      <c r="F826" s="33">
        <v>3.7375099999999999</v>
      </c>
      <c r="G826" s="2">
        <v>0.81503333333333305</v>
      </c>
      <c r="H826" s="2">
        <v>0.99</v>
      </c>
      <c r="I826" s="3"/>
      <c r="J826" s="3"/>
      <c r="K826" s="3"/>
      <c r="L826" s="3"/>
      <c r="M826" s="3"/>
      <c r="N826" s="3">
        <v>0</v>
      </c>
      <c r="O826" s="3"/>
      <c r="P826" s="3">
        <v>0</v>
      </c>
      <c r="Q826" s="3">
        <v>0</v>
      </c>
      <c r="R826" s="3">
        <v>0</v>
      </c>
      <c r="S826" s="3">
        <v>0</v>
      </c>
      <c r="T826" s="3">
        <v>0</v>
      </c>
      <c r="U826" s="3"/>
      <c r="V826" s="3"/>
      <c r="W826" s="3"/>
      <c r="X826" s="3"/>
      <c r="Y826" s="3"/>
      <c r="Z826" s="3"/>
      <c r="AA826" s="3"/>
      <c r="AB826" s="3"/>
      <c r="AC826" s="3"/>
      <c r="AD826" s="3"/>
      <c r="AE826" s="3">
        <v>0</v>
      </c>
      <c r="AF826" s="3">
        <v>0</v>
      </c>
      <c r="AG826" s="3"/>
      <c r="AH826" s="40"/>
      <c r="AI826" s="40"/>
      <c r="AJ826" s="40"/>
      <c r="AK826" s="40"/>
      <c r="AL826" s="40"/>
      <c r="AM826" s="40"/>
      <c r="AN826" s="40"/>
      <c r="AO826" s="40"/>
      <c r="AP826" s="40"/>
      <c r="AQ826" s="40"/>
      <c r="AR826" s="31"/>
      <c r="AS826" s="36">
        <v>0</v>
      </c>
      <c r="AY826" s="6"/>
      <c r="AZ826" s="2"/>
      <c r="BA826" s="2"/>
      <c r="BB826" s="2"/>
      <c r="BC826">
        <v>71500</v>
      </c>
      <c r="BD826">
        <v>56992</v>
      </c>
    </row>
    <row r="827" spans="3:56" x14ac:dyDescent="0.25">
      <c r="C827" s="1">
        <v>46447</v>
      </c>
      <c r="D827" s="36">
        <v>269369.09999999998</v>
      </c>
      <c r="E827" s="33">
        <v>4.5999999999999996</v>
      </c>
      <c r="F827" s="33">
        <v>3.7490000000000001</v>
      </c>
      <c r="G827" s="2">
        <v>0.81499999999999995</v>
      </c>
      <c r="H827" s="2">
        <v>0.99</v>
      </c>
      <c r="I827" s="3"/>
      <c r="J827" s="3"/>
      <c r="K827" s="3"/>
      <c r="L827" s="3"/>
      <c r="M827" s="3"/>
      <c r="N827" s="3">
        <v>0</v>
      </c>
      <c r="O827" s="3"/>
      <c r="P827" s="3">
        <v>0</v>
      </c>
      <c r="Q827" s="3">
        <v>0</v>
      </c>
      <c r="R827" s="3">
        <v>0</v>
      </c>
      <c r="S827" s="3">
        <v>0</v>
      </c>
      <c r="T827" s="3">
        <v>0</v>
      </c>
      <c r="U827" s="3"/>
      <c r="V827" s="3"/>
      <c r="W827" s="3"/>
      <c r="X827" s="3"/>
      <c r="Y827" s="3"/>
      <c r="Z827" s="3"/>
      <c r="AA827" s="3"/>
      <c r="AB827" s="3"/>
      <c r="AC827" s="3"/>
      <c r="AD827" s="3"/>
      <c r="AE827" s="3">
        <v>0</v>
      </c>
      <c r="AF827" s="3">
        <v>0</v>
      </c>
      <c r="AG827" s="3"/>
      <c r="AH827" s="40"/>
      <c r="AI827" s="40"/>
      <c r="AJ827" s="40"/>
      <c r="AK827" s="40"/>
      <c r="AL827" s="40"/>
      <c r="AM827" s="40"/>
      <c r="AN827" s="40"/>
      <c r="AO827" s="40"/>
      <c r="AP827" s="40"/>
      <c r="AQ827" s="40"/>
      <c r="AR827" s="31"/>
      <c r="AS827" s="36">
        <v>0</v>
      </c>
      <c r="AY827" s="6"/>
      <c r="AZ827" s="2"/>
      <c r="BA827" s="2"/>
      <c r="BB827" s="2"/>
      <c r="BC827">
        <v>71500</v>
      </c>
      <c r="BD827">
        <v>56992</v>
      </c>
    </row>
    <row r="828" spans="3:56" x14ac:dyDescent="0.25">
      <c r="C828" s="1">
        <v>46448</v>
      </c>
      <c r="D828" s="36">
        <v>269369.09999999998</v>
      </c>
      <c r="E828" s="33">
        <v>4.5999999999999996</v>
      </c>
      <c r="F828" s="33">
        <v>3.74894888888889</v>
      </c>
      <c r="G828" s="2">
        <v>0.81498888888888898</v>
      </c>
      <c r="H828" s="2">
        <v>0.99</v>
      </c>
      <c r="I828" s="3"/>
      <c r="J828" s="3"/>
      <c r="K828" s="3"/>
      <c r="L828" s="3"/>
      <c r="M828" s="3"/>
      <c r="N828" s="3">
        <v>0</v>
      </c>
      <c r="O828" s="3"/>
      <c r="P828" s="3">
        <v>0</v>
      </c>
      <c r="Q828" s="3">
        <v>0</v>
      </c>
      <c r="R828" s="3">
        <v>0</v>
      </c>
      <c r="S828" s="3">
        <v>0</v>
      </c>
      <c r="T828" s="3">
        <v>0</v>
      </c>
      <c r="U828" s="3"/>
      <c r="V828" s="3"/>
      <c r="W828" s="3"/>
      <c r="X828" s="3"/>
      <c r="Y828" s="3"/>
      <c r="Z828" s="3"/>
      <c r="AA828" s="3"/>
      <c r="AB828" s="3"/>
      <c r="AC828" s="3"/>
      <c r="AD828" s="3"/>
      <c r="AE828" s="3">
        <v>0</v>
      </c>
      <c r="AF828" s="3">
        <v>0</v>
      </c>
      <c r="AG828" s="3"/>
      <c r="AH828" s="40"/>
      <c r="AI828" s="40"/>
      <c r="AJ828" s="40"/>
      <c r="AK828" s="40"/>
      <c r="AL828" s="40"/>
      <c r="AM828" s="40"/>
      <c r="AN828" s="40"/>
      <c r="AO828" s="40"/>
      <c r="AP828" s="40"/>
      <c r="AQ828" s="40"/>
      <c r="AR828" s="31"/>
      <c r="AS828" s="36">
        <v>0</v>
      </c>
      <c r="AY828" s="6"/>
      <c r="AZ828" s="2"/>
      <c r="BA828" s="2"/>
      <c r="BB828" s="2"/>
      <c r="BC828">
        <v>71500</v>
      </c>
      <c r="BD828">
        <v>56992</v>
      </c>
    </row>
    <row r="829" spans="3:56" x14ac:dyDescent="0.25">
      <c r="C829" s="1">
        <v>46449</v>
      </c>
      <c r="D829" s="36">
        <v>269369.09999999998</v>
      </c>
      <c r="E829" s="33">
        <v>4.5999999999999996</v>
      </c>
      <c r="F829" s="33">
        <v>3.7488977777777799</v>
      </c>
      <c r="G829" s="2">
        <v>0.81497777777777802</v>
      </c>
      <c r="H829" s="2">
        <v>0.99</v>
      </c>
      <c r="I829" s="3"/>
      <c r="J829" s="3"/>
      <c r="K829" s="3"/>
      <c r="L829" s="3"/>
      <c r="M829" s="3"/>
      <c r="N829" s="3">
        <v>0</v>
      </c>
      <c r="O829" s="3"/>
      <c r="P829" s="3">
        <v>0</v>
      </c>
      <c r="Q829" s="3">
        <v>0</v>
      </c>
      <c r="R829" s="3">
        <v>0</v>
      </c>
      <c r="S829" s="3">
        <v>0</v>
      </c>
      <c r="T829" s="3">
        <v>0</v>
      </c>
      <c r="U829" s="3"/>
      <c r="V829" s="3"/>
      <c r="W829" s="3"/>
      <c r="X829" s="3"/>
      <c r="Y829" s="3"/>
      <c r="Z829" s="3"/>
      <c r="AA829" s="3"/>
      <c r="AB829" s="3"/>
      <c r="AC829" s="3"/>
      <c r="AD829" s="3"/>
      <c r="AE829" s="3">
        <v>0</v>
      </c>
      <c r="AF829" s="3">
        <v>0</v>
      </c>
      <c r="AG829" s="3"/>
      <c r="AH829" s="40"/>
      <c r="AI829" s="40"/>
      <c r="AJ829" s="40"/>
      <c r="AK829" s="40"/>
      <c r="AL829" s="40"/>
      <c r="AM829" s="40"/>
      <c r="AN829" s="40"/>
      <c r="AO829" s="40"/>
      <c r="AP829" s="40"/>
      <c r="AQ829" s="40"/>
      <c r="AR829" s="31"/>
      <c r="AS829" s="36">
        <v>0</v>
      </c>
      <c r="AY829" s="6"/>
      <c r="AZ829" s="2"/>
      <c r="BA829" s="2"/>
      <c r="BB829" s="2"/>
      <c r="BC829">
        <v>71500</v>
      </c>
      <c r="BD829">
        <v>56992</v>
      </c>
    </row>
    <row r="830" spans="3:56" x14ac:dyDescent="0.25">
      <c r="C830" s="1">
        <v>46450</v>
      </c>
      <c r="D830" s="36">
        <v>269369.09999999998</v>
      </c>
      <c r="E830" s="33">
        <v>4.5999999999999996</v>
      </c>
      <c r="F830" s="33">
        <v>3.7488466666666702</v>
      </c>
      <c r="G830" s="2">
        <v>0.81496666666666695</v>
      </c>
      <c r="H830" s="2">
        <v>0.99</v>
      </c>
      <c r="I830" s="3"/>
      <c r="J830" s="3"/>
      <c r="K830" s="3"/>
      <c r="L830" s="3"/>
      <c r="M830" s="3"/>
      <c r="N830" s="3">
        <v>0</v>
      </c>
      <c r="O830" s="3"/>
      <c r="P830" s="3">
        <v>0</v>
      </c>
      <c r="Q830" s="3">
        <v>0</v>
      </c>
      <c r="R830" s="3">
        <v>0</v>
      </c>
      <c r="S830" s="3">
        <v>0</v>
      </c>
      <c r="T830" s="3">
        <v>0</v>
      </c>
      <c r="U830" s="3"/>
      <c r="V830" s="3"/>
      <c r="W830" s="3"/>
      <c r="X830" s="3"/>
      <c r="Y830" s="3"/>
      <c r="Z830" s="3"/>
      <c r="AA830" s="3"/>
      <c r="AB830" s="3"/>
      <c r="AC830" s="3"/>
      <c r="AD830" s="3"/>
      <c r="AE830" s="3">
        <v>0</v>
      </c>
      <c r="AF830" s="3">
        <v>0</v>
      </c>
      <c r="AG830" s="3"/>
      <c r="AH830" s="40"/>
      <c r="AI830" s="40"/>
      <c r="AJ830" s="40"/>
      <c r="AK830" s="40"/>
      <c r="AL830" s="40"/>
      <c r="AM830" s="40"/>
      <c r="AN830" s="40"/>
      <c r="AO830" s="40"/>
      <c r="AP830" s="40"/>
      <c r="AQ830" s="40"/>
      <c r="AR830" s="31"/>
      <c r="AS830" s="36">
        <v>0</v>
      </c>
      <c r="AY830" s="6"/>
      <c r="AZ830" s="2"/>
      <c r="BA830" s="2"/>
      <c r="BB830" s="2"/>
      <c r="BC830">
        <v>71500</v>
      </c>
      <c r="BD830">
        <v>56992</v>
      </c>
    </row>
    <row r="831" spans="3:56" x14ac:dyDescent="0.25">
      <c r="C831" s="1">
        <v>46451</v>
      </c>
      <c r="D831" s="36">
        <v>269369.09999999998</v>
      </c>
      <c r="E831" s="33">
        <v>4.5999999999999996</v>
      </c>
      <c r="F831" s="33">
        <v>3.7487955555555601</v>
      </c>
      <c r="G831" s="2">
        <v>0.81495555555555599</v>
      </c>
      <c r="H831" s="2">
        <v>0.99</v>
      </c>
      <c r="I831" s="3"/>
      <c r="J831" s="3"/>
      <c r="K831" s="3"/>
      <c r="L831" s="3"/>
      <c r="M831" s="3"/>
      <c r="N831" s="3">
        <v>0</v>
      </c>
      <c r="O831" s="3"/>
      <c r="P831" s="3">
        <v>0</v>
      </c>
      <c r="Q831" s="3">
        <v>0</v>
      </c>
      <c r="R831" s="3">
        <v>0</v>
      </c>
      <c r="S831" s="3">
        <v>0</v>
      </c>
      <c r="T831" s="3">
        <v>0</v>
      </c>
      <c r="U831" s="3"/>
      <c r="V831" s="3"/>
      <c r="W831" s="3"/>
      <c r="X831" s="3"/>
      <c r="Y831" s="3"/>
      <c r="Z831" s="3"/>
      <c r="AA831" s="3"/>
      <c r="AB831" s="3"/>
      <c r="AC831" s="3"/>
      <c r="AD831" s="3"/>
      <c r="AE831" s="3">
        <v>0</v>
      </c>
      <c r="AF831" s="3">
        <v>0</v>
      </c>
      <c r="AG831" s="3"/>
      <c r="AH831" s="40"/>
      <c r="AI831" s="40"/>
      <c r="AJ831" s="40"/>
      <c r="AK831" s="40"/>
      <c r="AL831" s="40"/>
      <c r="AM831" s="40"/>
      <c r="AN831" s="40"/>
      <c r="AO831" s="40"/>
      <c r="AP831" s="40"/>
      <c r="AQ831" s="40"/>
      <c r="AR831" s="31"/>
      <c r="AS831" s="36">
        <v>0</v>
      </c>
      <c r="AY831" s="6"/>
      <c r="AZ831" s="2"/>
      <c r="BA831" s="2"/>
      <c r="BB831" s="2"/>
      <c r="BC831">
        <v>71500</v>
      </c>
      <c r="BD831">
        <v>56992</v>
      </c>
    </row>
    <row r="832" spans="3:56" x14ac:dyDescent="0.25">
      <c r="C832" s="1">
        <v>46452</v>
      </c>
      <c r="D832" s="36">
        <v>269369.09999999998</v>
      </c>
      <c r="E832" s="33">
        <v>4.5999999999999996</v>
      </c>
      <c r="F832" s="33">
        <v>3.7487444444444402</v>
      </c>
      <c r="G832" s="2">
        <v>0.81494444444444403</v>
      </c>
      <c r="H832" s="2">
        <v>0.99</v>
      </c>
      <c r="I832" s="3"/>
      <c r="J832" s="3"/>
      <c r="K832" s="3"/>
      <c r="L832" s="3"/>
      <c r="M832" s="3"/>
      <c r="N832" s="3">
        <v>0</v>
      </c>
      <c r="O832" s="3"/>
      <c r="P832" s="3">
        <v>0</v>
      </c>
      <c r="Q832" s="3">
        <v>0</v>
      </c>
      <c r="R832" s="3">
        <v>0</v>
      </c>
      <c r="S832" s="3">
        <v>0</v>
      </c>
      <c r="T832" s="3">
        <v>0</v>
      </c>
      <c r="U832" s="3"/>
      <c r="V832" s="3"/>
      <c r="W832" s="3"/>
      <c r="X832" s="3"/>
      <c r="Y832" s="3"/>
      <c r="Z832" s="3"/>
      <c r="AA832" s="3"/>
      <c r="AB832" s="3"/>
      <c r="AC832" s="3"/>
      <c r="AD832" s="3"/>
      <c r="AE832" s="3">
        <v>0</v>
      </c>
      <c r="AF832" s="3">
        <v>0</v>
      </c>
      <c r="AG832" s="3"/>
      <c r="AH832" s="40"/>
      <c r="AI832" s="40"/>
      <c r="AJ832" s="40"/>
      <c r="AK832" s="40"/>
      <c r="AL832" s="40"/>
      <c r="AM832" s="40"/>
      <c r="AN832" s="40"/>
      <c r="AO832" s="40"/>
      <c r="AP832" s="40"/>
      <c r="AQ832" s="40"/>
      <c r="AR832" s="31"/>
      <c r="AS832" s="36">
        <v>0</v>
      </c>
      <c r="AY832" s="6"/>
      <c r="AZ832" s="2"/>
      <c r="BA832" s="2"/>
      <c r="BB832" s="2"/>
      <c r="BC832">
        <v>71500</v>
      </c>
      <c r="BD832">
        <v>56992</v>
      </c>
    </row>
    <row r="833" spans="3:56" x14ac:dyDescent="0.25">
      <c r="C833" s="1">
        <v>46453</v>
      </c>
      <c r="D833" s="36">
        <v>269369.09999999998</v>
      </c>
      <c r="E833" s="33">
        <v>4.5999999999999996</v>
      </c>
      <c r="F833" s="33">
        <v>3.7486933333333301</v>
      </c>
      <c r="G833" s="2">
        <v>0.81493333333333295</v>
      </c>
      <c r="H833" s="2">
        <v>0.99</v>
      </c>
      <c r="I833" s="3"/>
      <c r="J833" s="3"/>
      <c r="K833" s="3"/>
      <c r="L833" s="3"/>
      <c r="M833" s="3"/>
      <c r="N833" s="3">
        <v>0</v>
      </c>
      <c r="O833" s="3"/>
      <c r="P833" s="3">
        <v>0</v>
      </c>
      <c r="Q833" s="3">
        <v>0</v>
      </c>
      <c r="R833" s="3">
        <v>0</v>
      </c>
      <c r="S833" s="3">
        <v>0</v>
      </c>
      <c r="T833" s="3">
        <v>0</v>
      </c>
      <c r="U833" s="3"/>
      <c r="V833" s="3"/>
      <c r="W833" s="3"/>
      <c r="X833" s="3"/>
      <c r="Y833" s="3"/>
      <c r="Z833" s="3"/>
      <c r="AA833" s="3"/>
      <c r="AB833" s="3"/>
      <c r="AC833" s="3"/>
      <c r="AD833" s="3"/>
      <c r="AE833" s="3">
        <v>0</v>
      </c>
      <c r="AF833" s="3">
        <v>0</v>
      </c>
      <c r="AG833" s="3"/>
      <c r="AH833" s="40"/>
      <c r="AI833" s="40"/>
      <c r="AJ833" s="40"/>
      <c r="AK833" s="40"/>
      <c r="AL833" s="40"/>
      <c r="AM833" s="40"/>
      <c r="AN833" s="40"/>
      <c r="AO833" s="40"/>
      <c r="AP833" s="40"/>
      <c r="AQ833" s="40"/>
      <c r="AR833" s="31"/>
      <c r="AS833" s="36">
        <v>0</v>
      </c>
      <c r="AY833" s="6"/>
      <c r="AZ833" s="2"/>
      <c r="BA833" s="2"/>
      <c r="BB833" s="2"/>
      <c r="BC833">
        <v>71500</v>
      </c>
      <c r="BD833">
        <v>56992</v>
      </c>
    </row>
    <row r="834" spans="3:56" x14ac:dyDescent="0.25">
      <c r="C834" s="1">
        <v>46454</v>
      </c>
      <c r="D834" s="36">
        <v>269369.09999999998</v>
      </c>
      <c r="E834" s="33">
        <v>4.5999999999999996</v>
      </c>
      <c r="F834" s="33">
        <v>3.74864222222222</v>
      </c>
      <c r="G834" s="2">
        <v>0.81492222222222199</v>
      </c>
      <c r="H834" s="2">
        <v>0.99</v>
      </c>
      <c r="I834" s="3"/>
      <c r="J834" s="3"/>
      <c r="K834" s="3"/>
      <c r="L834" s="3"/>
      <c r="M834" s="3"/>
      <c r="N834" s="3">
        <v>0</v>
      </c>
      <c r="O834" s="3"/>
      <c r="P834" s="3">
        <v>0</v>
      </c>
      <c r="Q834" s="3">
        <v>0</v>
      </c>
      <c r="R834" s="3">
        <v>0</v>
      </c>
      <c r="S834" s="3">
        <v>0</v>
      </c>
      <c r="T834" s="3">
        <v>0</v>
      </c>
      <c r="U834" s="3"/>
      <c r="V834" s="3"/>
      <c r="W834" s="3"/>
      <c r="X834" s="3"/>
      <c r="Y834" s="3"/>
      <c r="Z834" s="3"/>
      <c r="AA834" s="3"/>
      <c r="AB834" s="3"/>
      <c r="AC834" s="3"/>
      <c r="AD834" s="3"/>
      <c r="AE834" s="3">
        <v>0</v>
      </c>
      <c r="AF834" s="3">
        <v>0</v>
      </c>
      <c r="AG834" s="3"/>
      <c r="AH834" s="40"/>
      <c r="AI834" s="40"/>
      <c r="AJ834" s="40"/>
      <c r="AK834" s="40"/>
      <c r="AL834" s="40"/>
      <c r="AM834" s="40"/>
      <c r="AN834" s="40"/>
      <c r="AO834" s="40"/>
      <c r="AP834" s="40"/>
      <c r="AQ834" s="40"/>
      <c r="AR834" s="31"/>
      <c r="AS834" s="36">
        <v>0</v>
      </c>
      <c r="AY834" s="6"/>
      <c r="AZ834" s="2"/>
      <c r="BA834" s="2"/>
      <c r="BB834" s="2"/>
      <c r="BC834">
        <v>71500</v>
      </c>
      <c r="BD834">
        <v>56992</v>
      </c>
    </row>
    <row r="835" spans="3:56" x14ac:dyDescent="0.25">
      <c r="C835" s="1">
        <v>46455</v>
      </c>
      <c r="D835" s="36">
        <v>269369.09999999998</v>
      </c>
      <c r="E835" s="33">
        <v>4.5999999999999996</v>
      </c>
      <c r="F835" s="33">
        <v>3.7485911111111099</v>
      </c>
      <c r="G835" s="2">
        <v>0.81491111111111103</v>
      </c>
      <c r="H835" s="2">
        <v>0.99</v>
      </c>
      <c r="I835" s="3"/>
      <c r="J835" s="3"/>
      <c r="K835" s="3"/>
      <c r="L835" s="3"/>
      <c r="M835" s="3"/>
      <c r="N835" s="3">
        <v>0</v>
      </c>
      <c r="O835" s="3"/>
      <c r="P835" s="3">
        <v>0</v>
      </c>
      <c r="Q835" s="3">
        <v>0</v>
      </c>
      <c r="R835" s="3">
        <v>0</v>
      </c>
      <c r="S835" s="3">
        <v>0</v>
      </c>
      <c r="T835" s="3">
        <v>0</v>
      </c>
      <c r="U835" s="3"/>
      <c r="V835" s="3"/>
      <c r="W835" s="3"/>
      <c r="X835" s="3"/>
      <c r="Y835" s="3"/>
      <c r="Z835" s="3"/>
      <c r="AA835" s="3"/>
      <c r="AB835" s="3"/>
      <c r="AC835" s="3"/>
      <c r="AD835" s="3"/>
      <c r="AE835" s="3">
        <v>0</v>
      </c>
      <c r="AF835" s="3">
        <v>0</v>
      </c>
      <c r="AG835" s="3"/>
      <c r="AH835" s="40"/>
      <c r="AI835" s="40"/>
      <c r="AJ835" s="40"/>
      <c r="AK835" s="40"/>
      <c r="AL835" s="40"/>
      <c r="AM835" s="40"/>
      <c r="AN835" s="40"/>
      <c r="AO835" s="40"/>
      <c r="AP835" s="40"/>
      <c r="AQ835" s="40"/>
      <c r="AR835" s="31"/>
      <c r="AS835" s="36">
        <v>0</v>
      </c>
      <c r="AY835" s="6"/>
      <c r="AZ835" s="2"/>
      <c r="BA835" s="2"/>
      <c r="BB835" s="2"/>
      <c r="BC835">
        <v>71500</v>
      </c>
      <c r="BD835">
        <v>56992</v>
      </c>
    </row>
    <row r="836" spans="3:56" x14ac:dyDescent="0.25">
      <c r="C836" s="1">
        <v>46456</v>
      </c>
      <c r="D836" s="36">
        <v>269369.09999999998</v>
      </c>
      <c r="E836" s="33">
        <v>4.5999999999999996</v>
      </c>
      <c r="F836" s="33">
        <v>3.7485400000000002</v>
      </c>
      <c r="G836" s="2">
        <v>0.81489999999999996</v>
      </c>
      <c r="H836" s="2">
        <v>0.99</v>
      </c>
      <c r="I836" s="3"/>
      <c r="J836" s="3"/>
      <c r="K836" s="3"/>
      <c r="L836" s="3"/>
      <c r="M836" s="3"/>
      <c r="N836" s="3">
        <v>0</v>
      </c>
      <c r="O836" s="3"/>
      <c r="P836" s="3">
        <v>0</v>
      </c>
      <c r="Q836" s="3">
        <v>0</v>
      </c>
      <c r="R836" s="3">
        <v>0</v>
      </c>
      <c r="S836" s="3">
        <v>0</v>
      </c>
      <c r="T836" s="3">
        <v>0</v>
      </c>
      <c r="U836" s="3"/>
      <c r="V836" s="3"/>
      <c r="W836" s="3"/>
      <c r="X836" s="3"/>
      <c r="Y836" s="3"/>
      <c r="Z836" s="3"/>
      <c r="AA836" s="3"/>
      <c r="AB836" s="3"/>
      <c r="AC836" s="3"/>
      <c r="AD836" s="3"/>
      <c r="AE836" s="3">
        <v>0</v>
      </c>
      <c r="AF836" s="3">
        <v>0</v>
      </c>
      <c r="AG836" s="3"/>
      <c r="AH836" s="40"/>
      <c r="AI836" s="40"/>
      <c r="AJ836" s="40"/>
      <c r="AK836" s="40"/>
      <c r="AL836" s="40"/>
      <c r="AM836" s="40"/>
      <c r="AN836" s="40"/>
      <c r="AO836" s="40"/>
      <c r="AP836" s="40"/>
      <c r="AQ836" s="40"/>
      <c r="AR836" s="31"/>
      <c r="AS836" s="36">
        <v>0</v>
      </c>
      <c r="AY836" s="6"/>
      <c r="AZ836" s="2"/>
      <c r="BA836" s="2"/>
      <c r="BB836" s="2"/>
      <c r="BC836">
        <v>71500</v>
      </c>
      <c r="BD836">
        <v>56992</v>
      </c>
    </row>
    <row r="837" spans="3:56" x14ac:dyDescent="0.25">
      <c r="C837" s="1">
        <v>46457</v>
      </c>
      <c r="D837" s="36">
        <v>269369.09999999998</v>
      </c>
      <c r="E837" s="33">
        <v>4.5999999999999996</v>
      </c>
      <c r="F837" s="33">
        <v>3.7484888888888901</v>
      </c>
      <c r="G837" s="2">
        <v>0.814888888888889</v>
      </c>
      <c r="H837" s="2">
        <v>0.99</v>
      </c>
      <c r="I837" s="3"/>
      <c r="J837" s="3"/>
      <c r="K837" s="3"/>
      <c r="L837" s="3"/>
      <c r="M837" s="3"/>
      <c r="N837" s="3">
        <v>0</v>
      </c>
      <c r="O837" s="3"/>
      <c r="P837" s="3">
        <v>0</v>
      </c>
      <c r="Q837" s="3">
        <v>0</v>
      </c>
      <c r="R837" s="3">
        <v>0</v>
      </c>
      <c r="S837" s="3">
        <v>0</v>
      </c>
      <c r="T837" s="3">
        <v>0</v>
      </c>
      <c r="U837" s="3"/>
      <c r="V837" s="3"/>
      <c r="W837" s="3"/>
      <c r="X837" s="3"/>
      <c r="Y837" s="3"/>
      <c r="Z837" s="3"/>
      <c r="AA837" s="3"/>
      <c r="AB837" s="3"/>
      <c r="AC837" s="3"/>
      <c r="AD837" s="3"/>
      <c r="AE837" s="3">
        <v>0</v>
      </c>
      <c r="AF837" s="3">
        <v>0</v>
      </c>
      <c r="AG837" s="3"/>
      <c r="AH837" s="40"/>
      <c r="AI837" s="40"/>
      <c r="AJ837" s="40"/>
      <c r="AK837" s="40"/>
      <c r="AL837" s="40"/>
      <c r="AM837" s="40"/>
      <c r="AN837" s="40"/>
      <c r="AO837" s="40"/>
      <c r="AP837" s="40"/>
      <c r="AQ837" s="40"/>
      <c r="AR837" s="31"/>
      <c r="AS837" s="36">
        <v>0</v>
      </c>
      <c r="AY837" s="6"/>
      <c r="AZ837" s="2"/>
      <c r="BA837" s="2"/>
      <c r="BB837" s="2"/>
      <c r="BC837">
        <v>71500</v>
      </c>
      <c r="BD837">
        <v>56992</v>
      </c>
    </row>
    <row r="838" spans="3:56" x14ac:dyDescent="0.25">
      <c r="C838" s="1">
        <v>46458</v>
      </c>
      <c r="D838" s="36">
        <v>269369.09999999998</v>
      </c>
      <c r="E838" s="33">
        <v>4.5999999999999996</v>
      </c>
      <c r="F838" s="33">
        <v>3.74843777777778</v>
      </c>
      <c r="G838" s="2">
        <v>0.81487777777777803</v>
      </c>
      <c r="H838" s="2">
        <v>0.99</v>
      </c>
      <c r="I838" s="3"/>
      <c r="J838" s="3"/>
      <c r="K838" s="3"/>
      <c r="L838" s="3"/>
      <c r="M838" s="3"/>
      <c r="N838" s="3">
        <v>0</v>
      </c>
      <c r="O838" s="3"/>
      <c r="P838" s="3">
        <v>0</v>
      </c>
      <c r="Q838" s="3">
        <v>0</v>
      </c>
      <c r="R838" s="3">
        <v>0</v>
      </c>
      <c r="S838" s="3">
        <v>0</v>
      </c>
      <c r="T838" s="3">
        <v>0</v>
      </c>
      <c r="U838" s="3"/>
      <c r="V838" s="3"/>
      <c r="W838" s="3"/>
      <c r="X838" s="3"/>
      <c r="Y838" s="3"/>
      <c r="Z838" s="3"/>
      <c r="AA838" s="3"/>
      <c r="AB838" s="3"/>
      <c r="AC838" s="3"/>
      <c r="AD838" s="3"/>
      <c r="AE838" s="3">
        <v>0</v>
      </c>
      <c r="AF838" s="3">
        <v>0</v>
      </c>
      <c r="AG838" s="3"/>
      <c r="AH838" s="40"/>
      <c r="AI838" s="40"/>
      <c r="AJ838" s="40"/>
      <c r="AK838" s="40"/>
      <c r="AL838" s="40"/>
      <c r="AM838" s="40"/>
      <c r="AN838" s="40"/>
      <c r="AO838" s="40"/>
      <c r="AP838" s="40"/>
      <c r="AQ838" s="40"/>
      <c r="AR838" s="31"/>
      <c r="AS838" s="36">
        <v>0</v>
      </c>
      <c r="AY838" s="6"/>
      <c r="AZ838" s="2"/>
      <c r="BA838" s="2"/>
      <c r="BB838" s="2"/>
      <c r="BC838">
        <v>71500</v>
      </c>
      <c r="BD838">
        <v>56992</v>
      </c>
    </row>
    <row r="839" spans="3:56" x14ac:dyDescent="0.25">
      <c r="C839" s="1">
        <v>46459</v>
      </c>
      <c r="D839" s="36">
        <v>269369.09999999998</v>
      </c>
      <c r="E839" s="33">
        <v>4.5999999999999996</v>
      </c>
      <c r="F839" s="33">
        <v>3.7483866666666699</v>
      </c>
      <c r="G839" s="2">
        <v>0.81486666666666696</v>
      </c>
      <c r="H839" s="2">
        <v>0.99</v>
      </c>
      <c r="I839" s="3"/>
      <c r="J839" s="3"/>
      <c r="K839" s="3"/>
      <c r="L839" s="3"/>
      <c r="M839" s="3"/>
      <c r="N839" s="3">
        <v>0</v>
      </c>
      <c r="O839" s="3"/>
      <c r="P839" s="3">
        <v>0</v>
      </c>
      <c r="Q839" s="3">
        <v>0</v>
      </c>
      <c r="R839" s="3">
        <v>0</v>
      </c>
      <c r="S839" s="3">
        <v>0</v>
      </c>
      <c r="T839" s="3">
        <v>0</v>
      </c>
      <c r="U839" s="3"/>
      <c r="V839" s="3"/>
      <c r="W839" s="3"/>
      <c r="X839" s="3"/>
      <c r="Y839" s="3"/>
      <c r="Z839" s="3"/>
      <c r="AA839" s="3"/>
      <c r="AB839" s="3"/>
      <c r="AC839" s="3"/>
      <c r="AD839" s="3"/>
      <c r="AE839" s="3">
        <v>0</v>
      </c>
      <c r="AF839" s="3">
        <v>0</v>
      </c>
      <c r="AG839" s="3"/>
      <c r="AH839" s="40"/>
      <c r="AI839" s="40"/>
      <c r="AJ839" s="40"/>
      <c r="AK839" s="40"/>
      <c r="AL839" s="40"/>
      <c r="AM839" s="40"/>
      <c r="AN839" s="40"/>
      <c r="AO839" s="40"/>
      <c r="AP839" s="40"/>
      <c r="AQ839" s="40"/>
      <c r="AR839" s="31"/>
      <c r="AS839" s="36">
        <v>0</v>
      </c>
      <c r="AY839" s="6"/>
      <c r="AZ839" s="2"/>
      <c r="BA839" s="2"/>
      <c r="BB839" s="2"/>
      <c r="BC839">
        <v>71500</v>
      </c>
      <c r="BD839">
        <v>56992</v>
      </c>
    </row>
    <row r="840" spans="3:56" x14ac:dyDescent="0.25">
      <c r="C840" s="1">
        <v>46460</v>
      </c>
      <c r="D840" s="36">
        <v>269369.09999999998</v>
      </c>
      <c r="E840" s="33">
        <v>4.5999999999999996</v>
      </c>
      <c r="F840" s="33">
        <v>3.7483355555555602</v>
      </c>
      <c r="G840" s="2">
        <v>0.814855555555556</v>
      </c>
      <c r="H840" s="2">
        <v>0.99</v>
      </c>
      <c r="I840" s="3"/>
      <c r="J840" s="3"/>
      <c r="K840" s="3"/>
      <c r="L840" s="3"/>
      <c r="M840" s="3"/>
      <c r="N840" s="3">
        <v>0</v>
      </c>
      <c r="O840" s="3"/>
      <c r="P840" s="3">
        <v>0</v>
      </c>
      <c r="Q840" s="3">
        <v>0</v>
      </c>
      <c r="R840" s="3">
        <v>0</v>
      </c>
      <c r="S840" s="3">
        <v>0</v>
      </c>
      <c r="T840" s="3">
        <v>0</v>
      </c>
      <c r="U840" s="3"/>
      <c r="V840" s="3"/>
      <c r="W840" s="3"/>
      <c r="X840" s="3"/>
      <c r="Y840" s="3"/>
      <c r="Z840" s="3"/>
      <c r="AA840" s="3"/>
      <c r="AB840" s="3"/>
      <c r="AC840" s="3"/>
      <c r="AD840" s="3"/>
      <c r="AE840" s="3">
        <v>0</v>
      </c>
      <c r="AF840" s="3">
        <v>0</v>
      </c>
      <c r="AG840" s="3"/>
      <c r="AH840" s="40"/>
      <c r="AI840" s="40"/>
      <c r="AJ840" s="40"/>
      <c r="AK840" s="40"/>
      <c r="AL840" s="40"/>
      <c r="AM840" s="40"/>
      <c r="AN840" s="40"/>
      <c r="AO840" s="40"/>
      <c r="AP840" s="40"/>
      <c r="AQ840" s="40"/>
      <c r="AR840" s="31"/>
      <c r="AS840" s="36">
        <v>0</v>
      </c>
      <c r="AY840" s="6"/>
      <c r="AZ840" s="2"/>
      <c r="BA840" s="2"/>
      <c r="BB840" s="2"/>
      <c r="BC840">
        <v>71500</v>
      </c>
      <c r="BD840">
        <v>56992</v>
      </c>
    </row>
    <row r="841" spans="3:56" x14ac:dyDescent="0.25">
      <c r="C841" s="1">
        <v>46461</v>
      </c>
      <c r="D841" s="36">
        <v>269369.09999999998</v>
      </c>
      <c r="E841" s="33">
        <v>4.5999999999999996</v>
      </c>
      <c r="F841" s="33">
        <v>3.7482844444444399</v>
      </c>
      <c r="G841" s="2">
        <v>0.81484444444444404</v>
      </c>
      <c r="H841" s="2">
        <v>0.99</v>
      </c>
      <c r="I841" s="3"/>
      <c r="J841" s="3"/>
      <c r="K841" s="3"/>
      <c r="L841" s="3"/>
      <c r="M841" s="3"/>
      <c r="N841" s="3">
        <v>0</v>
      </c>
      <c r="O841" s="3"/>
      <c r="P841" s="3">
        <v>0</v>
      </c>
      <c r="Q841" s="3">
        <v>0</v>
      </c>
      <c r="R841" s="3">
        <v>0</v>
      </c>
      <c r="S841" s="3">
        <v>0</v>
      </c>
      <c r="T841" s="3">
        <v>0</v>
      </c>
      <c r="U841" s="3"/>
      <c r="V841" s="3"/>
      <c r="W841" s="3"/>
      <c r="X841" s="3"/>
      <c r="Y841" s="3"/>
      <c r="Z841" s="3"/>
      <c r="AA841" s="3"/>
      <c r="AB841" s="3"/>
      <c r="AC841" s="3"/>
      <c r="AD841" s="3"/>
      <c r="AE841" s="3">
        <v>0</v>
      </c>
      <c r="AF841" s="3">
        <v>0</v>
      </c>
      <c r="AG841" s="3"/>
      <c r="AH841" s="40"/>
      <c r="AI841" s="40"/>
      <c r="AJ841" s="40"/>
      <c r="AK841" s="40"/>
      <c r="AL841" s="40"/>
      <c r="AM841" s="40"/>
      <c r="AN841" s="40"/>
      <c r="AO841" s="40"/>
      <c r="AP841" s="40"/>
      <c r="AQ841" s="40"/>
      <c r="AR841" s="31"/>
      <c r="AS841" s="36">
        <v>0</v>
      </c>
      <c r="AY841" s="6"/>
      <c r="AZ841" s="2"/>
      <c r="BA841" s="2"/>
      <c r="BB841" s="2"/>
      <c r="BC841">
        <v>71500</v>
      </c>
      <c r="BD841">
        <v>56992</v>
      </c>
    </row>
    <row r="842" spans="3:56" x14ac:dyDescent="0.25">
      <c r="C842" s="1">
        <v>46462</v>
      </c>
      <c r="D842" s="36">
        <v>269369.09999999998</v>
      </c>
      <c r="E842" s="33">
        <v>4.5999999999999996</v>
      </c>
      <c r="F842" s="33">
        <v>3.7482333333333302</v>
      </c>
      <c r="G842" s="2">
        <v>0.81483333333333297</v>
      </c>
      <c r="H842" s="2">
        <v>0.99</v>
      </c>
      <c r="I842" s="3"/>
      <c r="J842" s="3"/>
      <c r="K842" s="3"/>
      <c r="L842" s="3"/>
      <c r="M842" s="3"/>
      <c r="N842" s="3">
        <v>0</v>
      </c>
      <c r="O842" s="3"/>
      <c r="P842" s="3">
        <v>0</v>
      </c>
      <c r="Q842" s="3">
        <v>0</v>
      </c>
      <c r="R842" s="3">
        <v>0</v>
      </c>
      <c r="S842" s="3">
        <v>0</v>
      </c>
      <c r="T842" s="3">
        <v>0</v>
      </c>
      <c r="U842" s="3"/>
      <c r="V842" s="3"/>
      <c r="W842" s="3"/>
      <c r="X842" s="3"/>
      <c r="Y842" s="3"/>
      <c r="Z842" s="3"/>
      <c r="AA842" s="3"/>
      <c r="AB842" s="3"/>
      <c r="AC842" s="3"/>
      <c r="AD842" s="3"/>
      <c r="AE842" s="3">
        <v>0</v>
      </c>
      <c r="AF842" s="3">
        <v>0</v>
      </c>
      <c r="AG842" s="3"/>
      <c r="AH842" s="40"/>
      <c r="AI842" s="40"/>
      <c r="AJ842" s="40"/>
      <c r="AK842" s="40"/>
      <c r="AL842" s="40"/>
      <c r="AM842" s="40"/>
      <c r="AN842" s="40"/>
      <c r="AO842" s="40"/>
      <c r="AP842" s="40"/>
      <c r="AQ842" s="40"/>
      <c r="AR842" s="31"/>
      <c r="AS842" s="36">
        <v>0</v>
      </c>
      <c r="AY842" s="6"/>
      <c r="AZ842" s="2"/>
      <c r="BA842" s="2"/>
      <c r="BB842" s="2"/>
      <c r="BC842">
        <v>71500</v>
      </c>
      <c r="BD842">
        <v>56992</v>
      </c>
    </row>
    <row r="843" spans="3:56" x14ac:dyDescent="0.25">
      <c r="C843" s="1">
        <v>46463</v>
      </c>
      <c r="D843" s="36">
        <v>269369.09999999998</v>
      </c>
      <c r="E843" s="33">
        <v>4.5999999999999996</v>
      </c>
      <c r="F843" s="33">
        <v>3.7481822222222201</v>
      </c>
      <c r="G843" s="2">
        <v>0.814822222222222</v>
      </c>
      <c r="H843" s="2">
        <v>0.99</v>
      </c>
      <c r="I843" s="3"/>
      <c r="J843" s="3"/>
      <c r="K843" s="3"/>
      <c r="L843" s="3"/>
      <c r="M843" s="3"/>
      <c r="N843" s="3">
        <v>0</v>
      </c>
      <c r="O843" s="3"/>
      <c r="P843" s="3">
        <v>0</v>
      </c>
      <c r="Q843" s="3">
        <v>0</v>
      </c>
      <c r="R843" s="3">
        <v>0</v>
      </c>
      <c r="S843" s="3">
        <v>0</v>
      </c>
      <c r="T843" s="3">
        <v>0</v>
      </c>
      <c r="U843" s="3"/>
      <c r="V843" s="3"/>
      <c r="W843" s="3"/>
      <c r="X843" s="3"/>
      <c r="Y843" s="3"/>
      <c r="Z843" s="3"/>
      <c r="AA843" s="3"/>
      <c r="AB843" s="3"/>
      <c r="AC843" s="3"/>
      <c r="AD843" s="3"/>
      <c r="AE843" s="3">
        <v>0</v>
      </c>
      <c r="AF843" s="3">
        <v>0</v>
      </c>
      <c r="AG843" s="3"/>
      <c r="AH843" s="40"/>
      <c r="AI843" s="40"/>
      <c r="AJ843" s="40"/>
      <c r="AK843" s="40"/>
      <c r="AL843" s="40"/>
      <c r="AM843" s="40"/>
      <c r="AN843" s="40"/>
      <c r="AO843" s="40"/>
      <c r="AP843" s="40"/>
      <c r="AQ843" s="40"/>
      <c r="AR843" s="31"/>
      <c r="AS843" s="36">
        <v>0</v>
      </c>
      <c r="AY843" s="6"/>
      <c r="AZ843" s="2"/>
      <c r="BA843" s="2"/>
      <c r="BB843" s="2"/>
      <c r="BC843">
        <v>71500</v>
      </c>
      <c r="BD843">
        <v>56992</v>
      </c>
    </row>
    <row r="844" spans="3:56" x14ac:dyDescent="0.25">
      <c r="C844" s="1">
        <v>46464</v>
      </c>
      <c r="D844" s="36">
        <v>269369.09999999998</v>
      </c>
      <c r="E844" s="33">
        <v>4.5999999999999996</v>
      </c>
      <c r="F844" s="33">
        <v>3.74813111111111</v>
      </c>
      <c r="G844" s="2">
        <v>0.81481111111111104</v>
      </c>
      <c r="H844" s="2">
        <v>0.99</v>
      </c>
      <c r="I844" s="3"/>
      <c r="J844" s="3"/>
      <c r="K844" s="3"/>
      <c r="L844" s="3"/>
      <c r="M844" s="3"/>
      <c r="N844" s="3">
        <v>0</v>
      </c>
      <c r="O844" s="3"/>
      <c r="P844" s="3">
        <v>0</v>
      </c>
      <c r="Q844" s="3">
        <v>0</v>
      </c>
      <c r="R844" s="3">
        <v>0</v>
      </c>
      <c r="S844" s="3">
        <v>0</v>
      </c>
      <c r="T844" s="3">
        <v>0</v>
      </c>
      <c r="U844" s="3"/>
      <c r="V844" s="3"/>
      <c r="W844" s="3"/>
      <c r="X844" s="3"/>
      <c r="Y844" s="3"/>
      <c r="Z844" s="3"/>
      <c r="AA844" s="3"/>
      <c r="AB844" s="3"/>
      <c r="AC844" s="3"/>
      <c r="AD844" s="3"/>
      <c r="AE844" s="3">
        <v>0</v>
      </c>
      <c r="AF844" s="3">
        <v>0</v>
      </c>
      <c r="AG844" s="3"/>
      <c r="AH844" s="40"/>
      <c r="AI844" s="40"/>
      <c r="AJ844" s="40"/>
      <c r="AK844" s="40"/>
      <c r="AL844" s="40"/>
      <c r="AM844" s="40"/>
      <c r="AN844" s="40"/>
      <c r="AO844" s="40"/>
      <c r="AP844" s="40"/>
      <c r="AQ844" s="40"/>
      <c r="AR844" s="31"/>
      <c r="AS844" s="36">
        <v>0</v>
      </c>
      <c r="AY844" s="6"/>
      <c r="AZ844" s="2"/>
      <c r="BA844" s="2"/>
      <c r="BB844" s="2"/>
      <c r="BC844">
        <v>71500</v>
      </c>
      <c r="BD844">
        <v>56992</v>
      </c>
    </row>
    <row r="845" spans="3:56" x14ac:dyDescent="0.25">
      <c r="C845" s="1">
        <v>46465</v>
      </c>
      <c r="D845" s="36">
        <v>269369.09999999998</v>
      </c>
      <c r="E845" s="33">
        <v>4.5999999999999996</v>
      </c>
      <c r="F845" s="33">
        <v>3.7480799999999999</v>
      </c>
      <c r="G845" s="2">
        <v>0.81479999999999997</v>
      </c>
      <c r="H845" s="2">
        <v>0.99</v>
      </c>
      <c r="I845" s="3"/>
      <c r="J845" s="3"/>
      <c r="K845" s="3"/>
      <c r="L845" s="3"/>
      <c r="M845" s="3"/>
      <c r="N845" s="3">
        <v>0</v>
      </c>
      <c r="O845" s="3"/>
      <c r="P845" s="3">
        <v>0</v>
      </c>
      <c r="Q845" s="3">
        <v>0</v>
      </c>
      <c r="R845" s="3">
        <v>0</v>
      </c>
      <c r="S845" s="3">
        <v>0</v>
      </c>
      <c r="T845" s="3">
        <v>0</v>
      </c>
      <c r="U845" s="3"/>
      <c r="V845" s="3"/>
      <c r="W845" s="3"/>
      <c r="X845" s="3"/>
      <c r="Y845" s="3"/>
      <c r="Z845" s="3"/>
      <c r="AA845" s="3"/>
      <c r="AB845" s="3"/>
      <c r="AC845" s="3"/>
      <c r="AD845" s="3"/>
      <c r="AE845" s="3">
        <v>0</v>
      </c>
      <c r="AF845" s="3">
        <v>0</v>
      </c>
      <c r="AG845" s="3"/>
      <c r="AH845" s="40"/>
      <c r="AI845" s="40"/>
      <c r="AJ845" s="40"/>
      <c r="AK845" s="40"/>
      <c r="AL845" s="40"/>
      <c r="AM845" s="40"/>
      <c r="AN845" s="40"/>
      <c r="AO845" s="40"/>
      <c r="AP845" s="40"/>
      <c r="AQ845" s="40"/>
      <c r="AR845" s="31"/>
      <c r="AS845" s="36">
        <v>0</v>
      </c>
      <c r="AY845" s="6"/>
      <c r="AZ845" s="2"/>
      <c r="BA845" s="2"/>
      <c r="BB845" s="2"/>
      <c r="BC845">
        <v>71500</v>
      </c>
      <c r="BD845">
        <v>56992</v>
      </c>
    </row>
    <row r="846" spans="3:56" x14ac:dyDescent="0.25">
      <c r="C846" s="1">
        <v>46466</v>
      </c>
      <c r="D846" s="36">
        <v>269369.09999999998</v>
      </c>
      <c r="E846" s="33">
        <v>4.5999999999999996</v>
      </c>
      <c r="F846" s="33">
        <v>3.7480288888888902</v>
      </c>
      <c r="G846" s="2">
        <v>0.81478888888888901</v>
      </c>
      <c r="H846" s="2">
        <v>0.99</v>
      </c>
      <c r="I846" s="3"/>
      <c r="J846" s="3"/>
      <c r="K846" s="3"/>
      <c r="L846" s="3"/>
      <c r="M846" s="3"/>
      <c r="N846" s="3">
        <v>0</v>
      </c>
      <c r="O846" s="3"/>
      <c r="P846" s="3">
        <v>0</v>
      </c>
      <c r="Q846" s="3">
        <v>0</v>
      </c>
      <c r="R846" s="3">
        <v>0</v>
      </c>
      <c r="S846" s="3">
        <v>0</v>
      </c>
      <c r="T846" s="3">
        <v>0</v>
      </c>
      <c r="U846" s="3"/>
      <c r="V846" s="3"/>
      <c r="W846" s="3"/>
      <c r="X846" s="3"/>
      <c r="Y846" s="3"/>
      <c r="Z846" s="3"/>
      <c r="AA846" s="3"/>
      <c r="AB846" s="3"/>
      <c r="AC846" s="3"/>
      <c r="AD846" s="3"/>
      <c r="AE846" s="3">
        <v>0</v>
      </c>
      <c r="AF846" s="3">
        <v>0</v>
      </c>
      <c r="AG846" s="3"/>
      <c r="AH846" s="40"/>
      <c r="AI846" s="40"/>
      <c r="AJ846" s="40"/>
      <c r="AK846" s="40"/>
      <c r="AL846" s="40"/>
      <c r="AM846" s="40"/>
      <c r="AN846" s="40"/>
      <c r="AO846" s="40"/>
      <c r="AP846" s="40"/>
      <c r="AQ846" s="40"/>
      <c r="AR846" s="31"/>
      <c r="AS846" s="36">
        <v>0</v>
      </c>
      <c r="AY846" s="6"/>
      <c r="AZ846" s="2"/>
      <c r="BA846" s="2"/>
      <c r="BB846" s="2"/>
      <c r="BC846">
        <v>71500</v>
      </c>
      <c r="BD846">
        <v>56992</v>
      </c>
    </row>
    <row r="847" spans="3:56" x14ac:dyDescent="0.25">
      <c r="C847" s="1">
        <v>46467</v>
      </c>
      <c r="D847" s="36">
        <v>269369.09999999998</v>
      </c>
      <c r="E847" s="33">
        <v>4.5999999999999996</v>
      </c>
      <c r="F847" s="33">
        <v>3.7479777777777801</v>
      </c>
      <c r="G847" s="2">
        <v>0.81477777777777805</v>
      </c>
      <c r="H847" s="2">
        <v>0.99</v>
      </c>
      <c r="I847" s="3"/>
      <c r="J847" s="3"/>
      <c r="K847" s="3"/>
      <c r="L847" s="3"/>
      <c r="M847" s="3"/>
      <c r="N847" s="3">
        <v>0</v>
      </c>
      <c r="O847" s="3"/>
      <c r="P847" s="3">
        <v>0</v>
      </c>
      <c r="Q847" s="3">
        <v>0</v>
      </c>
      <c r="R847" s="3">
        <v>0</v>
      </c>
      <c r="S847" s="3">
        <v>0</v>
      </c>
      <c r="T847" s="3">
        <v>0</v>
      </c>
      <c r="U847" s="3"/>
      <c r="V847" s="3"/>
      <c r="W847" s="3"/>
      <c r="X847" s="3"/>
      <c r="Y847" s="3"/>
      <c r="Z847" s="3"/>
      <c r="AA847" s="3"/>
      <c r="AB847" s="3"/>
      <c r="AC847" s="3"/>
      <c r="AD847" s="3"/>
      <c r="AE847" s="3">
        <v>0</v>
      </c>
      <c r="AF847" s="3">
        <v>0</v>
      </c>
      <c r="AG847" s="3"/>
      <c r="AH847" s="40"/>
      <c r="AI847" s="40"/>
      <c r="AJ847" s="40"/>
      <c r="AK847" s="40"/>
      <c r="AL847" s="40"/>
      <c r="AM847" s="40"/>
      <c r="AN847" s="40"/>
      <c r="AO847" s="40"/>
      <c r="AP847" s="40"/>
      <c r="AQ847" s="40"/>
      <c r="AR847" s="31"/>
      <c r="AS847" s="36">
        <v>0</v>
      </c>
      <c r="AY847" s="6"/>
      <c r="AZ847" s="2"/>
      <c r="BA847" s="2"/>
      <c r="BB847" s="2"/>
      <c r="BC847">
        <v>71500</v>
      </c>
      <c r="BD847">
        <v>56992</v>
      </c>
    </row>
    <row r="848" spans="3:56" x14ac:dyDescent="0.25">
      <c r="C848" s="1">
        <v>46468</v>
      </c>
      <c r="D848" s="36">
        <v>269369.09999999998</v>
      </c>
      <c r="E848" s="33">
        <v>4.5999999999999996</v>
      </c>
      <c r="F848" s="33">
        <v>3.74792666666667</v>
      </c>
      <c r="G848" s="2">
        <v>0.81476666666666697</v>
      </c>
      <c r="H848" s="2">
        <v>0.99</v>
      </c>
      <c r="I848" s="3"/>
      <c r="J848" s="3"/>
      <c r="K848" s="3"/>
      <c r="L848" s="3"/>
      <c r="M848" s="3"/>
      <c r="N848" s="3">
        <v>0</v>
      </c>
      <c r="O848" s="3"/>
      <c r="P848" s="3">
        <v>0</v>
      </c>
      <c r="Q848" s="3">
        <v>0</v>
      </c>
      <c r="R848" s="3">
        <v>0</v>
      </c>
      <c r="S848" s="3">
        <v>0</v>
      </c>
      <c r="T848" s="3">
        <v>0</v>
      </c>
      <c r="U848" s="3"/>
      <c r="V848" s="3"/>
      <c r="W848" s="3"/>
      <c r="X848" s="3"/>
      <c r="Y848" s="3"/>
      <c r="Z848" s="3"/>
      <c r="AA848" s="3"/>
      <c r="AB848" s="3"/>
      <c r="AC848" s="3"/>
      <c r="AD848" s="3"/>
      <c r="AE848" s="3">
        <v>0</v>
      </c>
      <c r="AF848" s="3">
        <v>0</v>
      </c>
      <c r="AG848" s="3"/>
      <c r="AH848" s="40"/>
      <c r="AI848" s="40"/>
      <c r="AJ848" s="40"/>
      <c r="AK848" s="40"/>
      <c r="AL848" s="40"/>
      <c r="AM848" s="40"/>
      <c r="AN848" s="40"/>
      <c r="AO848" s="40"/>
      <c r="AP848" s="40"/>
      <c r="AQ848" s="40"/>
      <c r="AR848" s="31"/>
      <c r="AS848" s="36">
        <v>0</v>
      </c>
      <c r="AY848" s="6"/>
      <c r="AZ848" s="2"/>
      <c r="BA848" s="2"/>
      <c r="BB848" s="2"/>
      <c r="BC848">
        <v>71500</v>
      </c>
      <c r="BD848">
        <v>56992</v>
      </c>
    </row>
    <row r="849" spans="3:56" x14ac:dyDescent="0.25">
      <c r="C849" s="1">
        <v>46469</v>
      </c>
      <c r="D849" s="36">
        <v>269369.09999999998</v>
      </c>
      <c r="E849" s="33">
        <v>4.5999999999999996</v>
      </c>
      <c r="F849" s="33">
        <v>3.7478755555555598</v>
      </c>
      <c r="G849" s="2">
        <v>0.81475555555555601</v>
      </c>
      <c r="H849" s="2">
        <v>0.99</v>
      </c>
      <c r="I849" s="3"/>
      <c r="J849" s="3"/>
      <c r="K849" s="3"/>
      <c r="L849" s="3"/>
      <c r="M849" s="3"/>
      <c r="N849" s="3">
        <v>0</v>
      </c>
      <c r="O849" s="3"/>
      <c r="P849" s="3">
        <v>0</v>
      </c>
      <c r="Q849" s="3">
        <v>0</v>
      </c>
      <c r="R849" s="3">
        <v>0</v>
      </c>
      <c r="S849" s="3">
        <v>0</v>
      </c>
      <c r="T849" s="3">
        <v>0</v>
      </c>
      <c r="U849" s="3"/>
      <c r="V849" s="3"/>
      <c r="W849" s="3"/>
      <c r="X849" s="3"/>
      <c r="Y849" s="3"/>
      <c r="Z849" s="3"/>
      <c r="AA849" s="3"/>
      <c r="AB849" s="3"/>
      <c r="AC849" s="3"/>
      <c r="AD849" s="3"/>
      <c r="AE849" s="3">
        <v>0</v>
      </c>
      <c r="AF849" s="3">
        <v>0</v>
      </c>
      <c r="AG849" s="3"/>
      <c r="AH849" s="40"/>
      <c r="AI849" s="40"/>
      <c r="AJ849" s="40"/>
      <c r="AK849" s="40"/>
      <c r="AL849" s="40"/>
      <c r="AM849" s="40"/>
      <c r="AN849" s="40"/>
      <c r="AO849" s="40"/>
      <c r="AP849" s="40"/>
      <c r="AQ849" s="40"/>
      <c r="AR849" s="31"/>
      <c r="AS849" s="36">
        <v>0</v>
      </c>
      <c r="AY849" s="6"/>
      <c r="AZ849" s="2"/>
      <c r="BA849" s="2"/>
      <c r="BB849" s="2"/>
      <c r="BC849">
        <v>71500</v>
      </c>
      <c r="BD849">
        <v>56992</v>
      </c>
    </row>
    <row r="850" spans="3:56" x14ac:dyDescent="0.25">
      <c r="C850" s="1">
        <v>46470</v>
      </c>
      <c r="D850" s="36">
        <v>269369.09999999998</v>
      </c>
      <c r="E850" s="33">
        <v>4.5999999999999996</v>
      </c>
      <c r="F850" s="33">
        <v>3.74782444444444</v>
      </c>
      <c r="G850" s="2">
        <v>0.81474444444444405</v>
      </c>
      <c r="H850" s="2">
        <v>0.99</v>
      </c>
      <c r="I850" s="3"/>
      <c r="J850" s="3"/>
      <c r="K850" s="3"/>
      <c r="L850" s="3"/>
      <c r="M850" s="3"/>
      <c r="N850" s="3">
        <v>0</v>
      </c>
      <c r="O850" s="3"/>
      <c r="P850" s="3">
        <v>0</v>
      </c>
      <c r="Q850" s="3">
        <v>0</v>
      </c>
      <c r="R850" s="3">
        <v>0</v>
      </c>
      <c r="S850" s="3">
        <v>0</v>
      </c>
      <c r="T850" s="3">
        <v>0</v>
      </c>
      <c r="U850" s="3"/>
      <c r="V850" s="3"/>
      <c r="W850" s="3"/>
      <c r="X850" s="3"/>
      <c r="Y850" s="3"/>
      <c r="Z850" s="3"/>
      <c r="AA850" s="3"/>
      <c r="AB850" s="3"/>
      <c r="AC850" s="3"/>
      <c r="AD850" s="3"/>
      <c r="AE850" s="3">
        <v>0</v>
      </c>
      <c r="AF850" s="3">
        <v>0</v>
      </c>
      <c r="AG850" s="3"/>
      <c r="AH850" s="40"/>
      <c r="AI850" s="40"/>
      <c r="AJ850" s="40"/>
      <c r="AK850" s="40"/>
      <c r="AL850" s="40"/>
      <c r="AM850" s="40"/>
      <c r="AN850" s="40"/>
      <c r="AO850" s="40"/>
      <c r="AP850" s="40"/>
      <c r="AQ850" s="40"/>
      <c r="AR850" s="31"/>
      <c r="AS850" s="36">
        <v>0</v>
      </c>
      <c r="AY850" s="6"/>
      <c r="AZ850" s="2"/>
      <c r="BA850" s="2"/>
      <c r="BB850" s="2"/>
      <c r="BC850">
        <v>71500</v>
      </c>
      <c r="BD850">
        <v>56992</v>
      </c>
    </row>
    <row r="851" spans="3:56" x14ac:dyDescent="0.25">
      <c r="C851" s="1">
        <v>46471</v>
      </c>
      <c r="D851" s="36">
        <v>269369.09999999998</v>
      </c>
      <c r="E851" s="33">
        <v>4.5999999999999996</v>
      </c>
      <c r="F851" s="33">
        <v>3.7477733333333298</v>
      </c>
      <c r="G851" s="2">
        <v>0.81473333333333298</v>
      </c>
      <c r="H851" s="2">
        <v>0.99</v>
      </c>
      <c r="I851" s="3"/>
      <c r="J851" s="3"/>
      <c r="K851" s="3"/>
      <c r="L851" s="3"/>
      <c r="M851" s="3"/>
      <c r="N851" s="3">
        <v>0</v>
      </c>
      <c r="O851" s="3"/>
      <c r="P851" s="3">
        <v>0</v>
      </c>
      <c r="Q851" s="3">
        <v>0</v>
      </c>
      <c r="R851" s="3">
        <v>0</v>
      </c>
      <c r="S851" s="3">
        <v>0</v>
      </c>
      <c r="T851" s="3">
        <v>0</v>
      </c>
      <c r="U851" s="3"/>
      <c r="V851" s="3"/>
      <c r="W851" s="3"/>
      <c r="X851" s="3"/>
      <c r="Y851" s="3"/>
      <c r="Z851" s="3"/>
      <c r="AA851" s="3"/>
      <c r="AB851" s="3"/>
      <c r="AC851" s="3"/>
      <c r="AD851" s="3"/>
      <c r="AE851" s="3">
        <v>0</v>
      </c>
      <c r="AF851" s="3">
        <v>0</v>
      </c>
      <c r="AG851" s="3"/>
      <c r="AH851" s="40"/>
      <c r="AI851" s="40"/>
      <c r="AJ851" s="40"/>
      <c r="AK851" s="40"/>
      <c r="AL851" s="40"/>
      <c r="AM851" s="40"/>
      <c r="AN851" s="40"/>
      <c r="AO851" s="40"/>
      <c r="AP851" s="40"/>
      <c r="AQ851" s="40"/>
      <c r="AR851" s="31"/>
      <c r="AS851" s="36">
        <v>0</v>
      </c>
      <c r="AY851" s="6"/>
      <c r="AZ851" s="2"/>
      <c r="BA851" s="2"/>
      <c r="BB851" s="2"/>
      <c r="BC851">
        <v>71500</v>
      </c>
      <c r="BD851">
        <v>56992</v>
      </c>
    </row>
    <row r="852" spans="3:56" x14ac:dyDescent="0.25">
      <c r="C852" s="1">
        <v>46472</v>
      </c>
      <c r="D852" s="36">
        <v>269369.09999999998</v>
      </c>
      <c r="E852" s="33">
        <v>4.5999999999999996</v>
      </c>
      <c r="F852" s="33">
        <v>3.7477222222222202</v>
      </c>
      <c r="G852" s="2">
        <v>0.81472222222222201</v>
      </c>
      <c r="H852" s="2">
        <v>0.99</v>
      </c>
      <c r="I852" s="3"/>
      <c r="J852" s="3"/>
      <c r="K852" s="3"/>
      <c r="L852" s="3"/>
      <c r="M852" s="3"/>
      <c r="N852" s="3">
        <v>0</v>
      </c>
      <c r="O852" s="3"/>
      <c r="P852" s="3">
        <v>0</v>
      </c>
      <c r="Q852" s="3">
        <v>0</v>
      </c>
      <c r="R852" s="3">
        <v>0</v>
      </c>
      <c r="S852" s="3">
        <v>0</v>
      </c>
      <c r="T852" s="3">
        <v>0</v>
      </c>
      <c r="U852" s="3"/>
      <c r="V852" s="3"/>
      <c r="W852" s="3"/>
      <c r="X852" s="3"/>
      <c r="Y852" s="3"/>
      <c r="Z852" s="3"/>
      <c r="AA852" s="3"/>
      <c r="AB852" s="3"/>
      <c r="AC852" s="3"/>
      <c r="AD852" s="3"/>
      <c r="AE852" s="3">
        <v>0</v>
      </c>
      <c r="AF852" s="3">
        <v>0</v>
      </c>
      <c r="AG852" s="3"/>
      <c r="AH852" s="40"/>
      <c r="AI852" s="40"/>
      <c r="AJ852" s="40"/>
      <c r="AK852" s="40"/>
      <c r="AL852" s="40"/>
      <c r="AM852" s="40"/>
      <c r="AN852" s="40"/>
      <c r="AO852" s="40"/>
      <c r="AP852" s="40"/>
      <c r="AQ852" s="40"/>
      <c r="AR852" s="31"/>
      <c r="AS852" s="36">
        <v>0</v>
      </c>
      <c r="AY852" s="6"/>
      <c r="AZ852" s="2"/>
      <c r="BA852" s="2"/>
      <c r="BB852" s="2"/>
      <c r="BC852">
        <v>71500</v>
      </c>
      <c r="BD852">
        <v>56992</v>
      </c>
    </row>
    <row r="853" spans="3:56" x14ac:dyDescent="0.25">
      <c r="C853" s="1">
        <v>46473</v>
      </c>
      <c r="D853" s="36">
        <v>269369.09999999998</v>
      </c>
      <c r="E853" s="33">
        <v>4.5999999999999996</v>
      </c>
      <c r="F853" s="33">
        <v>3.7476711111111101</v>
      </c>
      <c r="G853" s="2">
        <v>0.81471111111111105</v>
      </c>
      <c r="H853" s="2">
        <v>0.99</v>
      </c>
      <c r="I853" s="3"/>
      <c r="J853" s="3"/>
      <c r="K853" s="3"/>
      <c r="L853" s="3"/>
      <c r="M853" s="3"/>
      <c r="N853" s="3">
        <v>0</v>
      </c>
      <c r="O853" s="3"/>
      <c r="P853" s="3">
        <v>0</v>
      </c>
      <c r="Q853" s="3">
        <v>0</v>
      </c>
      <c r="R853" s="3">
        <v>0</v>
      </c>
      <c r="S853" s="3">
        <v>0</v>
      </c>
      <c r="T853" s="3">
        <v>0</v>
      </c>
      <c r="U853" s="3"/>
      <c r="V853" s="3"/>
      <c r="W853" s="3"/>
      <c r="X853" s="3"/>
      <c r="Y853" s="3"/>
      <c r="Z853" s="3"/>
      <c r="AA853" s="3"/>
      <c r="AB853" s="3"/>
      <c r="AC853" s="3"/>
      <c r="AD853" s="3"/>
      <c r="AE853" s="3">
        <v>0</v>
      </c>
      <c r="AF853" s="3">
        <v>0</v>
      </c>
      <c r="AG853" s="3"/>
      <c r="AH853" s="40"/>
      <c r="AI853" s="40"/>
      <c r="AJ853" s="40"/>
      <c r="AK853" s="40"/>
      <c r="AL853" s="40"/>
      <c r="AM853" s="40"/>
      <c r="AN853" s="40"/>
      <c r="AO853" s="40"/>
      <c r="AP853" s="40"/>
      <c r="AQ853" s="40"/>
      <c r="AR853" s="31"/>
      <c r="AS853" s="36">
        <v>0</v>
      </c>
      <c r="AY853" s="6"/>
      <c r="AZ853" s="2"/>
      <c r="BA853" s="2"/>
      <c r="BB853" s="2"/>
      <c r="BC853">
        <v>71500</v>
      </c>
      <c r="BD853">
        <v>56992</v>
      </c>
    </row>
    <row r="854" spans="3:56" x14ac:dyDescent="0.25">
      <c r="C854" s="1">
        <v>46474</v>
      </c>
      <c r="D854" s="36">
        <v>269369.09999999998</v>
      </c>
      <c r="E854" s="33">
        <v>4.5999999999999996</v>
      </c>
      <c r="F854" s="33">
        <v>3.74762</v>
      </c>
      <c r="G854" s="2">
        <v>0.81469999999999998</v>
      </c>
      <c r="H854" s="2">
        <v>0.99</v>
      </c>
      <c r="I854" s="3"/>
      <c r="J854" s="3"/>
      <c r="K854" s="3"/>
      <c r="L854" s="3"/>
      <c r="M854" s="3"/>
      <c r="N854" s="3">
        <v>0</v>
      </c>
      <c r="O854" s="3"/>
      <c r="P854" s="3">
        <v>0</v>
      </c>
      <c r="Q854" s="3">
        <v>0</v>
      </c>
      <c r="R854" s="3">
        <v>0</v>
      </c>
      <c r="S854" s="3">
        <v>0</v>
      </c>
      <c r="T854" s="3">
        <v>0</v>
      </c>
      <c r="U854" s="3"/>
      <c r="V854" s="3"/>
      <c r="W854" s="3"/>
      <c r="X854" s="3"/>
      <c r="Y854" s="3"/>
      <c r="Z854" s="3"/>
      <c r="AA854" s="3"/>
      <c r="AB854" s="3"/>
      <c r="AC854" s="3"/>
      <c r="AD854" s="3"/>
      <c r="AE854" s="3">
        <v>0</v>
      </c>
      <c r="AF854" s="3">
        <v>0</v>
      </c>
      <c r="AG854" s="3"/>
      <c r="AH854" s="40"/>
      <c r="AI854" s="40"/>
      <c r="AJ854" s="40"/>
      <c r="AK854" s="40"/>
      <c r="AL854" s="40"/>
      <c r="AM854" s="40"/>
      <c r="AN854" s="40"/>
      <c r="AO854" s="40"/>
      <c r="AP854" s="40"/>
      <c r="AQ854" s="40"/>
      <c r="AR854" s="31"/>
      <c r="AS854" s="36">
        <v>0</v>
      </c>
      <c r="AY854" s="6"/>
      <c r="AZ854" s="2"/>
      <c r="BA854" s="2"/>
      <c r="BB854" s="2"/>
      <c r="BC854">
        <v>71500</v>
      </c>
      <c r="BD854">
        <v>56992</v>
      </c>
    </row>
    <row r="855" spans="3:56" x14ac:dyDescent="0.25">
      <c r="C855" s="1">
        <v>46475</v>
      </c>
      <c r="D855" s="36">
        <v>269369.09999999998</v>
      </c>
      <c r="E855" s="33">
        <v>4.5999999999999996</v>
      </c>
      <c r="F855" s="33">
        <v>3.7475688888888898</v>
      </c>
      <c r="G855" s="2">
        <v>0.81468888888888902</v>
      </c>
      <c r="H855" s="2">
        <v>0.99</v>
      </c>
      <c r="I855" s="3"/>
      <c r="J855" s="3"/>
      <c r="K855" s="3"/>
      <c r="L855" s="3"/>
      <c r="M855" s="3"/>
      <c r="N855" s="3">
        <v>0</v>
      </c>
      <c r="O855" s="3"/>
      <c r="P855" s="3">
        <v>0</v>
      </c>
      <c r="Q855" s="3">
        <v>0</v>
      </c>
      <c r="R855" s="3">
        <v>0</v>
      </c>
      <c r="S855" s="3">
        <v>0</v>
      </c>
      <c r="T855" s="3">
        <v>0</v>
      </c>
      <c r="U855" s="3"/>
      <c r="V855" s="3"/>
      <c r="W855" s="3"/>
      <c r="X855" s="3"/>
      <c r="Y855" s="3"/>
      <c r="Z855" s="3"/>
      <c r="AA855" s="3"/>
      <c r="AB855" s="3"/>
      <c r="AC855" s="3"/>
      <c r="AD855" s="3"/>
      <c r="AE855" s="3">
        <v>0</v>
      </c>
      <c r="AF855" s="3">
        <v>0</v>
      </c>
      <c r="AG855" s="3"/>
      <c r="AH855" s="40"/>
      <c r="AI855" s="40"/>
      <c r="AJ855" s="40"/>
      <c r="AK855" s="40"/>
      <c r="AL855" s="40"/>
      <c r="AM855" s="40"/>
      <c r="AN855" s="40"/>
      <c r="AO855" s="40"/>
      <c r="AP855" s="40"/>
      <c r="AQ855" s="40"/>
      <c r="AR855" s="31"/>
      <c r="AS855" s="36">
        <v>0</v>
      </c>
      <c r="AY855" s="6"/>
      <c r="AZ855" s="2"/>
      <c r="BA855" s="2"/>
      <c r="BB855" s="2"/>
      <c r="BC855">
        <v>71500</v>
      </c>
      <c r="BD855">
        <v>56992</v>
      </c>
    </row>
    <row r="856" spans="3:56" x14ac:dyDescent="0.25">
      <c r="C856" s="1">
        <v>46476</v>
      </c>
      <c r="D856" s="36">
        <v>269369.09999999998</v>
      </c>
      <c r="E856" s="33">
        <v>4.5999999999999996</v>
      </c>
      <c r="F856" s="33">
        <v>3.7475177777777802</v>
      </c>
      <c r="G856" s="2">
        <v>0.81467777777777795</v>
      </c>
      <c r="H856" s="2">
        <v>0.99</v>
      </c>
      <c r="I856" s="3"/>
      <c r="J856" s="3"/>
      <c r="K856" s="3"/>
      <c r="L856" s="3"/>
      <c r="M856" s="3"/>
      <c r="N856" s="3">
        <v>0</v>
      </c>
      <c r="O856" s="3"/>
      <c r="P856" s="3">
        <v>0</v>
      </c>
      <c r="Q856" s="3">
        <v>0</v>
      </c>
      <c r="R856" s="3">
        <v>0</v>
      </c>
      <c r="S856" s="3">
        <v>0</v>
      </c>
      <c r="T856" s="3">
        <v>0</v>
      </c>
      <c r="U856" s="3"/>
      <c r="V856" s="3"/>
      <c r="W856" s="3"/>
      <c r="X856" s="3"/>
      <c r="Y856" s="3"/>
      <c r="Z856" s="3"/>
      <c r="AA856" s="3"/>
      <c r="AB856" s="3"/>
      <c r="AC856" s="3"/>
      <c r="AD856" s="3"/>
      <c r="AE856" s="3">
        <v>0</v>
      </c>
      <c r="AF856" s="3">
        <v>0</v>
      </c>
      <c r="AG856" s="3"/>
      <c r="AH856" s="40"/>
      <c r="AI856" s="40"/>
      <c r="AJ856" s="40"/>
      <c r="AK856" s="40"/>
      <c r="AL856" s="40"/>
      <c r="AM856" s="40"/>
      <c r="AN856" s="40"/>
      <c r="AO856" s="40"/>
      <c r="AP856" s="40"/>
      <c r="AQ856" s="40"/>
      <c r="AR856" s="31"/>
      <c r="AS856" s="36">
        <v>0</v>
      </c>
      <c r="AY856" s="6"/>
      <c r="AZ856" s="2"/>
      <c r="BA856" s="2"/>
      <c r="BB856" s="2"/>
      <c r="BC856">
        <v>71500</v>
      </c>
      <c r="BD856">
        <v>56992</v>
      </c>
    </row>
    <row r="857" spans="3:56" x14ac:dyDescent="0.25">
      <c r="C857" s="1">
        <v>46477</v>
      </c>
      <c r="D857" s="36">
        <v>269369.09999999998</v>
      </c>
      <c r="E857" s="33">
        <v>4.5999999999999996</v>
      </c>
      <c r="F857" s="33">
        <v>3.7474666666666701</v>
      </c>
      <c r="G857" s="2">
        <v>0.81466666666666698</v>
      </c>
      <c r="H857" s="2">
        <v>0.99</v>
      </c>
      <c r="I857" s="3"/>
      <c r="J857" s="3"/>
      <c r="K857" s="3"/>
      <c r="L857" s="3"/>
      <c r="M857" s="3"/>
      <c r="N857" s="3">
        <v>0</v>
      </c>
      <c r="O857" s="3"/>
      <c r="P857" s="3">
        <v>0</v>
      </c>
      <c r="Q857" s="3">
        <v>0</v>
      </c>
      <c r="R857" s="3">
        <v>0</v>
      </c>
      <c r="S857" s="3">
        <v>0</v>
      </c>
      <c r="T857" s="3">
        <v>0</v>
      </c>
      <c r="U857" s="3"/>
      <c r="V857" s="3"/>
      <c r="W857" s="3"/>
      <c r="X857" s="3"/>
      <c r="Y857" s="3"/>
      <c r="Z857" s="3"/>
      <c r="AA857" s="3"/>
      <c r="AB857" s="3"/>
      <c r="AC857" s="3"/>
      <c r="AD857" s="3"/>
      <c r="AE857" s="3">
        <v>0</v>
      </c>
      <c r="AF857" s="3">
        <v>0</v>
      </c>
      <c r="AG857" s="3"/>
      <c r="AH857" s="40"/>
      <c r="AI857" s="40"/>
      <c r="AJ857" s="40"/>
      <c r="AK857" s="40"/>
      <c r="AL857" s="40"/>
      <c r="AM857" s="40"/>
      <c r="AN857" s="40"/>
      <c r="AO857" s="40"/>
      <c r="AP857" s="40"/>
      <c r="AQ857" s="40"/>
      <c r="AR857" s="31"/>
      <c r="AS857" s="36">
        <v>0</v>
      </c>
      <c r="AY857" s="6"/>
      <c r="AZ857" s="2"/>
      <c r="BA857" s="2"/>
      <c r="BB857" s="2"/>
      <c r="BC857">
        <v>71500</v>
      </c>
      <c r="BD857">
        <v>56992</v>
      </c>
    </row>
    <row r="858" spans="3:56" x14ac:dyDescent="0.25">
      <c r="C858" s="1">
        <v>46478</v>
      </c>
      <c r="D858" s="36">
        <v>260352.47333333301</v>
      </c>
      <c r="E858" s="33">
        <v>4.4733333333333301</v>
      </c>
      <c r="F858" s="33">
        <v>3.6442755555555499</v>
      </c>
      <c r="G858" s="2">
        <v>0.81466666666666698</v>
      </c>
      <c r="H858" s="2">
        <v>0.99</v>
      </c>
      <c r="I858" s="3"/>
      <c r="J858" s="3"/>
      <c r="K858" s="3"/>
      <c r="L858" s="3"/>
      <c r="M858" s="3"/>
      <c r="N858" s="3">
        <v>0</v>
      </c>
      <c r="O858" s="3"/>
      <c r="P858" s="3">
        <v>0</v>
      </c>
      <c r="Q858" s="3">
        <v>0</v>
      </c>
      <c r="R858" s="3">
        <v>0</v>
      </c>
      <c r="S858" s="3">
        <v>0</v>
      </c>
      <c r="T858" s="3">
        <v>0</v>
      </c>
      <c r="U858" s="3"/>
      <c r="V858" s="3"/>
      <c r="W858" s="3"/>
      <c r="X858" s="3"/>
      <c r="Y858" s="3"/>
      <c r="Z858" s="3"/>
      <c r="AA858" s="3"/>
      <c r="AB858" s="3"/>
      <c r="AC858" s="3"/>
      <c r="AD858" s="3"/>
      <c r="AE858" s="3">
        <v>0</v>
      </c>
      <c r="AF858" s="3">
        <v>0</v>
      </c>
      <c r="AG858" s="3"/>
      <c r="AH858" s="40"/>
      <c r="AI858" s="40"/>
      <c r="AJ858" s="40"/>
      <c r="AK858" s="40"/>
      <c r="AL858" s="40"/>
      <c r="AM858" s="40"/>
      <c r="AN858" s="40"/>
      <c r="AO858" s="40"/>
      <c r="AP858" s="40"/>
      <c r="AQ858" s="40"/>
      <c r="AR858" s="31"/>
      <c r="AS858" s="36">
        <v>0</v>
      </c>
      <c r="AY858" s="6"/>
      <c r="AZ858" s="2"/>
      <c r="BA858" s="2"/>
      <c r="BB858" s="2"/>
      <c r="BC858">
        <v>71500</v>
      </c>
      <c r="BD858">
        <v>56992</v>
      </c>
    </row>
    <row r="859" spans="3:56" x14ac:dyDescent="0.25">
      <c r="C859" s="1">
        <v>46479</v>
      </c>
      <c r="D859" s="36">
        <v>260352.47333333301</v>
      </c>
      <c r="E859" s="33">
        <v>4.4733333333333301</v>
      </c>
      <c r="F859" s="33">
        <v>3.64422585185185</v>
      </c>
      <c r="G859" s="2">
        <v>0.81465555555555602</v>
      </c>
      <c r="H859" s="2">
        <v>0.99</v>
      </c>
      <c r="I859" s="3"/>
      <c r="J859" s="3"/>
      <c r="K859" s="3"/>
      <c r="L859" s="3"/>
      <c r="M859" s="3"/>
      <c r="N859" s="3">
        <v>0</v>
      </c>
      <c r="O859" s="3"/>
      <c r="P859" s="3">
        <v>0</v>
      </c>
      <c r="Q859" s="3">
        <v>0</v>
      </c>
      <c r="R859" s="3">
        <v>0</v>
      </c>
      <c r="S859" s="3">
        <v>0</v>
      </c>
      <c r="T859" s="3">
        <v>0</v>
      </c>
      <c r="U859" s="3"/>
      <c r="V859" s="3"/>
      <c r="W859" s="3"/>
      <c r="X859" s="3"/>
      <c r="Y859" s="3"/>
      <c r="Z859" s="3"/>
      <c r="AA859" s="3"/>
      <c r="AB859" s="3"/>
      <c r="AC859" s="3"/>
      <c r="AD859" s="3"/>
      <c r="AE859" s="3">
        <v>0</v>
      </c>
      <c r="AF859" s="3">
        <v>0</v>
      </c>
      <c r="AG859" s="3"/>
      <c r="AH859" s="40"/>
      <c r="AI859" s="40"/>
      <c r="AJ859" s="40"/>
      <c r="AK859" s="40"/>
      <c r="AL859" s="40"/>
      <c r="AM859" s="40"/>
      <c r="AN859" s="40"/>
      <c r="AO859" s="40"/>
      <c r="AP859" s="40"/>
      <c r="AQ859" s="40"/>
      <c r="AR859" s="31"/>
      <c r="AS859" s="36">
        <v>0</v>
      </c>
      <c r="AY859" s="6"/>
      <c r="AZ859" s="2"/>
      <c r="BA859" s="2"/>
      <c r="BB859" s="2"/>
      <c r="BC859">
        <v>71500</v>
      </c>
      <c r="BD859">
        <v>56992</v>
      </c>
    </row>
    <row r="860" spans="3:56" x14ac:dyDescent="0.25">
      <c r="C860" s="1">
        <v>46480</v>
      </c>
      <c r="D860" s="36">
        <v>260352.47333333301</v>
      </c>
      <c r="E860" s="33">
        <v>4.4733333333333301</v>
      </c>
      <c r="F860" s="33">
        <v>3.6441761481481501</v>
      </c>
      <c r="G860" s="2">
        <v>0.81464444444444395</v>
      </c>
      <c r="H860" s="2">
        <v>0.99</v>
      </c>
      <c r="I860" s="3"/>
      <c r="J860" s="3"/>
      <c r="K860" s="3"/>
      <c r="L860" s="3"/>
      <c r="M860" s="3"/>
      <c r="N860" s="3">
        <v>0</v>
      </c>
      <c r="O860" s="3"/>
      <c r="P860" s="3">
        <v>0</v>
      </c>
      <c r="Q860" s="3">
        <v>0</v>
      </c>
      <c r="R860" s="3">
        <v>0</v>
      </c>
      <c r="S860" s="3">
        <v>0</v>
      </c>
      <c r="T860" s="3">
        <v>0</v>
      </c>
      <c r="U860" s="3"/>
      <c r="V860" s="3"/>
      <c r="W860" s="3"/>
      <c r="X860" s="3"/>
      <c r="Y860" s="3"/>
      <c r="Z860" s="3"/>
      <c r="AA860" s="3"/>
      <c r="AB860" s="3"/>
      <c r="AC860" s="3"/>
      <c r="AD860" s="3"/>
      <c r="AE860" s="3">
        <v>0</v>
      </c>
      <c r="AF860" s="3">
        <v>0</v>
      </c>
      <c r="AG860" s="3"/>
      <c r="AH860" s="40"/>
      <c r="AI860" s="40"/>
      <c r="AJ860" s="40"/>
      <c r="AK860" s="40"/>
      <c r="AL860" s="40"/>
      <c r="AM860" s="40"/>
      <c r="AN860" s="40"/>
      <c r="AO860" s="40"/>
      <c r="AP860" s="40"/>
      <c r="AQ860" s="40"/>
      <c r="AR860" s="31"/>
      <c r="AS860" s="36">
        <v>0</v>
      </c>
      <c r="AY860" s="6"/>
      <c r="AZ860" s="2"/>
      <c r="BA860" s="2"/>
      <c r="BB860" s="2"/>
      <c r="BC860">
        <v>71500</v>
      </c>
      <c r="BD860">
        <v>56992</v>
      </c>
    </row>
    <row r="861" spans="3:56" x14ac:dyDescent="0.25">
      <c r="C861" s="1">
        <v>46481</v>
      </c>
      <c r="D861" s="36">
        <v>260352.47333333301</v>
      </c>
      <c r="E861" s="33">
        <v>4.4733333333333301</v>
      </c>
      <c r="F861" s="33">
        <v>3.6441264444444399</v>
      </c>
      <c r="G861" s="2">
        <v>0.81463333333333299</v>
      </c>
      <c r="H861" s="2">
        <v>0.99</v>
      </c>
      <c r="I861" s="3"/>
      <c r="J861" s="3"/>
      <c r="K861" s="3"/>
      <c r="L861" s="3"/>
      <c r="M861" s="3"/>
      <c r="N861" s="3">
        <v>0</v>
      </c>
      <c r="O861" s="3"/>
      <c r="P861" s="3">
        <v>0</v>
      </c>
      <c r="Q861" s="3">
        <v>0</v>
      </c>
      <c r="R861" s="3">
        <v>0</v>
      </c>
      <c r="S861" s="3">
        <v>0</v>
      </c>
      <c r="T861" s="3">
        <v>0</v>
      </c>
      <c r="U861" s="3"/>
      <c r="V861" s="3"/>
      <c r="W861" s="3"/>
      <c r="X861" s="3"/>
      <c r="Y861" s="3"/>
      <c r="Z861" s="3"/>
      <c r="AA861" s="3"/>
      <c r="AB861" s="3"/>
      <c r="AC861" s="3"/>
      <c r="AD861" s="3"/>
      <c r="AE861" s="3">
        <v>0</v>
      </c>
      <c r="AF861" s="3">
        <v>0</v>
      </c>
      <c r="AG861" s="3"/>
      <c r="AH861" s="40"/>
      <c r="AI861" s="40"/>
      <c r="AJ861" s="40"/>
      <c r="AK861" s="40"/>
      <c r="AL861" s="40"/>
      <c r="AM861" s="40"/>
      <c r="AN861" s="40"/>
      <c r="AO861" s="40"/>
      <c r="AP861" s="40"/>
      <c r="AQ861" s="40"/>
      <c r="AR861" s="31"/>
      <c r="AS861" s="36">
        <v>0</v>
      </c>
      <c r="AY861" s="6"/>
      <c r="AZ861" s="2"/>
      <c r="BA861" s="2"/>
      <c r="BB861" s="2"/>
      <c r="BC861">
        <v>71500</v>
      </c>
      <c r="BD861">
        <v>56992</v>
      </c>
    </row>
    <row r="862" spans="3:56" x14ac:dyDescent="0.25">
      <c r="C862" s="1">
        <v>46482</v>
      </c>
      <c r="D862" s="36">
        <v>260352.47333333301</v>
      </c>
      <c r="E862" s="33">
        <v>4.4733333333333301</v>
      </c>
      <c r="F862" s="33">
        <v>3.64407674074074</v>
      </c>
      <c r="G862" s="2">
        <v>0.81462222222222203</v>
      </c>
      <c r="H862" s="2">
        <v>0.99</v>
      </c>
      <c r="I862" s="3"/>
      <c r="J862" s="3"/>
      <c r="K862" s="3"/>
      <c r="L862" s="3"/>
      <c r="M862" s="3"/>
      <c r="N862" s="3">
        <v>0</v>
      </c>
      <c r="O862" s="3"/>
      <c r="P862" s="3">
        <v>0</v>
      </c>
      <c r="Q862" s="3">
        <v>0</v>
      </c>
      <c r="R862" s="3">
        <v>0</v>
      </c>
      <c r="S862" s="3">
        <v>0</v>
      </c>
      <c r="T862" s="3">
        <v>0</v>
      </c>
      <c r="U862" s="3"/>
      <c r="V862" s="3"/>
      <c r="W862" s="3"/>
      <c r="X862" s="3"/>
      <c r="Y862" s="3"/>
      <c r="Z862" s="3"/>
      <c r="AA862" s="3"/>
      <c r="AB862" s="3"/>
      <c r="AC862" s="3"/>
      <c r="AD862" s="3"/>
      <c r="AE862" s="3">
        <v>0</v>
      </c>
      <c r="AF862" s="3">
        <v>0</v>
      </c>
      <c r="AG862" s="3"/>
      <c r="AH862" s="40"/>
      <c r="AI862" s="40"/>
      <c r="AJ862" s="40"/>
      <c r="AK862" s="40"/>
      <c r="AL862" s="40"/>
      <c r="AM862" s="40"/>
      <c r="AN862" s="40"/>
      <c r="AO862" s="40"/>
      <c r="AP862" s="40"/>
      <c r="AQ862" s="40"/>
      <c r="AR862" s="31"/>
      <c r="AS862" s="36">
        <v>0</v>
      </c>
      <c r="AY862" s="6"/>
      <c r="AZ862" s="2"/>
      <c r="BA862" s="2"/>
      <c r="BB862" s="2"/>
      <c r="BC862">
        <v>71500</v>
      </c>
      <c r="BD862">
        <v>56992</v>
      </c>
    </row>
    <row r="863" spans="3:56" x14ac:dyDescent="0.25">
      <c r="C863" s="1">
        <v>46483</v>
      </c>
      <c r="D863" s="36">
        <v>260352.47333333301</v>
      </c>
      <c r="E863" s="33">
        <v>4.4733333333333301</v>
      </c>
      <c r="F863" s="33">
        <v>3.64402703703704</v>
      </c>
      <c r="G863" s="2">
        <v>0.81461111111111095</v>
      </c>
      <c r="H863" s="2">
        <v>0.99</v>
      </c>
      <c r="I863" s="3"/>
      <c r="J863" s="3"/>
      <c r="K863" s="3"/>
      <c r="L863" s="3"/>
      <c r="M863" s="3"/>
      <c r="N863" s="3">
        <v>0</v>
      </c>
      <c r="O863" s="3"/>
      <c r="P863" s="3">
        <v>0</v>
      </c>
      <c r="Q863" s="3">
        <v>0</v>
      </c>
      <c r="R863" s="3">
        <v>0</v>
      </c>
      <c r="S863" s="3">
        <v>0</v>
      </c>
      <c r="T863" s="3">
        <v>0</v>
      </c>
      <c r="U863" s="3"/>
      <c r="V863" s="3"/>
      <c r="W863" s="3"/>
      <c r="X863" s="3"/>
      <c r="Y863" s="3"/>
      <c r="Z863" s="3"/>
      <c r="AA863" s="3"/>
      <c r="AB863" s="3"/>
      <c r="AC863" s="3"/>
      <c r="AD863" s="3"/>
      <c r="AE863" s="3">
        <v>0</v>
      </c>
      <c r="AF863" s="3">
        <v>0</v>
      </c>
      <c r="AG863" s="3"/>
      <c r="AH863" s="40"/>
      <c r="AI863" s="40"/>
      <c r="AJ863" s="40"/>
      <c r="AK863" s="40"/>
      <c r="AL863" s="40"/>
      <c r="AM863" s="40"/>
      <c r="AN863" s="40"/>
      <c r="AO863" s="40"/>
      <c r="AP863" s="40"/>
      <c r="AQ863" s="40"/>
      <c r="AR863" s="31"/>
      <c r="AS863" s="36">
        <v>0</v>
      </c>
      <c r="AY863" s="6"/>
      <c r="AZ863" s="2"/>
      <c r="BA863" s="2"/>
      <c r="BB863" s="2"/>
      <c r="BC863">
        <v>71500</v>
      </c>
      <c r="BD863">
        <v>56992</v>
      </c>
    </row>
    <row r="864" spans="3:56" x14ac:dyDescent="0.25">
      <c r="C864" s="1">
        <v>46484</v>
      </c>
      <c r="D864" s="36">
        <v>260352.47333333301</v>
      </c>
      <c r="E864" s="33">
        <v>4.4733333333333301</v>
      </c>
      <c r="F864" s="33">
        <v>3.6439773333333298</v>
      </c>
      <c r="G864" s="2">
        <v>0.81459999999999999</v>
      </c>
      <c r="H864" s="2">
        <v>0.99</v>
      </c>
      <c r="I864" s="3"/>
      <c r="J864" s="3"/>
      <c r="K864" s="3"/>
      <c r="L864" s="3"/>
      <c r="M864" s="3"/>
      <c r="N864" s="3">
        <v>0</v>
      </c>
      <c r="O864" s="3"/>
      <c r="P864" s="3">
        <v>0</v>
      </c>
      <c r="Q864" s="3">
        <v>0</v>
      </c>
      <c r="R864" s="3">
        <v>0</v>
      </c>
      <c r="S864" s="3">
        <v>0</v>
      </c>
      <c r="T864" s="3">
        <v>0</v>
      </c>
      <c r="U864" s="3"/>
      <c r="V864" s="3"/>
      <c r="W864" s="3"/>
      <c r="X864" s="3"/>
      <c r="Y864" s="3"/>
      <c r="Z864" s="3"/>
      <c r="AA864" s="3"/>
      <c r="AB864" s="3"/>
      <c r="AC864" s="3"/>
      <c r="AD864" s="3"/>
      <c r="AE864" s="3">
        <v>0</v>
      </c>
      <c r="AF864" s="3">
        <v>0</v>
      </c>
      <c r="AG864" s="3"/>
      <c r="AH864" s="40"/>
      <c r="AI864" s="40"/>
      <c r="AJ864" s="40"/>
      <c r="AK864" s="40"/>
      <c r="AL864" s="40"/>
      <c r="AM864" s="40"/>
      <c r="AN864" s="40"/>
      <c r="AO864" s="40"/>
      <c r="AP864" s="40"/>
      <c r="AQ864" s="40"/>
      <c r="AR864" s="31"/>
      <c r="AS864" s="36">
        <v>0</v>
      </c>
      <c r="AY864" s="6"/>
      <c r="AZ864" s="2"/>
      <c r="BA864" s="2"/>
      <c r="BB864" s="2"/>
      <c r="BC864">
        <v>71500</v>
      </c>
      <c r="BD864">
        <v>56992</v>
      </c>
    </row>
    <row r="865" spans="3:56" x14ac:dyDescent="0.25">
      <c r="C865" s="1">
        <v>46485</v>
      </c>
      <c r="D865" s="36">
        <v>260352.47333333301</v>
      </c>
      <c r="E865" s="33">
        <v>4.4733333333333301</v>
      </c>
      <c r="F865" s="33">
        <v>3.6439276296296299</v>
      </c>
      <c r="G865" s="2">
        <v>0.81458888888888903</v>
      </c>
      <c r="H865" s="2">
        <v>0.99</v>
      </c>
      <c r="I865" s="3"/>
      <c r="J865" s="3"/>
      <c r="K865" s="3"/>
      <c r="L865" s="3"/>
      <c r="M865" s="3"/>
      <c r="N865" s="3">
        <v>0</v>
      </c>
      <c r="O865" s="3"/>
      <c r="P865" s="3">
        <v>0</v>
      </c>
      <c r="Q865" s="3">
        <v>0</v>
      </c>
      <c r="R865" s="3">
        <v>0</v>
      </c>
      <c r="S865" s="3">
        <v>0</v>
      </c>
      <c r="T865" s="3">
        <v>0</v>
      </c>
      <c r="U865" s="3"/>
      <c r="V865" s="3"/>
      <c r="W865" s="3"/>
      <c r="X865" s="3"/>
      <c r="Y865" s="3"/>
      <c r="Z865" s="3"/>
      <c r="AA865" s="3"/>
      <c r="AB865" s="3"/>
      <c r="AC865" s="3"/>
      <c r="AD865" s="3"/>
      <c r="AE865" s="3">
        <v>0</v>
      </c>
      <c r="AF865" s="3">
        <v>0</v>
      </c>
      <c r="AG865" s="3"/>
      <c r="AH865" s="40"/>
      <c r="AI865" s="40"/>
      <c r="AJ865" s="40"/>
      <c r="AK865" s="40"/>
      <c r="AL865" s="40"/>
      <c r="AM865" s="40"/>
      <c r="AN865" s="40"/>
      <c r="AO865" s="40"/>
      <c r="AP865" s="40"/>
      <c r="AQ865" s="40"/>
      <c r="AR865" s="31"/>
      <c r="AS865" s="36">
        <v>0</v>
      </c>
      <c r="AY865" s="6"/>
      <c r="AZ865" s="2"/>
      <c r="BA865" s="2"/>
      <c r="BB865" s="2"/>
      <c r="BC865">
        <v>71500</v>
      </c>
      <c r="BD865">
        <v>56992</v>
      </c>
    </row>
    <row r="866" spans="3:56" x14ac:dyDescent="0.25">
      <c r="C866" s="1">
        <v>46486</v>
      </c>
      <c r="D866" s="36">
        <v>260352.47333333301</v>
      </c>
      <c r="E866" s="33">
        <v>4.4733333333333301</v>
      </c>
      <c r="F866" s="33">
        <v>3.64387792592593</v>
      </c>
      <c r="G866" s="2">
        <v>0.81457777777777796</v>
      </c>
      <c r="H866" s="2">
        <v>0.99</v>
      </c>
      <c r="I866" s="3"/>
      <c r="J866" s="3"/>
      <c r="K866" s="3"/>
      <c r="L866" s="3"/>
      <c r="M866" s="3"/>
      <c r="N866" s="3">
        <v>0</v>
      </c>
      <c r="O866" s="3"/>
      <c r="P866" s="3">
        <v>0</v>
      </c>
      <c r="Q866" s="3">
        <v>0</v>
      </c>
      <c r="R866" s="3">
        <v>0</v>
      </c>
      <c r="S866" s="3">
        <v>0</v>
      </c>
      <c r="T866" s="3">
        <v>0</v>
      </c>
      <c r="U866" s="3"/>
      <c r="V866" s="3"/>
      <c r="W866" s="3"/>
      <c r="X866" s="3"/>
      <c r="Y866" s="3"/>
      <c r="Z866" s="3"/>
      <c r="AA866" s="3"/>
      <c r="AB866" s="3"/>
      <c r="AC866" s="3"/>
      <c r="AD866" s="3"/>
      <c r="AE866" s="3">
        <v>0</v>
      </c>
      <c r="AF866" s="3">
        <v>0</v>
      </c>
      <c r="AG866" s="3"/>
      <c r="AH866" s="40"/>
      <c r="AI866" s="40"/>
      <c r="AJ866" s="40"/>
      <c r="AK866" s="40"/>
      <c r="AL866" s="40"/>
      <c r="AM866" s="40"/>
      <c r="AN866" s="40"/>
      <c r="AO866" s="40"/>
      <c r="AP866" s="40"/>
      <c r="AQ866" s="40"/>
      <c r="AR866" s="31"/>
      <c r="AS866" s="36">
        <v>0</v>
      </c>
      <c r="AY866" s="6"/>
      <c r="AZ866" s="2"/>
      <c r="BA866" s="2"/>
      <c r="BB866" s="2"/>
      <c r="BC866">
        <v>71500</v>
      </c>
      <c r="BD866">
        <v>56992</v>
      </c>
    </row>
    <row r="867" spans="3:56" x14ac:dyDescent="0.25">
      <c r="C867" s="1">
        <v>46487</v>
      </c>
      <c r="D867" s="36">
        <v>260352.47333333301</v>
      </c>
      <c r="E867" s="33">
        <v>4.4733333333333301</v>
      </c>
      <c r="F867" s="33">
        <v>3.6438282222222198</v>
      </c>
      <c r="G867" s="2">
        <v>0.81456666666666699</v>
      </c>
      <c r="H867" s="2">
        <v>0.99</v>
      </c>
      <c r="I867" s="8"/>
      <c r="J867" s="8"/>
      <c r="K867" s="8"/>
      <c r="L867" s="8"/>
      <c r="M867" s="8"/>
      <c r="N867" s="3">
        <v>0</v>
      </c>
      <c r="O867" s="3"/>
      <c r="P867" s="3">
        <v>0</v>
      </c>
      <c r="Q867" s="3">
        <v>0</v>
      </c>
      <c r="R867" s="3">
        <v>0</v>
      </c>
      <c r="S867" s="3">
        <v>0</v>
      </c>
      <c r="T867" s="3">
        <v>0</v>
      </c>
      <c r="U867" s="8"/>
      <c r="V867" s="8"/>
      <c r="W867" s="8"/>
      <c r="X867" s="8"/>
      <c r="Y867" s="8"/>
      <c r="Z867" s="8"/>
      <c r="AA867" s="8"/>
      <c r="AB867" s="8"/>
      <c r="AC867" s="8"/>
      <c r="AD867" s="8"/>
      <c r="AE867" s="3">
        <v>0</v>
      </c>
      <c r="AF867" s="3">
        <v>0</v>
      </c>
      <c r="AG867" s="3"/>
      <c r="AH867" s="40"/>
      <c r="AI867" s="40"/>
      <c r="AJ867" s="40"/>
      <c r="AK867" s="40"/>
      <c r="AL867" s="40"/>
      <c r="AM867" s="40"/>
      <c r="AN867" s="40"/>
      <c r="AO867" s="40"/>
      <c r="AP867" s="40"/>
      <c r="AQ867" s="40"/>
      <c r="AR867" s="31"/>
      <c r="AS867" s="36">
        <v>0</v>
      </c>
      <c r="AY867" s="6"/>
      <c r="AZ867" s="2"/>
      <c r="BA867" s="2"/>
      <c r="BB867" s="2"/>
      <c r="BC867">
        <v>71500</v>
      </c>
      <c r="BD867">
        <v>56992</v>
      </c>
    </row>
    <row r="868" spans="3:56" x14ac:dyDescent="0.25">
      <c r="C868" s="1">
        <v>46488</v>
      </c>
      <c r="D868" s="36">
        <v>260352.47333333301</v>
      </c>
      <c r="E868" s="33">
        <v>4.4733333333333301</v>
      </c>
      <c r="F868" s="33">
        <v>3.6437785185185199</v>
      </c>
      <c r="G868" s="2">
        <v>0.81455555555555603</v>
      </c>
      <c r="H868" s="2">
        <v>0.99</v>
      </c>
      <c r="I868" s="8"/>
      <c r="J868" s="8"/>
      <c r="K868" s="8"/>
      <c r="L868" s="8"/>
      <c r="M868" s="8"/>
      <c r="N868" s="3">
        <v>0</v>
      </c>
      <c r="O868" s="3"/>
      <c r="P868" s="3">
        <v>0</v>
      </c>
      <c r="Q868" s="3">
        <v>0</v>
      </c>
      <c r="R868" s="3">
        <v>0</v>
      </c>
      <c r="S868" s="3">
        <v>0</v>
      </c>
      <c r="T868" s="3">
        <v>0</v>
      </c>
      <c r="U868" s="8"/>
      <c r="V868" s="8"/>
      <c r="W868" s="8"/>
      <c r="X868" s="8"/>
      <c r="Y868" s="8"/>
      <c r="Z868" s="8"/>
      <c r="AA868" s="8"/>
      <c r="AB868" s="8"/>
      <c r="AC868" s="8"/>
      <c r="AD868" s="8"/>
      <c r="AE868" s="3">
        <v>0</v>
      </c>
      <c r="AF868" s="3">
        <v>0</v>
      </c>
      <c r="AG868" s="3"/>
      <c r="AH868" s="40"/>
      <c r="AI868" s="40"/>
      <c r="AJ868" s="40"/>
      <c r="AK868" s="40"/>
      <c r="AL868" s="40"/>
      <c r="AM868" s="40"/>
      <c r="AN868" s="40"/>
      <c r="AO868" s="40"/>
      <c r="AP868" s="40"/>
      <c r="AQ868" s="40"/>
      <c r="AR868" s="31"/>
      <c r="AS868" s="36">
        <v>0</v>
      </c>
      <c r="AY868" s="6"/>
      <c r="AZ868" s="2"/>
      <c r="BA868" s="2"/>
      <c r="BB868" s="2"/>
      <c r="BC868">
        <v>71500</v>
      </c>
      <c r="BD868">
        <v>56992</v>
      </c>
    </row>
    <row r="869" spans="3:56" x14ac:dyDescent="0.25">
      <c r="C869" s="1">
        <v>46489</v>
      </c>
      <c r="D869" s="36">
        <v>260352.47333333301</v>
      </c>
      <c r="E869" s="33">
        <v>4.4733333333333301</v>
      </c>
      <c r="F869" s="33">
        <v>3.6437288148148101</v>
      </c>
      <c r="G869" s="2">
        <v>0.81454444444444396</v>
      </c>
      <c r="H869" s="2">
        <v>0.99</v>
      </c>
      <c r="I869" s="8"/>
      <c r="J869" s="8"/>
      <c r="K869" s="8"/>
      <c r="L869" s="8"/>
      <c r="M869" s="8"/>
      <c r="N869" s="3">
        <v>0</v>
      </c>
      <c r="O869" s="3"/>
      <c r="P869" s="3">
        <v>0</v>
      </c>
      <c r="Q869" s="3">
        <v>0</v>
      </c>
      <c r="R869" s="3">
        <v>0</v>
      </c>
      <c r="S869" s="3">
        <v>0</v>
      </c>
      <c r="T869" s="3">
        <v>0</v>
      </c>
      <c r="U869" s="8"/>
      <c r="V869" s="8"/>
      <c r="W869" s="8"/>
      <c r="X869" s="8"/>
      <c r="Y869" s="8"/>
      <c r="Z869" s="8"/>
      <c r="AA869" s="8"/>
      <c r="AB869" s="8"/>
      <c r="AC869" s="8"/>
      <c r="AD869" s="8"/>
      <c r="AE869" s="3">
        <v>0</v>
      </c>
      <c r="AF869" s="3">
        <v>0</v>
      </c>
      <c r="AG869" s="3"/>
      <c r="AH869" s="40"/>
      <c r="AI869" s="40"/>
      <c r="AJ869" s="40"/>
      <c r="AK869" s="40"/>
      <c r="AL869" s="40"/>
      <c r="AM869" s="40"/>
      <c r="AN869" s="40"/>
      <c r="AO869" s="40"/>
      <c r="AP869" s="40"/>
      <c r="AQ869" s="40"/>
      <c r="AR869" s="31"/>
      <c r="AS869" s="36">
        <v>0</v>
      </c>
      <c r="AY869" s="6"/>
      <c r="AZ869" s="2"/>
      <c r="BA869" s="2"/>
      <c r="BB869" s="2"/>
      <c r="BC869">
        <v>71500</v>
      </c>
      <c r="BD869">
        <v>56992</v>
      </c>
    </row>
    <row r="870" spans="3:56" x14ac:dyDescent="0.25">
      <c r="C870" s="1">
        <v>46490</v>
      </c>
      <c r="D870" s="36">
        <v>260352.47333333301</v>
      </c>
      <c r="E870" s="33">
        <v>4.4733333333333301</v>
      </c>
      <c r="F870" s="33">
        <v>3.6436791111111102</v>
      </c>
      <c r="G870" s="2">
        <v>0.814533333333333</v>
      </c>
      <c r="H870" s="2">
        <v>0.99</v>
      </c>
      <c r="I870" s="8"/>
      <c r="J870" s="8"/>
      <c r="K870" s="8"/>
      <c r="L870" s="8"/>
      <c r="M870" s="8"/>
      <c r="N870" s="3">
        <v>0</v>
      </c>
      <c r="O870" s="3"/>
      <c r="P870" s="3">
        <v>0</v>
      </c>
      <c r="Q870" s="3">
        <v>0</v>
      </c>
      <c r="R870" s="3">
        <v>0</v>
      </c>
      <c r="S870" s="3">
        <v>0</v>
      </c>
      <c r="T870" s="3">
        <v>0</v>
      </c>
      <c r="U870" s="8"/>
      <c r="V870" s="8"/>
      <c r="W870" s="8"/>
      <c r="X870" s="8"/>
      <c r="Y870" s="8"/>
      <c r="Z870" s="8"/>
      <c r="AA870" s="8"/>
      <c r="AB870" s="8"/>
      <c r="AC870" s="8"/>
      <c r="AD870" s="8"/>
      <c r="AE870" s="3">
        <v>0</v>
      </c>
      <c r="AF870" s="3">
        <v>0</v>
      </c>
      <c r="AG870" s="3"/>
      <c r="AH870" s="40"/>
      <c r="AI870" s="40"/>
      <c r="AJ870" s="40"/>
      <c r="AK870" s="40"/>
      <c r="AL870" s="40"/>
      <c r="AM870" s="40"/>
      <c r="AN870" s="40"/>
      <c r="AO870" s="40"/>
      <c r="AP870" s="40"/>
      <c r="AQ870" s="40"/>
      <c r="AR870" s="31"/>
      <c r="AS870" s="36">
        <v>0</v>
      </c>
      <c r="AY870" s="6"/>
      <c r="AZ870" s="2"/>
      <c r="BA870" s="2"/>
      <c r="BB870" s="2"/>
      <c r="BC870">
        <v>71500</v>
      </c>
      <c r="BD870">
        <v>56992</v>
      </c>
    </row>
    <row r="871" spans="3:56" x14ac:dyDescent="0.25">
      <c r="C871" s="1">
        <v>46491</v>
      </c>
      <c r="D871" s="36">
        <v>260352.47333333301</v>
      </c>
      <c r="E871" s="33">
        <v>4.4733333333333301</v>
      </c>
      <c r="F871" s="33">
        <v>3.6436294074074098</v>
      </c>
      <c r="G871" s="2">
        <v>0.81452222222222204</v>
      </c>
      <c r="H871" s="2">
        <v>0.99</v>
      </c>
      <c r="I871" s="8"/>
      <c r="J871" s="8"/>
      <c r="K871" s="8"/>
      <c r="L871" s="8"/>
      <c r="M871" s="8"/>
      <c r="N871" s="3">
        <v>0</v>
      </c>
      <c r="O871" s="3"/>
      <c r="P871" s="3">
        <v>0</v>
      </c>
      <c r="Q871" s="3">
        <v>0</v>
      </c>
      <c r="R871" s="3">
        <v>0</v>
      </c>
      <c r="S871" s="3">
        <v>0</v>
      </c>
      <c r="T871" s="3">
        <v>0</v>
      </c>
      <c r="U871" s="8"/>
      <c r="V871" s="8"/>
      <c r="W871" s="8"/>
      <c r="X871" s="8"/>
      <c r="Y871" s="8"/>
      <c r="Z871" s="8"/>
      <c r="AA871" s="8"/>
      <c r="AB871" s="8"/>
      <c r="AC871" s="8"/>
      <c r="AD871" s="8"/>
      <c r="AE871" s="3">
        <v>0</v>
      </c>
      <c r="AF871" s="3">
        <v>0</v>
      </c>
      <c r="AG871" s="3"/>
      <c r="AH871" s="40"/>
      <c r="AI871" s="40"/>
      <c r="AJ871" s="40"/>
      <c r="AK871" s="40"/>
      <c r="AL871" s="40"/>
      <c r="AM871" s="40"/>
      <c r="AN871" s="40"/>
      <c r="AO871" s="40"/>
      <c r="AP871" s="40"/>
      <c r="AQ871" s="40"/>
      <c r="AR871" s="31"/>
      <c r="AS871" s="36">
        <v>0</v>
      </c>
      <c r="AY871" s="6"/>
      <c r="AZ871" s="2"/>
      <c r="BA871" s="2"/>
      <c r="BB871" s="2"/>
      <c r="BC871">
        <v>71500</v>
      </c>
      <c r="BD871">
        <v>56992</v>
      </c>
    </row>
    <row r="872" spans="3:56" x14ac:dyDescent="0.25">
      <c r="C872" s="1">
        <v>46492</v>
      </c>
      <c r="D872" s="36">
        <v>260352.47333333301</v>
      </c>
      <c r="E872" s="33">
        <v>4.4733333333333301</v>
      </c>
      <c r="F872" s="33">
        <v>3.6435797037037001</v>
      </c>
      <c r="G872" s="2">
        <v>0.81451111111111096</v>
      </c>
      <c r="H872" s="2">
        <v>0.99</v>
      </c>
      <c r="I872" s="8"/>
      <c r="J872" s="8"/>
      <c r="K872" s="8"/>
      <c r="L872" s="8"/>
      <c r="M872" s="8"/>
      <c r="N872" s="3">
        <v>0</v>
      </c>
      <c r="O872" s="3"/>
      <c r="P872" s="3">
        <v>0</v>
      </c>
      <c r="Q872" s="3">
        <v>0</v>
      </c>
      <c r="R872" s="3">
        <v>0</v>
      </c>
      <c r="S872" s="3">
        <v>0</v>
      </c>
      <c r="T872" s="3">
        <v>0</v>
      </c>
      <c r="U872" s="8"/>
      <c r="V872" s="8"/>
      <c r="W872" s="8"/>
      <c r="X872" s="8"/>
      <c r="Y872" s="8"/>
      <c r="Z872" s="8"/>
      <c r="AA872" s="8"/>
      <c r="AB872" s="8"/>
      <c r="AC872" s="8"/>
      <c r="AD872" s="8"/>
      <c r="AE872" s="3">
        <v>0</v>
      </c>
      <c r="AF872" s="3">
        <v>0</v>
      </c>
      <c r="AG872" s="3"/>
      <c r="AH872" s="40"/>
      <c r="AI872" s="40"/>
      <c r="AJ872" s="40"/>
      <c r="AK872" s="40"/>
      <c r="AL872" s="40"/>
      <c r="AM872" s="40"/>
      <c r="AN872" s="40"/>
      <c r="AO872" s="40"/>
      <c r="AP872" s="40"/>
      <c r="AQ872" s="40"/>
      <c r="AR872" s="31"/>
      <c r="AS872" s="36">
        <v>0</v>
      </c>
      <c r="AY872" s="6"/>
      <c r="AZ872" s="2"/>
      <c r="BA872" s="2"/>
      <c r="BB872" s="2"/>
      <c r="BC872">
        <v>71500</v>
      </c>
      <c r="BD872">
        <v>56992</v>
      </c>
    </row>
    <row r="873" spans="3:56" x14ac:dyDescent="0.25">
      <c r="C873" s="1">
        <v>46493</v>
      </c>
      <c r="D873" s="36">
        <v>260352.47333333301</v>
      </c>
      <c r="E873" s="33">
        <v>4.4733333333333301</v>
      </c>
      <c r="F873" s="33">
        <v>3.6435300000000002</v>
      </c>
      <c r="G873" s="2">
        <v>0.8145</v>
      </c>
      <c r="H873" s="2">
        <v>0.99</v>
      </c>
      <c r="I873" s="8"/>
      <c r="J873" s="8"/>
      <c r="K873" s="8"/>
      <c r="L873" s="8"/>
      <c r="M873" s="8"/>
      <c r="N873" s="3">
        <v>0</v>
      </c>
      <c r="O873" s="3"/>
      <c r="P873" s="3">
        <v>0</v>
      </c>
      <c r="Q873" s="3">
        <v>0</v>
      </c>
      <c r="R873" s="3">
        <v>0</v>
      </c>
      <c r="S873" s="3">
        <v>0</v>
      </c>
      <c r="T873" s="3">
        <v>0</v>
      </c>
      <c r="U873" s="8"/>
      <c r="V873" s="8"/>
      <c r="W873" s="8"/>
      <c r="X873" s="8"/>
      <c r="Y873" s="8"/>
      <c r="Z873" s="8"/>
      <c r="AA873" s="8"/>
      <c r="AB873" s="8"/>
      <c r="AC873" s="8"/>
      <c r="AD873" s="8"/>
      <c r="AE873" s="3">
        <v>0</v>
      </c>
      <c r="AF873" s="3">
        <v>0</v>
      </c>
      <c r="AG873" s="3"/>
      <c r="AH873" s="40"/>
      <c r="AI873" s="40"/>
      <c r="AJ873" s="40"/>
      <c r="AK873" s="40"/>
      <c r="AL873" s="40"/>
      <c r="AM873" s="40"/>
      <c r="AN873" s="40"/>
      <c r="AO873" s="40"/>
      <c r="AP873" s="40"/>
      <c r="AQ873" s="40"/>
      <c r="AR873" s="31"/>
      <c r="AS873" s="36">
        <v>0</v>
      </c>
      <c r="AY873" s="6"/>
      <c r="AZ873" s="2"/>
      <c r="BA873" s="2"/>
      <c r="BB873" s="2"/>
      <c r="BC873">
        <v>71500</v>
      </c>
      <c r="BD873">
        <v>56992</v>
      </c>
    </row>
    <row r="874" spans="3:56" x14ac:dyDescent="0.25">
      <c r="C874" s="1">
        <v>46494</v>
      </c>
      <c r="D874" s="36">
        <v>260352.47333333301</v>
      </c>
      <c r="E874" s="33">
        <v>4.4733333333333301</v>
      </c>
      <c r="F874" s="33">
        <v>3.6434802962963002</v>
      </c>
      <c r="G874" s="2">
        <v>0.81448888888888904</v>
      </c>
      <c r="H874" s="2">
        <v>0.99</v>
      </c>
      <c r="I874" s="8"/>
      <c r="J874" s="8"/>
      <c r="K874" s="8"/>
      <c r="L874" s="8"/>
      <c r="M874" s="8"/>
      <c r="N874" s="3">
        <v>0</v>
      </c>
      <c r="O874" s="3"/>
      <c r="P874" s="3">
        <v>0</v>
      </c>
      <c r="Q874" s="3">
        <v>0</v>
      </c>
      <c r="R874" s="3">
        <v>0</v>
      </c>
      <c r="S874" s="3">
        <v>0</v>
      </c>
      <c r="T874" s="3">
        <v>0</v>
      </c>
      <c r="U874" s="8"/>
      <c r="V874" s="8"/>
      <c r="W874" s="8"/>
      <c r="X874" s="8"/>
      <c r="Y874" s="8"/>
      <c r="Z874" s="8"/>
      <c r="AA874" s="8"/>
      <c r="AB874" s="8"/>
      <c r="AC874" s="8"/>
      <c r="AD874" s="8"/>
      <c r="AE874" s="3">
        <v>0</v>
      </c>
      <c r="AF874" s="3">
        <v>0</v>
      </c>
      <c r="AG874" s="3"/>
      <c r="AH874" s="40"/>
      <c r="AI874" s="40"/>
      <c r="AJ874" s="40"/>
      <c r="AK874" s="40"/>
      <c r="AL874" s="40"/>
      <c r="AM874" s="40"/>
      <c r="AN874" s="40"/>
      <c r="AO874" s="40"/>
      <c r="AP874" s="40"/>
      <c r="AQ874" s="40"/>
      <c r="AR874" s="31"/>
      <c r="AS874" s="36">
        <v>0</v>
      </c>
      <c r="AY874" s="6"/>
      <c r="AZ874" s="2"/>
      <c r="BA874" s="2"/>
      <c r="BB874" s="2"/>
      <c r="BC874">
        <v>71500</v>
      </c>
      <c r="BD874">
        <v>56992</v>
      </c>
    </row>
    <row r="875" spans="3:56" x14ac:dyDescent="0.25">
      <c r="C875" s="1">
        <v>46495</v>
      </c>
      <c r="D875" s="36">
        <v>260352.47333333301</v>
      </c>
      <c r="E875" s="33">
        <v>4.4733333333333301</v>
      </c>
      <c r="F875" s="33">
        <v>3.6434305925925901</v>
      </c>
      <c r="G875" s="2">
        <v>0.81447777777777797</v>
      </c>
      <c r="H875" s="2">
        <v>0.99</v>
      </c>
      <c r="I875" s="3"/>
      <c r="J875" s="3"/>
      <c r="K875" s="3"/>
      <c r="L875" s="3"/>
      <c r="M875" s="3"/>
      <c r="N875" s="3">
        <v>0</v>
      </c>
      <c r="O875" s="3"/>
      <c r="P875" s="3">
        <v>0</v>
      </c>
      <c r="Q875" s="3">
        <v>0</v>
      </c>
      <c r="R875" s="3">
        <v>0</v>
      </c>
      <c r="S875" s="3">
        <v>0</v>
      </c>
      <c r="T875" s="3">
        <v>0</v>
      </c>
      <c r="U875" s="3"/>
      <c r="V875" s="3"/>
      <c r="W875" s="3"/>
      <c r="X875" s="3"/>
      <c r="Y875" s="3"/>
      <c r="Z875" s="3"/>
      <c r="AA875" s="3"/>
      <c r="AB875" s="3"/>
      <c r="AC875" s="3"/>
      <c r="AD875" s="3"/>
      <c r="AE875" s="3">
        <v>0</v>
      </c>
      <c r="AF875" s="3">
        <v>0</v>
      </c>
      <c r="AG875" s="3"/>
      <c r="AH875" s="40"/>
      <c r="AI875" s="40"/>
      <c r="AJ875" s="40"/>
      <c r="AK875" s="40"/>
      <c r="AL875" s="40"/>
      <c r="AM875" s="40"/>
      <c r="AN875" s="40"/>
      <c r="AO875" s="40"/>
      <c r="AP875" s="40"/>
      <c r="AQ875" s="40"/>
      <c r="AR875" s="31"/>
      <c r="AS875" s="36">
        <v>0</v>
      </c>
      <c r="AY875" s="6"/>
      <c r="AZ875" s="2"/>
      <c r="BA875" s="2"/>
      <c r="BB875" s="2"/>
      <c r="BC875">
        <v>71500</v>
      </c>
      <c r="BD875">
        <v>56992</v>
      </c>
    </row>
    <row r="876" spans="3:56" x14ac:dyDescent="0.25">
      <c r="C876" s="1">
        <v>46496</v>
      </c>
      <c r="D876" s="36">
        <v>260352.47333333301</v>
      </c>
      <c r="E876" s="33">
        <v>4.4733333333333301</v>
      </c>
      <c r="F876" s="33">
        <v>3.6433808888888901</v>
      </c>
      <c r="G876" s="2">
        <v>0.81446666666666701</v>
      </c>
      <c r="H876" s="2">
        <v>0.99</v>
      </c>
      <c r="I876" s="3"/>
      <c r="J876" s="3"/>
      <c r="K876" s="3"/>
      <c r="L876" s="3"/>
      <c r="M876" s="3"/>
      <c r="N876" s="3">
        <v>0</v>
      </c>
      <c r="O876" s="3"/>
      <c r="P876" s="3">
        <v>0</v>
      </c>
      <c r="Q876" s="3">
        <v>0</v>
      </c>
      <c r="R876" s="3">
        <v>0</v>
      </c>
      <c r="S876" s="3">
        <v>0</v>
      </c>
      <c r="T876" s="3">
        <v>0</v>
      </c>
      <c r="U876" s="3"/>
      <c r="V876" s="3"/>
      <c r="W876" s="3"/>
      <c r="X876" s="3"/>
      <c r="Y876" s="3"/>
      <c r="Z876" s="3"/>
      <c r="AA876" s="3"/>
      <c r="AB876" s="3"/>
      <c r="AC876" s="3"/>
      <c r="AD876" s="3"/>
      <c r="AE876" s="3">
        <v>0</v>
      </c>
      <c r="AF876" s="3">
        <v>0</v>
      </c>
      <c r="AG876" s="3"/>
      <c r="AH876" s="40"/>
      <c r="AI876" s="40"/>
      <c r="AJ876" s="40"/>
      <c r="AK876" s="40"/>
      <c r="AL876" s="40"/>
      <c r="AM876" s="40"/>
      <c r="AN876" s="40"/>
      <c r="AO876" s="40"/>
      <c r="AP876" s="40"/>
      <c r="AQ876" s="40"/>
      <c r="AR876" s="31"/>
      <c r="AS876" s="36">
        <v>0</v>
      </c>
      <c r="AY876" s="6"/>
      <c r="AZ876" s="2"/>
      <c r="BA876" s="2"/>
      <c r="BB876" s="2"/>
      <c r="BC876">
        <v>71500</v>
      </c>
      <c r="BD876">
        <v>56992</v>
      </c>
    </row>
    <row r="877" spans="3:56" x14ac:dyDescent="0.25">
      <c r="C877" s="1">
        <v>46497</v>
      </c>
      <c r="D877" s="36">
        <v>260352.47333333301</v>
      </c>
      <c r="E877" s="33">
        <v>4.4733333333333301</v>
      </c>
      <c r="F877" s="33">
        <v>3.64333118518518</v>
      </c>
      <c r="G877" s="2">
        <v>0.81445555555555504</v>
      </c>
      <c r="H877" s="2">
        <v>0.99</v>
      </c>
      <c r="I877" s="3"/>
      <c r="J877" s="3"/>
      <c r="K877" s="3"/>
      <c r="L877" s="3"/>
      <c r="M877" s="3"/>
      <c r="N877" s="3">
        <v>0</v>
      </c>
      <c r="O877" s="3"/>
      <c r="P877" s="3">
        <v>0</v>
      </c>
      <c r="Q877" s="3">
        <v>0</v>
      </c>
      <c r="R877" s="3">
        <v>0</v>
      </c>
      <c r="S877" s="3">
        <v>0</v>
      </c>
      <c r="T877" s="3">
        <v>0</v>
      </c>
      <c r="U877" s="3"/>
      <c r="V877" s="3"/>
      <c r="W877" s="3"/>
      <c r="X877" s="3"/>
      <c r="Y877" s="3"/>
      <c r="Z877" s="3"/>
      <c r="AA877" s="3"/>
      <c r="AB877" s="3"/>
      <c r="AC877" s="3"/>
      <c r="AD877" s="3"/>
      <c r="AE877" s="3">
        <v>0</v>
      </c>
      <c r="AF877" s="3">
        <v>0</v>
      </c>
      <c r="AG877" s="3"/>
      <c r="AH877" s="40"/>
      <c r="AI877" s="40"/>
      <c r="AJ877" s="40"/>
      <c r="AK877" s="40"/>
      <c r="AL877" s="40"/>
      <c r="AM877" s="40"/>
      <c r="AN877" s="40"/>
      <c r="AO877" s="40"/>
      <c r="AP877" s="40"/>
      <c r="AQ877" s="40"/>
      <c r="AR877" s="31"/>
      <c r="AS877" s="36">
        <v>0</v>
      </c>
      <c r="AY877" s="6"/>
      <c r="AZ877" s="2"/>
      <c r="BA877" s="2"/>
      <c r="BB877" s="2"/>
      <c r="BC877">
        <v>71500</v>
      </c>
      <c r="BD877">
        <v>56992</v>
      </c>
    </row>
    <row r="878" spans="3:56" x14ac:dyDescent="0.25">
      <c r="C878" s="1">
        <v>46498</v>
      </c>
      <c r="D878" s="36">
        <v>260352.47333333301</v>
      </c>
      <c r="E878" s="33">
        <v>4.4733333333333301</v>
      </c>
      <c r="F878" s="33">
        <v>3.64328148148148</v>
      </c>
      <c r="G878" s="2">
        <v>0.81444444444444397</v>
      </c>
      <c r="H878" s="2">
        <v>0.99</v>
      </c>
      <c r="I878" s="3"/>
      <c r="J878" s="3"/>
      <c r="K878" s="3"/>
      <c r="L878" s="3"/>
      <c r="M878" s="3"/>
      <c r="N878" s="3">
        <v>0</v>
      </c>
      <c r="O878" s="3"/>
      <c r="P878" s="3">
        <v>0</v>
      </c>
      <c r="Q878" s="3">
        <v>0</v>
      </c>
      <c r="R878" s="3">
        <v>0</v>
      </c>
      <c r="S878" s="3">
        <v>0</v>
      </c>
      <c r="T878" s="3">
        <v>0</v>
      </c>
      <c r="U878" s="3"/>
      <c r="V878" s="3"/>
      <c r="W878" s="3"/>
      <c r="X878" s="3"/>
      <c r="Y878" s="3"/>
      <c r="Z878" s="3"/>
      <c r="AA878" s="3"/>
      <c r="AB878" s="3"/>
      <c r="AC878" s="3"/>
      <c r="AD878" s="3"/>
      <c r="AE878" s="3">
        <v>0</v>
      </c>
      <c r="AF878" s="3">
        <v>0</v>
      </c>
      <c r="AG878" s="3"/>
      <c r="AH878" s="40"/>
      <c r="AI878" s="40"/>
      <c r="AJ878" s="40"/>
      <c r="AK878" s="40"/>
      <c r="AL878" s="40"/>
      <c r="AM878" s="40"/>
      <c r="AN878" s="40"/>
      <c r="AO878" s="40"/>
      <c r="AP878" s="40"/>
      <c r="AQ878" s="40"/>
      <c r="AR878" s="31"/>
      <c r="AS878" s="36">
        <v>0</v>
      </c>
      <c r="AY878" s="6"/>
      <c r="AZ878" s="2"/>
      <c r="BA878" s="2"/>
      <c r="BB878" s="2"/>
      <c r="BC878">
        <v>71500</v>
      </c>
      <c r="BD878">
        <v>56992</v>
      </c>
    </row>
    <row r="879" spans="3:56" x14ac:dyDescent="0.25">
      <c r="C879" s="1">
        <v>46499</v>
      </c>
      <c r="D879" s="36">
        <v>260352.47333333301</v>
      </c>
      <c r="E879" s="33">
        <v>4.4733333333333301</v>
      </c>
      <c r="F879" s="33">
        <v>3.6432317777777801</v>
      </c>
      <c r="G879" s="2">
        <v>0.81443333333333301</v>
      </c>
      <c r="H879" s="2">
        <v>0.99</v>
      </c>
      <c r="I879" s="3"/>
      <c r="J879" s="3"/>
      <c r="K879" s="3"/>
      <c r="L879" s="3"/>
      <c r="M879" s="3"/>
      <c r="N879" s="3">
        <v>0</v>
      </c>
      <c r="O879" s="3"/>
      <c r="P879" s="3">
        <v>0</v>
      </c>
      <c r="Q879" s="3">
        <v>0</v>
      </c>
      <c r="R879" s="3">
        <v>0</v>
      </c>
      <c r="S879" s="3">
        <v>0</v>
      </c>
      <c r="T879" s="3">
        <v>0</v>
      </c>
      <c r="U879" s="3"/>
      <c r="V879" s="3"/>
      <c r="W879" s="3"/>
      <c r="X879" s="3"/>
      <c r="Y879" s="3"/>
      <c r="Z879" s="3"/>
      <c r="AA879" s="3"/>
      <c r="AB879" s="3"/>
      <c r="AC879" s="3"/>
      <c r="AD879" s="3"/>
      <c r="AE879" s="3">
        <v>0</v>
      </c>
      <c r="AF879" s="3">
        <v>0</v>
      </c>
      <c r="AG879" s="3"/>
      <c r="AH879" s="40"/>
      <c r="AI879" s="40"/>
      <c r="AJ879" s="40"/>
      <c r="AK879" s="40"/>
      <c r="AL879" s="40"/>
      <c r="AM879" s="40"/>
      <c r="AN879" s="40"/>
      <c r="AO879" s="40"/>
      <c r="AP879" s="40"/>
      <c r="AQ879" s="40"/>
      <c r="AR879" s="31"/>
      <c r="AS879" s="36">
        <v>0</v>
      </c>
      <c r="AY879" s="6"/>
      <c r="AZ879" s="2"/>
      <c r="BA879" s="2"/>
      <c r="BB879" s="2"/>
      <c r="BC879">
        <v>71500</v>
      </c>
      <c r="BD879">
        <v>56992</v>
      </c>
    </row>
    <row r="880" spans="3:56" x14ac:dyDescent="0.25">
      <c r="C880" s="1">
        <v>46500</v>
      </c>
      <c r="D880" s="36">
        <v>260352.47333333301</v>
      </c>
      <c r="E880" s="33">
        <v>4.4733333333333301</v>
      </c>
      <c r="F880" s="33">
        <v>3.6431820740740699</v>
      </c>
      <c r="G880" s="2">
        <v>0.81442222222222205</v>
      </c>
      <c r="H880" s="2">
        <v>0.99</v>
      </c>
      <c r="I880" s="3"/>
      <c r="J880" s="3"/>
      <c r="K880" s="3"/>
      <c r="L880" s="3"/>
      <c r="M880" s="3"/>
      <c r="N880" s="3">
        <v>0</v>
      </c>
      <c r="O880" s="3"/>
      <c r="P880" s="3">
        <v>0</v>
      </c>
      <c r="Q880" s="3">
        <v>0</v>
      </c>
      <c r="R880" s="3">
        <v>0</v>
      </c>
      <c r="S880" s="3">
        <v>0</v>
      </c>
      <c r="T880" s="3">
        <v>0</v>
      </c>
      <c r="U880" s="3"/>
      <c r="V880" s="3"/>
      <c r="W880" s="3"/>
      <c r="X880" s="3"/>
      <c r="Y880" s="3"/>
      <c r="Z880" s="3"/>
      <c r="AA880" s="3"/>
      <c r="AB880" s="3"/>
      <c r="AC880" s="3"/>
      <c r="AD880" s="3"/>
      <c r="AE880" s="3">
        <v>0</v>
      </c>
      <c r="AF880" s="3">
        <v>0</v>
      </c>
      <c r="AG880" s="3"/>
      <c r="AH880" s="40"/>
      <c r="AI880" s="40"/>
      <c r="AJ880" s="40"/>
      <c r="AK880" s="40"/>
      <c r="AL880" s="40"/>
      <c r="AM880" s="40"/>
      <c r="AN880" s="40"/>
      <c r="AO880" s="40"/>
      <c r="AP880" s="40"/>
      <c r="AQ880" s="40"/>
      <c r="AR880" s="31"/>
      <c r="AS880" s="36">
        <v>0</v>
      </c>
      <c r="AY880" s="6"/>
      <c r="AZ880" s="2"/>
      <c r="BA880" s="2"/>
      <c r="BB880" s="2"/>
      <c r="BC880">
        <v>71500</v>
      </c>
      <c r="BD880">
        <v>56992</v>
      </c>
    </row>
    <row r="881" spans="3:56" x14ac:dyDescent="0.25">
      <c r="C881" s="1">
        <v>46501</v>
      </c>
      <c r="D881" s="36">
        <v>260352.47333333301</v>
      </c>
      <c r="E881" s="33">
        <v>4.4733333333333301</v>
      </c>
      <c r="F881" s="33">
        <v>3.64313237037037</v>
      </c>
      <c r="G881" s="2">
        <v>0.81441111111111097</v>
      </c>
      <c r="H881" s="2">
        <v>0.99</v>
      </c>
      <c r="I881" s="3"/>
      <c r="J881" s="3"/>
      <c r="K881" s="3"/>
      <c r="L881" s="3"/>
      <c r="M881" s="3"/>
      <c r="N881" s="3">
        <v>0</v>
      </c>
      <c r="O881" s="3"/>
      <c r="P881" s="3">
        <v>0</v>
      </c>
      <c r="Q881" s="3">
        <v>0</v>
      </c>
      <c r="R881" s="3">
        <v>0</v>
      </c>
      <c r="S881" s="3">
        <v>0</v>
      </c>
      <c r="T881" s="3">
        <v>0</v>
      </c>
      <c r="U881" s="3"/>
      <c r="V881" s="3"/>
      <c r="W881" s="3"/>
      <c r="X881" s="3"/>
      <c r="Y881" s="3"/>
      <c r="Z881" s="3"/>
      <c r="AA881" s="3"/>
      <c r="AB881" s="3"/>
      <c r="AC881" s="3"/>
      <c r="AD881" s="3"/>
      <c r="AE881" s="3">
        <v>0</v>
      </c>
      <c r="AF881" s="3">
        <v>0</v>
      </c>
      <c r="AG881" s="3"/>
      <c r="AH881" s="40"/>
      <c r="AI881" s="40"/>
      <c r="AJ881" s="40"/>
      <c r="AK881" s="40"/>
      <c r="AL881" s="40"/>
      <c r="AM881" s="40"/>
      <c r="AN881" s="40"/>
      <c r="AO881" s="40"/>
      <c r="AP881" s="40"/>
      <c r="AQ881" s="40"/>
      <c r="AR881" s="31"/>
      <c r="AS881" s="36">
        <v>0</v>
      </c>
      <c r="AY881" s="6"/>
      <c r="AZ881" s="2"/>
      <c r="BA881" s="2"/>
      <c r="BB881" s="2"/>
      <c r="BC881">
        <v>71500</v>
      </c>
      <c r="BD881">
        <v>56992</v>
      </c>
    </row>
    <row r="882" spans="3:56" x14ac:dyDescent="0.25">
      <c r="C882" s="1">
        <v>46502</v>
      </c>
      <c r="D882" s="36">
        <v>260352.47333333301</v>
      </c>
      <c r="E882" s="33">
        <v>4.4733333333333301</v>
      </c>
      <c r="F882" s="33">
        <v>3.64308266666667</v>
      </c>
      <c r="G882" s="2">
        <v>0.81440000000000001</v>
      </c>
      <c r="H882" s="2">
        <v>0.99</v>
      </c>
      <c r="I882" s="3"/>
      <c r="J882" s="3"/>
      <c r="K882" s="3"/>
      <c r="L882" s="3"/>
      <c r="M882" s="3"/>
      <c r="N882" s="3">
        <v>0</v>
      </c>
      <c r="O882" s="3"/>
      <c r="P882" s="3">
        <v>0</v>
      </c>
      <c r="Q882" s="3">
        <v>0</v>
      </c>
      <c r="R882" s="3">
        <v>0</v>
      </c>
      <c r="S882" s="3">
        <v>0</v>
      </c>
      <c r="T882" s="3">
        <v>0</v>
      </c>
      <c r="U882" s="3"/>
      <c r="V882" s="3"/>
      <c r="W882" s="3"/>
      <c r="X882" s="3"/>
      <c r="Y882" s="3"/>
      <c r="Z882" s="3"/>
      <c r="AA882" s="3"/>
      <c r="AB882" s="3"/>
      <c r="AC882" s="3"/>
      <c r="AD882" s="3"/>
      <c r="AE882" s="3">
        <v>0</v>
      </c>
      <c r="AF882" s="3">
        <v>0</v>
      </c>
      <c r="AG882" s="3"/>
      <c r="AH882" s="40"/>
      <c r="AI882" s="40"/>
      <c r="AJ882" s="40"/>
      <c r="AK882" s="40"/>
      <c r="AL882" s="40"/>
      <c r="AM882" s="40"/>
      <c r="AN882" s="40"/>
      <c r="AO882" s="40"/>
      <c r="AP882" s="40"/>
      <c r="AQ882" s="40"/>
      <c r="AR882" s="31"/>
      <c r="AS882" s="36">
        <v>0</v>
      </c>
      <c r="AY882" s="6"/>
      <c r="AZ882" s="2"/>
      <c r="BA882" s="2"/>
      <c r="BB882" s="2"/>
      <c r="BC882">
        <v>71500</v>
      </c>
      <c r="BD882">
        <v>56992</v>
      </c>
    </row>
    <row r="883" spans="3:56" x14ac:dyDescent="0.25">
      <c r="C883" s="1">
        <v>46503</v>
      </c>
      <c r="D883" s="36">
        <v>260352.47333333301</v>
      </c>
      <c r="E883" s="33">
        <v>4.4733333333333301</v>
      </c>
      <c r="F883" s="33">
        <v>3.6430329629629599</v>
      </c>
      <c r="G883" s="2">
        <v>0.81438888888888905</v>
      </c>
      <c r="H883" s="2">
        <v>0.99</v>
      </c>
      <c r="I883" s="3"/>
      <c r="J883" s="3"/>
      <c r="K883" s="3"/>
      <c r="L883" s="3"/>
      <c r="M883" s="3"/>
      <c r="N883" s="3">
        <v>0</v>
      </c>
      <c r="O883" s="3"/>
      <c r="P883" s="3">
        <v>0</v>
      </c>
      <c r="Q883" s="3">
        <v>0</v>
      </c>
      <c r="R883" s="3">
        <v>0</v>
      </c>
      <c r="S883" s="3">
        <v>0</v>
      </c>
      <c r="T883" s="3">
        <v>0</v>
      </c>
      <c r="U883" s="3"/>
      <c r="V883" s="3"/>
      <c r="W883" s="3"/>
      <c r="X883" s="3"/>
      <c r="Y883" s="3"/>
      <c r="Z883" s="3"/>
      <c r="AA883" s="3"/>
      <c r="AB883" s="3"/>
      <c r="AC883" s="3"/>
      <c r="AD883" s="3"/>
      <c r="AE883" s="3">
        <v>0</v>
      </c>
      <c r="AF883" s="3">
        <v>0</v>
      </c>
      <c r="AG883" s="3"/>
      <c r="AH883" s="40"/>
      <c r="AI883" s="40"/>
      <c r="AJ883" s="40"/>
      <c r="AK883" s="40"/>
      <c r="AL883" s="40"/>
      <c r="AM883" s="40"/>
      <c r="AN883" s="40"/>
      <c r="AO883" s="40"/>
      <c r="AP883" s="40"/>
      <c r="AQ883" s="40"/>
      <c r="AR883" s="31"/>
      <c r="AS883" s="36">
        <v>0</v>
      </c>
      <c r="AY883" s="6"/>
      <c r="AZ883" s="2"/>
      <c r="BA883" s="2"/>
      <c r="BB883" s="2"/>
      <c r="BC883">
        <v>71500</v>
      </c>
      <c r="BD883">
        <v>56992</v>
      </c>
    </row>
    <row r="884" spans="3:56" x14ac:dyDescent="0.25">
      <c r="C884" s="1">
        <v>46504</v>
      </c>
      <c r="D884" s="36">
        <v>260352.47333333301</v>
      </c>
      <c r="E884" s="33">
        <v>4.4733333333333301</v>
      </c>
      <c r="F884" s="33">
        <v>3.6429832592592599</v>
      </c>
      <c r="G884" s="2">
        <v>0.81437777777777798</v>
      </c>
      <c r="H884" s="2">
        <v>0.99</v>
      </c>
      <c r="I884" s="3"/>
      <c r="J884" s="3"/>
      <c r="K884" s="3"/>
      <c r="L884" s="3"/>
      <c r="M884" s="3"/>
      <c r="N884" s="3">
        <v>0</v>
      </c>
      <c r="O884" s="3"/>
      <c r="P884" s="3">
        <v>0</v>
      </c>
      <c r="Q884" s="3">
        <v>0</v>
      </c>
      <c r="R884" s="3">
        <v>0</v>
      </c>
      <c r="S884" s="3">
        <v>0</v>
      </c>
      <c r="T884" s="3">
        <v>0</v>
      </c>
      <c r="U884" s="3"/>
      <c r="V884" s="3"/>
      <c r="W884" s="3"/>
      <c r="X884" s="3"/>
      <c r="Y884" s="3"/>
      <c r="Z884" s="3"/>
      <c r="AA884" s="3"/>
      <c r="AB884" s="3"/>
      <c r="AC884" s="3"/>
      <c r="AD884" s="3"/>
      <c r="AE884" s="3">
        <v>0</v>
      </c>
      <c r="AF884" s="3">
        <v>0</v>
      </c>
      <c r="AG884" s="3"/>
      <c r="AH884" s="40"/>
      <c r="AI884" s="40"/>
      <c r="AJ884" s="40"/>
      <c r="AK884" s="40"/>
      <c r="AL884" s="40"/>
      <c r="AM884" s="40"/>
      <c r="AN884" s="40"/>
      <c r="AO884" s="40"/>
      <c r="AP884" s="40"/>
      <c r="AQ884" s="40"/>
      <c r="AR884" s="31"/>
      <c r="AS884" s="36">
        <v>0</v>
      </c>
      <c r="AY884" s="6"/>
      <c r="AZ884" s="2"/>
      <c r="BA884" s="2"/>
      <c r="BB884" s="2"/>
      <c r="BC884">
        <v>71500</v>
      </c>
      <c r="BD884">
        <v>56992</v>
      </c>
    </row>
    <row r="885" spans="3:56" x14ac:dyDescent="0.25">
      <c r="C885" s="1">
        <v>46505</v>
      </c>
      <c r="D885" s="36">
        <v>260352.47333333301</v>
      </c>
      <c r="E885" s="33">
        <v>4.4733333333333301</v>
      </c>
      <c r="F885" s="33">
        <v>3.64293355555556</v>
      </c>
      <c r="G885" s="2">
        <v>0.81436666666666702</v>
      </c>
      <c r="H885" s="2">
        <v>0.99</v>
      </c>
      <c r="I885" s="3"/>
      <c r="J885" s="3"/>
      <c r="K885" s="3"/>
      <c r="L885" s="3"/>
      <c r="M885" s="3"/>
      <c r="N885" s="3">
        <v>0</v>
      </c>
      <c r="O885" s="3"/>
      <c r="P885" s="3">
        <v>0</v>
      </c>
      <c r="Q885" s="3">
        <v>0</v>
      </c>
      <c r="R885" s="3">
        <v>0</v>
      </c>
      <c r="S885" s="3">
        <v>0</v>
      </c>
      <c r="T885" s="3">
        <v>0</v>
      </c>
      <c r="U885" s="3"/>
      <c r="V885" s="3"/>
      <c r="W885" s="3"/>
      <c r="X885" s="3"/>
      <c r="Y885" s="3"/>
      <c r="Z885" s="3"/>
      <c r="AA885" s="3"/>
      <c r="AB885" s="3"/>
      <c r="AC885" s="3"/>
      <c r="AD885" s="3"/>
      <c r="AE885" s="3">
        <v>0</v>
      </c>
      <c r="AF885" s="3">
        <v>0</v>
      </c>
      <c r="AG885" s="3"/>
      <c r="AH885" s="40"/>
      <c r="AI885" s="40"/>
      <c r="AJ885" s="40"/>
      <c r="AK885" s="40"/>
      <c r="AL885" s="40"/>
      <c r="AM885" s="40"/>
      <c r="AN885" s="40"/>
      <c r="AO885" s="40"/>
      <c r="AP885" s="40"/>
      <c r="AQ885" s="40"/>
      <c r="AR885" s="31"/>
      <c r="AS885" s="36">
        <v>0</v>
      </c>
      <c r="AY885" s="6"/>
      <c r="AZ885" s="2"/>
      <c r="BA885" s="2"/>
      <c r="BB885" s="2"/>
      <c r="BC885">
        <v>71500</v>
      </c>
      <c r="BD885">
        <v>56992</v>
      </c>
    </row>
    <row r="886" spans="3:56" x14ac:dyDescent="0.25">
      <c r="C886" s="1">
        <v>46506</v>
      </c>
      <c r="D886" s="36">
        <v>260352.47333333301</v>
      </c>
      <c r="E886" s="33">
        <v>4.4733333333333301</v>
      </c>
      <c r="F886" s="33">
        <v>3.6428838518518498</v>
      </c>
      <c r="G886" s="2">
        <v>0.81435555555555506</v>
      </c>
      <c r="H886" s="2">
        <v>0.99</v>
      </c>
      <c r="I886" s="3"/>
      <c r="J886" s="3"/>
      <c r="K886" s="3"/>
      <c r="L886" s="3"/>
      <c r="M886" s="3"/>
      <c r="N886" s="3">
        <v>0</v>
      </c>
      <c r="O886" s="3"/>
      <c r="P886" s="3">
        <v>0</v>
      </c>
      <c r="Q886" s="3">
        <v>0</v>
      </c>
      <c r="R886" s="3">
        <v>0</v>
      </c>
      <c r="S886" s="3">
        <v>0</v>
      </c>
      <c r="T886" s="3">
        <v>0</v>
      </c>
      <c r="U886" s="3"/>
      <c r="V886" s="3"/>
      <c r="W886" s="3"/>
      <c r="X886" s="3"/>
      <c r="Y886" s="3"/>
      <c r="Z886" s="3"/>
      <c r="AA886" s="3"/>
      <c r="AB886" s="3"/>
      <c r="AC886" s="3"/>
      <c r="AD886" s="3"/>
      <c r="AE886" s="3">
        <v>0</v>
      </c>
      <c r="AF886" s="3">
        <v>0</v>
      </c>
      <c r="AG886" s="3"/>
      <c r="AH886" s="40"/>
      <c r="AI886" s="40"/>
      <c r="AJ886" s="40"/>
      <c r="AK886" s="40"/>
      <c r="AL886" s="40"/>
      <c r="AM886" s="40"/>
      <c r="AN886" s="40"/>
      <c r="AO886" s="40"/>
      <c r="AP886" s="40"/>
      <c r="AQ886" s="40"/>
      <c r="AR886" s="31"/>
      <c r="AS886" s="36">
        <v>0</v>
      </c>
      <c r="AY886" s="6"/>
      <c r="AZ886" s="2"/>
      <c r="BA886" s="2"/>
      <c r="BB886" s="2"/>
      <c r="BC886">
        <v>71500</v>
      </c>
      <c r="BD886">
        <v>56992</v>
      </c>
    </row>
    <row r="887" spans="3:56" x14ac:dyDescent="0.25">
      <c r="C887" s="1">
        <v>46507</v>
      </c>
      <c r="D887" s="36">
        <v>260352.47333333301</v>
      </c>
      <c r="E887" s="33">
        <v>4.4733333333333301</v>
      </c>
      <c r="F887" s="33">
        <v>3.6428341481481499</v>
      </c>
      <c r="G887" s="2">
        <v>0.81434444444444398</v>
      </c>
      <c r="H887" s="2">
        <v>0.99</v>
      </c>
      <c r="I887" s="3"/>
      <c r="J887" s="3"/>
      <c r="K887" s="3"/>
      <c r="L887" s="3"/>
      <c r="M887" s="3"/>
      <c r="N887" s="3">
        <v>0</v>
      </c>
      <c r="O887" s="3"/>
      <c r="P887" s="3">
        <v>0</v>
      </c>
      <c r="Q887" s="3">
        <v>0</v>
      </c>
      <c r="R887" s="3">
        <v>0</v>
      </c>
      <c r="S887" s="3">
        <v>0</v>
      </c>
      <c r="T887" s="3">
        <v>0</v>
      </c>
      <c r="U887" s="3"/>
      <c r="V887" s="3"/>
      <c r="W887" s="3"/>
      <c r="X887" s="3"/>
      <c r="Y887" s="3"/>
      <c r="Z887" s="3"/>
      <c r="AA887" s="3"/>
      <c r="AB887" s="3"/>
      <c r="AC887" s="3"/>
      <c r="AD887" s="3"/>
      <c r="AE887" s="3">
        <v>0</v>
      </c>
      <c r="AF887" s="3">
        <v>0</v>
      </c>
      <c r="AG887" s="3"/>
      <c r="AH887" s="40"/>
      <c r="AI887" s="40"/>
      <c r="AJ887" s="40"/>
      <c r="AK887" s="40"/>
      <c r="AL887" s="40"/>
      <c r="AM887" s="40"/>
      <c r="AN887" s="40"/>
      <c r="AO887" s="40"/>
      <c r="AP887" s="40"/>
      <c r="AQ887" s="40"/>
      <c r="AR887" s="31"/>
      <c r="AS887" s="36">
        <v>0</v>
      </c>
      <c r="AY887" s="6"/>
      <c r="AZ887" s="2"/>
      <c r="BA887" s="2"/>
      <c r="BB887" s="2"/>
      <c r="BC887">
        <v>71500</v>
      </c>
      <c r="BD887">
        <v>56992</v>
      </c>
    </row>
    <row r="888" spans="3:56" x14ac:dyDescent="0.25">
      <c r="C888" s="1">
        <v>46508</v>
      </c>
      <c r="D888" s="36">
        <v>255977.841935484</v>
      </c>
      <c r="E888" s="33">
        <v>4.3290322580645197</v>
      </c>
      <c r="F888" s="33">
        <v>3.5252752688172002</v>
      </c>
      <c r="G888" s="2">
        <v>0.81433333333333302</v>
      </c>
      <c r="H888" s="2">
        <v>0.99</v>
      </c>
      <c r="I888" s="3"/>
      <c r="J888" s="3"/>
      <c r="K888" s="3"/>
      <c r="L888" s="3"/>
      <c r="M888" s="3"/>
      <c r="N888" s="3">
        <v>0</v>
      </c>
      <c r="O888" s="3"/>
      <c r="P888" s="3">
        <v>0</v>
      </c>
      <c r="Q888" s="3">
        <v>0</v>
      </c>
      <c r="R888" s="3">
        <v>0</v>
      </c>
      <c r="S888" s="3">
        <v>0</v>
      </c>
      <c r="T888" s="3">
        <v>0</v>
      </c>
      <c r="U888" s="3"/>
      <c r="V888" s="3"/>
      <c r="W888" s="3"/>
      <c r="X888" s="3"/>
      <c r="Y888" s="3"/>
      <c r="Z888" s="3"/>
      <c r="AA888" s="3"/>
      <c r="AB888" s="3"/>
      <c r="AC888" s="3"/>
      <c r="AD888" s="3"/>
      <c r="AE888" s="3">
        <v>0</v>
      </c>
      <c r="AF888" s="3">
        <v>0</v>
      </c>
      <c r="AG888" s="3"/>
      <c r="AH888" s="40"/>
      <c r="AI888" s="40"/>
      <c r="AJ888" s="40"/>
      <c r="AK888" s="40"/>
      <c r="AL888" s="40"/>
      <c r="AM888" s="40"/>
      <c r="AN888" s="40"/>
      <c r="AO888" s="40"/>
      <c r="AP888" s="40"/>
      <c r="AQ888" s="40"/>
      <c r="AR888" s="31"/>
      <c r="AS888" s="36">
        <v>0</v>
      </c>
      <c r="AY888" s="6"/>
      <c r="AZ888" s="2"/>
      <c r="BA888" s="2"/>
      <c r="BB888" s="2"/>
      <c r="BC888">
        <v>71500</v>
      </c>
      <c r="BD888">
        <v>56992</v>
      </c>
    </row>
    <row r="889" spans="3:56" x14ac:dyDescent="0.25">
      <c r="C889" s="1">
        <v>46509</v>
      </c>
      <c r="D889" s="36">
        <v>255977.841935484</v>
      </c>
      <c r="E889" s="33">
        <v>4.3290322580645197</v>
      </c>
      <c r="F889" s="33">
        <v>3.5252271684587799</v>
      </c>
      <c r="G889" s="2">
        <v>0.81432222222222195</v>
      </c>
      <c r="H889" s="2">
        <v>0.99</v>
      </c>
      <c r="I889" s="3"/>
      <c r="J889" s="3"/>
      <c r="K889" s="3"/>
      <c r="L889" s="3"/>
      <c r="M889" s="3"/>
      <c r="N889" s="3">
        <v>0</v>
      </c>
      <c r="O889" s="3"/>
      <c r="P889" s="3">
        <v>0</v>
      </c>
      <c r="Q889" s="3">
        <v>0</v>
      </c>
      <c r="R889" s="3">
        <v>0</v>
      </c>
      <c r="S889" s="3">
        <v>0</v>
      </c>
      <c r="T889" s="3">
        <v>0</v>
      </c>
      <c r="U889" s="3"/>
      <c r="V889" s="3"/>
      <c r="W889" s="3"/>
      <c r="X889" s="3"/>
      <c r="Y889" s="3"/>
      <c r="Z889" s="3"/>
      <c r="AA889" s="3"/>
      <c r="AB889" s="3"/>
      <c r="AC889" s="3"/>
      <c r="AD889" s="3"/>
      <c r="AE889" s="3">
        <v>0</v>
      </c>
      <c r="AF889" s="3">
        <v>0</v>
      </c>
      <c r="AG889" s="3"/>
      <c r="AH889" s="40"/>
      <c r="AI889" s="40"/>
      <c r="AJ889" s="40"/>
      <c r="AK889" s="40"/>
      <c r="AL889" s="40"/>
      <c r="AM889" s="40"/>
      <c r="AN889" s="40"/>
      <c r="AO889" s="40"/>
      <c r="AP889" s="40"/>
      <c r="AQ889" s="40"/>
      <c r="AR889" s="31"/>
      <c r="AS889" s="36">
        <v>0</v>
      </c>
      <c r="AY889" s="6"/>
      <c r="AZ889" s="2"/>
      <c r="BA889" s="2"/>
      <c r="BB889" s="2"/>
      <c r="BC889">
        <v>71500</v>
      </c>
      <c r="BD889">
        <v>56992</v>
      </c>
    </row>
    <row r="890" spans="3:56" x14ac:dyDescent="0.25">
      <c r="C890" s="1">
        <v>46510</v>
      </c>
      <c r="D890" s="36">
        <v>255977.841935484</v>
      </c>
      <c r="E890" s="33">
        <v>4.3290322580645197</v>
      </c>
      <c r="F890" s="33">
        <v>3.5251790681003601</v>
      </c>
      <c r="G890" s="2">
        <v>0.81431111111111099</v>
      </c>
      <c r="H890" s="2">
        <v>0.99</v>
      </c>
      <c r="I890" s="3"/>
      <c r="J890" s="3"/>
      <c r="K890" s="3"/>
      <c r="L890" s="3"/>
      <c r="M890" s="3"/>
      <c r="N890" s="3">
        <v>0</v>
      </c>
      <c r="O890" s="3"/>
      <c r="P890" s="3">
        <v>0</v>
      </c>
      <c r="Q890" s="3">
        <v>0</v>
      </c>
      <c r="R890" s="3">
        <v>0</v>
      </c>
      <c r="S890" s="3">
        <v>0</v>
      </c>
      <c r="T890" s="3">
        <v>0</v>
      </c>
      <c r="U890" s="3"/>
      <c r="V890" s="3"/>
      <c r="W890" s="3"/>
      <c r="X890" s="3"/>
      <c r="Y890" s="3"/>
      <c r="Z890" s="3"/>
      <c r="AA890" s="3"/>
      <c r="AB890" s="3"/>
      <c r="AC890" s="3"/>
      <c r="AD890" s="3"/>
      <c r="AE890" s="3">
        <v>0</v>
      </c>
      <c r="AF890" s="3">
        <v>0</v>
      </c>
      <c r="AG890" s="3"/>
      <c r="AH890" s="40"/>
      <c r="AI890" s="40"/>
      <c r="AJ890" s="40"/>
      <c r="AK890" s="40"/>
      <c r="AL890" s="40"/>
      <c r="AM890" s="40"/>
      <c r="AN890" s="40"/>
      <c r="AO890" s="40"/>
      <c r="AP890" s="40"/>
      <c r="AQ890" s="40"/>
      <c r="AR890" s="31"/>
      <c r="AS890" s="36">
        <v>0</v>
      </c>
      <c r="AY890" s="6"/>
      <c r="AZ890" s="2"/>
      <c r="BA890" s="2"/>
      <c r="BB890" s="2"/>
      <c r="BC890">
        <v>71500</v>
      </c>
      <c r="BD890">
        <v>56992</v>
      </c>
    </row>
    <row r="891" spans="3:56" x14ac:dyDescent="0.25">
      <c r="C891" s="1">
        <v>46511</v>
      </c>
      <c r="D891" s="36">
        <v>255977.841935484</v>
      </c>
      <c r="E891" s="33">
        <v>4.3290322580645197</v>
      </c>
      <c r="F891" s="33">
        <v>3.5251309677419398</v>
      </c>
      <c r="G891" s="2">
        <v>0.81430000000000002</v>
      </c>
      <c r="H891" s="2">
        <v>0.99</v>
      </c>
      <c r="I891" s="3"/>
      <c r="J891" s="3"/>
      <c r="K891" s="3"/>
      <c r="L891" s="3"/>
      <c r="M891" s="3"/>
      <c r="N891" s="3">
        <v>0</v>
      </c>
      <c r="O891" s="3"/>
      <c r="P891" s="3">
        <v>0</v>
      </c>
      <c r="Q891" s="3">
        <v>0</v>
      </c>
      <c r="R891" s="3">
        <v>0</v>
      </c>
      <c r="S891" s="3">
        <v>0</v>
      </c>
      <c r="T891" s="3">
        <v>0</v>
      </c>
      <c r="U891" s="3"/>
      <c r="V891" s="3"/>
      <c r="W891" s="3"/>
      <c r="X891" s="3"/>
      <c r="Y891" s="3"/>
      <c r="Z891" s="3"/>
      <c r="AA891" s="3"/>
      <c r="AB891" s="3"/>
      <c r="AC891" s="3"/>
      <c r="AD891" s="3"/>
      <c r="AE891" s="3">
        <v>0</v>
      </c>
      <c r="AF891" s="3">
        <v>0</v>
      </c>
      <c r="AG891" s="3"/>
      <c r="AH891" s="40"/>
      <c r="AI891" s="40"/>
      <c r="AJ891" s="40"/>
      <c r="AK891" s="40"/>
      <c r="AL891" s="40"/>
      <c r="AM891" s="40"/>
      <c r="AN891" s="40"/>
      <c r="AO891" s="40"/>
      <c r="AP891" s="40"/>
      <c r="AQ891" s="40"/>
      <c r="AR891" s="31"/>
      <c r="AS891" s="36">
        <v>0</v>
      </c>
      <c r="AY891" s="6"/>
      <c r="AZ891" s="2"/>
      <c r="BA891" s="2"/>
      <c r="BB891" s="2"/>
      <c r="BC891">
        <v>71500</v>
      </c>
      <c r="BD891">
        <v>56992</v>
      </c>
    </row>
    <row r="892" spans="3:56" x14ac:dyDescent="0.25">
      <c r="C892" s="1">
        <v>46512</v>
      </c>
      <c r="D892" s="36">
        <v>255977.841935484</v>
      </c>
      <c r="E892" s="33">
        <v>4.3290322580645197</v>
      </c>
      <c r="F892" s="33">
        <v>3.5250828673835102</v>
      </c>
      <c r="G892" s="2">
        <v>0.81428888888888895</v>
      </c>
      <c r="H892" s="2">
        <v>0.99</v>
      </c>
      <c r="I892" s="3"/>
      <c r="J892" s="3"/>
      <c r="K892" s="3"/>
      <c r="L892" s="3"/>
      <c r="M892" s="3"/>
      <c r="N892" s="3">
        <v>0</v>
      </c>
      <c r="O892" s="3"/>
      <c r="P892" s="3">
        <v>0</v>
      </c>
      <c r="Q892" s="3">
        <v>0</v>
      </c>
      <c r="R892" s="3">
        <v>0</v>
      </c>
      <c r="S892" s="3">
        <v>0</v>
      </c>
      <c r="T892" s="3">
        <v>0</v>
      </c>
      <c r="U892" s="3"/>
      <c r="V892" s="3"/>
      <c r="W892" s="3"/>
      <c r="X892" s="3"/>
      <c r="Y892" s="3"/>
      <c r="Z892" s="3"/>
      <c r="AA892" s="3"/>
      <c r="AB892" s="3"/>
      <c r="AC892" s="3"/>
      <c r="AD892" s="3"/>
      <c r="AE892" s="3">
        <v>0</v>
      </c>
      <c r="AF892" s="3">
        <v>0</v>
      </c>
      <c r="AG892" s="3"/>
      <c r="AH892" s="40"/>
      <c r="AI892" s="40"/>
      <c r="AJ892" s="40"/>
      <c r="AK892" s="40"/>
      <c r="AL892" s="40"/>
      <c r="AM892" s="40"/>
      <c r="AN892" s="40"/>
      <c r="AO892" s="40"/>
      <c r="AP892" s="40"/>
      <c r="AQ892" s="40"/>
      <c r="AR892" s="31"/>
      <c r="AS892" s="36">
        <v>0</v>
      </c>
      <c r="AY892" s="6"/>
      <c r="AZ892" s="2"/>
      <c r="BA892" s="2"/>
      <c r="BB892" s="2"/>
      <c r="BC892">
        <v>71500</v>
      </c>
      <c r="BD892">
        <v>56992</v>
      </c>
    </row>
    <row r="893" spans="3:56" x14ac:dyDescent="0.25">
      <c r="C893" s="1">
        <v>46513</v>
      </c>
      <c r="D893" s="36">
        <v>255977.841935484</v>
      </c>
      <c r="E893" s="33">
        <v>4.3290322580645197</v>
      </c>
      <c r="F893" s="33">
        <v>3.5250347670250899</v>
      </c>
      <c r="G893" s="2">
        <v>0.81427777777777799</v>
      </c>
      <c r="H893" s="2">
        <v>0.99</v>
      </c>
      <c r="I893" s="3"/>
      <c r="J893" s="3"/>
      <c r="K893" s="3"/>
      <c r="L893" s="3"/>
      <c r="M893" s="3"/>
      <c r="N893" s="3">
        <v>0</v>
      </c>
      <c r="O893" s="3"/>
      <c r="P893" s="3">
        <v>0</v>
      </c>
      <c r="Q893" s="3">
        <v>0</v>
      </c>
      <c r="R893" s="3">
        <v>0</v>
      </c>
      <c r="S893" s="3">
        <v>0</v>
      </c>
      <c r="T893" s="3">
        <v>0</v>
      </c>
      <c r="U893" s="3"/>
      <c r="V893" s="3"/>
      <c r="W893" s="3"/>
      <c r="X893" s="3"/>
      <c r="Y893" s="3"/>
      <c r="Z893" s="3"/>
      <c r="AA893" s="3"/>
      <c r="AB893" s="3"/>
      <c r="AC893" s="3"/>
      <c r="AD893" s="3"/>
      <c r="AE893" s="3">
        <v>0</v>
      </c>
      <c r="AF893" s="3">
        <v>0</v>
      </c>
      <c r="AG893" s="3"/>
      <c r="AH893" s="40"/>
      <c r="AI893" s="40"/>
      <c r="AJ893" s="40"/>
      <c r="AK893" s="40"/>
      <c r="AL893" s="40"/>
      <c r="AM893" s="40"/>
      <c r="AN893" s="40"/>
      <c r="AO893" s="40"/>
      <c r="AP893" s="40"/>
      <c r="AQ893" s="40"/>
      <c r="AR893" s="31"/>
      <c r="AS893" s="36">
        <v>0</v>
      </c>
      <c r="AY893" s="6"/>
      <c r="AZ893" s="2"/>
      <c r="BA893" s="2"/>
      <c r="BB893" s="2"/>
      <c r="BC893">
        <v>71500</v>
      </c>
      <c r="BD893">
        <v>56992</v>
      </c>
    </row>
    <row r="894" spans="3:56" x14ac:dyDescent="0.25">
      <c r="C894" s="1">
        <v>46514</v>
      </c>
      <c r="D894" s="36">
        <v>255977.841935484</v>
      </c>
      <c r="E894" s="33">
        <v>4.3290322580645197</v>
      </c>
      <c r="F894" s="33">
        <v>3.52498666666667</v>
      </c>
      <c r="G894" s="2">
        <v>0.81426666666666703</v>
      </c>
      <c r="H894" s="2">
        <v>0.99</v>
      </c>
      <c r="I894" s="3"/>
      <c r="J894" s="3"/>
      <c r="K894" s="3"/>
      <c r="L894" s="3"/>
      <c r="M894" s="3"/>
      <c r="N894" s="3">
        <v>0</v>
      </c>
      <c r="O894" s="3"/>
      <c r="P894" s="3">
        <v>0</v>
      </c>
      <c r="Q894" s="3">
        <v>0</v>
      </c>
      <c r="R894" s="3">
        <v>0</v>
      </c>
      <c r="S894" s="3">
        <v>0</v>
      </c>
      <c r="T894" s="3">
        <v>0</v>
      </c>
      <c r="U894" s="3"/>
      <c r="V894" s="3"/>
      <c r="W894" s="3"/>
      <c r="X894" s="3"/>
      <c r="Y894" s="3"/>
      <c r="Z894" s="3"/>
      <c r="AA894" s="3"/>
      <c r="AB894" s="3"/>
      <c r="AC894" s="3"/>
      <c r="AD894" s="3"/>
      <c r="AE894" s="3">
        <v>0</v>
      </c>
      <c r="AF894" s="3">
        <v>0</v>
      </c>
      <c r="AG894" s="3"/>
      <c r="AH894" s="40"/>
      <c r="AI894" s="40"/>
      <c r="AJ894" s="40"/>
      <c r="AK894" s="40"/>
      <c r="AL894" s="40"/>
      <c r="AM894" s="40"/>
      <c r="AN894" s="40"/>
      <c r="AO894" s="40"/>
      <c r="AP894" s="40"/>
      <c r="AQ894" s="40"/>
      <c r="AR894" s="31"/>
      <c r="AS894" s="36">
        <v>0</v>
      </c>
      <c r="AY894" s="6"/>
      <c r="AZ894" s="2"/>
      <c r="BA894" s="2"/>
      <c r="BB894" s="2"/>
      <c r="BC894">
        <v>71500</v>
      </c>
      <c r="BD894">
        <v>56992</v>
      </c>
    </row>
    <row r="895" spans="3:56" x14ac:dyDescent="0.25">
      <c r="C895" s="1">
        <v>46515</v>
      </c>
      <c r="D895" s="36">
        <v>255977.841935484</v>
      </c>
      <c r="E895" s="33">
        <v>4.3290322580645197</v>
      </c>
      <c r="F895" s="33">
        <v>3.52493856630824</v>
      </c>
      <c r="G895" s="2">
        <v>0.81425555555555595</v>
      </c>
      <c r="H895" s="2">
        <v>0.99</v>
      </c>
      <c r="I895" s="3"/>
      <c r="J895" s="3"/>
      <c r="K895" s="3"/>
      <c r="L895" s="3"/>
      <c r="M895" s="3"/>
      <c r="N895" s="3">
        <v>0</v>
      </c>
      <c r="O895" s="3"/>
      <c r="P895" s="3">
        <v>0</v>
      </c>
      <c r="Q895" s="3">
        <v>0</v>
      </c>
      <c r="R895" s="3">
        <v>0</v>
      </c>
      <c r="S895" s="3">
        <v>0</v>
      </c>
      <c r="T895" s="3">
        <v>0</v>
      </c>
      <c r="U895" s="3"/>
      <c r="V895" s="3"/>
      <c r="W895" s="3"/>
      <c r="X895" s="3"/>
      <c r="Y895" s="3"/>
      <c r="Z895" s="3"/>
      <c r="AA895" s="3"/>
      <c r="AB895" s="3"/>
      <c r="AC895" s="3"/>
      <c r="AD895" s="3"/>
      <c r="AE895" s="3">
        <v>0</v>
      </c>
      <c r="AF895" s="3">
        <v>0</v>
      </c>
      <c r="AG895" s="3"/>
      <c r="AH895" s="40"/>
      <c r="AI895" s="40"/>
      <c r="AJ895" s="40"/>
      <c r="AK895" s="40"/>
      <c r="AL895" s="40"/>
      <c r="AM895" s="40"/>
      <c r="AN895" s="40"/>
      <c r="AO895" s="40"/>
      <c r="AP895" s="40"/>
      <c r="AQ895" s="40"/>
      <c r="AR895" s="31"/>
      <c r="AS895" s="36">
        <v>0</v>
      </c>
      <c r="AY895" s="6"/>
      <c r="AZ895" s="2"/>
      <c r="BA895" s="2"/>
      <c r="BB895" s="2"/>
      <c r="BC895">
        <v>71500</v>
      </c>
      <c r="BD895">
        <v>56992</v>
      </c>
    </row>
    <row r="896" spans="3:56" x14ac:dyDescent="0.25">
      <c r="C896" s="1">
        <v>46516</v>
      </c>
      <c r="D896" s="36">
        <v>255977.841935484</v>
      </c>
      <c r="E896" s="33">
        <v>4.3290322580645197</v>
      </c>
      <c r="F896" s="33">
        <v>3.5248904659498201</v>
      </c>
      <c r="G896" s="2">
        <v>0.81424444444444399</v>
      </c>
      <c r="H896" s="2">
        <v>0.99</v>
      </c>
      <c r="I896" s="3"/>
      <c r="J896" s="3"/>
      <c r="K896" s="3"/>
      <c r="L896" s="3"/>
      <c r="M896" s="3"/>
      <c r="N896" s="3">
        <v>0</v>
      </c>
      <c r="O896" s="3"/>
      <c r="P896" s="3">
        <v>0</v>
      </c>
      <c r="Q896" s="3">
        <v>0</v>
      </c>
      <c r="R896" s="3">
        <v>0</v>
      </c>
      <c r="S896" s="3">
        <v>0</v>
      </c>
      <c r="T896" s="3">
        <v>0</v>
      </c>
      <c r="U896" s="3"/>
      <c r="V896" s="3"/>
      <c r="W896" s="3"/>
      <c r="X896" s="3"/>
      <c r="Y896" s="3"/>
      <c r="Z896" s="3"/>
      <c r="AA896" s="3"/>
      <c r="AB896" s="3"/>
      <c r="AC896" s="3"/>
      <c r="AD896" s="3"/>
      <c r="AE896" s="3">
        <v>0</v>
      </c>
      <c r="AF896" s="3">
        <v>0</v>
      </c>
      <c r="AG896" s="3"/>
      <c r="AH896" s="40"/>
      <c r="AI896" s="40"/>
      <c r="AJ896" s="40"/>
      <c r="AK896" s="40"/>
      <c r="AL896" s="40"/>
      <c r="AM896" s="40"/>
      <c r="AN896" s="40"/>
      <c r="AO896" s="40"/>
      <c r="AP896" s="40"/>
      <c r="AQ896" s="40"/>
      <c r="AR896" s="31"/>
      <c r="AS896" s="36">
        <v>0</v>
      </c>
      <c r="AY896" s="6"/>
      <c r="AZ896" s="2"/>
      <c r="BA896" s="2"/>
      <c r="BB896" s="2"/>
      <c r="BC896">
        <v>71500</v>
      </c>
      <c r="BD896">
        <v>56992</v>
      </c>
    </row>
    <row r="897" spans="3:56" x14ac:dyDescent="0.25">
      <c r="C897" s="1">
        <v>46517</v>
      </c>
      <c r="D897" s="36">
        <v>255977.841935484</v>
      </c>
      <c r="E897" s="33">
        <v>4.3290322580645197</v>
      </c>
      <c r="F897" s="33">
        <v>3.5248423655913999</v>
      </c>
      <c r="G897" s="2">
        <v>0.81423333333333303</v>
      </c>
      <c r="H897" s="2">
        <v>0.99</v>
      </c>
      <c r="I897" s="3"/>
      <c r="J897" s="3"/>
      <c r="K897" s="3"/>
      <c r="L897" s="3"/>
      <c r="M897" s="3"/>
      <c r="N897" s="3">
        <v>0</v>
      </c>
      <c r="O897" s="3"/>
      <c r="P897" s="3">
        <v>0</v>
      </c>
      <c r="Q897" s="3">
        <v>0</v>
      </c>
      <c r="R897" s="3">
        <v>0</v>
      </c>
      <c r="S897" s="3">
        <v>0</v>
      </c>
      <c r="T897" s="3">
        <v>0</v>
      </c>
      <c r="U897" s="3"/>
      <c r="V897" s="3"/>
      <c r="W897" s="3"/>
      <c r="X897" s="3"/>
      <c r="Y897" s="3"/>
      <c r="Z897" s="3"/>
      <c r="AA897" s="3"/>
      <c r="AB897" s="3"/>
      <c r="AC897" s="3"/>
      <c r="AD897" s="3"/>
      <c r="AE897" s="3">
        <v>0</v>
      </c>
      <c r="AF897" s="3">
        <v>0</v>
      </c>
      <c r="AG897" s="3"/>
      <c r="AH897" s="40"/>
      <c r="AI897" s="40"/>
      <c r="AJ897" s="40"/>
      <c r="AK897" s="40"/>
      <c r="AL897" s="40"/>
      <c r="AM897" s="40"/>
      <c r="AN897" s="40"/>
      <c r="AO897" s="40"/>
      <c r="AP897" s="40"/>
      <c r="AQ897" s="40"/>
      <c r="AR897" s="31"/>
      <c r="AS897" s="36">
        <v>0</v>
      </c>
      <c r="AY897" s="6"/>
      <c r="AZ897" s="2"/>
      <c r="BA897" s="2"/>
      <c r="BB897" s="2"/>
      <c r="BC897">
        <v>71500</v>
      </c>
      <c r="BD897">
        <v>56992</v>
      </c>
    </row>
    <row r="898" spans="3:56" x14ac:dyDescent="0.25">
      <c r="C898" s="1">
        <v>46518</v>
      </c>
      <c r="D898" s="36">
        <v>255977.841935484</v>
      </c>
      <c r="E898" s="33">
        <v>4.3290322580645197</v>
      </c>
      <c r="F898" s="33">
        <v>3.5247942652329698</v>
      </c>
      <c r="G898" s="2">
        <v>0.81422222222222196</v>
      </c>
      <c r="H898" s="2">
        <v>0.99</v>
      </c>
      <c r="I898" s="3"/>
      <c r="J898" s="3"/>
      <c r="K898" s="3"/>
      <c r="L898" s="3"/>
      <c r="M898" s="3"/>
      <c r="N898" s="3">
        <v>0</v>
      </c>
      <c r="O898" s="3"/>
      <c r="P898" s="3">
        <v>0</v>
      </c>
      <c r="Q898" s="3">
        <v>0</v>
      </c>
      <c r="R898" s="3">
        <v>0</v>
      </c>
      <c r="S898" s="3">
        <v>0</v>
      </c>
      <c r="T898" s="3">
        <v>0</v>
      </c>
      <c r="U898" s="3"/>
      <c r="V898" s="3"/>
      <c r="W898" s="3"/>
      <c r="X898" s="3"/>
      <c r="Y898" s="3"/>
      <c r="Z898" s="3"/>
      <c r="AA898" s="3"/>
      <c r="AB898" s="3"/>
      <c r="AC898" s="3"/>
      <c r="AD898" s="3"/>
      <c r="AE898" s="3">
        <v>0</v>
      </c>
      <c r="AF898" s="3">
        <v>0</v>
      </c>
      <c r="AG898" s="3"/>
      <c r="AH898" s="40"/>
      <c r="AI898" s="40"/>
      <c r="AJ898" s="40"/>
      <c r="AK898" s="40"/>
      <c r="AL898" s="40"/>
      <c r="AM898" s="40"/>
      <c r="AN898" s="40"/>
      <c r="AO898" s="40"/>
      <c r="AP898" s="40"/>
      <c r="AQ898" s="40"/>
      <c r="AR898" s="31"/>
      <c r="AS898" s="36">
        <v>0</v>
      </c>
      <c r="AY898" s="6"/>
      <c r="AZ898" s="2"/>
      <c r="BA898" s="2"/>
      <c r="BB898" s="2"/>
      <c r="BC898">
        <v>71500</v>
      </c>
      <c r="BD898">
        <v>56992</v>
      </c>
    </row>
    <row r="899" spans="3:56" x14ac:dyDescent="0.25">
      <c r="C899" s="1">
        <v>46519</v>
      </c>
      <c r="D899" s="36">
        <v>255977.841935484</v>
      </c>
      <c r="E899" s="33">
        <v>4.3290322580645197</v>
      </c>
      <c r="F899" s="33">
        <v>3.5247461648745499</v>
      </c>
      <c r="G899" s="2">
        <v>0.814211111111111</v>
      </c>
      <c r="H899" s="2">
        <v>0.99</v>
      </c>
      <c r="I899" s="3"/>
      <c r="J899" s="3"/>
      <c r="K899" s="3"/>
      <c r="L899" s="3"/>
      <c r="M899" s="3"/>
      <c r="N899" s="3">
        <v>0</v>
      </c>
      <c r="O899" s="3"/>
      <c r="P899" s="3">
        <v>0</v>
      </c>
      <c r="Q899" s="3">
        <v>0</v>
      </c>
      <c r="R899" s="3">
        <v>0</v>
      </c>
      <c r="S899" s="3">
        <v>0</v>
      </c>
      <c r="T899" s="3">
        <v>0</v>
      </c>
      <c r="U899" s="3"/>
      <c r="V899" s="3"/>
      <c r="W899" s="3"/>
      <c r="X899" s="3"/>
      <c r="Y899" s="3"/>
      <c r="Z899" s="3"/>
      <c r="AA899" s="3"/>
      <c r="AB899" s="3"/>
      <c r="AC899" s="3"/>
      <c r="AD899" s="3"/>
      <c r="AE899" s="3">
        <v>0</v>
      </c>
      <c r="AF899" s="3">
        <v>0</v>
      </c>
      <c r="AG899" s="3"/>
      <c r="AH899" s="40"/>
      <c r="AI899" s="40"/>
      <c r="AJ899" s="40"/>
      <c r="AK899" s="40"/>
      <c r="AL899" s="40"/>
      <c r="AM899" s="40"/>
      <c r="AN899" s="40"/>
      <c r="AO899" s="40"/>
      <c r="AP899" s="40"/>
      <c r="AQ899" s="40"/>
      <c r="AR899" s="31"/>
      <c r="AS899" s="36">
        <v>0</v>
      </c>
      <c r="AY899" s="6"/>
      <c r="AZ899" s="2"/>
      <c r="BA899" s="2"/>
      <c r="BB899" s="2"/>
      <c r="BC899">
        <v>71500</v>
      </c>
      <c r="BD899">
        <v>56992</v>
      </c>
    </row>
    <row r="900" spans="3:56" x14ac:dyDescent="0.25">
      <c r="C900" s="1">
        <v>46520</v>
      </c>
      <c r="D900" s="36">
        <v>255977.841935484</v>
      </c>
      <c r="E900" s="33">
        <v>4.3290322580645197</v>
      </c>
      <c r="F900" s="33">
        <v>3.5246980645161301</v>
      </c>
      <c r="G900" s="2">
        <v>0.81420000000000003</v>
      </c>
      <c r="H900" s="2">
        <v>0.99</v>
      </c>
      <c r="I900" s="3"/>
      <c r="J900" s="3"/>
      <c r="K900" s="3"/>
      <c r="L900" s="3"/>
      <c r="M900" s="3"/>
      <c r="N900" s="3">
        <v>0</v>
      </c>
      <c r="O900" s="3"/>
      <c r="P900" s="3">
        <v>0</v>
      </c>
      <c r="Q900" s="3">
        <v>0</v>
      </c>
      <c r="R900" s="3">
        <v>0</v>
      </c>
      <c r="S900" s="3">
        <v>0</v>
      </c>
      <c r="T900" s="3">
        <v>0</v>
      </c>
      <c r="U900" s="3"/>
      <c r="V900" s="3"/>
      <c r="W900" s="3"/>
      <c r="X900" s="3"/>
      <c r="Y900" s="3"/>
      <c r="Z900" s="3"/>
      <c r="AA900" s="3"/>
      <c r="AB900" s="3"/>
      <c r="AC900" s="3"/>
      <c r="AD900" s="3"/>
      <c r="AE900" s="3">
        <v>0</v>
      </c>
      <c r="AF900" s="3">
        <v>0</v>
      </c>
      <c r="AG900" s="3"/>
      <c r="AH900" s="40"/>
      <c r="AI900" s="40"/>
      <c r="AJ900" s="40"/>
      <c r="AK900" s="40"/>
      <c r="AL900" s="40"/>
      <c r="AM900" s="40"/>
      <c r="AN900" s="40"/>
      <c r="AO900" s="40"/>
      <c r="AP900" s="40"/>
      <c r="AQ900" s="40"/>
      <c r="AR900" s="31"/>
      <c r="AS900" s="36">
        <v>0</v>
      </c>
      <c r="AY900" s="6"/>
      <c r="AZ900" s="2"/>
      <c r="BA900" s="2"/>
      <c r="BB900" s="2"/>
      <c r="BC900">
        <v>71500</v>
      </c>
      <c r="BD900">
        <v>56992</v>
      </c>
    </row>
    <row r="901" spans="3:56" x14ac:dyDescent="0.25">
      <c r="C901" s="1">
        <v>46521</v>
      </c>
      <c r="D901" s="36">
        <v>255977.841935484</v>
      </c>
      <c r="E901" s="33">
        <v>4.3290322580645197</v>
      </c>
      <c r="F901" s="33">
        <v>3.5246499641577098</v>
      </c>
      <c r="G901" s="2">
        <v>0.81418888888888896</v>
      </c>
      <c r="H901" s="2">
        <v>0.99</v>
      </c>
      <c r="I901" s="3"/>
      <c r="J901" s="3"/>
      <c r="K901" s="3"/>
      <c r="L901" s="3"/>
      <c r="M901" s="3"/>
      <c r="N901" s="3">
        <v>0</v>
      </c>
      <c r="O901" s="3"/>
      <c r="P901" s="3">
        <v>0</v>
      </c>
      <c r="Q901" s="3">
        <v>0</v>
      </c>
      <c r="R901" s="3">
        <v>0</v>
      </c>
      <c r="S901" s="3">
        <v>0</v>
      </c>
      <c r="T901" s="3">
        <v>0</v>
      </c>
      <c r="U901" s="3"/>
      <c r="V901" s="3"/>
      <c r="W901" s="3"/>
      <c r="X901" s="3"/>
      <c r="Y901" s="3"/>
      <c r="Z901" s="3"/>
      <c r="AA901" s="3"/>
      <c r="AB901" s="3"/>
      <c r="AC901" s="3"/>
      <c r="AD901" s="3"/>
      <c r="AE901" s="3">
        <v>0</v>
      </c>
      <c r="AF901" s="3">
        <v>0</v>
      </c>
      <c r="AG901" s="3"/>
      <c r="AH901" s="40"/>
      <c r="AI901" s="40"/>
      <c r="AJ901" s="40"/>
      <c r="AK901" s="40"/>
      <c r="AL901" s="40"/>
      <c r="AM901" s="40"/>
      <c r="AN901" s="40"/>
      <c r="AO901" s="40"/>
      <c r="AP901" s="40"/>
      <c r="AQ901" s="40"/>
      <c r="AR901" s="31"/>
      <c r="AS901" s="36">
        <v>0</v>
      </c>
      <c r="AY901" s="6"/>
      <c r="AZ901" s="2"/>
      <c r="BA901" s="2"/>
      <c r="BB901" s="2"/>
      <c r="BC901">
        <v>71500</v>
      </c>
      <c r="BD901">
        <v>56992</v>
      </c>
    </row>
    <row r="902" spans="3:56" x14ac:dyDescent="0.25">
      <c r="C902" s="1">
        <v>46522</v>
      </c>
      <c r="D902" s="36">
        <v>255977.841935484</v>
      </c>
      <c r="E902" s="33">
        <v>4.3290322580645197</v>
      </c>
      <c r="F902" s="33">
        <v>3.5246018637992802</v>
      </c>
      <c r="G902" s="2">
        <v>0.814177777777778</v>
      </c>
      <c r="H902" s="2">
        <v>0.99</v>
      </c>
      <c r="I902" s="3"/>
      <c r="J902" s="3"/>
      <c r="K902" s="3"/>
      <c r="L902" s="3"/>
      <c r="M902" s="3"/>
      <c r="N902" s="3">
        <v>0</v>
      </c>
      <c r="O902" s="3"/>
      <c r="P902" s="3">
        <v>0</v>
      </c>
      <c r="Q902" s="3">
        <v>0</v>
      </c>
      <c r="R902" s="3">
        <v>0</v>
      </c>
      <c r="S902" s="3">
        <v>0</v>
      </c>
      <c r="T902" s="3">
        <v>0</v>
      </c>
      <c r="U902" s="3"/>
      <c r="V902" s="3"/>
      <c r="W902" s="3"/>
      <c r="X902" s="3"/>
      <c r="Y902" s="3"/>
      <c r="Z902" s="3"/>
      <c r="AA902" s="3"/>
      <c r="AB902" s="3"/>
      <c r="AC902" s="3"/>
      <c r="AD902" s="3"/>
      <c r="AE902" s="3">
        <v>0</v>
      </c>
      <c r="AF902" s="3">
        <v>0</v>
      </c>
      <c r="AG902" s="3"/>
      <c r="AH902" s="40"/>
      <c r="AI902" s="40"/>
      <c r="AJ902" s="40"/>
      <c r="AK902" s="40"/>
      <c r="AL902" s="40"/>
      <c r="AM902" s="40"/>
      <c r="AN902" s="40"/>
      <c r="AO902" s="40"/>
      <c r="AP902" s="40"/>
      <c r="AQ902" s="40"/>
      <c r="AR902" s="31"/>
      <c r="AS902" s="36">
        <v>0</v>
      </c>
      <c r="AY902" s="6"/>
      <c r="AZ902" s="2"/>
      <c r="BA902" s="2"/>
      <c r="BB902" s="2"/>
      <c r="BC902">
        <v>71500</v>
      </c>
      <c r="BD902">
        <v>56992</v>
      </c>
    </row>
    <row r="903" spans="3:56" x14ac:dyDescent="0.25">
      <c r="C903" s="1">
        <v>46523</v>
      </c>
      <c r="D903" s="36">
        <v>255977.841935484</v>
      </c>
      <c r="E903" s="33">
        <v>4.3290322580645197</v>
      </c>
      <c r="F903" s="33">
        <v>3.5245537634408599</v>
      </c>
      <c r="G903" s="2">
        <v>0.81416666666666704</v>
      </c>
      <c r="H903" s="2">
        <v>0.99</v>
      </c>
      <c r="I903" s="3"/>
      <c r="J903" s="3"/>
      <c r="K903" s="3"/>
      <c r="L903" s="3"/>
      <c r="M903" s="3"/>
      <c r="N903" s="3">
        <v>0</v>
      </c>
      <c r="O903" s="3"/>
      <c r="P903" s="3">
        <v>0</v>
      </c>
      <c r="Q903" s="3">
        <v>0</v>
      </c>
      <c r="R903" s="3">
        <v>0</v>
      </c>
      <c r="S903" s="3">
        <v>0</v>
      </c>
      <c r="T903" s="3">
        <v>0</v>
      </c>
      <c r="U903" s="3"/>
      <c r="V903" s="3"/>
      <c r="W903" s="3"/>
      <c r="X903" s="3"/>
      <c r="Y903" s="3"/>
      <c r="Z903" s="3"/>
      <c r="AA903" s="3"/>
      <c r="AB903" s="3"/>
      <c r="AC903" s="3"/>
      <c r="AD903" s="3"/>
      <c r="AE903" s="3">
        <v>0</v>
      </c>
      <c r="AF903" s="3">
        <v>0</v>
      </c>
      <c r="AG903" s="3"/>
      <c r="AH903" s="40"/>
      <c r="AI903" s="40"/>
      <c r="AJ903" s="40"/>
      <c r="AK903" s="40"/>
      <c r="AL903" s="40"/>
      <c r="AM903" s="40"/>
      <c r="AN903" s="40"/>
      <c r="AO903" s="40"/>
      <c r="AP903" s="40"/>
      <c r="AQ903" s="40"/>
      <c r="AR903" s="31"/>
      <c r="AS903" s="36">
        <v>0</v>
      </c>
      <c r="AY903" s="6"/>
      <c r="AZ903" s="2"/>
      <c r="BA903" s="2"/>
      <c r="BB903" s="2"/>
      <c r="BC903">
        <v>71500</v>
      </c>
      <c r="BD903">
        <v>56992</v>
      </c>
    </row>
    <row r="904" spans="3:56" x14ac:dyDescent="0.25">
      <c r="C904" s="1">
        <v>46524</v>
      </c>
      <c r="D904" s="36">
        <v>255977.841935484</v>
      </c>
      <c r="E904" s="33">
        <v>4.3290322580645197</v>
      </c>
      <c r="F904" s="33">
        <v>3.5245056630824401</v>
      </c>
      <c r="G904" s="2">
        <v>0.81415555555555597</v>
      </c>
      <c r="H904" s="2">
        <v>0.99</v>
      </c>
      <c r="I904" s="3"/>
      <c r="J904" s="3"/>
      <c r="K904" s="3"/>
      <c r="L904" s="3"/>
      <c r="M904" s="3"/>
      <c r="N904" s="3">
        <v>0</v>
      </c>
      <c r="O904" s="3"/>
      <c r="P904" s="3">
        <v>0</v>
      </c>
      <c r="Q904" s="3">
        <v>0</v>
      </c>
      <c r="R904" s="3">
        <v>0</v>
      </c>
      <c r="S904" s="3">
        <v>0</v>
      </c>
      <c r="T904" s="3">
        <v>0</v>
      </c>
      <c r="U904" s="3"/>
      <c r="V904" s="3"/>
      <c r="W904" s="3"/>
      <c r="X904" s="3"/>
      <c r="Y904" s="3"/>
      <c r="Z904" s="3"/>
      <c r="AA904" s="3"/>
      <c r="AB904" s="3"/>
      <c r="AC904" s="3"/>
      <c r="AD904" s="3"/>
      <c r="AE904" s="3">
        <v>0</v>
      </c>
      <c r="AF904" s="3">
        <v>0</v>
      </c>
      <c r="AG904" s="3"/>
      <c r="AH904" s="40"/>
      <c r="AI904" s="40"/>
      <c r="AJ904" s="40"/>
      <c r="AK904" s="40"/>
      <c r="AL904" s="40"/>
      <c r="AM904" s="40"/>
      <c r="AN904" s="40"/>
      <c r="AO904" s="40"/>
      <c r="AP904" s="40"/>
      <c r="AQ904" s="40"/>
      <c r="AR904" s="31"/>
      <c r="AS904" s="36">
        <v>0</v>
      </c>
      <c r="AY904" s="6"/>
      <c r="AZ904" s="2"/>
      <c r="BA904" s="2"/>
      <c r="BB904" s="2"/>
      <c r="BC904">
        <v>71500</v>
      </c>
      <c r="BD904">
        <v>56992</v>
      </c>
    </row>
    <row r="905" spans="3:56" x14ac:dyDescent="0.25">
      <c r="C905" s="1">
        <v>46525</v>
      </c>
      <c r="D905" s="36">
        <v>255977.841935484</v>
      </c>
      <c r="E905" s="33">
        <v>4.3290322580645197</v>
      </c>
      <c r="F905" s="33">
        <v>3.52445756272401</v>
      </c>
      <c r="G905" s="2">
        <v>0.814144444444444</v>
      </c>
      <c r="H905" s="2">
        <v>0.99</v>
      </c>
      <c r="I905" s="3"/>
      <c r="J905" s="3"/>
      <c r="K905" s="3"/>
      <c r="L905" s="3"/>
      <c r="M905" s="3"/>
      <c r="N905" s="3">
        <v>0</v>
      </c>
      <c r="O905" s="3"/>
      <c r="P905" s="3">
        <v>0</v>
      </c>
      <c r="Q905" s="3">
        <v>0</v>
      </c>
      <c r="R905" s="3">
        <v>0</v>
      </c>
      <c r="S905" s="3">
        <v>0</v>
      </c>
      <c r="T905" s="3">
        <v>0</v>
      </c>
      <c r="U905" s="3"/>
      <c r="V905" s="3"/>
      <c r="W905" s="3"/>
      <c r="X905" s="3"/>
      <c r="Y905" s="3"/>
      <c r="Z905" s="3"/>
      <c r="AA905" s="3"/>
      <c r="AB905" s="3"/>
      <c r="AC905" s="3"/>
      <c r="AD905" s="3"/>
      <c r="AE905" s="3">
        <v>0</v>
      </c>
      <c r="AF905" s="3">
        <v>0</v>
      </c>
      <c r="AG905" s="3"/>
      <c r="AH905" s="40"/>
      <c r="AI905" s="40"/>
      <c r="AJ905" s="40"/>
      <c r="AK905" s="40"/>
      <c r="AL905" s="40"/>
      <c r="AM905" s="40"/>
      <c r="AN905" s="40"/>
      <c r="AO905" s="40"/>
      <c r="AP905" s="40"/>
      <c r="AQ905" s="40"/>
      <c r="AR905" s="31"/>
      <c r="AS905" s="36">
        <v>0</v>
      </c>
      <c r="AY905" s="6"/>
      <c r="AZ905" s="2"/>
      <c r="BA905" s="2"/>
      <c r="BB905" s="2"/>
      <c r="BC905">
        <v>71500</v>
      </c>
      <c r="BD905">
        <v>56992</v>
      </c>
    </row>
    <row r="906" spans="3:56" x14ac:dyDescent="0.25">
      <c r="C906" s="1">
        <v>46526</v>
      </c>
      <c r="D906" s="36">
        <v>255977.841935484</v>
      </c>
      <c r="E906" s="33">
        <v>4.3290322580645197</v>
      </c>
      <c r="F906" s="33">
        <v>3.5244094623655902</v>
      </c>
      <c r="G906" s="2">
        <v>0.81413333333333304</v>
      </c>
      <c r="H906" s="2">
        <v>0.99</v>
      </c>
      <c r="I906" s="3"/>
      <c r="J906" s="3"/>
      <c r="K906" s="3"/>
      <c r="L906" s="3"/>
      <c r="M906" s="3"/>
      <c r="N906" s="3">
        <v>0</v>
      </c>
      <c r="O906" s="3"/>
      <c r="P906" s="3">
        <v>0</v>
      </c>
      <c r="Q906" s="3">
        <v>0</v>
      </c>
      <c r="R906" s="3">
        <v>0</v>
      </c>
      <c r="S906" s="3">
        <v>0</v>
      </c>
      <c r="T906" s="3">
        <v>0</v>
      </c>
      <c r="U906" s="3"/>
      <c r="V906" s="3"/>
      <c r="W906" s="3"/>
      <c r="X906" s="3"/>
      <c r="Y906" s="3"/>
      <c r="Z906" s="3"/>
      <c r="AA906" s="3"/>
      <c r="AB906" s="3"/>
      <c r="AC906" s="3"/>
      <c r="AD906" s="3"/>
      <c r="AE906" s="3">
        <v>0</v>
      </c>
      <c r="AF906" s="3">
        <v>0</v>
      </c>
      <c r="AG906" s="3"/>
      <c r="AH906" s="40"/>
      <c r="AI906" s="40"/>
      <c r="AJ906" s="40"/>
      <c r="AK906" s="40"/>
      <c r="AL906" s="40"/>
      <c r="AM906" s="40"/>
      <c r="AN906" s="40"/>
      <c r="AO906" s="40"/>
      <c r="AP906" s="40"/>
      <c r="AQ906" s="40"/>
      <c r="AR906" s="31"/>
      <c r="AS906" s="36">
        <v>0</v>
      </c>
      <c r="AY906" s="6"/>
      <c r="AZ906" s="2"/>
      <c r="BA906" s="2"/>
      <c r="BB906" s="2"/>
      <c r="BC906">
        <v>71500</v>
      </c>
      <c r="BD906">
        <v>56992</v>
      </c>
    </row>
    <row r="907" spans="3:56" x14ac:dyDescent="0.25">
      <c r="C907" s="1">
        <v>46527</v>
      </c>
      <c r="D907" s="36">
        <v>255977.841935484</v>
      </c>
      <c r="E907" s="33">
        <v>4.3290322580645197</v>
      </c>
      <c r="F907" s="33">
        <v>3.5243613620071699</v>
      </c>
      <c r="G907" s="2">
        <v>0.81412222222222197</v>
      </c>
      <c r="H907" s="2">
        <v>0.99</v>
      </c>
      <c r="I907" s="3"/>
      <c r="J907" s="3"/>
      <c r="K907" s="3"/>
      <c r="L907" s="3"/>
      <c r="M907" s="3"/>
      <c r="N907" s="3">
        <v>0</v>
      </c>
      <c r="O907" s="3"/>
      <c r="P907" s="3">
        <v>0</v>
      </c>
      <c r="Q907" s="3">
        <v>0</v>
      </c>
      <c r="R907" s="3">
        <v>0</v>
      </c>
      <c r="S907" s="3">
        <v>0</v>
      </c>
      <c r="T907" s="3">
        <v>0</v>
      </c>
      <c r="U907" s="3"/>
      <c r="V907" s="3"/>
      <c r="W907" s="3"/>
      <c r="X907" s="3"/>
      <c r="Y907" s="3"/>
      <c r="Z907" s="3"/>
      <c r="AA907" s="3"/>
      <c r="AB907" s="3"/>
      <c r="AC907" s="3"/>
      <c r="AD907" s="3"/>
      <c r="AE907" s="3">
        <v>0</v>
      </c>
      <c r="AF907" s="3">
        <v>0</v>
      </c>
      <c r="AG907" s="3"/>
      <c r="AH907" s="40"/>
      <c r="AI907" s="40"/>
      <c r="AJ907" s="40"/>
      <c r="AK907" s="40"/>
      <c r="AL907" s="40"/>
      <c r="AM907" s="40"/>
      <c r="AN907" s="40"/>
      <c r="AO907" s="40"/>
      <c r="AP907" s="40"/>
      <c r="AQ907" s="40"/>
      <c r="AR907" s="31"/>
      <c r="AS907" s="36">
        <v>0</v>
      </c>
      <c r="AY907" s="6"/>
      <c r="AZ907" s="2"/>
      <c r="BA907" s="2"/>
      <c r="BB907" s="2"/>
      <c r="BC907">
        <v>71500</v>
      </c>
      <c r="BD907">
        <v>56992</v>
      </c>
    </row>
    <row r="908" spans="3:56" x14ac:dyDescent="0.25">
      <c r="C908" s="1">
        <v>46528</v>
      </c>
      <c r="D908" s="36">
        <v>255977.841935484</v>
      </c>
      <c r="E908" s="33">
        <v>4.3290322580645197</v>
      </c>
      <c r="F908" s="33">
        <v>3.52431326164875</v>
      </c>
      <c r="G908" s="2">
        <v>0.81411111111111101</v>
      </c>
      <c r="H908" s="2">
        <v>0.99</v>
      </c>
      <c r="I908" s="3"/>
      <c r="J908" s="3"/>
      <c r="K908" s="3"/>
      <c r="L908" s="3"/>
      <c r="M908" s="3"/>
      <c r="N908" s="3">
        <v>0</v>
      </c>
      <c r="O908" s="3"/>
      <c r="P908" s="3">
        <v>0</v>
      </c>
      <c r="Q908" s="3">
        <v>0</v>
      </c>
      <c r="R908" s="3">
        <v>0</v>
      </c>
      <c r="S908" s="3">
        <v>0</v>
      </c>
      <c r="T908" s="3">
        <v>0</v>
      </c>
      <c r="U908" s="3"/>
      <c r="V908" s="3"/>
      <c r="W908" s="3"/>
      <c r="X908" s="3"/>
      <c r="Y908" s="3"/>
      <c r="Z908" s="3"/>
      <c r="AA908" s="3"/>
      <c r="AB908" s="3"/>
      <c r="AC908" s="3"/>
      <c r="AD908" s="3"/>
      <c r="AE908" s="3">
        <v>0</v>
      </c>
      <c r="AF908" s="3">
        <v>0</v>
      </c>
      <c r="AG908" s="3"/>
      <c r="AH908" s="40"/>
      <c r="AI908" s="40"/>
      <c r="AJ908" s="40"/>
      <c r="AK908" s="40"/>
      <c r="AL908" s="40"/>
      <c r="AM908" s="40"/>
      <c r="AN908" s="40"/>
      <c r="AO908" s="40"/>
      <c r="AP908" s="40"/>
      <c r="AQ908" s="40"/>
      <c r="AR908" s="31"/>
      <c r="AS908" s="36">
        <v>0</v>
      </c>
      <c r="AY908" s="6"/>
      <c r="AZ908" s="2"/>
      <c r="BA908" s="2"/>
      <c r="BB908" s="2"/>
      <c r="BC908">
        <v>71500</v>
      </c>
      <c r="BD908">
        <v>56992</v>
      </c>
    </row>
    <row r="909" spans="3:56" x14ac:dyDescent="0.25">
      <c r="C909" s="1">
        <v>46529</v>
      </c>
      <c r="D909" s="36">
        <v>255977.841935484</v>
      </c>
      <c r="E909" s="33">
        <v>4.3290322580645197</v>
      </c>
      <c r="F909" s="33">
        <v>3.52426516129032</v>
      </c>
      <c r="G909" s="2">
        <v>0.81410000000000005</v>
      </c>
      <c r="H909" s="2">
        <v>0.99</v>
      </c>
      <c r="I909" s="3"/>
      <c r="J909" s="3"/>
      <c r="K909" s="3"/>
      <c r="L909" s="3"/>
      <c r="M909" s="3"/>
      <c r="N909" s="3">
        <v>0</v>
      </c>
      <c r="O909" s="3"/>
      <c r="P909" s="3">
        <v>0</v>
      </c>
      <c r="Q909" s="3">
        <v>0</v>
      </c>
      <c r="R909" s="3">
        <v>0</v>
      </c>
      <c r="S909" s="3">
        <v>0</v>
      </c>
      <c r="T909" s="3">
        <v>0</v>
      </c>
      <c r="U909" s="3"/>
      <c r="V909" s="3"/>
      <c r="W909" s="3"/>
      <c r="X909" s="3"/>
      <c r="Y909" s="3"/>
      <c r="Z909" s="3"/>
      <c r="AA909" s="3"/>
      <c r="AB909" s="3"/>
      <c r="AC909" s="3"/>
      <c r="AD909" s="3"/>
      <c r="AE909" s="3">
        <v>0</v>
      </c>
      <c r="AF909" s="3">
        <v>0</v>
      </c>
      <c r="AG909" s="3"/>
      <c r="AH909" s="40"/>
      <c r="AI909" s="40"/>
      <c r="AJ909" s="40"/>
      <c r="AK909" s="40"/>
      <c r="AL909" s="40"/>
      <c r="AM909" s="40"/>
      <c r="AN909" s="40"/>
      <c r="AO909" s="40"/>
      <c r="AP909" s="40"/>
      <c r="AQ909" s="40"/>
      <c r="AR909" s="31"/>
      <c r="AS909" s="36">
        <v>0</v>
      </c>
      <c r="AY909" s="6"/>
      <c r="AZ909" s="2"/>
      <c r="BA909" s="2"/>
      <c r="BB909" s="2"/>
      <c r="BC909">
        <v>71500</v>
      </c>
      <c r="BD909">
        <v>56992</v>
      </c>
    </row>
    <row r="910" spans="3:56" x14ac:dyDescent="0.25">
      <c r="C910" s="1">
        <v>46530</v>
      </c>
      <c r="D910" s="36">
        <v>255977.841935484</v>
      </c>
      <c r="E910" s="33">
        <v>4.3290322580645197</v>
      </c>
      <c r="F910" s="33">
        <v>3.5242170609319001</v>
      </c>
      <c r="G910" s="2">
        <v>0.81408888888888897</v>
      </c>
      <c r="H910" s="2">
        <v>0.99</v>
      </c>
      <c r="I910" s="3"/>
      <c r="J910" s="3"/>
      <c r="K910" s="3"/>
      <c r="L910" s="3"/>
      <c r="M910" s="3"/>
      <c r="N910" s="3">
        <v>0</v>
      </c>
      <c r="O910" s="3"/>
      <c r="P910" s="3">
        <v>0</v>
      </c>
      <c r="Q910" s="3">
        <v>0</v>
      </c>
      <c r="R910" s="3">
        <v>0</v>
      </c>
      <c r="S910" s="3">
        <v>0</v>
      </c>
      <c r="T910" s="3">
        <v>0</v>
      </c>
      <c r="U910" s="3"/>
      <c r="V910" s="3"/>
      <c r="W910" s="3"/>
      <c r="X910" s="3"/>
      <c r="Y910" s="3"/>
      <c r="Z910" s="3"/>
      <c r="AA910" s="3"/>
      <c r="AB910" s="3"/>
      <c r="AC910" s="3"/>
      <c r="AD910" s="3"/>
      <c r="AE910" s="3">
        <v>0</v>
      </c>
      <c r="AF910" s="3">
        <v>0</v>
      </c>
      <c r="AG910" s="3"/>
      <c r="AH910" s="40"/>
      <c r="AI910" s="40"/>
      <c r="AJ910" s="40"/>
      <c r="AK910" s="40"/>
      <c r="AL910" s="40"/>
      <c r="AM910" s="40"/>
      <c r="AN910" s="40"/>
      <c r="AO910" s="40"/>
      <c r="AP910" s="40"/>
      <c r="AQ910" s="40"/>
      <c r="AR910" s="31"/>
      <c r="AS910" s="36">
        <v>0</v>
      </c>
      <c r="AY910" s="6"/>
      <c r="AZ910" s="2"/>
      <c r="BA910" s="2"/>
      <c r="BB910" s="2"/>
      <c r="BC910">
        <v>71500</v>
      </c>
      <c r="BD910">
        <v>56992</v>
      </c>
    </row>
    <row r="911" spans="3:56" x14ac:dyDescent="0.25">
      <c r="C911" s="1">
        <v>46531</v>
      </c>
      <c r="D911" s="36">
        <v>255977.841935484</v>
      </c>
      <c r="E911" s="33">
        <v>4.3290322580645197</v>
      </c>
      <c r="F911" s="33">
        <v>3.5241689605734798</v>
      </c>
      <c r="G911" s="2">
        <v>0.81407777777777801</v>
      </c>
      <c r="H911" s="2">
        <v>0.99</v>
      </c>
      <c r="I911" s="3"/>
      <c r="J911" s="3"/>
      <c r="K911" s="3"/>
      <c r="L911" s="3"/>
      <c r="M911" s="3"/>
      <c r="N911" s="3">
        <v>0</v>
      </c>
      <c r="O911" s="3"/>
      <c r="P911" s="3">
        <v>0</v>
      </c>
      <c r="Q911" s="3">
        <v>0</v>
      </c>
      <c r="R911" s="3">
        <v>0</v>
      </c>
      <c r="S911" s="3">
        <v>0</v>
      </c>
      <c r="T911" s="3">
        <v>0</v>
      </c>
      <c r="U911" s="3"/>
      <c r="V911" s="3"/>
      <c r="W911" s="3"/>
      <c r="X911" s="3"/>
      <c r="Y911" s="3"/>
      <c r="Z911" s="3"/>
      <c r="AA911" s="3"/>
      <c r="AB911" s="3"/>
      <c r="AC911" s="3"/>
      <c r="AD911" s="3"/>
      <c r="AE911" s="3">
        <v>0</v>
      </c>
      <c r="AF911" s="3">
        <v>0</v>
      </c>
      <c r="AG911" s="3"/>
      <c r="AH911" s="40"/>
      <c r="AI911" s="40"/>
      <c r="AJ911" s="40"/>
      <c r="AK911" s="40"/>
      <c r="AL911" s="40"/>
      <c r="AM911" s="40"/>
      <c r="AN911" s="40"/>
      <c r="AO911" s="40"/>
      <c r="AP911" s="40"/>
      <c r="AQ911" s="40"/>
      <c r="AR911" s="31"/>
      <c r="AS911" s="36">
        <v>0</v>
      </c>
      <c r="AY911" s="6"/>
      <c r="AZ911" s="2"/>
      <c r="BA911" s="2"/>
      <c r="BB911" s="2"/>
      <c r="BC911">
        <v>71500</v>
      </c>
      <c r="BD911">
        <v>56992</v>
      </c>
    </row>
    <row r="912" spans="3:56" x14ac:dyDescent="0.25">
      <c r="C912" s="1">
        <v>46532</v>
      </c>
      <c r="D912" s="36">
        <v>255977.841935484</v>
      </c>
      <c r="E912" s="33">
        <v>4.3290322580645197</v>
      </c>
      <c r="F912" s="33">
        <v>3.5241208602150502</v>
      </c>
      <c r="G912" s="2">
        <v>0.81406666666666705</v>
      </c>
      <c r="H912" s="2">
        <v>0.99</v>
      </c>
      <c r="I912" s="3"/>
      <c r="J912" s="3"/>
      <c r="K912" s="3"/>
      <c r="L912" s="3"/>
      <c r="M912" s="3"/>
      <c r="N912" s="3">
        <v>0</v>
      </c>
      <c r="O912" s="3"/>
      <c r="P912" s="3">
        <v>0</v>
      </c>
      <c r="Q912" s="3">
        <v>0</v>
      </c>
      <c r="R912" s="3">
        <v>0</v>
      </c>
      <c r="S912" s="3">
        <v>0</v>
      </c>
      <c r="T912" s="3">
        <v>0</v>
      </c>
      <c r="U912" s="3"/>
      <c r="V912" s="3"/>
      <c r="W912" s="3"/>
      <c r="X912" s="3"/>
      <c r="Y912" s="3"/>
      <c r="Z912" s="3"/>
      <c r="AA912" s="3"/>
      <c r="AB912" s="3"/>
      <c r="AC912" s="3"/>
      <c r="AD912" s="3"/>
      <c r="AE912" s="3">
        <v>0</v>
      </c>
      <c r="AF912" s="3">
        <v>0</v>
      </c>
      <c r="AG912" s="3"/>
      <c r="AH912" s="40"/>
      <c r="AI912" s="40"/>
      <c r="AJ912" s="40"/>
      <c r="AK912" s="40"/>
      <c r="AL912" s="40"/>
      <c r="AM912" s="40"/>
      <c r="AN912" s="40"/>
      <c r="AO912" s="40"/>
      <c r="AP912" s="40"/>
      <c r="AQ912" s="40"/>
      <c r="AR912" s="31"/>
      <c r="AS912" s="36">
        <v>0</v>
      </c>
      <c r="AY912" s="6"/>
      <c r="AZ912" s="2"/>
      <c r="BA912" s="2"/>
      <c r="BB912" s="2"/>
      <c r="BC912">
        <v>71500</v>
      </c>
      <c r="BD912">
        <v>56992</v>
      </c>
    </row>
    <row r="913" spans="3:56" x14ac:dyDescent="0.25">
      <c r="C913" s="1">
        <v>46533</v>
      </c>
      <c r="D913" s="36">
        <v>255977.841935484</v>
      </c>
      <c r="E913" s="33">
        <v>4.3290322580645197</v>
      </c>
      <c r="F913" s="33">
        <v>3.5240727598566299</v>
      </c>
      <c r="G913" s="2">
        <v>0.81405555555555598</v>
      </c>
      <c r="H913" s="2">
        <v>0.99</v>
      </c>
      <c r="I913" s="3"/>
      <c r="J913" s="3"/>
      <c r="K913" s="3"/>
      <c r="L913" s="3"/>
      <c r="M913" s="3"/>
      <c r="N913" s="3">
        <v>0</v>
      </c>
      <c r="O913" s="3"/>
      <c r="P913" s="3">
        <v>0</v>
      </c>
      <c r="Q913" s="3">
        <v>0</v>
      </c>
      <c r="R913" s="3">
        <v>0</v>
      </c>
      <c r="S913" s="3">
        <v>0</v>
      </c>
      <c r="T913" s="3">
        <v>0</v>
      </c>
      <c r="U913" s="3"/>
      <c r="V913" s="3"/>
      <c r="W913" s="3"/>
      <c r="X913" s="3"/>
      <c r="Y913" s="3"/>
      <c r="Z913" s="3"/>
      <c r="AA913" s="3"/>
      <c r="AB913" s="3"/>
      <c r="AC913" s="3"/>
      <c r="AD913" s="3"/>
      <c r="AE913" s="3">
        <v>0</v>
      </c>
      <c r="AF913" s="3">
        <v>0</v>
      </c>
      <c r="AG913" s="3"/>
      <c r="AH913" s="40"/>
      <c r="AI913" s="40"/>
      <c r="AJ913" s="40"/>
      <c r="AK913" s="40"/>
      <c r="AL913" s="40"/>
      <c r="AM913" s="40"/>
      <c r="AN913" s="40"/>
      <c r="AO913" s="40"/>
      <c r="AP913" s="40"/>
      <c r="AQ913" s="40"/>
      <c r="AR913" s="31"/>
      <c r="AS913" s="36">
        <v>0</v>
      </c>
      <c r="AY913" s="6"/>
      <c r="AZ913" s="2"/>
      <c r="BA913" s="2"/>
      <c r="BB913" s="2"/>
      <c r="BC913">
        <v>71500</v>
      </c>
      <c r="BD913">
        <v>56992</v>
      </c>
    </row>
    <row r="914" spans="3:56" x14ac:dyDescent="0.25">
      <c r="C914" s="1">
        <v>46534</v>
      </c>
      <c r="D914" s="36">
        <v>255977.841935484</v>
      </c>
      <c r="E914" s="33">
        <v>4.3290322580645197</v>
      </c>
      <c r="F914" s="33">
        <v>3.5240246594982101</v>
      </c>
      <c r="G914" s="2">
        <v>0.81404444444444402</v>
      </c>
      <c r="H914" s="2">
        <v>0.99</v>
      </c>
      <c r="I914" s="3"/>
      <c r="J914" s="3"/>
      <c r="K914" s="3"/>
      <c r="L914" s="3"/>
      <c r="M914" s="3"/>
      <c r="N914" s="3">
        <v>0</v>
      </c>
      <c r="O914" s="3"/>
      <c r="P914" s="3">
        <v>0</v>
      </c>
      <c r="Q914" s="3">
        <v>0</v>
      </c>
      <c r="R914" s="3">
        <v>0</v>
      </c>
      <c r="S914" s="3">
        <v>0</v>
      </c>
      <c r="T914" s="3">
        <v>0</v>
      </c>
      <c r="U914" s="3"/>
      <c r="V914" s="3"/>
      <c r="W914" s="3"/>
      <c r="X914" s="3"/>
      <c r="Y914" s="3"/>
      <c r="Z914" s="3"/>
      <c r="AA914" s="3"/>
      <c r="AB914" s="3"/>
      <c r="AC914" s="3"/>
      <c r="AD914" s="3"/>
      <c r="AE914" s="3">
        <v>0</v>
      </c>
      <c r="AF914" s="3">
        <v>0</v>
      </c>
      <c r="AG914" s="3"/>
      <c r="AH914" s="40"/>
      <c r="AI914" s="40"/>
      <c r="AJ914" s="40"/>
      <c r="AK914" s="40"/>
      <c r="AL914" s="40"/>
      <c r="AM914" s="40"/>
      <c r="AN914" s="40"/>
      <c r="AO914" s="40"/>
      <c r="AP914" s="40"/>
      <c r="AQ914" s="40"/>
      <c r="AR914" s="31"/>
      <c r="AS914" s="36">
        <v>0</v>
      </c>
      <c r="AY914" s="6"/>
      <c r="AZ914" s="2"/>
      <c r="BA914" s="2"/>
      <c r="BB914" s="2"/>
      <c r="BC914">
        <v>71500</v>
      </c>
      <c r="BD914">
        <v>56992</v>
      </c>
    </row>
    <row r="915" spans="3:56" x14ac:dyDescent="0.25">
      <c r="C915" s="1">
        <v>46535</v>
      </c>
      <c r="D915" s="36">
        <v>255977.841935484</v>
      </c>
      <c r="E915" s="33">
        <v>4.3290322580645197</v>
      </c>
      <c r="F915" s="33">
        <v>3.52397655913978</v>
      </c>
      <c r="G915" s="2">
        <v>0.81403333333333305</v>
      </c>
      <c r="H915" s="2">
        <v>0.99</v>
      </c>
      <c r="I915" s="3"/>
      <c r="J915" s="3"/>
      <c r="K915" s="3"/>
      <c r="L915" s="3"/>
      <c r="M915" s="3"/>
      <c r="N915" s="3">
        <v>0</v>
      </c>
      <c r="O915" s="3"/>
      <c r="P915" s="3">
        <v>0</v>
      </c>
      <c r="Q915" s="3">
        <v>0</v>
      </c>
      <c r="R915" s="3">
        <v>0</v>
      </c>
      <c r="S915" s="3">
        <v>0</v>
      </c>
      <c r="T915" s="3">
        <v>0</v>
      </c>
      <c r="U915" s="3"/>
      <c r="V915" s="3"/>
      <c r="W915" s="3"/>
      <c r="X915" s="3"/>
      <c r="Y915" s="3"/>
      <c r="Z915" s="3"/>
      <c r="AA915" s="3"/>
      <c r="AB915" s="3"/>
      <c r="AC915" s="3"/>
      <c r="AD915" s="3"/>
      <c r="AE915" s="3">
        <v>0</v>
      </c>
      <c r="AF915" s="3">
        <v>0</v>
      </c>
      <c r="AG915" s="3"/>
      <c r="AH915" s="40"/>
      <c r="AI915" s="40"/>
      <c r="AJ915" s="40"/>
      <c r="AK915" s="40"/>
      <c r="AL915" s="40"/>
      <c r="AM915" s="40"/>
      <c r="AN915" s="40"/>
      <c r="AO915" s="40"/>
      <c r="AP915" s="40"/>
      <c r="AQ915" s="40"/>
      <c r="AR915" s="31"/>
      <c r="AS915" s="36">
        <v>0</v>
      </c>
      <c r="AY915" s="6"/>
      <c r="AZ915" s="2"/>
      <c r="BA915" s="2"/>
      <c r="BB915" s="2"/>
      <c r="BC915">
        <v>71500</v>
      </c>
      <c r="BD915">
        <v>56992</v>
      </c>
    </row>
    <row r="916" spans="3:56" x14ac:dyDescent="0.25">
      <c r="C916" s="1">
        <v>46536</v>
      </c>
      <c r="D916" s="36">
        <v>255977.841935484</v>
      </c>
      <c r="E916" s="33">
        <v>4.3290322580645197</v>
      </c>
      <c r="F916" s="33">
        <v>3.5239284587813602</v>
      </c>
      <c r="G916" s="2">
        <v>0.81402222222222198</v>
      </c>
      <c r="H916" s="2">
        <v>0.99</v>
      </c>
      <c r="I916" s="3"/>
      <c r="J916" s="3"/>
      <c r="K916" s="3"/>
      <c r="L916" s="3"/>
      <c r="M916" s="3"/>
      <c r="N916" s="3">
        <v>0</v>
      </c>
      <c r="O916" s="3"/>
      <c r="P916" s="3">
        <v>0</v>
      </c>
      <c r="Q916" s="3">
        <v>0</v>
      </c>
      <c r="R916" s="3">
        <v>0</v>
      </c>
      <c r="S916" s="3">
        <v>0</v>
      </c>
      <c r="T916" s="3">
        <v>0</v>
      </c>
      <c r="U916" s="3"/>
      <c r="V916" s="3"/>
      <c r="W916" s="3"/>
      <c r="X916" s="3"/>
      <c r="Y916" s="3"/>
      <c r="Z916" s="3"/>
      <c r="AA916" s="3"/>
      <c r="AB916" s="3"/>
      <c r="AC916" s="3"/>
      <c r="AD916" s="3"/>
      <c r="AE916" s="3">
        <v>0</v>
      </c>
      <c r="AF916" s="3">
        <v>0</v>
      </c>
      <c r="AG916" s="3"/>
      <c r="AH916" s="40"/>
      <c r="AI916" s="40"/>
      <c r="AJ916" s="40"/>
      <c r="AK916" s="40"/>
      <c r="AL916" s="40"/>
      <c r="AM916" s="40"/>
      <c r="AN916" s="40"/>
      <c r="AO916" s="40"/>
      <c r="AP916" s="40"/>
      <c r="AQ916" s="40"/>
      <c r="AR916" s="31"/>
      <c r="AS916" s="36">
        <v>0</v>
      </c>
      <c r="AY916" s="6"/>
      <c r="AZ916" s="2"/>
      <c r="BA916" s="2"/>
      <c r="BB916" s="2"/>
      <c r="BC916">
        <v>71500</v>
      </c>
      <c r="BD916">
        <v>56992</v>
      </c>
    </row>
    <row r="917" spans="3:56" x14ac:dyDescent="0.25">
      <c r="C917" s="1">
        <v>46537</v>
      </c>
      <c r="D917" s="36">
        <v>255977.841935484</v>
      </c>
      <c r="E917" s="33">
        <v>4.3290322580645197</v>
      </c>
      <c r="F917" s="33">
        <v>3.5238803584229399</v>
      </c>
      <c r="G917" s="2">
        <v>0.81401111111111102</v>
      </c>
      <c r="H917" s="2">
        <v>0.99</v>
      </c>
      <c r="I917" s="3"/>
      <c r="J917" s="3"/>
      <c r="K917" s="3"/>
      <c r="L917" s="3"/>
      <c r="M917" s="3"/>
      <c r="N917" s="3">
        <v>0</v>
      </c>
      <c r="O917" s="3"/>
      <c r="P917" s="3">
        <v>0</v>
      </c>
      <c r="Q917" s="3">
        <v>0</v>
      </c>
      <c r="R917" s="3">
        <v>0</v>
      </c>
      <c r="S917" s="3">
        <v>0</v>
      </c>
      <c r="T917" s="3">
        <v>0</v>
      </c>
      <c r="U917" s="3"/>
      <c r="V917" s="3"/>
      <c r="W917" s="3"/>
      <c r="X917" s="3"/>
      <c r="Y917" s="3"/>
      <c r="Z917" s="3"/>
      <c r="AA917" s="3"/>
      <c r="AB917" s="3"/>
      <c r="AC917" s="3"/>
      <c r="AD917" s="3"/>
      <c r="AE917" s="3">
        <v>0</v>
      </c>
      <c r="AF917" s="3">
        <v>0</v>
      </c>
      <c r="AG917" s="3"/>
      <c r="AH917" s="40"/>
      <c r="AI917" s="40"/>
      <c r="AJ917" s="40"/>
      <c r="AK917" s="40"/>
      <c r="AL917" s="40"/>
      <c r="AM917" s="40"/>
      <c r="AN917" s="40"/>
      <c r="AO917" s="40"/>
      <c r="AP917" s="40"/>
      <c r="AQ917" s="40"/>
      <c r="AR917" s="31"/>
      <c r="AS917" s="36">
        <v>0</v>
      </c>
      <c r="AY917" s="6"/>
      <c r="AZ917" s="2"/>
      <c r="BA917" s="2"/>
      <c r="BB917" s="2"/>
      <c r="BC917">
        <v>71500</v>
      </c>
      <c r="BD917">
        <v>56992</v>
      </c>
    </row>
    <row r="918" spans="3:56" x14ac:dyDescent="0.25">
      <c r="C918" s="1">
        <v>46538</v>
      </c>
      <c r="D918" s="36">
        <v>255977.841935484</v>
      </c>
      <c r="E918" s="33">
        <v>4.3290322580645197</v>
      </c>
      <c r="F918" s="33">
        <v>3.5238322580645201</v>
      </c>
      <c r="G918" s="2">
        <v>0.81399999999999995</v>
      </c>
      <c r="H918" s="2">
        <v>0.99</v>
      </c>
      <c r="I918" s="3"/>
      <c r="J918" s="3"/>
      <c r="K918" s="3"/>
      <c r="L918" s="3"/>
      <c r="M918" s="3"/>
      <c r="N918" s="3">
        <v>0</v>
      </c>
      <c r="O918" s="3"/>
      <c r="P918" s="3">
        <v>0</v>
      </c>
      <c r="Q918" s="3">
        <v>0</v>
      </c>
      <c r="R918" s="3">
        <v>0</v>
      </c>
      <c r="S918" s="3">
        <v>0</v>
      </c>
      <c r="T918" s="3">
        <v>0</v>
      </c>
      <c r="U918" s="3"/>
      <c r="V918" s="3"/>
      <c r="W918" s="3"/>
      <c r="X918" s="3"/>
      <c r="Y918" s="3"/>
      <c r="Z918" s="3"/>
      <c r="AA918" s="3"/>
      <c r="AB918" s="3"/>
      <c r="AC918" s="3"/>
      <c r="AD918" s="3"/>
      <c r="AE918" s="3">
        <v>0</v>
      </c>
      <c r="AF918" s="3">
        <v>0</v>
      </c>
      <c r="AG918" s="3"/>
      <c r="AH918" s="40"/>
      <c r="AI918" s="40"/>
      <c r="AJ918" s="40"/>
      <c r="AK918" s="40"/>
      <c r="AL918" s="40"/>
      <c r="AM918" s="40"/>
      <c r="AN918" s="40"/>
      <c r="AO918" s="40"/>
      <c r="AP918" s="40"/>
      <c r="AQ918" s="40"/>
      <c r="AR918" s="31"/>
      <c r="AS918" s="36">
        <v>0</v>
      </c>
      <c r="AY918" s="6"/>
      <c r="AZ918" s="2"/>
      <c r="BA918" s="2"/>
      <c r="BB918" s="2"/>
      <c r="BC918">
        <v>71500</v>
      </c>
      <c r="BD918">
        <v>56992</v>
      </c>
    </row>
    <row r="919" spans="3:56" x14ac:dyDescent="0.25">
      <c r="C919" s="1">
        <v>46539</v>
      </c>
      <c r="D919" s="36">
        <v>236808</v>
      </c>
      <c r="E919" s="33">
        <v>4.1399999999999997</v>
      </c>
      <c r="F919" s="33">
        <v>3.3699599999999998</v>
      </c>
      <c r="G919" s="2">
        <v>0.81399999999999995</v>
      </c>
      <c r="H919" s="2">
        <v>0.99</v>
      </c>
      <c r="I919" s="3"/>
      <c r="J919" s="3"/>
      <c r="K919" s="3"/>
      <c r="L919" s="3"/>
      <c r="M919" s="3"/>
      <c r="N919" s="3">
        <v>0</v>
      </c>
      <c r="O919" s="3"/>
      <c r="P919" s="3">
        <v>0</v>
      </c>
      <c r="Q919" s="3">
        <v>0</v>
      </c>
      <c r="R919" s="3">
        <v>0</v>
      </c>
      <c r="S919" s="3">
        <v>0</v>
      </c>
      <c r="T919" s="3">
        <v>0</v>
      </c>
      <c r="U919" s="3"/>
      <c r="V919" s="3"/>
      <c r="W919" s="3"/>
      <c r="X919" s="3"/>
      <c r="Y919" s="3"/>
      <c r="Z919" s="3"/>
      <c r="AA919" s="3"/>
      <c r="AB919" s="3"/>
      <c r="AC919" s="3"/>
      <c r="AD919" s="3"/>
      <c r="AE919" s="3">
        <v>0</v>
      </c>
      <c r="AF919" s="3">
        <v>0</v>
      </c>
      <c r="AG919" s="3"/>
      <c r="AH919" s="40"/>
      <c r="AI919" s="40"/>
      <c r="AJ919" s="40"/>
      <c r="AK919" s="40"/>
      <c r="AL919" s="40"/>
      <c r="AM919" s="40"/>
      <c r="AN919" s="40"/>
      <c r="AO919" s="40"/>
      <c r="AP919" s="40"/>
      <c r="AQ919" s="40"/>
      <c r="AR919" s="31"/>
      <c r="AS919" s="36">
        <v>0</v>
      </c>
      <c r="AY919" s="6"/>
      <c r="AZ919" s="2"/>
      <c r="BA919" s="2"/>
      <c r="BB919" s="2"/>
      <c r="BC919">
        <v>71500</v>
      </c>
      <c r="BD919">
        <v>56992</v>
      </c>
    </row>
    <row r="920" spans="3:56" x14ac:dyDescent="0.25">
      <c r="C920" s="1">
        <v>46540</v>
      </c>
      <c r="D920" s="36">
        <v>236808</v>
      </c>
      <c r="E920" s="33">
        <v>4.1399999999999997</v>
      </c>
      <c r="F920" s="33">
        <v>3.3699140000000001</v>
      </c>
      <c r="G920" s="2">
        <v>0.81398888888888898</v>
      </c>
      <c r="H920" s="2">
        <v>0.99</v>
      </c>
      <c r="I920" s="3"/>
      <c r="J920" s="3"/>
      <c r="K920" s="3"/>
      <c r="L920" s="3"/>
      <c r="M920" s="3"/>
      <c r="N920" s="3">
        <v>0</v>
      </c>
      <c r="O920" s="3"/>
      <c r="P920" s="3">
        <v>0</v>
      </c>
      <c r="Q920" s="3">
        <v>0</v>
      </c>
      <c r="R920" s="3">
        <v>0</v>
      </c>
      <c r="S920" s="3">
        <v>0</v>
      </c>
      <c r="T920" s="3">
        <v>0</v>
      </c>
      <c r="U920" s="3"/>
      <c r="V920" s="3"/>
      <c r="W920" s="3"/>
      <c r="X920" s="3"/>
      <c r="Y920" s="3"/>
      <c r="Z920" s="3"/>
      <c r="AA920" s="3"/>
      <c r="AB920" s="3"/>
      <c r="AC920" s="3"/>
      <c r="AD920" s="3"/>
      <c r="AE920" s="3">
        <v>0</v>
      </c>
      <c r="AF920" s="3">
        <v>0</v>
      </c>
      <c r="AG920" s="3"/>
      <c r="AH920" s="40"/>
      <c r="AI920" s="40"/>
      <c r="AJ920" s="40"/>
      <c r="AK920" s="40"/>
      <c r="AL920" s="40"/>
      <c r="AM920" s="40"/>
      <c r="AN920" s="40"/>
      <c r="AO920" s="40"/>
      <c r="AP920" s="40"/>
      <c r="AQ920" s="40"/>
      <c r="AR920" s="31"/>
      <c r="AS920" s="36">
        <v>0</v>
      </c>
      <c r="AY920" s="6"/>
      <c r="AZ920" s="2"/>
      <c r="BA920" s="2"/>
      <c r="BB920" s="2"/>
      <c r="BC920">
        <v>71500</v>
      </c>
      <c r="BD920">
        <v>56992</v>
      </c>
    </row>
    <row r="921" spans="3:56" x14ac:dyDescent="0.25">
      <c r="C921" s="1">
        <v>46541</v>
      </c>
      <c r="D921" s="36">
        <v>236808</v>
      </c>
      <c r="E921" s="33">
        <v>4.1399999999999997</v>
      </c>
      <c r="F921" s="33">
        <v>3.3698679999999999</v>
      </c>
      <c r="G921" s="2">
        <v>0.81397777777777802</v>
      </c>
      <c r="H921" s="2">
        <v>0.99</v>
      </c>
      <c r="I921" s="3"/>
      <c r="J921" s="3"/>
      <c r="K921" s="3"/>
      <c r="L921" s="3"/>
      <c r="M921" s="3"/>
      <c r="N921" s="3">
        <v>0</v>
      </c>
      <c r="O921" s="3"/>
      <c r="P921" s="3">
        <v>0</v>
      </c>
      <c r="Q921" s="3">
        <v>0</v>
      </c>
      <c r="R921" s="3">
        <v>0</v>
      </c>
      <c r="S921" s="3">
        <v>0</v>
      </c>
      <c r="T921" s="3">
        <v>0</v>
      </c>
      <c r="U921" s="3"/>
      <c r="V921" s="3"/>
      <c r="W921" s="3"/>
      <c r="X921" s="3"/>
      <c r="Y921" s="3"/>
      <c r="Z921" s="3"/>
      <c r="AA921" s="3"/>
      <c r="AB921" s="3"/>
      <c r="AC921" s="3"/>
      <c r="AD921" s="3"/>
      <c r="AE921" s="3">
        <v>0</v>
      </c>
      <c r="AF921" s="3">
        <v>0</v>
      </c>
      <c r="AG921" s="3"/>
      <c r="AH921" s="40"/>
      <c r="AI921" s="40"/>
      <c r="AJ921" s="40"/>
      <c r="AK921" s="40"/>
      <c r="AL921" s="40"/>
      <c r="AM921" s="40"/>
      <c r="AN921" s="40"/>
      <c r="AO921" s="40"/>
      <c r="AP921" s="40"/>
      <c r="AQ921" s="40"/>
      <c r="AR921" s="31"/>
      <c r="AS921" s="36">
        <v>0</v>
      </c>
      <c r="AY921" s="6"/>
      <c r="AZ921" s="2"/>
      <c r="BA921" s="2"/>
      <c r="BB921" s="2"/>
      <c r="BC921">
        <v>71500</v>
      </c>
      <c r="BD921">
        <v>56992</v>
      </c>
    </row>
    <row r="922" spans="3:56" x14ac:dyDescent="0.25">
      <c r="C922" s="1">
        <v>46542</v>
      </c>
      <c r="D922" s="36">
        <v>236808</v>
      </c>
      <c r="E922" s="33">
        <v>4.1399999999999997</v>
      </c>
      <c r="F922" s="33">
        <v>3.3698220000000001</v>
      </c>
      <c r="G922" s="2">
        <v>0.81396666666666695</v>
      </c>
      <c r="H922" s="2">
        <v>0.99</v>
      </c>
      <c r="I922" s="3"/>
      <c r="J922" s="3"/>
      <c r="K922" s="3"/>
      <c r="L922" s="3"/>
      <c r="M922" s="3"/>
      <c r="N922" s="3">
        <v>0</v>
      </c>
      <c r="O922" s="3"/>
      <c r="P922" s="3">
        <v>0</v>
      </c>
      <c r="Q922" s="3">
        <v>0</v>
      </c>
      <c r="R922" s="3">
        <v>0</v>
      </c>
      <c r="S922" s="3">
        <v>0</v>
      </c>
      <c r="T922" s="3">
        <v>0</v>
      </c>
      <c r="U922" s="3"/>
      <c r="V922" s="3"/>
      <c r="W922" s="3"/>
      <c r="X922" s="3"/>
      <c r="Y922" s="3"/>
      <c r="Z922" s="3"/>
      <c r="AA922" s="3"/>
      <c r="AB922" s="3"/>
      <c r="AC922" s="3"/>
      <c r="AD922" s="3"/>
      <c r="AE922" s="3">
        <v>0</v>
      </c>
      <c r="AF922" s="3">
        <v>0</v>
      </c>
      <c r="AG922" s="3"/>
      <c r="AH922" s="40"/>
      <c r="AI922" s="40"/>
      <c r="AJ922" s="40"/>
      <c r="AK922" s="40"/>
      <c r="AL922" s="40"/>
      <c r="AM922" s="40"/>
      <c r="AN922" s="40"/>
      <c r="AO922" s="40"/>
      <c r="AP922" s="40"/>
      <c r="AQ922" s="40"/>
      <c r="AR922" s="31"/>
      <c r="AS922" s="36">
        <v>0</v>
      </c>
      <c r="AY922" s="6"/>
      <c r="AZ922" s="2"/>
      <c r="BA922" s="2"/>
      <c r="BB922" s="2"/>
      <c r="BC922">
        <v>71500</v>
      </c>
      <c r="BD922">
        <v>56992</v>
      </c>
    </row>
    <row r="923" spans="3:56" x14ac:dyDescent="0.25">
      <c r="C923" s="1">
        <v>46543</v>
      </c>
      <c r="D923" s="36">
        <v>236808</v>
      </c>
      <c r="E923" s="33">
        <v>4.1399999999999997</v>
      </c>
      <c r="F923" s="33">
        <v>3.3697759999999999</v>
      </c>
      <c r="G923" s="2">
        <v>0.81395555555555599</v>
      </c>
      <c r="H923" s="2">
        <v>0.99</v>
      </c>
      <c r="I923" s="3"/>
      <c r="J923" s="3"/>
      <c r="K923" s="3"/>
      <c r="L923" s="3"/>
      <c r="M923" s="3"/>
      <c r="N923" s="3">
        <v>0</v>
      </c>
      <c r="O923" s="3"/>
      <c r="P923" s="3">
        <v>0</v>
      </c>
      <c r="Q923" s="3">
        <v>0</v>
      </c>
      <c r="R923" s="3">
        <v>0</v>
      </c>
      <c r="S923" s="3">
        <v>0</v>
      </c>
      <c r="T923" s="3">
        <v>0</v>
      </c>
      <c r="U923" s="3"/>
      <c r="V923" s="3"/>
      <c r="W923" s="3"/>
      <c r="X923" s="3"/>
      <c r="Y923" s="3"/>
      <c r="Z923" s="3"/>
      <c r="AA923" s="3"/>
      <c r="AB923" s="3"/>
      <c r="AC923" s="3"/>
      <c r="AD923" s="3"/>
      <c r="AE923" s="3">
        <v>0</v>
      </c>
      <c r="AF923" s="3">
        <v>0</v>
      </c>
      <c r="AG923" s="3"/>
      <c r="AH923" s="40"/>
      <c r="AI923" s="40"/>
      <c r="AJ923" s="40"/>
      <c r="AK923" s="40"/>
      <c r="AL923" s="40"/>
      <c r="AM923" s="40"/>
      <c r="AN923" s="40"/>
      <c r="AO923" s="40"/>
      <c r="AP923" s="40"/>
      <c r="AQ923" s="40"/>
      <c r="AR923" s="31"/>
      <c r="AS923" s="36">
        <v>0</v>
      </c>
      <c r="AY923" s="6"/>
      <c r="AZ923" s="2"/>
      <c r="BA923" s="2"/>
      <c r="BB923" s="2"/>
      <c r="BC923">
        <v>71500</v>
      </c>
      <c r="BD923">
        <v>56992</v>
      </c>
    </row>
    <row r="924" spans="3:56" x14ac:dyDescent="0.25">
      <c r="C924" s="1">
        <v>46544</v>
      </c>
      <c r="D924" s="36">
        <v>236808</v>
      </c>
      <c r="E924" s="33">
        <v>4.1399999999999997</v>
      </c>
      <c r="F924" s="33">
        <v>3.3697300000000001</v>
      </c>
      <c r="G924" s="2">
        <v>0.81394444444444403</v>
      </c>
      <c r="H924" s="2">
        <v>0.99</v>
      </c>
      <c r="I924" s="3"/>
      <c r="J924" s="3"/>
      <c r="K924" s="3"/>
      <c r="L924" s="3"/>
      <c r="M924" s="3"/>
      <c r="N924" s="3">
        <v>0</v>
      </c>
      <c r="O924" s="3"/>
      <c r="P924" s="3">
        <v>0</v>
      </c>
      <c r="Q924" s="3">
        <v>0</v>
      </c>
      <c r="R924" s="3">
        <v>0</v>
      </c>
      <c r="S924" s="3">
        <v>0</v>
      </c>
      <c r="T924" s="3">
        <v>0</v>
      </c>
      <c r="U924" s="3"/>
      <c r="V924" s="3"/>
      <c r="W924" s="3"/>
      <c r="X924" s="3"/>
      <c r="Y924" s="3"/>
      <c r="Z924" s="3"/>
      <c r="AA924" s="3"/>
      <c r="AB924" s="3"/>
      <c r="AC924" s="3"/>
      <c r="AD924" s="3"/>
      <c r="AE924" s="3">
        <v>0</v>
      </c>
      <c r="AF924" s="3">
        <v>0</v>
      </c>
      <c r="AG924" s="3"/>
      <c r="AH924" s="40"/>
      <c r="AI924" s="40"/>
      <c r="AJ924" s="40"/>
      <c r="AK924" s="40"/>
      <c r="AL924" s="40"/>
      <c r="AM924" s="40"/>
      <c r="AN924" s="40"/>
      <c r="AO924" s="40"/>
      <c r="AP924" s="40"/>
      <c r="AQ924" s="40"/>
      <c r="AR924" s="31"/>
      <c r="AS924" s="36">
        <v>0</v>
      </c>
      <c r="AY924" s="6"/>
      <c r="AZ924" s="2"/>
      <c r="BA924" s="2"/>
      <c r="BB924" s="2"/>
      <c r="BC924">
        <v>71500</v>
      </c>
      <c r="BD924">
        <v>56992</v>
      </c>
    </row>
    <row r="925" spans="3:56" x14ac:dyDescent="0.25">
      <c r="C925" s="1">
        <v>46545</v>
      </c>
      <c r="D925" s="36">
        <v>236808</v>
      </c>
      <c r="E925" s="33">
        <v>4.1399999999999997</v>
      </c>
      <c r="F925" s="33">
        <v>3.3696839999999999</v>
      </c>
      <c r="G925" s="2">
        <v>0.81393333333333295</v>
      </c>
      <c r="H925" s="2">
        <v>0.99</v>
      </c>
      <c r="I925" s="3"/>
      <c r="J925" s="3"/>
      <c r="K925" s="3"/>
      <c r="L925" s="3"/>
      <c r="M925" s="3"/>
      <c r="N925" s="3">
        <v>0</v>
      </c>
      <c r="O925" s="3"/>
      <c r="P925" s="3">
        <v>0</v>
      </c>
      <c r="Q925" s="3">
        <v>0</v>
      </c>
      <c r="R925" s="3">
        <v>0</v>
      </c>
      <c r="S925" s="3">
        <v>0</v>
      </c>
      <c r="T925" s="3">
        <v>0</v>
      </c>
      <c r="U925" s="3"/>
      <c r="V925" s="3"/>
      <c r="W925" s="3"/>
      <c r="X925" s="3"/>
      <c r="Y925" s="3"/>
      <c r="Z925" s="3"/>
      <c r="AA925" s="3"/>
      <c r="AB925" s="3"/>
      <c r="AC925" s="3"/>
      <c r="AD925" s="3"/>
      <c r="AE925" s="3">
        <v>0</v>
      </c>
      <c r="AF925" s="3">
        <v>0</v>
      </c>
      <c r="AG925" s="3"/>
      <c r="AH925" s="40"/>
      <c r="AI925" s="40"/>
      <c r="AJ925" s="40"/>
      <c r="AK925" s="40"/>
      <c r="AL925" s="40"/>
      <c r="AM925" s="40"/>
      <c r="AN925" s="40"/>
      <c r="AO925" s="40"/>
      <c r="AP925" s="40"/>
      <c r="AQ925" s="40"/>
      <c r="AR925" s="31"/>
      <c r="AS925" s="36">
        <v>0</v>
      </c>
      <c r="AY925" s="6"/>
      <c r="AZ925" s="2"/>
      <c r="BA925" s="2"/>
      <c r="BB925" s="2"/>
      <c r="BC925">
        <v>71500</v>
      </c>
      <c r="BD925">
        <v>56992</v>
      </c>
    </row>
    <row r="926" spans="3:56" x14ac:dyDescent="0.25">
      <c r="C926" s="1">
        <v>46546</v>
      </c>
      <c r="D926" s="36">
        <v>236808</v>
      </c>
      <c r="E926" s="33">
        <v>4.1399999999999997</v>
      </c>
      <c r="F926" s="33">
        <v>3.3696380000000001</v>
      </c>
      <c r="G926" s="2">
        <v>0.81392222222222199</v>
      </c>
      <c r="H926" s="2">
        <v>0.99</v>
      </c>
      <c r="I926" s="3"/>
      <c r="J926" s="3"/>
      <c r="K926" s="3"/>
      <c r="L926" s="3"/>
      <c r="M926" s="3"/>
      <c r="N926" s="3">
        <v>0</v>
      </c>
      <c r="O926" s="3"/>
      <c r="P926" s="3">
        <v>0</v>
      </c>
      <c r="Q926" s="3">
        <v>0</v>
      </c>
      <c r="R926" s="3">
        <v>0</v>
      </c>
      <c r="S926" s="3">
        <v>0</v>
      </c>
      <c r="T926" s="3">
        <v>0</v>
      </c>
      <c r="U926" s="3"/>
      <c r="V926" s="3"/>
      <c r="W926" s="3"/>
      <c r="X926" s="3"/>
      <c r="Y926" s="3"/>
      <c r="Z926" s="3"/>
      <c r="AA926" s="3"/>
      <c r="AB926" s="3"/>
      <c r="AC926" s="3"/>
      <c r="AD926" s="3"/>
      <c r="AE926" s="3">
        <v>0</v>
      </c>
      <c r="AF926" s="3">
        <v>0</v>
      </c>
      <c r="AG926" s="3"/>
      <c r="AH926" s="40"/>
      <c r="AI926" s="40"/>
      <c r="AJ926" s="40"/>
      <c r="AK926" s="40"/>
      <c r="AL926" s="40"/>
      <c r="AM926" s="40"/>
      <c r="AN926" s="40"/>
      <c r="AO926" s="40"/>
      <c r="AP926" s="40"/>
      <c r="AQ926" s="40"/>
      <c r="AR926" s="31"/>
      <c r="AS926" s="36">
        <v>0</v>
      </c>
      <c r="AY926" s="6"/>
      <c r="AZ926" s="2"/>
      <c r="BA926" s="2"/>
      <c r="BB926" s="2"/>
      <c r="BC926">
        <v>71500</v>
      </c>
      <c r="BD926">
        <v>56992</v>
      </c>
    </row>
    <row r="927" spans="3:56" x14ac:dyDescent="0.25">
      <c r="C927" s="1">
        <v>46547</v>
      </c>
      <c r="D927" s="36">
        <v>236808</v>
      </c>
      <c r="E927" s="33">
        <v>4.1399999999999997</v>
      </c>
      <c r="F927" s="33">
        <v>3.3695919999999999</v>
      </c>
      <c r="G927" s="2">
        <v>0.81391111111111103</v>
      </c>
      <c r="H927" s="2">
        <v>0.99</v>
      </c>
      <c r="I927" s="3"/>
      <c r="J927" s="3"/>
      <c r="K927" s="3"/>
      <c r="L927" s="3"/>
      <c r="M927" s="3"/>
      <c r="N927" s="3">
        <v>0</v>
      </c>
      <c r="O927" s="3"/>
      <c r="P927" s="3">
        <v>0</v>
      </c>
      <c r="Q927" s="3">
        <v>0</v>
      </c>
      <c r="R927" s="3">
        <v>0</v>
      </c>
      <c r="S927" s="3">
        <v>0</v>
      </c>
      <c r="T927" s="3">
        <v>0</v>
      </c>
      <c r="U927" s="3"/>
      <c r="V927" s="3"/>
      <c r="W927" s="3"/>
      <c r="X927" s="3"/>
      <c r="Y927" s="3"/>
      <c r="Z927" s="3"/>
      <c r="AA927" s="3"/>
      <c r="AB927" s="3"/>
      <c r="AC927" s="3"/>
      <c r="AD927" s="3"/>
      <c r="AE927" s="3">
        <v>0</v>
      </c>
      <c r="AF927" s="3">
        <v>0</v>
      </c>
      <c r="AG927" s="3"/>
      <c r="AH927" s="40"/>
      <c r="AI927" s="40"/>
      <c r="AJ927" s="40"/>
      <c r="AK927" s="40"/>
      <c r="AL927" s="40"/>
      <c r="AM927" s="40"/>
      <c r="AN927" s="40"/>
      <c r="AO927" s="40"/>
      <c r="AP927" s="40"/>
      <c r="AQ927" s="40"/>
      <c r="AR927" s="31"/>
      <c r="AS927" s="36">
        <v>0</v>
      </c>
      <c r="AY927" s="6"/>
      <c r="AZ927" s="2"/>
      <c r="BA927" s="2"/>
      <c r="BB927" s="2"/>
      <c r="BC927">
        <v>71500</v>
      </c>
      <c r="BD927">
        <v>56992</v>
      </c>
    </row>
    <row r="928" spans="3:56" x14ac:dyDescent="0.25">
      <c r="C928" s="1">
        <v>46548</v>
      </c>
      <c r="D928" s="36">
        <v>236808</v>
      </c>
      <c r="E928" s="33">
        <v>4.1399999999999997</v>
      </c>
      <c r="F928" s="33">
        <v>3.3695460000000002</v>
      </c>
      <c r="G928" s="2">
        <v>0.81389999999999996</v>
      </c>
      <c r="H928" s="2">
        <v>0.99</v>
      </c>
      <c r="I928" s="3"/>
      <c r="J928" s="3"/>
      <c r="K928" s="3"/>
      <c r="L928" s="3"/>
      <c r="M928" s="3"/>
      <c r="N928" s="3">
        <v>0</v>
      </c>
      <c r="O928" s="3"/>
      <c r="P928" s="3">
        <v>0</v>
      </c>
      <c r="Q928" s="3">
        <v>0</v>
      </c>
      <c r="R928" s="3">
        <v>0</v>
      </c>
      <c r="S928" s="3">
        <v>0</v>
      </c>
      <c r="T928" s="3">
        <v>0</v>
      </c>
      <c r="U928" s="3"/>
      <c r="V928" s="3"/>
      <c r="W928" s="3"/>
      <c r="X928" s="3"/>
      <c r="Y928" s="3"/>
      <c r="Z928" s="3"/>
      <c r="AA928" s="3"/>
      <c r="AB928" s="3"/>
      <c r="AC928" s="3"/>
      <c r="AD928" s="3"/>
      <c r="AE928" s="3">
        <v>0</v>
      </c>
      <c r="AF928" s="3">
        <v>0</v>
      </c>
      <c r="AG928" s="3"/>
      <c r="AH928" s="40"/>
      <c r="AI928" s="40"/>
      <c r="AJ928" s="40"/>
      <c r="AK928" s="40"/>
      <c r="AL928" s="40"/>
      <c r="AM928" s="40"/>
      <c r="AN928" s="40"/>
      <c r="AO928" s="40"/>
      <c r="AP928" s="40"/>
      <c r="AQ928" s="40"/>
      <c r="AR928" s="31"/>
      <c r="AS928" s="36">
        <v>0</v>
      </c>
      <c r="AY928" s="6"/>
      <c r="AZ928" s="2"/>
      <c r="BA928" s="2"/>
      <c r="BB928" s="2"/>
      <c r="BC928">
        <v>71500</v>
      </c>
      <c r="BD928">
        <v>56992</v>
      </c>
    </row>
    <row r="929" spans="3:56" x14ac:dyDescent="0.25">
      <c r="C929" s="1">
        <v>46549</v>
      </c>
      <c r="D929" s="36">
        <v>236808</v>
      </c>
      <c r="E929" s="33">
        <v>4.1399999999999997</v>
      </c>
      <c r="F929" s="33">
        <v>3.3694999999999999</v>
      </c>
      <c r="G929" s="2">
        <v>0.81388888888888899</v>
      </c>
      <c r="H929" s="2">
        <v>0.99</v>
      </c>
      <c r="I929" s="3"/>
      <c r="J929" s="3"/>
      <c r="K929" s="3"/>
      <c r="L929" s="3"/>
      <c r="M929" s="3"/>
      <c r="N929" s="3">
        <v>0</v>
      </c>
      <c r="O929" s="3"/>
      <c r="P929" s="3">
        <v>0</v>
      </c>
      <c r="Q929" s="3">
        <v>0</v>
      </c>
      <c r="R929" s="3">
        <v>0</v>
      </c>
      <c r="S929" s="3">
        <v>0</v>
      </c>
      <c r="T929" s="3">
        <v>0</v>
      </c>
      <c r="U929" s="3"/>
      <c r="V929" s="3"/>
      <c r="W929" s="3"/>
      <c r="X929" s="3"/>
      <c r="Y929" s="3"/>
      <c r="Z929" s="3"/>
      <c r="AA929" s="3"/>
      <c r="AB929" s="3"/>
      <c r="AC929" s="3"/>
      <c r="AD929" s="3"/>
      <c r="AE929" s="3">
        <v>0</v>
      </c>
      <c r="AF929" s="3">
        <v>0</v>
      </c>
      <c r="AG929" s="3"/>
      <c r="AH929" s="40"/>
      <c r="AI929" s="40"/>
      <c r="AJ929" s="40"/>
      <c r="AK929" s="40"/>
      <c r="AL929" s="40"/>
      <c r="AM929" s="40"/>
      <c r="AN929" s="40"/>
      <c r="AO929" s="40"/>
      <c r="AP929" s="40"/>
      <c r="AQ929" s="40"/>
      <c r="AR929" s="31"/>
      <c r="AS929" s="36">
        <v>0</v>
      </c>
      <c r="AY929" s="6"/>
      <c r="AZ929" s="2"/>
      <c r="BA929" s="2"/>
      <c r="BB929" s="2"/>
      <c r="BC929">
        <v>71500</v>
      </c>
      <c r="BD929">
        <v>56992</v>
      </c>
    </row>
    <row r="930" spans="3:56" x14ac:dyDescent="0.25">
      <c r="C930" s="1">
        <v>46550</v>
      </c>
      <c r="D930" s="36">
        <v>236808</v>
      </c>
      <c r="E930" s="33">
        <v>4.1399999999999997</v>
      </c>
      <c r="F930" s="33">
        <v>3.3694540000000002</v>
      </c>
      <c r="G930" s="2">
        <v>0.81387777777777803</v>
      </c>
      <c r="H930" s="2">
        <v>0.99</v>
      </c>
      <c r="I930" s="3"/>
      <c r="J930" s="3"/>
      <c r="K930" s="3"/>
      <c r="L930" s="3"/>
      <c r="M930" s="3"/>
      <c r="N930" s="3">
        <v>0</v>
      </c>
      <c r="O930" s="3"/>
      <c r="P930" s="3">
        <v>0</v>
      </c>
      <c r="Q930" s="3">
        <v>0</v>
      </c>
      <c r="R930" s="3">
        <v>0</v>
      </c>
      <c r="S930" s="3">
        <v>0</v>
      </c>
      <c r="T930" s="3">
        <v>0</v>
      </c>
      <c r="U930" s="3"/>
      <c r="V930" s="3"/>
      <c r="W930" s="3"/>
      <c r="X930" s="3"/>
      <c r="Y930" s="3"/>
      <c r="Z930" s="3"/>
      <c r="AA930" s="3"/>
      <c r="AB930" s="3"/>
      <c r="AC930" s="3"/>
      <c r="AD930" s="3"/>
      <c r="AE930" s="3">
        <v>0</v>
      </c>
      <c r="AF930" s="3">
        <v>0</v>
      </c>
      <c r="AG930" s="3"/>
      <c r="AH930" s="40"/>
      <c r="AI930" s="40"/>
      <c r="AJ930" s="40"/>
      <c r="AK930" s="40"/>
      <c r="AL930" s="40"/>
      <c r="AM930" s="40"/>
      <c r="AN930" s="40"/>
      <c r="AO930" s="40"/>
      <c r="AP930" s="40"/>
      <c r="AQ930" s="40"/>
      <c r="AR930" s="31"/>
      <c r="AS930" s="36">
        <v>0</v>
      </c>
      <c r="AY930" s="6"/>
      <c r="AZ930" s="2"/>
      <c r="BA930" s="2"/>
      <c r="BB930" s="2"/>
      <c r="BC930">
        <v>71500</v>
      </c>
      <c r="BD930">
        <v>56992</v>
      </c>
    </row>
    <row r="931" spans="3:56" x14ac:dyDescent="0.25">
      <c r="C931" s="1">
        <v>46551</v>
      </c>
      <c r="D931" s="36">
        <v>236808</v>
      </c>
      <c r="E931" s="33">
        <v>4.1399999999999997</v>
      </c>
      <c r="F931" s="33">
        <v>3.369408</v>
      </c>
      <c r="G931" s="2">
        <v>0.81386666666666696</v>
      </c>
      <c r="H931" s="2">
        <v>0.99</v>
      </c>
      <c r="I931" s="3"/>
      <c r="J931" s="3"/>
      <c r="K931" s="3"/>
      <c r="L931" s="3"/>
      <c r="M931" s="3"/>
      <c r="N931" s="3">
        <v>0</v>
      </c>
      <c r="O931" s="3"/>
      <c r="P931" s="3">
        <v>0</v>
      </c>
      <c r="Q931" s="3">
        <v>0</v>
      </c>
      <c r="R931" s="3">
        <v>0</v>
      </c>
      <c r="S931" s="3">
        <v>0</v>
      </c>
      <c r="T931" s="3">
        <v>0</v>
      </c>
      <c r="U931" s="3"/>
      <c r="V931" s="3"/>
      <c r="W931" s="3"/>
      <c r="X931" s="3"/>
      <c r="Y931" s="3"/>
      <c r="Z931" s="3"/>
      <c r="AA931" s="3"/>
      <c r="AB931" s="3"/>
      <c r="AC931" s="3"/>
      <c r="AD931" s="3"/>
      <c r="AE931" s="3">
        <v>0</v>
      </c>
      <c r="AF931" s="3">
        <v>0</v>
      </c>
      <c r="AG931" s="3"/>
      <c r="AH931" s="40"/>
      <c r="AI931" s="40"/>
      <c r="AJ931" s="40"/>
      <c r="AK931" s="40"/>
      <c r="AL931" s="40"/>
      <c r="AM931" s="40"/>
      <c r="AN931" s="40"/>
      <c r="AO931" s="40"/>
      <c r="AP931" s="40"/>
      <c r="AQ931" s="40"/>
      <c r="AR931" s="31"/>
      <c r="AS931" s="36">
        <v>0</v>
      </c>
      <c r="AY931" s="6"/>
      <c r="AZ931" s="2"/>
      <c r="BA931" s="2"/>
      <c r="BB931" s="2"/>
      <c r="BC931">
        <v>71500</v>
      </c>
      <c r="BD931">
        <v>56992</v>
      </c>
    </row>
    <row r="932" spans="3:56" x14ac:dyDescent="0.25">
      <c r="C932" s="1">
        <v>46552</v>
      </c>
      <c r="D932" s="36">
        <v>236808</v>
      </c>
      <c r="E932" s="33">
        <v>4.1399999999999997</v>
      </c>
      <c r="F932" s="33">
        <v>3.3693620000000002</v>
      </c>
      <c r="G932" s="2">
        <v>0.813855555555556</v>
      </c>
      <c r="H932" s="2">
        <v>0.99</v>
      </c>
      <c r="I932" s="3"/>
      <c r="J932" s="3"/>
      <c r="K932" s="3"/>
      <c r="L932" s="3"/>
      <c r="M932" s="3"/>
      <c r="N932" s="3">
        <v>0</v>
      </c>
      <c r="O932" s="3"/>
      <c r="P932" s="3">
        <v>0</v>
      </c>
      <c r="Q932" s="3">
        <v>0</v>
      </c>
      <c r="R932" s="3">
        <v>0</v>
      </c>
      <c r="S932" s="3">
        <v>0</v>
      </c>
      <c r="T932" s="3">
        <v>0</v>
      </c>
      <c r="U932" s="3"/>
      <c r="V932" s="3"/>
      <c r="W932" s="3"/>
      <c r="X932" s="3"/>
      <c r="Y932" s="3"/>
      <c r="Z932" s="3"/>
      <c r="AA932" s="3"/>
      <c r="AB932" s="3"/>
      <c r="AC932" s="3"/>
      <c r="AD932" s="3"/>
      <c r="AE932" s="3">
        <v>0</v>
      </c>
      <c r="AF932" s="3">
        <v>0</v>
      </c>
      <c r="AG932" s="3"/>
      <c r="AH932" s="40"/>
      <c r="AI932" s="40"/>
      <c r="AJ932" s="40"/>
      <c r="AK932" s="40"/>
      <c r="AL932" s="40"/>
      <c r="AM932" s="40"/>
      <c r="AN932" s="40"/>
      <c r="AO932" s="40"/>
      <c r="AP932" s="40"/>
      <c r="AQ932" s="40"/>
      <c r="AR932" s="31"/>
      <c r="AS932" s="36">
        <v>0</v>
      </c>
      <c r="AY932" s="6"/>
      <c r="AZ932" s="2"/>
      <c r="BA932" s="2"/>
      <c r="BB932" s="2"/>
      <c r="BC932">
        <v>71500</v>
      </c>
      <c r="BD932">
        <v>56992</v>
      </c>
    </row>
    <row r="933" spans="3:56" x14ac:dyDescent="0.25">
      <c r="C933" s="1">
        <v>46553</v>
      </c>
      <c r="D933" s="36">
        <v>236808</v>
      </c>
      <c r="E933" s="33">
        <v>4.1399999999999997</v>
      </c>
      <c r="F933" s="33">
        <v>3.369316</v>
      </c>
      <c r="G933" s="2">
        <v>0.81384444444444404</v>
      </c>
      <c r="H933" s="2">
        <v>0.99</v>
      </c>
      <c r="I933" s="3"/>
      <c r="J933" s="3"/>
      <c r="K933" s="3"/>
      <c r="L933" s="3"/>
      <c r="M933" s="3"/>
      <c r="N933" s="3">
        <v>0</v>
      </c>
      <c r="O933" s="3"/>
      <c r="P933" s="3">
        <v>0</v>
      </c>
      <c r="Q933" s="3">
        <v>0</v>
      </c>
      <c r="R933" s="3">
        <v>0</v>
      </c>
      <c r="S933" s="3">
        <v>0</v>
      </c>
      <c r="T933" s="3">
        <v>0</v>
      </c>
      <c r="U933" s="3"/>
      <c r="V933" s="3"/>
      <c r="W933" s="3"/>
      <c r="X933" s="3"/>
      <c r="Y933" s="3"/>
      <c r="Z933" s="3"/>
      <c r="AA933" s="3"/>
      <c r="AB933" s="3"/>
      <c r="AC933" s="3"/>
      <c r="AD933" s="3"/>
      <c r="AE933" s="3">
        <v>0</v>
      </c>
      <c r="AF933" s="3">
        <v>0</v>
      </c>
      <c r="AG933" s="3"/>
      <c r="AH933" s="40"/>
      <c r="AI933" s="40"/>
      <c r="AJ933" s="40"/>
      <c r="AK933" s="40"/>
      <c r="AL933" s="40"/>
      <c r="AM933" s="40"/>
      <c r="AN933" s="40"/>
      <c r="AO933" s="40"/>
      <c r="AP933" s="40"/>
      <c r="AQ933" s="40"/>
      <c r="AR933" s="31"/>
      <c r="AS933" s="36">
        <v>0</v>
      </c>
      <c r="AY933" s="6"/>
      <c r="AZ933" s="2"/>
      <c r="BA933" s="2"/>
      <c r="BB933" s="2"/>
      <c r="BC933">
        <v>71500</v>
      </c>
      <c r="BD933">
        <v>56992</v>
      </c>
    </row>
    <row r="934" spans="3:56" x14ac:dyDescent="0.25">
      <c r="C934" s="1">
        <v>46554</v>
      </c>
      <c r="D934" s="36">
        <v>236808</v>
      </c>
      <c r="E934" s="33">
        <v>4.1399999999999997</v>
      </c>
      <c r="F934" s="33">
        <v>3.3692700000000002</v>
      </c>
      <c r="G934" s="2">
        <v>0.81383333333333296</v>
      </c>
      <c r="H934" s="2">
        <v>0.99</v>
      </c>
      <c r="I934" s="3"/>
      <c r="J934" s="3"/>
      <c r="K934" s="3"/>
      <c r="L934" s="3"/>
      <c r="M934" s="3"/>
      <c r="N934" s="3">
        <v>0</v>
      </c>
      <c r="O934" s="3"/>
      <c r="P934" s="3">
        <v>0</v>
      </c>
      <c r="Q934" s="3">
        <v>0</v>
      </c>
      <c r="R934" s="3">
        <v>0</v>
      </c>
      <c r="S934" s="3">
        <v>0</v>
      </c>
      <c r="T934" s="3">
        <v>0</v>
      </c>
      <c r="U934" s="3"/>
      <c r="V934" s="3"/>
      <c r="W934" s="3"/>
      <c r="X934" s="3"/>
      <c r="Y934" s="3"/>
      <c r="Z934" s="3"/>
      <c r="AA934" s="3"/>
      <c r="AB934" s="3"/>
      <c r="AC934" s="3"/>
      <c r="AD934" s="3"/>
      <c r="AE934" s="3">
        <v>0</v>
      </c>
      <c r="AF934" s="3">
        <v>0</v>
      </c>
      <c r="AG934" s="3"/>
      <c r="AH934" s="40"/>
      <c r="AI934" s="40"/>
      <c r="AJ934" s="40"/>
      <c r="AK934" s="40"/>
      <c r="AL934" s="40"/>
      <c r="AM934" s="40"/>
      <c r="AN934" s="40"/>
      <c r="AO934" s="40"/>
      <c r="AP934" s="40"/>
      <c r="AQ934" s="40"/>
      <c r="AR934" s="31"/>
      <c r="AS934" s="36">
        <v>0</v>
      </c>
      <c r="AY934" s="6"/>
      <c r="AZ934" s="2"/>
      <c r="BA934" s="2"/>
      <c r="BB934" s="2"/>
      <c r="BC934">
        <v>71500</v>
      </c>
      <c r="BD934">
        <v>56992</v>
      </c>
    </row>
    <row r="935" spans="3:56" x14ac:dyDescent="0.25">
      <c r="C935" s="1">
        <v>46555</v>
      </c>
      <c r="D935" s="36">
        <v>236808</v>
      </c>
      <c r="E935" s="33">
        <v>4.1399999999999997</v>
      </c>
      <c r="F935" s="33">
        <v>3.369224</v>
      </c>
      <c r="G935" s="2">
        <v>0.813822222222222</v>
      </c>
      <c r="H935" s="2">
        <v>0.99</v>
      </c>
      <c r="I935" s="3"/>
      <c r="J935" s="3"/>
      <c r="K935" s="3"/>
      <c r="L935" s="3"/>
      <c r="M935" s="3"/>
      <c r="N935" s="3">
        <v>0</v>
      </c>
      <c r="O935" s="3"/>
      <c r="P935" s="3">
        <v>0</v>
      </c>
      <c r="Q935" s="3">
        <v>0</v>
      </c>
      <c r="R935" s="3">
        <v>0</v>
      </c>
      <c r="S935" s="3">
        <v>0</v>
      </c>
      <c r="T935" s="3">
        <v>0</v>
      </c>
      <c r="U935" s="3"/>
      <c r="V935" s="3"/>
      <c r="W935" s="3"/>
      <c r="X935" s="3"/>
      <c r="Y935" s="3"/>
      <c r="Z935" s="3"/>
      <c r="AA935" s="3"/>
      <c r="AB935" s="3"/>
      <c r="AC935" s="3"/>
      <c r="AD935" s="3"/>
      <c r="AE935" s="3">
        <v>0</v>
      </c>
      <c r="AF935" s="3">
        <v>0</v>
      </c>
      <c r="AG935" s="3"/>
      <c r="AH935" s="40"/>
      <c r="AI935" s="40"/>
      <c r="AJ935" s="40"/>
      <c r="AK935" s="40"/>
      <c r="AL935" s="40"/>
      <c r="AM935" s="40"/>
      <c r="AN935" s="40"/>
      <c r="AO935" s="40"/>
      <c r="AP935" s="40"/>
      <c r="AQ935" s="40"/>
      <c r="AR935" s="31"/>
      <c r="AS935" s="36">
        <v>0</v>
      </c>
      <c r="AY935" s="6"/>
      <c r="AZ935" s="2"/>
      <c r="BA935" s="2"/>
      <c r="BB935" s="2"/>
      <c r="BC935">
        <v>71500</v>
      </c>
      <c r="BD935">
        <v>56992</v>
      </c>
    </row>
    <row r="936" spans="3:56" x14ac:dyDescent="0.25">
      <c r="C936" s="1">
        <v>46556</v>
      </c>
      <c r="D936" s="36">
        <v>236808</v>
      </c>
      <c r="E936" s="33">
        <v>4.1399999999999997</v>
      </c>
      <c r="F936" s="33">
        <v>3.3691779999999998</v>
      </c>
      <c r="G936" s="2">
        <v>0.81381111111111104</v>
      </c>
      <c r="H936" s="2">
        <v>0.99</v>
      </c>
      <c r="I936" s="3"/>
      <c r="J936" s="3"/>
      <c r="K936" s="3"/>
      <c r="L936" s="3"/>
      <c r="M936" s="3"/>
      <c r="N936" s="3">
        <v>0</v>
      </c>
      <c r="O936" s="3"/>
      <c r="P936" s="3">
        <v>0</v>
      </c>
      <c r="Q936" s="3">
        <v>0</v>
      </c>
      <c r="R936" s="3">
        <v>0</v>
      </c>
      <c r="S936" s="3">
        <v>0</v>
      </c>
      <c r="T936" s="3">
        <v>0</v>
      </c>
      <c r="U936" s="3"/>
      <c r="V936" s="3"/>
      <c r="W936" s="3"/>
      <c r="X936" s="3"/>
      <c r="Y936" s="3"/>
      <c r="Z936" s="3"/>
      <c r="AA936" s="3"/>
      <c r="AB936" s="3"/>
      <c r="AC936" s="3"/>
      <c r="AD936" s="3"/>
      <c r="AE936" s="3">
        <v>0</v>
      </c>
      <c r="AF936" s="3">
        <v>0</v>
      </c>
      <c r="AG936" s="3"/>
      <c r="AH936" s="40"/>
      <c r="AI936" s="40"/>
      <c r="AJ936" s="40"/>
      <c r="AK936" s="40"/>
      <c r="AL936" s="40"/>
      <c r="AM936" s="40"/>
      <c r="AN936" s="40"/>
      <c r="AO936" s="40"/>
      <c r="AP936" s="40"/>
      <c r="AQ936" s="40"/>
      <c r="AR936" s="31"/>
      <c r="AS936" s="36">
        <v>0</v>
      </c>
      <c r="AY936" s="6"/>
      <c r="AZ936" s="2"/>
      <c r="BA936" s="2"/>
      <c r="BB936" s="2"/>
      <c r="BC936">
        <v>71500</v>
      </c>
      <c r="BD936">
        <v>56992</v>
      </c>
    </row>
    <row r="937" spans="3:56" x14ac:dyDescent="0.25">
      <c r="C937" s="1">
        <v>46557</v>
      </c>
      <c r="D937" s="36">
        <v>236808</v>
      </c>
      <c r="E937" s="33">
        <v>4.1399999999999997</v>
      </c>
      <c r="F937" s="33">
        <v>3.369132</v>
      </c>
      <c r="G937" s="2">
        <v>0.81379999999999997</v>
      </c>
      <c r="H937" s="2">
        <v>0.99</v>
      </c>
      <c r="I937" s="3"/>
      <c r="J937" s="3"/>
      <c r="K937" s="3"/>
      <c r="L937" s="3"/>
      <c r="M937" s="3"/>
      <c r="N937" s="3">
        <v>0</v>
      </c>
      <c r="O937" s="3"/>
      <c r="P937" s="3">
        <v>0</v>
      </c>
      <c r="Q937" s="3">
        <v>0</v>
      </c>
      <c r="R937" s="3">
        <v>0</v>
      </c>
      <c r="S937" s="3">
        <v>0</v>
      </c>
      <c r="T937" s="3">
        <v>0</v>
      </c>
      <c r="U937" s="3"/>
      <c r="V937" s="3"/>
      <c r="W937" s="3"/>
      <c r="X937" s="3"/>
      <c r="Y937" s="3"/>
      <c r="Z937" s="3"/>
      <c r="AA937" s="3"/>
      <c r="AB937" s="3"/>
      <c r="AC937" s="3"/>
      <c r="AD937" s="3"/>
      <c r="AE937" s="3">
        <v>0</v>
      </c>
      <c r="AF937" s="3">
        <v>0</v>
      </c>
      <c r="AG937" s="3"/>
      <c r="AH937" s="40"/>
      <c r="AI937" s="40"/>
      <c r="AJ937" s="40"/>
      <c r="AK937" s="40"/>
      <c r="AL937" s="40"/>
      <c r="AM937" s="40"/>
      <c r="AN937" s="40"/>
      <c r="AO937" s="40"/>
      <c r="AP937" s="40"/>
      <c r="AQ937" s="40"/>
      <c r="AR937" s="31"/>
      <c r="AS937" s="36">
        <v>0</v>
      </c>
      <c r="AY937" s="6"/>
      <c r="AZ937" s="2"/>
      <c r="BA937" s="2"/>
      <c r="BB937" s="2"/>
      <c r="BC937">
        <v>71500</v>
      </c>
      <c r="BD937">
        <v>56992</v>
      </c>
    </row>
    <row r="938" spans="3:56" x14ac:dyDescent="0.25">
      <c r="C938" s="1">
        <v>46558</v>
      </c>
      <c r="D938" s="36">
        <v>236808</v>
      </c>
      <c r="E938" s="33">
        <v>4.1399999999999997</v>
      </c>
      <c r="F938" s="33">
        <v>3.3690859999999998</v>
      </c>
      <c r="G938" s="2">
        <v>0.81378888888888901</v>
      </c>
      <c r="H938" s="2">
        <v>0.99</v>
      </c>
      <c r="I938" s="3"/>
      <c r="J938" s="3"/>
      <c r="K938" s="3"/>
      <c r="L938" s="3"/>
      <c r="M938" s="3"/>
      <c r="N938" s="3">
        <v>0</v>
      </c>
      <c r="O938" s="3"/>
      <c r="P938" s="3">
        <v>0</v>
      </c>
      <c r="Q938" s="3">
        <v>0</v>
      </c>
      <c r="R938" s="3">
        <v>0</v>
      </c>
      <c r="S938" s="3">
        <v>0</v>
      </c>
      <c r="T938" s="3">
        <v>0</v>
      </c>
      <c r="U938" s="3"/>
      <c r="V938" s="3"/>
      <c r="W938" s="3"/>
      <c r="X938" s="3"/>
      <c r="Y938" s="3"/>
      <c r="Z938" s="3"/>
      <c r="AA938" s="3"/>
      <c r="AB938" s="3"/>
      <c r="AC938" s="3"/>
      <c r="AD938" s="3"/>
      <c r="AE938" s="3">
        <v>0</v>
      </c>
      <c r="AF938" s="3">
        <v>0</v>
      </c>
      <c r="AG938" s="3"/>
      <c r="AH938" s="40"/>
      <c r="AI938" s="40"/>
      <c r="AJ938" s="40"/>
      <c r="AK938" s="40"/>
      <c r="AL938" s="40"/>
      <c r="AM938" s="40"/>
      <c r="AN938" s="40"/>
      <c r="AO938" s="40"/>
      <c r="AP938" s="40"/>
      <c r="AQ938" s="40"/>
      <c r="AR938" s="31"/>
      <c r="AS938" s="36">
        <v>0</v>
      </c>
      <c r="AY938" s="6"/>
      <c r="AZ938" s="2"/>
      <c r="BA938" s="2"/>
      <c r="BB938" s="2"/>
      <c r="BC938">
        <v>71500</v>
      </c>
      <c r="BD938">
        <v>56992</v>
      </c>
    </row>
    <row r="939" spans="3:56" x14ac:dyDescent="0.25">
      <c r="C939" s="1">
        <v>46559</v>
      </c>
      <c r="D939" s="36">
        <v>236808</v>
      </c>
      <c r="E939" s="33">
        <v>4.1399999999999997</v>
      </c>
      <c r="F939" s="33">
        <v>3.36904</v>
      </c>
      <c r="G939" s="2">
        <v>0.81377777777777804</v>
      </c>
      <c r="H939" s="2">
        <v>0.99</v>
      </c>
      <c r="I939" s="3"/>
      <c r="J939" s="3"/>
      <c r="K939" s="3"/>
      <c r="L939" s="3"/>
      <c r="M939" s="3"/>
      <c r="N939" s="3">
        <v>0</v>
      </c>
      <c r="O939" s="3"/>
      <c r="P939" s="3">
        <v>0</v>
      </c>
      <c r="Q939" s="3">
        <v>0</v>
      </c>
      <c r="R939" s="3">
        <v>0</v>
      </c>
      <c r="S939" s="3">
        <v>0</v>
      </c>
      <c r="T939" s="3">
        <v>0</v>
      </c>
      <c r="U939" s="3"/>
      <c r="V939" s="3"/>
      <c r="W939" s="3"/>
      <c r="X939" s="3"/>
      <c r="Y939" s="3"/>
      <c r="Z939" s="3"/>
      <c r="AA939" s="3"/>
      <c r="AB939" s="3"/>
      <c r="AC939" s="3"/>
      <c r="AD939" s="3"/>
      <c r="AE939" s="3">
        <v>0</v>
      </c>
      <c r="AF939" s="3">
        <v>0</v>
      </c>
      <c r="AG939" s="3"/>
      <c r="AH939" s="40"/>
      <c r="AI939" s="40"/>
      <c r="AJ939" s="40"/>
      <c r="AK939" s="40"/>
      <c r="AL939" s="40"/>
      <c r="AM939" s="40"/>
      <c r="AN939" s="40"/>
      <c r="AO939" s="40"/>
      <c r="AP939" s="40"/>
      <c r="AQ939" s="40"/>
      <c r="AR939" s="31"/>
      <c r="AS939" s="36">
        <v>0</v>
      </c>
      <c r="AY939" s="6"/>
      <c r="AZ939" s="2"/>
      <c r="BA939" s="2"/>
      <c r="BB939" s="2"/>
      <c r="BC939">
        <v>71500</v>
      </c>
      <c r="BD939">
        <v>56992</v>
      </c>
    </row>
    <row r="940" spans="3:56" x14ac:dyDescent="0.25">
      <c r="C940" s="1">
        <v>46560</v>
      </c>
      <c r="D940" s="36">
        <v>236808</v>
      </c>
      <c r="E940" s="33">
        <v>4.1399999999999997</v>
      </c>
      <c r="F940" s="33">
        <v>3.3689939999999998</v>
      </c>
      <c r="G940" s="2">
        <v>0.81376666666666697</v>
      </c>
      <c r="H940" s="2">
        <v>0.99</v>
      </c>
      <c r="I940" s="3"/>
      <c r="J940" s="3"/>
      <c r="K940" s="3"/>
      <c r="L940" s="3"/>
      <c r="M940" s="3"/>
      <c r="N940" s="3">
        <v>0</v>
      </c>
      <c r="O940" s="3"/>
      <c r="P940" s="3">
        <v>0</v>
      </c>
      <c r="Q940" s="3">
        <v>0</v>
      </c>
      <c r="R940" s="3">
        <v>0</v>
      </c>
      <c r="S940" s="3">
        <v>0</v>
      </c>
      <c r="T940" s="3">
        <v>0</v>
      </c>
      <c r="U940" s="3"/>
      <c r="V940" s="3"/>
      <c r="W940" s="3"/>
      <c r="X940" s="3"/>
      <c r="Y940" s="3"/>
      <c r="Z940" s="3"/>
      <c r="AA940" s="3"/>
      <c r="AB940" s="3"/>
      <c r="AC940" s="3"/>
      <c r="AD940" s="3"/>
      <c r="AE940" s="3">
        <v>0</v>
      </c>
      <c r="AF940" s="3">
        <v>0</v>
      </c>
      <c r="AG940" s="3"/>
      <c r="AH940" s="40"/>
      <c r="AI940" s="40"/>
      <c r="AJ940" s="40"/>
      <c r="AK940" s="40"/>
      <c r="AL940" s="40"/>
      <c r="AM940" s="40"/>
      <c r="AN940" s="40"/>
      <c r="AO940" s="40"/>
      <c r="AP940" s="40"/>
      <c r="AQ940" s="40"/>
      <c r="AR940" s="31"/>
      <c r="AS940" s="36">
        <v>0</v>
      </c>
      <c r="AY940" s="6"/>
      <c r="AZ940" s="2"/>
      <c r="BA940" s="2"/>
      <c r="BB940" s="2"/>
      <c r="BC940">
        <v>71500</v>
      </c>
      <c r="BD940">
        <v>56992</v>
      </c>
    </row>
    <row r="941" spans="3:56" x14ac:dyDescent="0.25">
      <c r="C941" s="1">
        <v>46561</v>
      </c>
      <c r="D941" s="36">
        <v>236808</v>
      </c>
      <c r="E941" s="33">
        <v>4.1399999999999997</v>
      </c>
      <c r="F941" s="33">
        <v>3.3689480000000001</v>
      </c>
      <c r="G941" s="2">
        <v>0.81375555555555601</v>
      </c>
      <c r="H941" s="2">
        <v>0.99</v>
      </c>
      <c r="I941" s="3"/>
      <c r="J941" s="3"/>
      <c r="K941" s="3"/>
      <c r="L941" s="3"/>
      <c r="M941" s="3"/>
      <c r="N941" s="3">
        <v>0</v>
      </c>
      <c r="O941" s="3"/>
      <c r="P941" s="3">
        <v>0</v>
      </c>
      <c r="Q941" s="3">
        <v>0</v>
      </c>
      <c r="R941" s="3">
        <v>0</v>
      </c>
      <c r="S941" s="3">
        <v>0</v>
      </c>
      <c r="T941" s="3">
        <v>0</v>
      </c>
      <c r="U941" s="3"/>
      <c r="V941" s="3"/>
      <c r="W941" s="3"/>
      <c r="X941" s="3"/>
      <c r="Y941" s="3"/>
      <c r="Z941" s="3"/>
      <c r="AA941" s="3"/>
      <c r="AB941" s="3"/>
      <c r="AC941" s="3"/>
      <c r="AD941" s="3"/>
      <c r="AE941" s="3">
        <v>0</v>
      </c>
      <c r="AF941" s="3">
        <v>0</v>
      </c>
      <c r="AG941" s="3"/>
      <c r="AH941" s="40"/>
      <c r="AI941" s="40"/>
      <c r="AJ941" s="40"/>
      <c r="AK941" s="40"/>
      <c r="AL941" s="40"/>
      <c r="AM941" s="40"/>
      <c r="AN941" s="40"/>
      <c r="AO941" s="40"/>
      <c r="AP941" s="40"/>
      <c r="AQ941" s="40"/>
      <c r="AR941" s="31"/>
      <c r="AS941" s="36">
        <v>0</v>
      </c>
      <c r="AY941" s="6"/>
      <c r="AZ941" s="2"/>
      <c r="BA941" s="2"/>
      <c r="BB941" s="2"/>
      <c r="BC941">
        <v>71500</v>
      </c>
      <c r="BD941">
        <v>56992</v>
      </c>
    </row>
    <row r="942" spans="3:56" x14ac:dyDescent="0.25">
      <c r="C942" s="1">
        <v>46562</v>
      </c>
      <c r="D942" s="36">
        <v>236808</v>
      </c>
      <c r="E942" s="33">
        <v>4.1399999999999997</v>
      </c>
      <c r="F942" s="33">
        <v>3.3689019999999998</v>
      </c>
      <c r="G942" s="2">
        <v>0.81374444444444405</v>
      </c>
      <c r="H942" s="2">
        <v>0.99</v>
      </c>
      <c r="N942" s="3">
        <v>0</v>
      </c>
      <c r="O942" s="3"/>
      <c r="P942" s="3">
        <v>0</v>
      </c>
      <c r="Q942" s="3">
        <v>0</v>
      </c>
      <c r="R942" s="3">
        <v>0</v>
      </c>
      <c r="S942" s="3">
        <v>0</v>
      </c>
      <c r="T942" s="3">
        <v>0</v>
      </c>
      <c r="AE942" s="3">
        <v>0</v>
      </c>
      <c r="AF942" s="3">
        <v>0</v>
      </c>
      <c r="AG942" s="3"/>
      <c r="AH942" s="40"/>
      <c r="AI942" s="40"/>
      <c r="AJ942" s="40"/>
      <c r="AK942" s="40"/>
      <c r="AL942" s="40"/>
      <c r="AM942" s="40"/>
      <c r="AN942" s="40"/>
      <c r="AO942" s="40"/>
      <c r="AP942" s="40"/>
      <c r="AQ942" s="40"/>
      <c r="AR942" s="31"/>
      <c r="AS942" s="36">
        <v>0</v>
      </c>
      <c r="AY942" s="6"/>
      <c r="AZ942" s="2"/>
      <c r="BA942" s="2"/>
      <c r="BB942" s="2"/>
      <c r="BC942">
        <v>71500</v>
      </c>
      <c r="BD942">
        <v>56992</v>
      </c>
    </row>
    <row r="943" spans="3:56" x14ac:dyDescent="0.25">
      <c r="C943" s="1">
        <v>46563</v>
      </c>
      <c r="D943" s="36">
        <v>236808</v>
      </c>
      <c r="E943" s="33">
        <v>4.1399999999999997</v>
      </c>
      <c r="F943" s="33">
        <v>3.3688560000000001</v>
      </c>
      <c r="G943" s="2">
        <v>0.81373333333333298</v>
      </c>
      <c r="H943" s="2">
        <v>0.99</v>
      </c>
      <c r="N943" s="3">
        <v>0</v>
      </c>
      <c r="O943" s="3"/>
      <c r="P943" s="3">
        <v>0</v>
      </c>
      <c r="Q943" s="3">
        <v>0</v>
      </c>
      <c r="R943" s="3">
        <v>0</v>
      </c>
      <c r="S943" s="3">
        <v>0</v>
      </c>
      <c r="T943" s="3">
        <v>0</v>
      </c>
      <c r="AE943" s="3">
        <v>0</v>
      </c>
      <c r="AF943" s="3">
        <v>0</v>
      </c>
      <c r="AG943" s="3"/>
      <c r="AH943" s="40"/>
      <c r="AI943" s="40"/>
      <c r="AJ943" s="40"/>
      <c r="AK943" s="40"/>
      <c r="AL943" s="40"/>
      <c r="AM943" s="40"/>
      <c r="AN943" s="40"/>
      <c r="AO943" s="40"/>
      <c r="AP943" s="40"/>
      <c r="AQ943" s="40"/>
      <c r="AR943" s="31"/>
      <c r="AS943" s="36">
        <v>0</v>
      </c>
      <c r="AY943" s="6"/>
      <c r="AZ943" s="2"/>
      <c r="BA943" s="2"/>
      <c r="BB943" s="2"/>
      <c r="BC943">
        <v>71500</v>
      </c>
      <c r="BD943">
        <v>56992</v>
      </c>
    </row>
    <row r="944" spans="3:56" x14ac:dyDescent="0.25">
      <c r="C944" s="1">
        <v>46564</v>
      </c>
      <c r="D944" s="36">
        <v>236808</v>
      </c>
      <c r="E944" s="33">
        <v>4.1399999999999997</v>
      </c>
      <c r="F944" s="33">
        <v>3.3688099999999999</v>
      </c>
      <c r="G944" s="2">
        <v>0.81372222222222201</v>
      </c>
      <c r="H944" s="2">
        <v>0.99</v>
      </c>
      <c r="N944" s="3">
        <v>0</v>
      </c>
      <c r="O944" s="3"/>
      <c r="P944" s="3">
        <v>0</v>
      </c>
      <c r="Q944" s="3">
        <v>0</v>
      </c>
      <c r="R944" s="3">
        <v>0</v>
      </c>
      <c r="S944" s="3">
        <v>0</v>
      </c>
      <c r="T944" s="3">
        <v>0</v>
      </c>
      <c r="AE944" s="3">
        <v>0</v>
      </c>
      <c r="AF944" s="3">
        <v>0</v>
      </c>
      <c r="AG944" s="3"/>
      <c r="AH944" s="40"/>
      <c r="AI944" s="40"/>
      <c r="AJ944" s="40"/>
      <c r="AK944" s="40"/>
      <c r="AL944" s="40"/>
      <c r="AM944" s="40"/>
      <c r="AN944" s="40"/>
      <c r="AO944" s="40"/>
      <c r="AP944" s="40"/>
      <c r="AQ944" s="40"/>
      <c r="AR944" s="31"/>
      <c r="AS944" s="36">
        <v>0</v>
      </c>
      <c r="AY944" s="6"/>
      <c r="AZ944" s="2"/>
      <c r="BA944" s="2"/>
      <c r="BB944" s="2"/>
      <c r="BC944">
        <v>71500</v>
      </c>
      <c r="BD944">
        <v>56992</v>
      </c>
    </row>
    <row r="945" spans="3:56" x14ac:dyDescent="0.25">
      <c r="C945" s="1">
        <v>46565</v>
      </c>
      <c r="D945" s="36">
        <v>236808</v>
      </c>
      <c r="E945" s="33">
        <v>4.1399999999999997</v>
      </c>
      <c r="F945" s="33">
        <v>3.3687640000000001</v>
      </c>
      <c r="G945" s="2">
        <v>0.81371111111111105</v>
      </c>
      <c r="H945" s="2">
        <v>0.99</v>
      </c>
      <c r="N945" s="3">
        <v>0</v>
      </c>
      <c r="O945" s="3"/>
      <c r="P945" s="3">
        <v>0</v>
      </c>
      <c r="Q945" s="3">
        <v>0</v>
      </c>
      <c r="R945" s="3">
        <v>0</v>
      </c>
      <c r="S945" s="3">
        <v>0</v>
      </c>
      <c r="T945" s="3">
        <v>0</v>
      </c>
      <c r="AE945" s="3">
        <v>0</v>
      </c>
      <c r="AF945" s="3">
        <v>0</v>
      </c>
      <c r="AG945" s="3"/>
      <c r="AH945" s="40"/>
      <c r="AI945" s="40"/>
      <c r="AJ945" s="40"/>
      <c r="AK945" s="40"/>
      <c r="AL945" s="40"/>
      <c r="AM945" s="40"/>
      <c r="AN945" s="40"/>
      <c r="AO945" s="40"/>
      <c r="AP945" s="40"/>
      <c r="AQ945" s="40"/>
      <c r="AR945" s="31"/>
      <c r="AS945" s="36">
        <v>0</v>
      </c>
      <c r="AY945" s="6"/>
      <c r="AZ945" s="2"/>
      <c r="BA945" s="2"/>
      <c r="BB945" s="2"/>
      <c r="BC945">
        <v>71500</v>
      </c>
      <c r="BD945">
        <v>56992</v>
      </c>
    </row>
    <row r="946" spans="3:56" x14ac:dyDescent="0.25">
      <c r="C946" s="1">
        <v>46566</v>
      </c>
      <c r="D946" s="36">
        <v>236808</v>
      </c>
      <c r="E946" s="33">
        <v>4.1399999999999997</v>
      </c>
      <c r="F946" s="33">
        <v>3.3687179999999999</v>
      </c>
      <c r="G946" s="2">
        <v>0.81369999999999998</v>
      </c>
      <c r="H946" s="2">
        <v>0.99</v>
      </c>
      <c r="N946" s="3">
        <v>0</v>
      </c>
      <c r="O946" s="3"/>
      <c r="P946" s="3">
        <v>0</v>
      </c>
      <c r="Q946" s="3">
        <v>0</v>
      </c>
      <c r="R946" s="3">
        <v>0</v>
      </c>
      <c r="S946" s="3">
        <v>0</v>
      </c>
      <c r="T946" s="3">
        <v>0</v>
      </c>
      <c r="AE946" s="3">
        <v>0</v>
      </c>
      <c r="AF946" s="3">
        <v>0</v>
      </c>
      <c r="AG946" s="3"/>
      <c r="AH946" s="40"/>
      <c r="AI946" s="40"/>
      <c r="AJ946" s="40"/>
      <c r="AK946" s="40"/>
      <c r="AL946" s="40"/>
      <c r="AM946" s="40"/>
      <c r="AN946" s="40"/>
      <c r="AO946" s="40"/>
      <c r="AP946" s="40"/>
      <c r="AQ946" s="40"/>
      <c r="AR946" s="31"/>
      <c r="AS946" s="36">
        <v>0</v>
      </c>
      <c r="AY946" s="6"/>
      <c r="AZ946" s="2"/>
      <c r="BA946" s="2"/>
      <c r="BB946" s="2"/>
      <c r="BC946">
        <v>71500</v>
      </c>
      <c r="BD946">
        <v>56992</v>
      </c>
    </row>
    <row r="947" spans="3:56" x14ac:dyDescent="0.25">
      <c r="C947" s="1">
        <v>46567</v>
      </c>
      <c r="D947" s="36">
        <v>236808</v>
      </c>
      <c r="E947" s="33">
        <v>4.1399999999999997</v>
      </c>
      <c r="F947" s="33">
        <v>3.3686720000000001</v>
      </c>
      <c r="G947" s="2">
        <v>0.81368888888888902</v>
      </c>
      <c r="H947" s="2">
        <v>0.99</v>
      </c>
      <c r="N947" s="3">
        <v>0</v>
      </c>
      <c r="O947" s="3"/>
      <c r="P947" s="3">
        <v>0</v>
      </c>
      <c r="Q947" s="3">
        <v>0</v>
      </c>
      <c r="R947" s="3">
        <v>0</v>
      </c>
      <c r="S947" s="3">
        <v>0</v>
      </c>
      <c r="T947" s="3">
        <v>0</v>
      </c>
      <c r="AE947" s="3">
        <v>0</v>
      </c>
      <c r="AF947" s="3">
        <v>0</v>
      </c>
      <c r="AG947" s="3"/>
      <c r="AH947" s="40"/>
      <c r="AI947" s="40"/>
      <c r="AJ947" s="40"/>
      <c r="AK947" s="40"/>
      <c r="AL947" s="40"/>
      <c r="AM947" s="40"/>
      <c r="AN947" s="40"/>
      <c r="AO947" s="40"/>
      <c r="AP947" s="40"/>
      <c r="AQ947" s="40"/>
      <c r="AR947" s="31"/>
      <c r="AS947" s="36">
        <v>0</v>
      </c>
      <c r="AY947" s="6"/>
      <c r="AZ947" s="2"/>
      <c r="BA947" s="2"/>
      <c r="BB947" s="2"/>
      <c r="BC947">
        <v>71500</v>
      </c>
      <c r="BD947">
        <v>56992</v>
      </c>
    </row>
    <row r="948" spans="3:56" x14ac:dyDescent="0.25">
      <c r="C948" s="1">
        <v>46568</v>
      </c>
      <c r="D948" s="36">
        <v>236808</v>
      </c>
      <c r="E948" s="33">
        <v>4.1399999999999997</v>
      </c>
      <c r="F948" s="33">
        <v>3.3686259999999999</v>
      </c>
      <c r="G948" s="2">
        <v>0.81367777777777806</v>
      </c>
      <c r="H948" s="2">
        <v>0.99</v>
      </c>
      <c r="N948" s="3">
        <v>0</v>
      </c>
      <c r="O948" s="3"/>
      <c r="P948" s="3">
        <v>0</v>
      </c>
      <c r="Q948" s="3">
        <v>0</v>
      </c>
      <c r="R948" s="3">
        <v>0</v>
      </c>
      <c r="S948" s="3">
        <v>0</v>
      </c>
      <c r="T948" s="3">
        <v>0</v>
      </c>
      <c r="AE948" s="3">
        <v>0</v>
      </c>
      <c r="AF948" s="3">
        <v>0</v>
      </c>
      <c r="AG948" s="3"/>
      <c r="AH948" s="40"/>
      <c r="AI948" s="40"/>
      <c r="AJ948" s="40"/>
      <c r="AK948" s="40"/>
      <c r="AL948" s="40"/>
      <c r="AM948" s="40"/>
      <c r="AN948" s="40"/>
      <c r="AO948" s="40"/>
      <c r="AP948" s="40"/>
      <c r="AQ948" s="40"/>
      <c r="AR948" s="31"/>
      <c r="AS948" s="36">
        <v>0</v>
      </c>
      <c r="AY948" s="6"/>
      <c r="AZ948" s="2"/>
      <c r="BA948" s="2"/>
      <c r="BB948" s="2"/>
      <c r="BC948">
        <v>71500</v>
      </c>
      <c r="BD948">
        <v>56992</v>
      </c>
    </row>
    <row r="949" spans="3:56" x14ac:dyDescent="0.25">
      <c r="C949" s="1">
        <v>46569</v>
      </c>
      <c r="D949" s="36">
        <v>249932.632258064</v>
      </c>
      <c r="E949" s="33">
        <v>4.2064516129032299</v>
      </c>
      <c r="F949" s="33">
        <v>3.4226494623655901</v>
      </c>
      <c r="G949" s="2">
        <v>0.81366666666666698</v>
      </c>
      <c r="H949" s="2">
        <v>0.99</v>
      </c>
      <c r="I949" s="3"/>
      <c r="J949" s="3"/>
      <c r="K949" s="3"/>
      <c r="L949" s="3"/>
      <c r="M949" s="3"/>
      <c r="N949" s="3">
        <v>0</v>
      </c>
      <c r="O949" s="3"/>
      <c r="P949" s="3">
        <v>0</v>
      </c>
      <c r="Q949" s="3">
        <v>0</v>
      </c>
      <c r="R949" s="3">
        <v>0</v>
      </c>
      <c r="S949" s="3">
        <v>0</v>
      </c>
      <c r="T949" s="3">
        <v>0</v>
      </c>
      <c r="U949" s="3"/>
      <c r="V949" s="3"/>
      <c r="W949" s="3"/>
      <c r="X949" s="3"/>
      <c r="Y949" s="3"/>
      <c r="Z949" s="3"/>
      <c r="AA949" s="3"/>
      <c r="AB949" s="3"/>
      <c r="AC949" s="3"/>
      <c r="AD949" s="3"/>
      <c r="AE949" s="3">
        <v>0</v>
      </c>
      <c r="AF949" s="3">
        <v>0</v>
      </c>
      <c r="AG949" s="3"/>
      <c r="AH949" s="40"/>
      <c r="AI949" s="40"/>
      <c r="AJ949" s="40"/>
      <c r="AK949" s="40"/>
      <c r="AL949" s="40"/>
      <c r="AM949" s="40"/>
      <c r="AN949" s="40"/>
      <c r="AO949" s="40"/>
      <c r="AP949" s="40"/>
      <c r="AQ949" s="40"/>
      <c r="AR949" s="31"/>
      <c r="AS949" s="36">
        <v>0</v>
      </c>
      <c r="AY949" s="6"/>
      <c r="AZ949" s="2"/>
      <c r="BA949" s="2"/>
      <c r="BB949" s="2"/>
      <c r="BC949">
        <v>71500</v>
      </c>
      <c r="BD949">
        <v>56992</v>
      </c>
    </row>
    <row r="950" spans="3:56" x14ac:dyDescent="0.25">
      <c r="C950" s="1">
        <v>46570</v>
      </c>
      <c r="D950" s="36">
        <v>249932.632258064</v>
      </c>
      <c r="E950" s="33">
        <v>4.2064516129032299</v>
      </c>
      <c r="F950" s="33">
        <v>3.42260272401434</v>
      </c>
      <c r="G950" s="2">
        <v>0.81365555555555602</v>
      </c>
      <c r="H950" s="2">
        <v>0.99</v>
      </c>
      <c r="I950" s="3"/>
      <c r="J950" s="3"/>
      <c r="K950" s="3"/>
      <c r="L950" s="3"/>
      <c r="M950" s="3"/>
      <c r="N950" s="3">
        <v>0</v>
      </c>
      <c r="O950" s="3"/>
      <c r="P950" s="3">
        <v>0</v>
      </c>
      <c r="Q950" s="3">
        <v>0</v>
      </c>
      <c r="R950" s="3">
        <v>0</v>
      </c>
      <c r="S950" s="3">
        <v>0</v>
      </c>
      <c r="T950" s="3">
        <v>0</v>
      </c>
      <c r="U950" s="3"/>
      <c r="V950" s="3"/>
      <c r="W950" s="3"/>
      <c r="X950" s="3"/>
      <c r="Y950" s="3"/>
      <c r="Z950" s="3"/>
      <c r="AA950" s="3"/>
      <c r="AB950" s="3"/>
      <c r="AC950" s="3"/>
      <c r="AD950" s="3"/>
      <c r="AE950" s="3">
        <v>0</v>
      </c>
      <c r="AF950" s="3">
        <v>0</v>
      </c>
      <c r="AG950" s="3"/>
      <c r="AH950" s="40"/>
      <c r="AI950" s="40"/>
      <c r="AJ950" s="40"/>
      <c r="AK950" s="40"/>
      <c r="AL950" s="40"/>
      <c r="AM950" s="40"/>
      <c r="AN950" s="40"/>
      <c r="AO950" s="40"/>
      <c r="AP950" s="40"/>
      <c r="AQ950" s="40"/>
      <c r="AR950" s="31"/>
      <c r="AS950" s="36">
        <v>0</v>
      </c>
      <c r="AY950" s="6"/>
      <c r="AZ950" s="2"/>
      <c r="BA950" s="2"/>
      <c r="BB950" s="2"/>
      <c r="BC950">
        <v>71500</v>
      </c>
      <c r="BD950">
        <v>56992</v>
      </c>
    </row>
    <row r="951" spans="3:56" x14ac:dyDescent="0.25">
      <c r="C951" s="1">
        <v>46571</v>
      </c>
      <c r="D951" s="36">
        <v>249932.632258064</v>
      </c>
      <c r="E951" s="33">
        <v>4.2064516129032299</v>
      </c>
      <c r="F951" s="33">
        <v>3.4225559856630801</v>
      </c>
      <c r="G951" s="2">
        <v>0.81364444444444395</v>
      </c>
      <c r="H951" s="2">
        <v>0.99</v>
      </c>
      <c r="I951" s="3"/>
      <c r="J951" s="3"/>
      <c r="K951" s="3"/>
      <c r="L951" s="3"/>
      <c r="M951" s="3"/>
      <c r="N951" s="3">
        <v>0</v>
      </c>
      <c r="O951" s="3"/>
      <c r="P951" s="3">
        <v>0</v>
      </c>
      <c r="Q951" s="3">
        <v>0</v>
      </c>
      <c r="R951" s="3">
        <v>0</v>
      </c>
      <c r="S951" s="3">
        <v>0</v>
      </c>
      <c r="T951" s="3">
        <v>0</v>
      </c>
      <c r="U951" s="3"/>
      <c r="V951" s="3"/>
      <c r="W951" s="3"/>
      <c r="X951" s="3"/>
      <c r="Y951" s="3"/>
      <c r="Z951" s="3"/>
      <c r="AA951" s="3"/>
      <c r="AB951" s="3"/>
      <c r="AC951" s="3"/>
      <c r="AD951" s="3"/>
      <c r="AE951" s="3">
        <v>0</v>
      </c>
      <c r="AF951" s="3">
        <v>0</v>
      </c>
      <c r="AG951" s="3"/>
      <c r="AH951" s="40"/>
      <c r="AI951" s="40"/>
      <c r="AJ951" s="40"/>
      <c r="AK951" s="40"/>
      <c r="AL951" s="40"/>
      <c r="AM951" s="40"/>
      <c r="AN951" s="40"/>
      <c r="AO951" s="40"/>
      <c r="AP951" s="40"/>
      <c r="AQ951" s="40"/>
      <c r="AR951" s="31"/>
      <c r="AS951" s="36">
        <v>0</v>
      </c>
      <c r="AY951" s="6"/>
      <c r="AZ951" s="2"/>
      <c r="BA951" s="2"/>
      <c r="BB951" s="2"/>
      <c r="BC951">
        <v>71500</v>
      </c>
      <c r="BD951">
        <v>56992</v>
      </c>
    </row>
    <row r="952" spans="3:56" x14ac:dyDescent="0.25">
      <c r="C952" s="1">
        <v>46572</v>
      </c>
      <c r="D952" s="36">
        <v>249932.632258064</v>
      </c>
      <c r="E952" s="33">
        <v>4.2064516129032299</v>
      </c>
      <c r="F952" s="33">
        <v>3.4225092473118299</v>
      </c>
      <c r="G952" s="2">
        <v>0.81363333333333299</v>
      </c>
      <c r="H952" s="2">
        <v>0.99</v>
      </c>
      <c r="I952" s="3"/>
      <c r="J952" s="3"/>
      <c r="K952" s="3"/>
      <c r="L952" s="3"/>
      <c r="M952" s="3"/>
      <c r="N952" s="3">
        <v>0</v>
      </c>
      <c r="O952" s="3"/>
      <c r="P952" s="3">
        <v>0</v>
      </c>
      <c r="Q952" s="3">
        <v>0</v>
      </c>
      <c r="R952" s="3">
        <v>0</v>
      </c>
      <c r="S952" s="3">
        <v>0</v>
      </c>
      <c r="T952" s="3">
        <v>0</v>
      </c>
      <c r="U952" s="3"/>
      <c r="V952" s="3"/>
      <c r="W952" s="3"/>
      <c r="X952" s="3"/>
      <c r="Y952" s="3"/>
      <c r="Z952" s="3"/>
      <c r="AA952" s="3"/>
      <c r="AB952" s="3"/>
      <c r="AC952" s="3"/>
      <c r="AD952" s="3"/>
      <c r="AE952" s="3">
        <v>0</v>
      </c>
      <c r="AF952" s="3">
        <v>0</v>
      </c>
      <c r="AG952" s="3"/>
      <c r="AH952" s="40"/>
      <c r="AI952" s="40"/>
      <c r="AJ952" s="40"/>
      <c r="AK952" s="40"/>
      <c r="AL952" s="40"/>
      <c r="AM952" s="40"/>
      <c r="AN952" s="40"/>
      <c r="AO952" s="40"/>
      <c r="AP952" s="40"/>
      <c r="AQ952" s="40"/>
      <c r="AR952" s="31"/>
      <c r="AS952" s="36">
        <v>0</v>
      </c>
      <c r="AY952" s="6"/>
      <c r="AZ952" s="2"/>
      <c r="BA952" s="2"/>
      <c r="BB952" s="2"/>
      <c r="BC952">
        <v>71500</v>
      </c>
      <c r="BD952">
        <v>56992</v>
      </c>
    </row>
    <row r="953" spans="3:56" x14ac:dyDescent="0.25">
      <c r="C953" s="1">
        <v>46573</v>
      </c>
      <c r="D953" s="36">
        <v>249932.632258064</v>
      </c>
      <c r="E953" s="33">
        <v>4.2064516129032299</v>
      </c>
      <c r="F953" s="33">
        <v>3.42246250896057</v>
      </c>
      <c r="G953" s="2">
        <v>0.81362222222222202</v>
      </c>
      <c r="H953" s="2">
        <v>0.99</v>
      </c>
      <c r="I953" s="3"/>
      <c r="J953" s="3"/>
      <c r="K953" s="3"/>
      <c r="L953" s="3"/>
      <c r="M953" s="3"/>
      <c r="N953" s="3">
        <v>0</v>
      </c>
      <c r="O953" s="3"/>
      <c r="P953" s="3">
        <v>0</v>
      </c>
      <c r="Q953" s="3">
        <v>0</v>
      </c>
      <c r="R953" s="3">
        <v>0</v>
      </c>
      <c r="S953" s="3">
        <v>0</v>
      </c>
      <c r="T953" s="3">
        <v>0</v>
      </c>
      <c r="U953" s="3"/>
      <c r="V953" s="3"/>
      <c r="W953" s="3"/>
      <c r="X953" s="3"/>
      <c r="Y953" s="3"/>
      <c r="Z953" s="3"/>
      <c r="AA953" s="3"/>
      <c r="AB953" s="3"/>
      <c r="AC953" s="3"/>
      <c r="AD953" s="3"/>
      <c r="AE953" s="3">
        <v>0</v>
      </c>
      <c r="AF953" s="3">
        <v>0</v>
      </c>
      <c r="AG953" s="3"/>
      <c r="AH953" s="40"/>
      <c r="AI953" s="40"/>
      <c r="AJ953" s="40"/>
      <c r="AK953" s="40"/>
      <c r="AL953" s="40"/>
      <c r="AM953" s="40"/>
      <c r="AN953" s="40"/>
      <c r="AO953" s="40"/>
      <c r="AP953" s="40"/>
      <c r="AQ953" s="40"/>
      <c r="AR953" s="31"/>
      <c r="AS953" s="36">
        <v>0</v>
      </c>
      <c r="AY953" s="6"/>
      <c r="AZ953" s="2"/>
      <c r="BA953" s="2"/>
      <c r="BB953" s="2"/>
      <c r="BC953">
        <v>71500</v>
      </c>
      <c r="BD953">
        <v>56992</v>
      </c>
    </row>
    <row r="954" spans="3:56" x14ac:dyDescent="0.25">
      <c r="C954" s="1">
        <v>46574</v>
      </c>
      <c r="D954" s="36">
        <v>249932.632258064</v>
      </c>
      <c r="E954" s="33">
        <v>4.2064516129032299</v>
      </c>
      <c r="F954" s="33">
        <v>3.4224157706093199</v>
      </c>
      <c r="G954" s="2">
        <v>0.81361111111111095</v>
      </c>
      <c r="H954" s="2">
        <v>0.99</v>
      </c>
      <c r="I954" s="3"/>
      <c r="J954" s="3"/>
      <c r="K954" s="3"/>
      <c r="L954" s="3"/>
      <c r="M954" s="3"/>
      <c r="N954" s="3">
        <v>0</v>
      </c>
      <c r="O954" s="3"/>
      <c r="P954" s="3">
        <v>0</v>
      </c>
      <c r="Q954" s="3">
        <v>0</v>
      </c>
      <c r="R954" s="3">
        <v>0</v>
      </c>
      <c r="S954" s="3">
        <v>0</v>
      </c>
      <c r="T954" s="3">
        <v>0</v>
      </c>
      <c r="U954" s="3"/>
      <c r="V954" s="3"/>
      <c r="W954" s="3"/>
      <c r="X954" s="3"/>
      <c r="Y954" s="3"/>
      <c r="Z954" s="3"/>
      <c r="AA954" s="3"/>
      <c r="AB954" s="3"/>
      <c r="AC954" s="3"/>
      <c r="AD954" s="3"/>
      <c r="AE954" s="3">
        <v>0</v>
      </c>
      <c r="AF954" s="3">
        <v>0</v>
      </c>
      <c r="AG954" s="3"/>
      <c r="AH954" s="40"/>
      <c r="AI954" s="40"/>
      <c r="AJ954" s="40"/>
      <c r="AK954" s="40"/>
      <c r="AL954" s="40"/>
      <c r="AM954" s="40"/>
      <c r="AN954" s="40"/>
      <c r="AO954" s="40"/>
      <c r="AP954" s="40"/>
      <c r="AQ954" s="40"/>
      <c r="AR954" s="31"/>
      <c r="AS954" s="36">
        <v>0</v>
      </c>
      <c r="AY954" s="6"/>
      <c r="AZ954" s="2"/>
      <c r="BA954" s="2"/>
      <c r="BB954" s="2"/>
      <c r="BC954">
        <v>71500</v>
      </c>
      <c r="BD954">
        <v>56992</v>
      </c>
    </row>
    <row r="955" spans="3:56" x14ac:dyDescent="0.25">
      <c r="C955" s="1">
        <v>46575</v>
      </c>
      <c r="D955" s="36">
        <v>249932.632258064</v>
      </c>
      <c r="E955" s="33">
        <v>4.2064516129032299</v>
      </c>
      <c r="F955" s="33">
        <v>3.42236903225806</v>
      </c>
      <c r="G955" s="2">
        <v>0.81359999999999999</v>
      </c>
      <c r="H955" s="2">
        <v>0.99</v>
      </c>
      <c r="I955" s="3"/>
      <c r="J955" s="3"/>
      <c r="K955" s="3"/>
      <c r="L955" s="3"/>
      <c r="M955" s="3"/>
      <c r="N955" s="3">
        <v>0</v>
      </c>
      <c r="O955" s="3"/>
      <c r="P955" s="3">
        <v>0</v>
      </c>
      <c r="Q955" s="3">
        <v>0</v>
      </c>
      <c r="R955" s="3">
        <v>0</v>
      </c>
      <c r="S955" s="3">
        <v>0</v>
      </c>
      <c r="T955" s="3">
        <v>0</v>
      </c>
      <c r="U955" s="3"/>
      <c r="V955" s="3"/>
      <c r="W955" s="3"/>
      <c r="X955" s="3"/>
      <c r="Y955" s="3"/>
      <c r="Z955" s="3"/>
      <c r="AA955" s="3"/>
      <c r="AB955" s="3"/>
      <c r="AC955" s="3"/>
      <c r="AD955" s="3"/>
      <c r="AE955" s="3">
        <v>0</v>
      </c>
      <c r="AF955" s="3">
        <v>0</v>
      </c>
      <c r="AG955" s="3"/>
      <c r="AH955" s="40"/>
      <c r="AI955" s="40"/>
      <c r="AJ955" s="40"/>
      <c r="AK955" s="40"/>
      <c r="AL955" s="40"/>
      <c r="AM955" s="40"/>
      <c r="AN955" s="40"/>
      <c r="AO955" s="40"/>
      <c r="AP955" s="40"/>
      <c r="AQ955" s="40"/>
      <c r="AR955" s="31"/>
      <c r="AS955" s="36">
        <v>0</v>
      </c>
      <c r="AY955" s="6"/>
      <c r="AZ955" s="2"/>
      <c r="BA955" s="2"/>
      <c r="BB955" s="2"/>
      <c r="BC955">
        <v>71500</v>
      </c>
      <c r="BD955">
        <v>56992</v>
      </c>
    </row>
    <row r="956" spans="3:56" x14ac:dyDescent="0.25">
      <c r="C956" s="1">
        <v>46576</v>
      </c>
      <c r="D956" s="36">
        <v>249932.632258064</v>
      </c>
      <c r="E956" s="33">
        <v>4.2064516129032299</v>
      </c>
      <c r="F956" s="33">
        <v>3.4223222939068099</v>
      </c>
      <c r="G956" s="2">
        <v>0.81358888888888903</v>
      </c>
      <c r="H956" s="2">
        <v>0.99</v>
      </c>
      <c r="I956" s="3"/>
      <c r="J956" s="3"/>
      <c r="K956" s="3"/>
      <c r="L956" s="3"/>
      <c r="M956" s="3"/>
      <c r="N956" s="3">
        <v>0</v>
      </c>
      <c r="O956" s="3"/>
      <c r="P956" s="3">
        <v>0</v>
      </c>
      <c r="Q956" s="3">
        <v>0</v>
      </c>
      <c r="R956" s="3">
        <v>0</v>
      </c>
      <c r="S956" s="3">
        <v>0</v>
      </c>
      <c r="T956" s="3">
        <v>0</v>
      </c>
      <c r="U956" s="3"/>
      <c r="V956" s="3"/>
      <c r="W956" s="3"/>
      <c r="X956" s="3"/>
      <c r="Y956" s="3"/>
      <c r="Z956" s="3"/>
      <c r="AA956" s="3"/>
      <c r="AB956" s="3"/>
      <c r="AC956" s="3"/>
      <c r="AD956" s="3"/>
      <c r="AE956" s="3">
        <v>0</v>
      </c>
      <c r="AF956" s="3">
        <v>0</v>
      </c>
      <c r="AG956" s="3"/>
      <c r="AH956" s="40"/>
      <c r="AI956" s="40"/>
      <c r="AJ956" s="40"/>
      <c r="AK956" s="40"/>
      <c r="AL956" s="40"/>
      <c r="AM956" s="40"/>
      <c r="AN956" s="40"/>
      <c r="AO956" s="40"/>
      <c r="AP956" s="40"/>
      <c r="AQ956" s="40"/>
      <c r="AR956" s="31"/>
      <c r="AS956" s="36">
        <v>0</v>
      </c>
      <c r="AY956" s="6"/>
      <c r="AZ956" s="2"/>
      <c r="BA956" s="2"/>
      <c r="BB956" s="2"/>
      <c r="BC956">
        <v>71500</v>
      </c>
      <c r="BD956">
        <v>56992</v>
      </c>
    </row>
    <row r="957" spans="3:56" x14ac:dyDescent="0.25">
      <c r="C957" s="1">
        <v>46577</v>
      </c>
      <c r="D957" s="36">
        <v>249932.632258064</v>
      </c>
      <c r="E957" s="33">
        <v>4.2064516129032299</v>
      </c>
      <c r="F957" s="33">
        <v>3.4222755555555602</v>
      </c>
      <c r="G957" s="2">
        <v>0.81357777777777796</v>
      </c>
      <c r="H957" s="2">
        <v>0.99</v>
      </c>
      <c r="I957" s="3"/>
      <c r="J957" s="3"/>
      <c r="K957" s="3"/>
      <c r="L957" s="3"/>
      <c r="M957" s="3"/>
      <c r="N957" s="3">
        <v>0</v>
      </c>
      <c r="O957" s="3"/>
      <c r="P957" s="3">
        <v>0</v>
      </c>
      <c r="Q957" s="3">
        <v>0</v>
      </c>
      <c r="R957" s="3">
        <v>0</v>
      </c>
      <c r="S957" s="3">
        <v>0</v>
      </c>
      <c r="T957" s="3">
        <v>0</v>
      </c>
      <c r="U957" s="3"/>
      <c r="V957" s="3"/>
      <c r="W957" s="3"/>
      <c r="X957" s="3"/>
      <c r="Y957" s="3"/>
      <c r="Z957" s="3"/>
      <c r="AA957" s="3"/>
      <c r="AB957" s="3"/>
      <c r="AC957" s="3"/>
      <c r="AD957" s="3"/>
      <c r="AE957" s="3">
        <v>0</v>
      </c>
      <c r="AF957" s="3">
        <v>0</v>
      </c>
      <c r="AG957" s="3"/>
      <c r="AH957" s="40"/>
      <c r="AI957" s="40"/>
      <c r="AJ957" s="40"/>
      <c r="AK957" s="40"/>
      <c r="AL957" s="40"/>
      <c r="AM957" s="40"/>
      <c r="AN957" s="40"/>
      <c r="AO957" s="40"/>
      <c r="AP957" s="40"/>
      <c r="AQ957" s="40"/>
      <c r="AR957" s="31"/>
      <c r="AS957" s="36">
        <v>0</v>
      </c>
      <c r="AY957" s="6"/>
      <c r="AZ957" s="2"/>
      <c r="BA957" s="2"/>
      <c r="BB957" s="2"/>
      <c r="BC957">
        <v>71500</v>
      </c>
      <c r="BD957">
        <v>56992</v>
      </c>
    </row>
    <row r="958" spans="3:56" x14ac:dyDescent="0.25">
      <c r="C958" s="1">
        <v>46578</v>
      </c>
      <c r="D958" s="36">
        <v>249932.632258064</v>
      </c>
      <c r="E958" s="33">
        <v>4.2064516129032299</v>
      </c>
      <c r="F958" s="33">
        <v>3.4222288172042998</v>
      </c>
      <c r="G958" s="2">
        <v>0.81356666666666699</v>
      </c>
      <c r="H958" s="2">
        <v>0.99</v>
      </c>
      <c r="I958" s="3"/>
      <c r="J958" s="3"/>
      <c r="K958" s="3"/>
      <c r="L958" s="3"/>
      <c r="M958" s="3"/>
      <c r="N958" s="3">
        <v>0</v>
      </c>
      <c r="O958" s="3"/>
      <c r="P958" s="3">
        <v>0</v>
      </c>
      <c r="Q958" s="3">
        <v>0</v>
      </c>
      <c r="R958" s="3">
        <v>0</v>
      </c>
      <c r="S958" s="3">
        <v>0</v>
      </c>
      <c r="T958" s="3">
        <v>0</v>
      </c>
      <c r="U958" s="3"/>
      <c r="V958" s="3"/>
      <c r="W958" s="3"/>
      <c r="X958" s="3"/>
      <c r="Y958" s="3"/>
      <c r="Z958" s="3"/>
      <c r="AA958" s="3"/>
      <c r="AB958" s="3"/>
      <c r="AC958" s="3"/>
      <c r="AD958" s="3"/>
      <c r="AE958" s="3">
        <v>0</v>
      </c>
      <c r="AF958" s="3">
        <v>0</v>
      </c>
      <c r="AG958" s="3"/>
      <c r="AH958" s="40"/>
      <c r="AI958" s="40"/>
      <c r="AJ958" s="40"/>
      <c r="AK958" s="40"/>
      <c r="AL958" s="40"/>
      <c r="AM958" s="40"/>
      <c r="AN958" s="40"/>
      <c r="AO958" s="40"/>
      <c r="AP958" s="40"/>
      <c r="AQ958" s="40"/>
      <c r="AR958" s="31"/>
      <c r="AS958" s="36">
        <v>0</v>
      </c>
      <c r="AY958" s="6"/>
      <c r="AZ958" s="2"/>
      <c r="BA958" s="2"/>
      <c r="BB958" s="2"/>
      <c r="BC958">
        <v>71500</v>
      </c>
      <c r="BD958">
        <v>56992</v>
      </c>
    </row>
    <row r="959" spans="3:56" x14ac:dyDescent="0.25">
      <c r="C959" s="1">
        <v>46579</v>
      </c>
      <c r="D959" s="36">
        <v>249932.632258064</v>
      </c>
      <c r="E959" s="33">
        <v>4.2064516129032299</v>
      </c>
      <c r="F959" s="33">
        <v>3.4221820788530501</v>
      </c>
      <c r="G959" s="2">
        <v>0.81355555555555603</v>
      </c>
      <c r="H959" s="2">
        <v>0.99</v>
      </c>
      <c r="I959" s="3"/>
      <c r="J959" s="3"/>
      <c r="K959" s="3"/>
      <c r="L959" s="3"/>
      <c r="M959" s="3"/>
      <c r="N959" s="3">
        <v>0</v>
      </c>
      <c r="O959" s="3"/>
      <c r="P959" s="3">
        <v>0</v>
      </c>
      <c r="Q959" s="3">
        <v>0</v>
      </c>
      <c r="R959" s="3">
        <v>0</v>
      </c>
      <c r="S959" s="3">
        <v>0</v>
      </c>
      <c r="T959" s="3">
        <v>0</v>
      </c>
      <c r="U959" s="3"/>
      <c r="V959" s="3"/>
      <c r="W959" s="3"/>
      <c r="X959" s="3"/>
      <c r="Y959" s="3"/>
      <c r="Z959" s="3"/>
      <c r="AA959" s="3"/>
      <c r="AB959" s="3"/>
      <c r="AC959" s="3"/>
      <c r="AD959" s="3"/>
      <c r="AE959" s="3">
        <v>0</v>
      </c>
      <c r="AF959" s="3">
        <v>0</v>
      </c>
      <c r="AG959" s="3"/>
      <c r="AH959" s="40"/>
      <c r="AI959" s="40"/>
      <c r="AJ959" s="40"/>
      <c r="AK959" s="40"/>
      <c r="AL959" s="40"/>
      <c r="AM959" s="40"/>
      <c r="AN959" s="40"/>
      <c r="AO959" s="40"/>
      <c r="AP959" s="40"/>
      <c r="AQ959" s="40"/>
      <c r="AR959" s="31"/>
      <c r="AS959" s="36">
        <v>0</v>
      </c>
      <c r="AY959" s="6"/>
      <c r="AZ959" s="2"/>
      <c r="BA959" s="2"/>
      <c r="BB959" s="2"/>
      <c r="BC959">
        <v>71500</v>
      </c>
      <c r="BD959">
        <v>56992</v>
      </c>
    </row>
    <row r="960" spans="3:56" x14ac:dyDescent="0.25">
      <c r="C960" s="1">
        <v>46580</v>
      </c>
      <c r="D960" s="36">
        <v>249932.632258064</v>
      </c>
      <c r="E960" s="33">
        <v>4.2064516129032299</v>
      </c>
      <c r="F960" s="33">
        <v>3.4221353405017898</v>
      </c>
      <c r="G960" s="2">
        <v>0.81354444444444396</v>
      </c>
      <c r="H960" s="2">
        <v>0.99</v>
      </c>
      <c r="I960" s="3"/>
      <c r="J960" s="3"/>
      <c r="K960" s="3"/>
      <c r="L960" s="3"/>
      <c r="M960" s="3"/>
      <c r="N960" s="3">
        <v>0</v>
      </c>
      <c r="O960" s="3"/>
      <c r="P960" s="3">
        <v>0</v>
      </c>
      <c r="Q960" s="3">
        <v>0</v>
      </c>
      <c r="R960" s="3">
        <v>0</v>
      </c>
      <c r="S960" s="3">
        <v>0</v>
      </c>
      <c r="T960" s="3">
        <v>0</v>
      </c>
      <c r="U960" s="3"/>
      <c r="V960" s="3"/>
      <c r="W960" s="3"/>
      <c r="X960" s="3"/>
      <c r="Y960" s="3"/>
      <c r="Z960" s="3"/>
      <c r="AA960" s="3"/>
      <c r="AB960" s="3"/>
      <c r="AC960" s="3"/>
      <c r="AD960" s="3"/>
      <c r="AE960" s="3">
        <v>0</v>
      </c>
      <c r="AF960" s="3">
        <v>0</v>
      </c>
      <c r="AG960" s="3"/>
      <c r="AH960" s="40"/>
      <c r="AI960" s="40"/>
      <c r="AJ960" s="40"/>
      <c r="AK960" s="40"/>
      <c r="AL960" s="40"/>
      <c r="AM960" s="40"/>
      <c r="AN960" s="40"/>
      <c r="AO960" s="40"/>
      <c r="AP960" s="40"/>
      <c r="AQ960" s="40"/>
      <c r="AR960" s="31"/>
      <c r="AS960" s="36">
        <v>0</v>
      </c>
      <c r="AY960" s="6"/>
      <c r="AZ960" s="2"/>
      <c r="BA960" s="2"/>
      <c r="BB960" s="2"/>
      <c r="BC960">
        <v>71500</v>
      </c>
      <c r="BD960">
        <v>56992</v>
      </c>
    </row>
    <row r="961" spans="3:56" x14ac:dyDescent="0.25">
      <c r="C961" s="1">
        <v>46581</v>
      </c>
      <c r="D961" s="36">
        <v>249932.632258064</v>
      </c>
      <c r="E961" s="33">
        <v>4.2064516129032299</v>
      </c>
      <c r="F961" s="33">
        <v>3.4220886021505401</v>
      </c>
      <c r="G961" s="2">
        <v>0.813533333333333</v>
      </c>
      <c r="H961" s="2">
        <v>0.99</v>
      </c>
      <c r="I961" s="3"/>
      <c r="J961" s="3"/>
      <c r="K961" s="3"/>
      <c r="L961" s="3"/>
      <c r="M961" s="3"/>
      <c r="N961" s="3">
        <v>0</v>
      </c>
      <c r="O961" s="3"/>
      <c r="P961" s="3">
        <v>0</v>
      </c>
      <c r="Q961" s="3">
        <v>0</v>
      </c>
      <c r="R961" s="3">
        <v>0</v>
      </c>
      <c r="S961" s="3">
        <v>0</v>
      </c>
      <c r="T961" s="3">
        <v>0</v>
      </c>
      <c r="U961" s="3"/>
      <c r="V961" s="3"/>
      <c r="W961" s="3"/>
      <c r="X961" s="3"/>
      <c r="Y961" s="3"/>
      <c r="Z961" s="3"/>
      <c r="AA961" s="3"/>
      <c r="AB961" s="3"/>
      <c r="AC961" s="3"/>
      <c r="AD961" s="3"/>
      <c r="AE961" s="3">
        <v>0</v>
      </c>
      <c r="AF961" s="3">
        <v>0</v>
      </c>
      <c r="AG961" s="3"/>
      <c r="AH961" s="40"/>
      <c r="AI961" s="40"/>
      <c r="AJ961" s="40"/>
      <c r="AK961" s="40"/>
      <c r="AL961" s="40"/>
      <c r="AM961" s="40"/>
      <c r="AN961" s="40"/>
      <c r="AO961" s="40"/>
      <c r="AP961" s="40"/>
      <c r="AQ961" s="40"/>
      <c r="AR961" s="31"/>
      <c r="AS961" s="36">
        <v>0</v>
      </c>
      <c r="AY961" s="6"/>
      <c r="AZ961" s="2"/>
      <c r="BA961" s="2"/>
      <c r="BB961" s="2"/>
      <c r="BC961">
        <v>71500</v>
      </c>
      <c r="BD961">
        <v>56992</v>
      </c>
    </row>
    <row r="962" spans="3:56" x14ac:dyDescent="0.25">
      <c r="C962" s="1">
        <v>46582</v>
      </c>
      <c r="D962" s="36">
        <v>249932.632258064</v>
      </c>
      <c r="E962" s="33">
        <v>4.2064516129032299</v>
      </c>
      <c r="F962" s="33">
        <v>3.4220418637992802</v>
      </c>
      <c r="G962" s="2">
        <v>0.81352222222222204</v>
      </c>
      <c r="H962" s="2">
        <v>0.99</v>
      </c>
      <c r="I962" s="3"/>
      <c r="J962" s="3"/>
      <c r="K962" s="3"/>
      <c r="L962" s="3"/>
      <c r="M962" s="3"/>
      <c r="N962" s="3">
        <v>0</v>
      </c>
      <c r="O962" s="3"/>
      <c r="P962" s="3">
        <v>0</v>
      </c>
      <c r="Q962" s="3">
        <v>0</v>
      </c>
      <c r="R962" s="3">
        <v>0</v>
      </c>
      <c r="S962" s="3">
        <v>0</v>
      </c>
      <c r="T962" s="3">
        <v>0</v>
      </c>
      <c r="U962" s="3"/>
      <c r="V962" s="3"/>
      <c r="W962" s="3"/>
      <c r="X962" s="3"/>
      <c r="Y962" s="3"/>
      <c r="Z962" s="3"/>
      <c r="AA962" s="3"/>
      <c r="AB962" s="3"/>
      <c r="AC962" s="3"/>
      <c r="AD962" s="3"/>
      <c r="AE962" s="3">
        <v>0</v>
      </c>
      <c r="AF962" s="3">
        <v>0</v>
      </c>
      <c r="AG962" s="3"/>
      <c r="AH962" s="40"/>
      <c r="AI962" s="40"/>
      <c r="AJ962" s="40"/>
      <c r="AK962" s="40"/>
      <c r="AL962" s="40"/>
      <c r="AM962" s="40"/>
      <c r="AN962" s="40"/>
      <c r="AO962" s="40"/>
      <c r="AP962" s="40"/>
      <c r="AQ962" s="40"/>
      <c r="AR962" s="31"/>
      <c r="AS962" s="36">
        <v>0</v>
      </c>
      <c r="AY962" s="6"/>
      <c r="AZ962" s="2"/>
      <c r="BA962" s="2"/>
      <c r="BB962" s="2"/>
      <c r="BC962">
        <v>71500</v>
      </c>
      <c r="BD962">
        <v>56992</v>
      </c>
    </row>
    <row r="963" spans="3:56" x14ac:dyDescent="0.25">
      <c r="C963" s="1">
        <v>46583</v>
      </c>
      <c r="D963" s="36">
        <v>249932.632258064</v>
      </c>
      <c r="E963" s="33">
        <v>4.2064516129032299</v>
      </c>
      <c r="F963" s="33">
        <v>3.4219951254480301</v>
      </c>
      <c r="G963" s="2">
        <v>0.81351111111111096</v>
      </c>
      <c r="H963" s="2">
        <v>0.99</v>
      </c>
      <c r="I963" s="3"/>
      <c r="J963" s="3"/>
      <c r="K963" s="3"/>
      <c r="L963" s="3"/>
      <c r="M963" s="3"/>
      <c r="N963" s="3">
        <v>0</v>
      </c>
      <c r="O963" s="3"/>
      <c r="P963" s="3">
        <v>0</v>
      </c>
      <c r="Q963" s="3">
        <v>0</v>
      </c>
      <c r="R963" s="3">
        <v>0</v>
      </c>
      <c r="S963" s="3">
        <v>0</v>
      </c>
      <c r="T963" s="3">
        <v>0</v>
      </c>
      <c r="U963" s="3"/>
      <c r="V963" s="3"/>
      <c r="W963" s="3"/>
      <c r="X963" s="3"/>
      <c r="Y963" s="3"/>
      <c r="Z963" s="3"/>
      <c r="AA963" s="3"/>
      <c r="AB963" s="3"/>
      <c r="AC963" s="3"/>
      <c r="AD963" s="3"/>
      <c r="AE963" s="3">
        <v>0</v>
      </c>
      <c r="AF963" s="3">
        <v>0</v>
      </c>
      <c r="AG963" s="3"/>
      <c r="AH963" s="40"/>
      <c r="AI963" s="40"/>
      <c r="AJ963" s="40"/>
      <c r="AK963" s="40"/>
      <c r="AL963" s="40"/>
      <c r="AM963" s="40"/>
      <c r="AN963" s="40"/>
      <c r="AO963" s="40"/>
      <c r="AP963" s="40"/>
      <c r="AQ963" s="40"/>
      <c r="AR963" s="31"/>
      <c r="AS963" s="36">
        <v>0</v>
      </c>
      <c r="AY963" s="6"/>
      <c r="AZ963" s="2"/>
      <c r="BA963" s="2"/>
      <c r="BB963" s="2"/>
      <c r="BC963">
        <v>71500</v>
      </c>
      <c r="BD963">
        <v>56992</v>
      </c>
    </row>
    <row r="964" spans="3:56" x14ac:dyDescent="0.25">
      <c r="C964" s="1">
        <v>46584</v>
      </c>
      <c r="D964" s="36">
        <v>249932.632258064</v>
      </c>
      <c r="E964" s="33">
        <v>4.2064516129032299</v>
      </c>
      <c r="F964" s="33">
        <v>3.4219483870967702</v>
      </c>
      <c r="G964" s="2">
        <v>0.8135</v>
      </c>
      <c r="H964" s="2">
        <v>0.99</v>
      </c>
      <c r="I964" s="3"/>
      <c r="J964" s="3"/>
      <c r="K964" s="3"/>
      <c r="L964" s="3"/>
      <c r="M964" s="3"/>
      <c r="N964" s="3">
        <v>0</v>
      </c>
      <c r="O964" s="3"/>
      <c r="P964" s="3">
        <v>0</v>
      </c>
      <c r="Q964" s="3">
        <v>0</v>
      </c>
      <c r="R964" s="3">
        <v>0</v>
      </c>
      <c r="S964" s="3">
        <v>0</v>
      </c>
      <c r="T964" s="3">
        <v>0</v>
      </c>
      <c r="U964" s="3"/>
      <c r="V964" s="3"/>
      <c r="W964" s="3"/>
      <c r="X964" s="3"/>
      <c r="Y964" s="3"/>
      <c r="Z964" s="3"/>
      <c r="AA964" s="3"/>
      <c r="AB964" s="3"/>
      <c r="AC964" s="3"/>
      <c r="AD964" s="3"/>
      <c r="AE964" s="3">
        <v>0</v>
      </c>
      <c r="AF964" s="3">
        <v>0</v>
      </c>
      <c r="AG964" s="3"/>
      <c r="AH964" s="40"/>
      <c r="AI964" s="40"/>
      <c r="AJ964" s="40"/>
      <c r="AK964" s="40"/>
      <c r="AL964" s="40"/>
      <c r="AM964" s="40"/>
      <c r="AN964" s="40"/>
      <c r="AO964" s="40"/>
      <c r="AP964" s="40"/>
      <c r="AQ964" s="40"/>
      <c r="AR964" s="31"/>
      <c r="AS964" s="36">
        <v>0</v>
      </c>
      <c r="AY964" s="6"/>
      <c r="AZ964" s="2"/>
      <c r="BA964" s="2"/>
      <c r="BB964" s="2"/>
      <c r="BC964">
        <v>71500</v>
      </c>
      <c r="BD964">
        <v>56992</v>
      </c>
    </row>
    <row r="965" spans="3:56" x14ac:dyDescent="0.25">
      <c r="C965" s="1">
        <v>46585</v>
      </c>
      <c r="D965" s="36">
        <v>249932.632258064</v>
      </c>
      <c r="E965" s="33">
        <v>4.2064516129032299</v>
      </c>
      <c r="F965" s="33">
        <v>3.4219016487455201</v>
      </c>
      <c r="G965" s="2">
        <v>0.81348888888888904</v>
      </c>
      <c r="H965" s="2">
        <v>0.99</v>
      </c>
      <c r="I965" s="3"/>
      <c r="J965" s="3"/>
      <c r="K965" s="3"/>
      <c r="L965" s="3"/>
      <c r="M965" s="3"/>
      <c r="N965" s="3">
        <v>0</v>
      </c>
      <c r="O965" s="3"/>
      <c r="P965" s="3">
        <v>0</v>
      </c>
      <c r="Q965" s="3">
        <v>0</v>
      </c>
      <c r="R965" s="3">
        <v>0</v>
      </c>
      <c r="S965" s="3">
        <v>0</v>
      </c>
      <c r="T965" s="3">
        <v>0</v>
      </c>
      <c r="U965" s="3"/>
      <c r="V965" s="3"/>
      <c r="W965" s="3"/>
      <c r="X965" s="3"/>
      <c r="Y965" s="3"/>
      <c r="Z965" s="3"/>
      <c r="AA965" s="3"/>
      <c r="AB965" s="3"/>
      <c r="AC965" s="3"/>
      <c r="AD965" s="3"/>
      <c r="AE965" s="3">
        <v>0</v>
      </c>
      <c r="AF965" s="3">
        <v>0</v>
      </c>
      <c r="AG965" s="3"/>
      <c r="AH965" s="40"/>
      <c r="AI965" s="40"/>
      <c r="AJ965" s="40"/>
      <c r="AK965" s="40"/>
      <c r="AL965" s="40"/>
      <c r="AM965" s="40"/>
      <c r="AN965" s="40"/>
      <c r="AO965" s="40"/>
      <c r="AP965" s="40"/>
      <c r="AQ965" s="40"/>
      <c r="AR965" s="31"/>
      <c r="AS965" s="36">
        <v>0</v>
      </c>
      <c r="AY965" s="6"/>
      <c r="AZ965" s="2"/>
      <c r="BA965" s="2"/>
      <c r="BB965" s="2"/>
      <c r="BC965">
        <v>71500</v>
      </c>
      <c r="BD965">
        <v>56992</v>
      </c>
    </row>
    <row r="966" spans="3:56" x14ac:dyDescent="0.25">
      <c r="C966" s="1">
        <v>46586</v>
      </c>
      <c r="D966" s="36">
        <v>249932.632258064</v>
      </c>
      <c r="E966" s="33">
        <v>4.2064516129032299</v>
      </c>
      <c r="F966" s="33">
        <v>3.4218549103942699</v>
      </c>
      <c r="G966" s="2">
        <v>0.81347777777777797</v>
      </c>
      <c r="H966" s="2">
        <v>0.99</v>
      </c>
      <c r="I966" s="3"/>
      <c r="J966" s="3"/>
      <c r="K966" s="3"/>
      <c r="L966" s="3"/>
      <c r="M966" s="3"/>
      <c r="N966" s="3">
        <v>0</v>
      </c>
      <c r="O966" s="3"/>
      <c r="P966" s="3">
        <v>0</v>
      </c>
      <c r="Q966" s="3">
        <v>0</v>
      </c>
      <c r="R966" s="3">
        <v>0</v>
      </c>
      <c r="S966" s="3">
        <v>0</v>
      </c>
      <c r="T966" s="3">
        <v>0</v>
      </c>
      <c r="U966" s="3"/>
      <c r="V966" s="3"/>
      <c r="W966" s="3"/>
      <c r="X966" s="3"/>
      <c r="Y966" s="3"/>
      <c r="Z966" s="3"/>
      <c r="AA966" s="3"/>
      <c r="AB966" s="3"/>
      <c r="AC966" s="3"/>
      <c r="AD966" s="3"/>
      <c r="AE966" s="3">
        <v>0</v>
      </c>
      <c r="AF966" s="3">
        <v>0</v>
      </c>
      <c r="AG966" s="3"/>
      <c r="AH966" s="40"/>
      <c r="AI966" s="40"/>
      <c r="AJ966" s="40"/>
      <c r="AK966" s="40"/>
      <c r="AL966" s="40"/>
      <c r="AM966" s="40"/>
      <c r="AN966" s="40"/>
      <c r="AO966" s="40"/>
      <c r="AP966" s="40"/>
      <c r="AQ966" s="40"/>
      <c r="AR966" s="31"/>
      <c r="AS966" s="36">
        <v>0</v>
      </c>
      <c r="AY966" s="6"/>
      <c r="AZ966" s="2"/>
      <c r="BA966" s="2"/>
      <c r="BB966" s="2"/>
      <c r="BC966">
        <v>71500</v>
      </c>
      <c r="BD966">
        <v>56992</v>
      </c>
    </row>
    <row r="967" spans="3:56" x14ac:dyDescent="0.25">
      <c r="C967" s="1">
        <v>46587</v>
      </c>
      <c r="D967" s="36">
        <v>249932.632258064</v>
      </c>
      <c r="E967" s="33">
        <v>4.2064516129032299</v>
      </c>
      <c r="F967" s="33">
        <v>3.42180817204301</v>
      </c>
      <c r="G967" s="2">
        <v>0.813466666666667</v>
      </c>
      <c r="H967" s="2">
        <v>0.99</v>
      </c>
      <c r="I967" s="3"/>
      <c r="J967" s="3"/>
      <c r="K967" s="3"/>
      <c r="L967" s="3"/>
      <c r="M967" s="3"/>
      <c r="N967" s="3">
        <v>0</v>
      </c>
      <c r="O967" s="3"/>
      <c r="P967" s="3">
        <v>0</v>
      </c>
      <c r="Q967" s="3">
        <v>0</v>
      </c>
      <c r="R967" s="3">
        <v>0</v>
      </c>
      <c r="S967" s="3">
        <v>0</v>
      </c>
      <c r="T967" s="3">
        <v>0</v>
      </c>
      <c r="U967" s="3"/>
      <c r="V967" s="3"/>
      <c r="W967" s="3"/>
      <c r="X967" s="3"/>
      <c r="Y967" s="3"/>
      <c r="Z967" s="3"/>
      <c r="AA967" s="3"/>
      <c r="AB967" s="3"/>
      <c r="AC967" s="3"/>
      <c r="AD967" s="3"/>
      <c r="AE967" s="3">
        <v>0</v>
      </c>
      <c r="AF967" s="3">
        <v>0</v>
      </c>
      <c r="AG967" s="3"/>
      <c r="AH967" s="40"/>
      <c r="AI967" s="40"/>
      <c r="AJ967" s="40"/>
      <c r="AK967" s="40"/>
      <c r="AL967" s="40"/>
      <c r="AM967" s="40"/>
      <c r="AN967" s="40"/>
      <c r="AO967" s="40"/>
      <c r="AP967" s="40"/>
      <c r="AQ967" s="40"/>
      <c r="AR967" s="31"/>
      <c r="AS967" s="36">
        <v>0</v>
      </c>
      <c r="AY967" s="6"/>
      <c r="AZ967" s="2"/>
      <c r="BA967" s="2"/>
      <c r="BB967" s="2"/>
      <c r="BC967">
        <v>71500</v>
      </c>
      <c r="BD967">
        <v>56992</v>
      </c>
    </row>
    <row r="968" spans="3:56" x14ac:dyDescent="0.25">
      <c r="C968" s="1">
        <v>46588</v>
      </c>
      <c r="D968" s="36">
        <v>249932.632258064</v>
      </c>
      <c r="E968" s="33">
        <v>4.2064516129032299</v>
      </c>
      <c r="F968" s="33">
        <v>3.4217614336917599</v>
      </c>
      <c r="G968" s="2">
        <v>0.81345555555555504</v>
      </c>
      <c r="H968" s="2">
        <v>0.99</v>
      </c>
      <c r="I968" s="3"/>
      <c r="J968" s="3"/>
      <c r="K968" s="3"/>
      <c r="L968" s="3"/>
      <c r="M968" s="3"/>
      <c r="N968" s="3">
        <v>0</v>
      </c>
      <c r="O968" s="3"/>
      <c r="P968" s="3">
        <v>0</v>
      </c>
      <c r="Q968" s="3">
        <v>0</v>
      </c>
      <c r="R968" s="3">
        <v>0</v>
      </c>
      <c r="S968" s="3">
        <v>0</v>
      </c>
      <c r="T968" s="3">
        <v>0</v>
      </c>
      <c r="U968" s="3"/>
      <c r="V968" s="3"/>
      <c r="W968" s="3"/>
      <c r="X968" s="3"/>
      <c r="Y968" s="3"/>
      <c r="Z968" s="3"/>
      <c r="AA968" s="3"/>
      <c r="AB968" s="3"/>
      <c r="AC968" s="3"/>
      <c r="AD968" s="3"/>
      <c r="AE968" s="3">
        <v>0</v>
      </c>
      <c r="AF968" s="3">
        <v>0</v>
      </c>
      <c r="AG968" s="3"/>
      <c r="AH968" s="40"/>
      <c r="AI968" s="40"/>
      <c r="AJ968" s="40"/>
      <c r="AK968" s="40"/>
      <c r="AL968" s="40"/>
      <c r="AM968" s="40"/>
      <c r="AN968" s="40"/>
      <c r="AO968" s="40"/>
      <c r="AP968" s="40"/>
      <c r="AQ968" s="40"/>
      <c r="AR968" s="31"/>
      <c r="AS968" s="36">
        <v>0</v>
      </c>
      <c r="AY968" s="6"/>
      <c r="AZ968" s="2"/>
      <c r="BA968" s="2"/>
      <c r="BB968" s="2"/>
      <c r="BC968">
        <v>71500</v>
      </c>
      <c r="BD968">
        <v>56992</v>
      </c>
    </row>
    <row r="969" spans="3:56" x14ac:dyDescent="0.25">
      <c r="C969" s="1">
        <v>46589</v>
      </c>
      <c r="D969" s="36">
        <v>249932.632258064</v>
      </c>
      <c r="E969" s="33">
        <v>4.2064516129032299</v>
      </c>
      <c r="F969" s="33">
        <v>3.4217146953405</v>
      </c>
      <c r="G969" s="2">
        <v>0.81344444444444397</v>
      </c>
      <c r="H969" s="2">
        <v>0.99</v>
      </c>
      <c r="I969" s="3"/>
      <c r="J969" s="3"/>
      <c r="K969" s="3"/>
      <c r="L969" s="3"/>
      <c r="M969" s="3"/>
      <c r="N969" s="3">
        <v>0</v>
      </c>
      <c r="O969" s="3"/>
      <c r="P969" s="3">
        <v>0</v>
      </c>
      <c r="Q969" s="3">
        <v>0</v>
      </c>
      <c r="R969" s="3">
        <v>0</v>
      </c>
      <c r="S969" s="3">
        <v>0</v>
      </c>
      <c r="T969" s="3">
        <v>0</v>
      </c>
      <c r="U969" s="3"/>
      <c r="V969" s="3"/>
      <c r="W969" s="3"/>
      <c r="X969" s="3"/>
      <c r="Y969" s="3"/>
      <c r="Z969" s="3"/>
      <c r="AA969" s="3"/>
      <c r="AB969" s="3"/>
      <c r="AC969" s="3"/>
      <c r="AD969" s="3"/>
      <c r="AE969" s="3">
        <v>0</v>
      </c>
      <c r="AF969" s="3">
        <v>0</v>
      </c>
      <c r="AG969" s="3"/>
      <c r="AH969" s="40"/>
      <c r="AI969" s="40"/>
      <c r="AJ969" s="40"/>
      <c r="AK969" s="40"/>
      <c r="AL969" s="40"/>
      <c r="AM969" s="40"/>
      <c r="AN969" s="40"/>
      <c r="AO969" s="40"/>
      <c r="AP969" s="40"/>
      <c r="AQ969" s="40"/>
      <c r="AR969" s="31"/>
      <c r="AS969" s="36">
        <v>0</v>
      </c>
      <c r="AY969" s="6"/>
      <c r="AZ969" s="2"/>
      <c r="BA969" s="2"/>
      <c r="BB969" s="2"/>
      <c r="BC969">
        <v>71500</v>
      </c>
      <c r="BD969">
        <v>56992</v>
      </c>
    </row>
    <row r="970" spans="3:56" x14ac:dyDescent="0.25">
      <c r="C970" s="1">
        <v>46590</v>
      </c>
      <c r="D970" s="36">
        <v>249932.632258064</v>
      </c>
      <c r="E970" s="33">
        <v>4.2064516129032299</v>
      </c>
      <c r="F970" s="33">
        <v>3.4216679569892499</v>
      </c>
      <c r="G970" s="2">
        <v>0.81343333333333301</v>
      </c>
      <c r="H970" s="2">
        <v>0.99</v>
      </c>
      <c r="I970" s="3"/>
      <c r="J970" s="3"/>
      <c r="K970" s="3"/>
      <c r="L970" s="3"/>
      <c r="M970" s="3"/>
      <c r="N970" s="3">
        <v>0</v>
      </c>
      <c r="O970" s="3"/>
      <c r="P970" s="3">
        <v>0</v>
      </c>
      <c r="Q970" s="3">
        <v>0</v>
      </c>
      <c r="R970" s="3">
        <v>0</v>
      </c>
      <c r="S970" s="3">
        <v>0</v>
      </c>
      <c r="T970" s="3">
        <v>0</v>
      </c>
      <c r="U970" s="3"/>
      <c r="V970" s="3"/>
      <c r="W970" s="3"/>
      <c r="X970" s="3"/>
      <c r="Y970" s="3"/>
      <c r="Z970" s="3"/>
      <c r="AA970" s="3"/>
      <c r="AB970" s="3"/>
      <c r="AC970" s="3"/>
      <c r="AD970" s="3"/>
      <c r="AE970" s="3">
        <v>0</v>
      </c>
      <c r="AF970" s="3">
        <v>0</v>
      </c>
      <c r="AG970" s="3"/>
      <c r="AH970" s="40"/>
      <c r="AI970" s="40"/>
      <c r="AJ970" s="40"/>
      <c r="AK970" s="40"/>
      <c r="AL970" s="40"/>
      <c r="AM970" s="40"/>
      <c r="AN970" s="40"/>
      <c r="AO970" s="40"/>
      <c r="AP970" s="40"/>
      <c r="AQ970" s="40"/>
      <c r="AR970" s="31"/>
      <c r="AS970" s="36">
        <v>0</v>
      </c>
      <c r="AY970" s="6"/>
      <c r="AZ970" s="2"/>
      <c r="BA970" s="2"/>
      <c r="BB970" s="2"/>
      <c r="BC970">
        <v>71500</v>
      </c>
      <c r="BD970">
        <v>56992</v>
      </c>
    </row>
    <row r="971" spans="3:56" x14ac:dyDescent="0.25">
      <c r="C971" s="1">
        <v>46591</v>
      </c>
      <c r="D971" s="36">
        <v>249932.632258064</v>
      </c>
      <c r="E971" s="33">
        <v>4.2064516129032299</v>
      </c>
      <c r="F971" s="33">
        <v>3.42162121863799</v>
      </c>
      <c r="G971" s="2">
        <v>0.81342222222222205</v>
      </c>
      <c r="H971" s="2">
        <v>0.99</v>
      </c>
      <c r="I971" s="3"/>
      <c r="J971" s="3"/>
      <c r="K971" s="3"/>
      <c r="L971" s="3"/>
      <c r="M971" s="3"/>
      <c r="N971" s="3">
        <v>0</v>
      </c>
      <c r="O971" s="3"/>
      <c r="P971" s="3">
        <v>0</v>
      </c>
      <c r="Q971" s="3">
        <v>0</v>
      </c>
      <c r="R971" s="3">
        <v>0</v>
      </c>
      <c r="S971" s="3">
        <v>0</v>
      </c>
      <c r="T971" s="3">
        <v>0</v>
      </c>
      <c r="U971" s="3"/>
      <c r="V971" s="3"/>
      <c r="W971" s="3"/>
      <c r="X971" s="3"/>
      <c r="Y971" s="3"/>
      <c r="Z971" s="3"/>
      <c r="AA971" s="3"/>
      <c r="AB971" s="3"/>
      <c r="AC971" s="3"/>
      <c r="AD971" s="3"/>
      <c r="AE971" s="3">
        <v>0</v>
      </c>
      <c r="AF971" s="3">
        <v>0</v>
      </c>
      <c r="AG971" s="3"/>
      <c r="AH971" s="40"/>
      <c r="AI971" s="40"/>
      <c r="AJ971" s="40"/>
      <c r="AK971" s="40"/>
      <c r="AL971" s="40"/>
      <c r="AM971" s="40"/>
      <c r="AN971" s="40"/>
      <c r="AO971" s="40"/>
      <c r="AP971" s="40"/>
      <c r="AQ971" s="40"/>
      <c r="AR971" s="31"/>
      <c r="AS971" s="36">
        <v>0</v>
      </c>
      <c r="AY971" s="6"/>
      <c r="AZ971" s="2"/>
      <c r="BA971" s="2"/>
      <c r="BB971" s="2"/>
      <c r="BC971">
        <v>71500</v>
      </c>
      <c r="BD971">
        <v>56992</v>
      </c>
    </row>
    <row r="972" spans="3:56" x14ac:dyDescent="0.25">
      <c r="C972" s="1">
        <v>46592</v>
      </c>
      <c r="D972" s="36">
        <v>249932.632258064</v>
      </c>
      <c r="E972" s="33">
        <v>4.2064516129032299</v>
      </c>
      <c r="F972" s="33">
        <v>3.4215744802867398</v>
      </c>
      <c r="G972" s="2">
        <v>0.81341111111111097</v>
      </c>
      <c r="H972" s="2">
        <v>0.99</v>
      </c>
      <c r="I972" s="3"/>
      <c r="J972" s="3"/>
      <c r="K972" s="3"/>
      <c r="L972" s="3"/>
      <c r="M972" s="3"/>
      <c r="N972" s="3">
        <v>0</v>
      </c>
      <c r="O972" s="3"/>
      <c r="P972" s="3">
        <v>0</v>
      </c>
      <c r="Q972" s="3">
        <v>0</v>
      </c>
      <c r="R972" s="3">
        <v>0</v>
      </c>
      <c r="S972" s="3">
        <v>0</v>
      </c>
      <c r="T972" s="3">
        <v>0</v>
      </c>
      <c r="U972" s="3"/>
      <c r="V972" s="3"/>
      <c r="W972" s="3"/>
      <c r="X972" s="3"/>
      <c r="Y972" s="3"/>
      <c r="Z972" s="3"/>
      <c r="AA972" s="3"/>
      <c r="AB972" s="3"/>
      <c r="AC972" s="3"/>
      <c r="AD972" s="3"/>
      <c r="AE972" s="3">
        <v>0</v>
      </c>
      <c r="AF972" s="3">
        <v>0</v>
      </c>
      <c r="AG972" s="3"/>
      <c r="AH972" s="40"/>
      <c r="AI972" s="40"/>
      <c r="AJ972" s="40"/>
      <c r="AK972" s="40"/>
      <c r="AL972" s="40"/>
      <c r="AM972" s="40"/>
      <c r="AN972" s="40"/>
      <c r="AO972" s="40"/>
      <c r="AP972" s="40"/>
      <c r="AQ972" s="40"/>
      <c r="AR972" s="31"/>
      <c r="AS972" s="36">
        <v>0</v>
      </c>
      <c r="AY972" s="6"/>
      <c r="AZ972" s="2"/>
      <c r="BA972" s="2"/>
      <c r="BB972" s="2"/>
      <c r="BC972">
        <v>71500</v>
      </c>
      <c r="BD972">
        <v>56992</v>
      </c>
    </row>
    <row r="973" spans="3:56" x14ac:dyDescent="0.25">
      <c r="C973" s="1">
        <v>46593</v>
      </c>
      <c r="D973" s="36">
        <v>249932.632258064</v>
      </c>
      <c r="E973" s="33">
        <v>4.2064516129032299</v>
      </c>
      <c r="F973" s="33">
        <v>3.4215277419354799</v>
      </c>
      <c r="G973" s="2">
        <v>0.81340000000000001</v>
      </c>
      <c r="H973" s="2">
        <v>0.99</v>
      </c>
      <c r="I973" s="3"/>
      <c r="J973" s="3"/>
      <c r="K973" s="3"/>
      <c r="L973" s="3"/>
      <c r="M973" s="3"/>
      <c r="N973" s="3">
        <v>0</v>
      </c>
      <c r="O973" s="3"/>
      <c r="P973" s="3">
        <v>0</v>
      </c>
      <c r="Q973" s="3">
        <v>0</v>
      </c>
      <c r="R973" s="3">
        <v>0</v>
      </c>
      <c r="S973" s="3">
        <v>0</v>
      </c>
      <c r="T973" s="3">
        <v>0</v>
      </c>
      <c r="U973" s="3"/>
      <c r="V973" s="3"/>
      <c r="W973" s="3"/>
      <c r="X973" s="3"/>
      <c r="Y973" s="3"/>
      <c r="Z973" s="3"/>
      <c r="AA973" s="3"/>
      <c r="AB973" s="3"/>
      <c r="AC973" s="3"/>
      <c r="AD973" s="3"/>
      <c r="AE973" s="3">
        <v>0</v>
      </c>
      <c r="AF973" s="3">
        <v>0</v>
      </c>
      <c r="AG973" s="3"/>
      <c r="AH973" s="40"/>
      <c r="AI973" s="40"/>
      <c r="AJ973" s="40"/>
      <c r="AK973" s="40"/>
      <c r="AL973" s="40"/>
      <c r="AM973" s="40"/>
      <c r="AN973" s="40"/>
      <c r="AO973" s="40"/>
      <c r="AP973" s="40"/>
      <c r="AQ973" s="40"/>
      <c r="AR973" s="31"/>
      <c r="AS973" s="36">
        <v>0</v>
      </c>
      <c r="AY973" s="6"/>
      <c r="AZ973" s="2"/>
      <c r="BA973" s="2"/>
      <c r="BB973" s="2"/>
      <c r="BC973">
        <v>71500</v>
      </c>
      <c r="BD973">
        <v>56992</v>
      </c>
    </row>
    <row r="974" spans="3:56" x14ac:dyDescent="0.25">
      <c r="C974" s="1">
        <v>46594</v>
      </c>
      <c r="D974" s="36">
        <v>249932.632258064</v>
      </c>
      <c r="E974" s="33">
        <v>4.2064516129032299</v>
      </c>
      <c r="F974" s="33">
        <v>3.4214810035842298</v>
      </c>
      <c r="G974" s="2">
        <v>0.81338888888888905</v>
      </c>
      <c r="H974" s="2">
        <v>0.99</v>
      </c>
      <c r="I974" s="3"/>
      <c r="J974" s="3"/>
      <c r="K974" s="3"/>
      <c r="L974" s="3"/>
      <c r="M974" s="3"/>
      <c r="N974" s="3">
        <v>0</v>
      </c>
      <c r="O974" s="3"/>
      <c r="P974" s="3">
        <v>0</v>
      </c>
      <c r="Q974" s="3">
        <v>0</v>
      </c>
      <c r="R974" s="3">
        <v>0</v>
      </c>
      <c r="S974" s="3">
        <v>0</v>
      </c>
      <c r="T974" s="3">
        <v>0</v>
      </c>
      <c r="U974" s="3"/>
      <c r="V974" s="3"/>
      <c r="W974" s="3"/>
      <c r="X974" s="3"/>
      <c r="Y974" s="3"/>
      <c r="Z974" s="3"/>
      <c r="AA974" s="3"/>
      <c r="AB974" s="3"/>
      <c r="AC974" s="3"/>
      <c r="AD974" s="3"/>
      <c r="AE974" s="3">
        <v>0</v>
      </c>
      <c r="AF974" s="3">
        <v>0</v>
      </c>
      <c r="AG974" s="3"/>
      <c r="AH974" s="40"/>
      <c r="AI974" s="40"/>
      <c r="AJ974" s="40"/>
      <c r="AK974" s="40"/>
      <c r="AL974" s="40"/>
      <c r="AM974" s="40"/>
      <c r="AN974" s="40"/>
      <c r="AO974" s="40"/>
      <c r="AP974" s="40"/>
      <c r="AQ974" s="40"/>
      <c r="AR974" s="31"/>
      <c r="AS974" s="36">
        <v>0</v>
      </c>
      <c r="AY974" s="6"/>
      <c r="AZ974" s="2"/>
      <c r="BA974" s="2"/>
      <c r="BB974" s="2"/>
      <c r="BC974">
        <v>71500</v>
      </c>
      <c r="BD974">
        <v>56992</v>
      </c>
    </row>
    <row r="975" spans="3:56" x14ac:dyDescent="0.25">
      <c r="C975" s="1">
        <v>46595</v>
      </c>
      <c r="D975" s="36">
        <v>249932.632258064</v>
      </c>
      <c r="E975" s="33">
        <v>4.2064516129032299</v>
      </c>
      <c r="F975" s="33">
        <v>3.4214342652329801</v>
      </c>
      <c r="G975" s="2">
        <v>0.81337777777777798</v>
      </c>
      <c r="H975" s="2">
        <v>0.99</v>
      </c>
      <c r="I975" s="3"/>
      <c r="J975" s="3"/>
      <c r="K975" s="3"/>
      <c r="L975" s="3"/>
      <c r="M975" s="3"/>
      <c r="N975" s="3">
        <v>0</v>
      </c>
      <c r="O975" s="3"/>
      <c r="P975" s="3">
        <v>0</v>
      </c>
      <c r="Q975" s="3">
        <v>0</v>
      </c>
      <c r="R975" s="3">
        <v>0</v>
      </c>
      <c r="S975" s="3">
        <v>0</v>
      </c>
      <c r="T975" s="3">
        <v>0</v>
      </c>
      <c r="U975" s="3"/>
      <c r="V975" s="3"/>
      <c r="W975" s="3"/>
      <c r="X975" s="3"/>
      <c r="Y975" s="3"/>
      <c r="Z975" s="3"/>
      <c r="AA975" s="3"/>
      <c r="AB975" s="3"/>
      <c r="AC975" s="3"/>
      <c r="AD975" s="3"/>
      <c r="AE975" s="3">
        <v>0</v>
      </c>
      <c r="AF975" s="3">
        <v>0</v>
      </c>
      <c r="AG975" s="3"/>
      <c r="AH975" s="40"/>
      <c r="AI975" s="40"/>
      <c r="AJ975" s="40"/>
      <c r="AK975" s="40"/>
      <c r="AL975" s="40"/>
      <c r="AM975" s="40"/>
      <c r="AN975" s="40"/>
      <c r="AO975" s="40"/>
      <c r="AP975" s="40"/>
      <c r="AQ975" s="40"/>
      <c r="AR975" s="31"/>
      <c r="AS975" s="36">
        <v>0</v>
      </c>
      <c r="AY975" s="6"/>
      <c r="AZ975" s="2"/>
      <c r="BA975" s="2"/>
      <c r="BB975" s="2"/>
      <c r="BC975">
        <v>71500</v>
      </c>
      <c r="BD975">
        <v>56992</v>
      </c>
    </row>
    <row r="976" spans="3:56" x14ac:dyDescent="0.25">
      <c r="C976" s="1">
        <v>46596</v>
      </c>
      <c r="D976" s="36">
        <v>249932.632258064</v>
      </c>
      <c r="E976" s="33">
        <v>4.2064516129032299</v>
      </c>
      <c r="F976" s="33">
        <v>3.4213875268817202</v>
      </c>
      <c r="G976" s="2">
        <v>0.81336666666666702</v>
      </c>
      <c r="H976" s="2">
        <v>0.99</v>
      </c>
      <c r="I976" s="3"/>
      <c r="J976" s="3"/>
      <c r="K976" s="3"/>
      <c r="L976" s="3"/>
      <c r="M976" s="3"/>
      <c r="N976" s="3">
        <v>0</v>
      </c>
      <c r="O976" s="3"/>
      <c r="P976" s="3">
        <v>0</v>
      </c>
      <c r="Q976" s="3">
        <v>0</v>
      </c>
      <c r="R976" s="3">
        <v>0</v>
      </c>
      <c r="S976" s="3">
        <v>0</v>
      </c>
      <c r="T976" s="3">
        <v>0</v>
      </c>
      <c r="U976" s="3"/>
      <c r="V976" s="3"/>
      <c r="W976" s="3"/>
      <c r="X976" s="3"/>
      <c r="Y976" s="3"/>
      <c r="Z976" s="3"/>
      <c r="AA976" s="3"/>
      <c r="AB976" s="3"/>
      <c r="AC976" s="3"/>
      <c r="AD976" s="3"/>
      <c r="AE976" s="3">
        <v>0</v>
      </c>
      <c r="AF976" s="3">
        <v>0</v>
      </c>
      <c r="AG976" s="3"/>
      <c r="AH976" s="40"/>
      <c r="AI976" s="40"/>
      <c r="AJ976" s="40"/>
      <c r="AK976" s="40"/>
      <c r="AL976" s="40"/>
      <c r="AM976" s="40"/>
      <c r="AN976" s="40"/>
      <c r="AO976" s="40"/>
      <c r="AP976" s="40"/>
      <c r="AQ976" s="40"/>
      <c r="AR976" s="31"/>
      <c r="AS976" s="36">
        <v>0</v>
      </c>
      <c r="AY976" s="6"/>
      <c r="AZ976" s="2"/>
      <c r="BA976" s="2"/>
      <c r="BB976" s="2"/>
      <c r="BC976">
        <v>71500</v>
      </c>
      <c r="BD976">
        <v>56992</v>
      </c>
    </row>
    <row r="977" spans="3:56" x14ac:dyDescent="0.25">
      <c r="C977" s="1">
        <v>46597</v>
      </c>
      <c r="D977" s="36">
        <v>249932.632258064</v>
      </c>
      <c r="E977" s="33">
        <v>4.2064516129032299</v>
      </c>
      <c r="F977" s="33">
        <v>3.4213407885304701</v>
      </c>
      <c r="G977" s="2">
        <v>0.81335555555555505</v>
      </c>
      <c r="H977" s="2">
        <v>0.99</v>
      </c>
      <c r="I977" s="3"/>
      <c r="J977" s="3"/>
      <c r="K977" s="3"/>
      <c r="L977" s="3"/>
      <c r="M977" s="3"/>
      <c r="N977" s="3">
        <v>0</v>
      </c>
      <c r="O977" s="3"/>
      <c r="P977" s="3">
        <v>0</v>
      </c>
      <c r="Q977" s="3">
        <v>0</v>
      </c>
      <c r="R977" s="3">
        <v>0</v>
      </c>
      <c r="S977" s="3">
        <v>0</v>
      </c>
      <c r="T977" s="3">
        <v>0</v>
      </c>
      <c r="U977" s="3"/>
      <c r="V977" s="3"/>
      <c r="W977" s="3"/>
      <c r="X977" s="3"/>
      <c r="Y977" s="3"/>
      <c r="Z977" s="3"/>
      <c r="AA977" s="3"/>
      <c r="AB977" s="3"/>
      <c r="AC977" s="3"/>
      <c r="AD977" s="3"/>
      <c r="AE977" s="3">
        <v>0</v>
      </c>
      <c r="AF977" s="3">
        <v>0</v>
      </c>
      <c r="AG977" s="3"/>
      <c r="AH977" s="40"/>
      <c r="AI977" s="40"/>
      <c r="AJ977" s="40"/>
      <c r="AK977" s="40"/>
      <c r="AL977" s="40"/>
      <c r="AM977" s="40"/>
      <c r="AN977" s="40"/>
      <c r="AO977" s="40"/>
      <c r="AP977" s="40"/>
      <c r="AQ977" s="40"/>
      <c r="AR977" s="31"/>
      <c r="AS977" s="36">
        <v>0</v>
      </c>
      <c r="AY977" s="6"/>
      <c r="AZ977" s="2"/>
      <c r="BA977" s="2"/>
      <c r="BB977" s="2"/>
      <c r="BC977">
        <v>71500</v>
      </c>
      <c r="BD977">
        <v>56992</v>
      </c>
    </row>
    <row r="978" spans="3:56" x14ac:dyDescent="0.25">
      <c r="C978" s="1">
        <v>46598</v>
      </c>
      <c r="D978" s="36">
        <v>249932.632258064</v>
      </c>
      <c r="E978" s="33">
        <v>4.2064516129032299</v>
      </c>
      <c r="F978" s="33">
        <v>3.4212940501792102</v>
      </c>
      <c r="G978" s="2">
        <v>0.81334444444444398</v>
      </c>
      <c r="H978" s="2">
        <v>0.99</v>
      </c>
      <c r="I978" s="3"/>
      <c r="J978" s="3"/>
      <c r="K978" s="3"/>
      <c r="L978" s="3"/>
      <c r="M978" s="3"/>
      <c r="N978" s="3">
        <v>0</v>
      </c>
      <c r="O978" s="3"/>
      <c r="P978" s="3">
        <v>0</v>
      </c>
      <c r="Q978" s="3">
        <v>0</v>
      </c>
      <c r="R978" s="3">
        <v>0</v>
      </c>
      <c r="S978" s="3">
        <v>0</v>
      </c>
      <c r="T978" s="3">
        <v>0</v>
      </c>
      <c r="U978" s="3"/>
      <c r="V978" s="3"/>
      <c r="W978" s="3"/>
      <c r="X978" s="3"/>
      <c r="Y978" s="3"/>
      <c r="Z978" s="3"/>
      <c r="AA978" s="3"/>
      <c r="AB978" s="3"/>
      <c r="AC978" s="3"/>
      <c r="AD978" s="3"/>
      <c r="AE978" s="3">
        <v>0</v>
      </c>
      <c r="AF978" s="3">
        <v>0</v>
      </c>
      <c r="AG978" s="3"/>
      <c r="AH978" s="40"/>
      <c r="AI978" s="40"/>
      <c r="AJ978" s="40"/>
      <c r="AK978" s="40"/>
      <c r="AL978" s="40"/>
      <c r="AM978" s="40"/>
      <c r="AN978" s="40"/>
      <c r="AO978" s="40"/>
      <c r="AP978" s="40"/>
      <c r="AQ978" s="40"/>
      <c r="AR978" s="31"/>
      <c r="AS978" s="36">
        <v>0</v>
      </c>
      <c r="AY978" s="6"/>
      <c r="AZ978" s="2"/>
      <c r="BA978" s="2"/>
      <c r="BB978" s="2"/>
      <c r="BC978">
        <v>71500</v>
      </c>
      <c r="BD978">
        <v>56992</v>
      </c>
    </row>
    <row r="979" spans="3:56" x14ac:dyDescent="0.25">
      <c r="C979" s="1">
        <v>46599</v>
      </c>
      <c r="D979" s="36">
        <v>249932.632258064</v>
      </c>
      <c r="E979" s="33">
        <v>4.2064516129032299</v>
      </c>
      <c r="F979" s="33">
        <v>3.42124731182796</v>
      </c>
      <c r="G979" s="2">
        <v>0.81333333333333302</v>
      </c>
      <c r="H979" s="2">
        <v>0.99</v>
      </c>
      <c r="I979" s="3"/>
      <c r="J979" s="3"/>
      <c r="K979" s="3"/>
      <c r="L979" s="3"/>
      <c r="M979" s="3"/>
      <c r="N979" s="3">
        <v>0</v>
      </c>
      <c r="O979" s="3"/>
      <c r="P979" s="3">
        <v>0</v>
      </c>
      <c r="Q979" s="3">
        <v>0</v>
      </c>
      <c r="R979" s="3">
        <v>0</v>
      </c>
      <c r="S979" s="3">
        <v>0</v>
      </c>
      <c r="T979" s="3">
        <v>0</v>
      </c>
      <c r="U979" s="3"/>
      <c r="V979" s="3"/>
      <c r="W979" s="3"/>
      <c r="X979" s="3"/>
      <c r="Y979" s="3"/>
      <c r="Z979" s="3"/>
      <c r="AA979" s="3"/>
      <c r="AB979" s="3"/>
      <c r="AC979" s="3"/>
      <c r="AD979" s="3"/>
      <c r="AE979" s="3">
        <v>0</v>
      </c>
      <c r="AF979" s="3">
        <v>0</v>
      </c>
      <c r="AG979" s="3"/>
      <c r="AH979" s="40"/>
      <c r="AI979" s="40"/>
      <c r="AJ979" s="40"/>
      <c r="AK979" s="40"/>
      <c r="AL979" s="40"/>
      <c r="AM979" s="40"/>
      <c r="AN979" s="40"/>
      <c r="AO979" s="40"/>
      <c r="AP979" s="40"/>
      <c r="AQ979" s="40"/>
      <c r="AR979" s="31"/>
      <c r="AS979" s="36">
        <v>0</v>
      </c>
      <c r="AY979" s="6"/>
      <c r="AZ979" s="2"/>
      <c r="BA979" s="2"/>
      <c r="BB979" s="2"/>
      <c r="BC979">
        <v>71500</v>
      </c>
      <c r="BD979">
        <v>56992</v>
      </c>
    </row>
    <row r="980" spans="3:56" x14ac:dyDescent="0.25">
      <c r="C980" s="1">
        <v>46600</v>
      </c>
      <c r="D980" s="36">
        <v>261950.629032258</v>
      </c>
      <c r="E980" s="33">
        <v>4.4193548387096797</v>
      </c>
      <c r="F980" s="33">
        <v>3.5944086021505401</v>
      </c>
      <c r="G980" s="2">
        <v>0.81333333333333302</v>
      </c>
      <c r="H980" s="2">
        <v>0.99</v>
      </c>
      <c r="I980" s="3"/>
      <c r="J980" s="3"/>
      <c r="K980" s="3"/>
      <c r="L980" s="3"/>
      <c r="M980" s="3"/>
      <c r="N980" s="3">
        <v>0</v>
      </c>
      <c r="O980" s="3"/>
      <c r="P980" s="3">
        <v>0</v>
      </c>
      <c r="Q980" s="3">
        <v>0</v>
      </c>
      <c r="R980" s="3">
        <v>0</v>
      </c>
      <c r="S980" s="3">
        <v>0</v>
      </c>
      <c r="T980" s="3">
        <v>0</v>
      </c>
      <c r="U980" s="3"/>
      <c r="V980" s="3"/>
      <c r="W980" s="3"/>
      <c r="X980" s="3"/>
      <c r="Y980" s="3"/>
      <c r="Z980" s="3"/>
      <c r="AA980" s="3"/>
      <c r="AB980" s="3"/>
      <c r="AC980" s="3"/>
      <c r="AD980" s="3"/>
      <c r="AE980" s="3">
        <v>0</v>
      </c>
      <c r="AF980" s="3">
        <v>0</v>
      </c>
      <c r="AG980" s="3"/>
      <c r="AH980" s="40"/>
      <c r="AI980" s="40"/>
      <c r="AJ980" s="40"/>
      <c r="AK980" s="40"/>
      <c r="AL980" s="40"/>
      <c r="AM980" s="40"/>
      <c r="AN980" s="40"/>
      <c r="AO980" s="40"/>
      <c r="AP980" s="40"/>
      <c r="AQ980" s="40"/>
      <c r="AR980" s="31"/>
      <c r="AS980" s="36">
        <v>0</v>
      </c>
      <c r="AY980" s="6"/>
      <c r="AZ980" s="2"/>
      <c r="BA980" s="2"/>
      <c r="BB980" s="2"/>
      <c r="BC980">
        <v>71500</v>
      </c>
      <c r="BD980">
        <v>56992</v>
      </c>
    </row>
    <row r="981" spans="3:56" x14ac:dyDescent="0.25">
      <c r="C981" s="1">
        <v>46601</v>
      </c>
      <c r="D981" s="36">
        <v>261950.629032258</v>
      </c>
      <c r="E981" s="33">
        <v>4.4193548387096797</v>
      </c>
      <c r="F981" s="33">
        <v>3.5943594982078801</v>
      </c>
      <c r="G981" s="2">
        <v>0.81332222222222195</v>
      </c>
      <c r="H981" s="2">
        <v>0.99</v>
      </c>
      <c r="I981" s="3"/>
      <c r="J981" s="3"/>
      <c r="K981" s="3"/>
      <c r="L981" s="3"/>
      <c r="M981" s="3"/>
      <c r="N981" s="3">
        <v>0</v>
      </c>
      <c r="O981" s="3"/>
      <c r="P981" s="3">
        <v>0</v>
      </c>
      <c r="Q981" s="3">
        <v>0</v>
      </c>
      <c r="R981" s="3">
        <v>0</v>
      </c>
      <c r="S981" s="3">
        <v>0</v>
      </c>
      <c r="T981" s="3">
        <v>0</v>
      </c>
      <c r="U981" s="3"/>
      <c r="V981" s="3"/>
      <c r="W981" s="3"/>
      <c r="X981" s="3"/>
      <c r="Y981" s="3"/>
      <c r="Z981" s="3"/>
      <c r="AA981" s="3"/>
      <c r="AB981" s="3"/>
      <c r="AC981" s="3"/>
      <c r="AD981" s="3"/>
      <c r="AE981" s="3">
        <v>0</v>
      </c>
      <c r="AF981" s="3">
        <v>0</v>
      </c>
      <c r="AG981" s="3"/>
      <c r="AH981" s="40"/>
      <c r="AI981" s="40"/>
      <c r="AJ981" s="40"/>
      <c r="AK981" s="40"/>
      <c r="AL981" s="40"/>
      <c r="AM981" s="40"/>
      <c r="AN981" s="40"/>
      <c r="AO981" s="40"/>
      <c r="AP981" s="40"/>
      <c r="AQ981" s="40"/>
      <c r="AR981" s="31"/>
      <c r="AS981" s="36">
        <v>0</v>
      </c>
      <c r="AY981" s="6"/>
      <c r="AZ981" s="2"/>
      <c r="BA981" s="2"/>
      <c r="BB981" s="2"/>
      <c r="BC981">
        <v>71500</v>
      </c>
      <c r="BD981">
        <v>56992</v>
      </c>
    </row>
    <row r="982" spans="3:56" x14ac:dyDescent="0.25">
      <c r="C982" s="1">
        <v>46602</v>
      </c>
      <c r="D982" s="36">
        <v>261950.629032258</v>
      </c>
      <c r="E982" s="33">
        <v>4.4193548387096797</v>
      </c>
      <c r="F982" s="33">
        <v>3.5943103942652299</v>
      </c>
      <c r="G982" s="2">
        <v>0.81331111111111098</v>
      </c>
      <c r="H982" s="2">
        <v>0.99</v>
      </c>
      <c r="I982" s="3"/>
      <c r="J982" s="3"/>
      <c r="K982" s="3"/>
      <c r="L982" s="3"/>
      <c r="M982" s="3"/>
      <c r="N982" s="3">
        <v>0</v>
      </c>
      <c r="O982" s="3"/>
      <c r="P982" s="3">
        <v>0</v>
      </c>
      <c r="Q982" s="3">
        <v>0</v>
      </c>
      <c r="R982" s="3">
        <v>0</v>
      </c>
      <c r="S982" s="3">
        <v>0</v>
      </c>
      <c r="T982" s="3">
        <v>0</v>
      </c>
      <c r="U982" s="3"/>
      <c r="V982" s="3"/>
      <c r="W982" s="3"/>
      <c r="X982" s="3"/>
      <c r="Y982" s="3"/>
      <c r="Z982" s="3"/>
      <c r="AA982" s="3"/>
      <c r="AB982" s="3"/>
      <c r="AC982" s="3"/>
      <c r="AD982" s="3"/>
      <c r="AE982" s="3">
        <v>0</v>
      </c>
      <c r="AF982" s="3">
        <v>0</v>
      </c>
      <c r="AG982" s="3"/>
      <c r="AH982" s="40"/>
      <c r="AI982" s="40"/>
      <c r="AJ982" s="40"/>
      <c r="AK982" s="40"/>
      <c r="AL982" s="40"/>
      <c r="AM982" s="40"/>
      <c r="AN982" s="40"/>
      <c r="AO982" s="40"/>
      <c r="AP982" s="40"/>
      <c r="AQ982" s="40"/>
      <c r="AR982" s="31"/>
      <c r="AS982" s="36">
        <v>0</v>
      </c>
      <c r="AY982" s="6"/>
      <c r="AZ982" s="2"/>
      <c r="BA982" s="2"/>
      <c r="BB982" s="2"/>
      <c r="BC982">
        <v>71500</v>
      </c>
      <c r="BD982">
        <v>56992</v>
      </c>
    </row>
    <row r="983" spans="3:56" x14ac:dyDescent="0.25">
      <c r="C983" s="1">
        <v>46603</v>
      </c>
      <c r="D983" s="36">
        <v>261950.629032258</v>
      </c>
      <c r="E983" s="33">
        <v>4.4193548387096797</v>
      </c>
      <c r="F983" s="33">
        <v>3.5942612903225801</v>
      </c>
      <c r="G983" s="2">
        <v>0.81330000000000002</v>
      </c>
      <c r="H983" s="2">
        <v>0.99</v>
      </c>
      <c r="I983" s="3"/>
      <c r="J983" s="3"/>
      <c r="K983" s="3"/>
      <c r="L983" s="3"/>
      <c r="M983" s="3"/>
      <c r="N983" s="3">
        <v>0</v>
      </c>
      <c r="O983" s="3"/>
      <c r="P983" s="3">
        <v>0</v>
      </c>
      <c r="Q983" s="3">
        <v>0</v>
      </c>
      <c r="R983" s="3">
        <v>0</v>
      </c>
      <c r="S983" s="3">
        <v>0</v>
      </c>
      <c r="T983" s="3">
        <v>0</v>
      </c>
      <c r="U983" s="3"/>
      <c r="V983" s="3"/>
      <c r="W983" s="3"/>
      <c r="X983" s="3"/>
      <c r="Y983" s="3"/>
      <c r="Z983" s="3"/>
      <c r="AA983" s="3"/>
      <c r="AB983" s="3"/>
      <c r="AC983" s="3"/>
      <c r="AD983" s="3"/>
      <c r="AE983" s="3">
        <v>0</v>
      </c>
      <c r="AF983" s="3">
        <v>0</v>
      </c>
      <c r="AG983" s="3"/>
      <c r="AH983" s="40"/>
      <c r="AI983" s="40"/>
      <c r="AJ983" s="40"/>
      <c r="AK983" s="40"/>
      <c r="AL983" s="40"/>
      <c r="AM983" s="40"/>
      <c r="AN983" s="40"/>
      <c r="AO983" s="40"/>
      <c r="AP983" s="40"/>
      <c r="AQ983" s="40"/>
      <c r="AR983" s="31"/>
      <c r="AS983" s="36">
        <v>0</v>
      </c>
      <c r="AY983" s="6"/>
      <c r="AZ983" s="2"/>
      <c r="BA983" s="2"/>
      <c r="BB983" s="2"/>
      <c r="BC983">
        <v>71500</v>
      </c>
      <c r="BD983">
        <v>56992</v>
      </c>
    </row>
    <row r="984" spans="3:56" x14ac:dyDescent="0.25">
      <c r="C984" s="1">
        <v>46604</v>
      </c>
      <c r="D984" s="36">
        <v>261950.629032258</v>
      </c>
      <c r="E984" s="33">
        <v>4.4193548387096797</v>
      </c>
      <c r="F984" s="33">
        <v>3.5942121863799299</v>
      </c>
      <c r="G984" s="2">
        <v>0.81328888888888895</v>
      </c>
      <c r="H984" s="2">
        <v>0.99</v>
      </c>
      <c r="I984" s="3"/>
      <c r="J984" s="3"/>
      <c r="K984" s="3"/>
      <c r="L984" s="3"/>
      <c r="M984" s="3"/>
      <c r="N984" s="3">
        <v>0</v>
      </c>
      <c r="O984" s="3"/>
      <c r="P984" s="3">
        <v>0</v>
      </c>
      <c r="Q984" s="3">
        <v>0</v>
      </c>
      <c r="R984" s="3">
        <v>0</v>
      </c>
      <c r="S984" s="3">
        <v>0</v>
      </c>
      <c r="T984" s="3">
        <v>0</v>
      </c>
      <c r="U984" s="3"/>
      <c r="V984" s="3"/>
      <c r="W984" s="3"/>
      <c r="X984" s="3"/>
      <c r="Y984" s="3"/>
      <c r="Z984" s="3"/>
      <c r="AA984" s="3"/>
      <c r="AB984" s="3"/>
      <c r="AC984" s="3"/>
      <c r="AD984" s="3"/>
      <c r="AE984" s="3">
        <v>0</v>
      </c>
      <c r="AF984" s="3">
        <v>0</v>
      </c>
      <c r="AG984" s="3"/>
      <c r="AH984" s="40"/>
      <c r="AI984" s="40"/>
      <c r="AJ984" s="40"/>
      <c r="AK984" s="40"/>
      <c r="AL984" s="40"/>
      <c r="AM984" s="40"/>
      <c r="AN984" s="40"/>
      <c r="AO984" s="40"/>
      <c r="AP984" s="40"/>
      <c r="AQ984" s="40"/>
      <c r="AR984" s="31"/>
      <c r="AS984" s="36">
        <v>0</v>
      </c>
      <c r="AY984" s="6"/>
      <c r="AZ984" s="2"/>
      <c r="BA984" s="2"/>
      <c r="BB984" s="2"/>
      <c r="BC984">
        <v>71500</v>
      </c>
      <c r="BD984">
        <v>56992</v>
      </c>
    </row>
    <row r="985" spans="3:56" x14ac:dyDescent="0.25">
      <c r="C985" s="1">
        <v>46605</v>
      </c>
      <c r="D985" s="36">
        <v>261950.629032258</v>
      </c>
      <c r="E985" s="33">
        <v>4.4193548387096797</v>
      </c>
      <c r="F985" s="33">
        <v>3.5941630824372801</v>
      </c>
      <c r="G985" s="2">
        <v>0.81327777777777799</v>
      </c>
      <c r="H985" s="2">
        <v>0.99</v>
      </c>
      <c r="I985" s="3"/>
      <c r="J985" s="3"/>
      <c r="K985" s="3"/>
      <c r="L985" s="3"/>
      <c r="M985" s="3"/>
      <c r="N985" s="3">
        <v>0</v>
      </c>
      <c r="O985" s="3"/>
      <c r="P985" s="3">
        <v>0</v>
      </c>
      <c r="Q985" s="3">
        <v>0</v>
      </c>
      <c r="R985" s="3">
        <v>0</v>
      </c>
      <c r="S985" s="3">
        <v>0</v>
      </c>
      <c r="T985" s="3">
        <v>0</v>
      </c>
      <c r="U985" s="3"/>
      <c r="V985" s="3"/>
      <c r="W985" s="3"/>
      <c r="X985" s="3"/>
      <c r="Y985" s="3"/>
      <c r="Z985" s="3"/>
      <c r="AA985" s="3"/>
      <c r="AB985" s="3"/>
      <c r="AC985" s="3"/>
      <c r="AD985" s="3"/>
      <c r="AE985" s="3">
        <v>0</v>
      </c>
      <c r="AF985" s="3">
        <v>0</v>
      </c>
      <c r="AG985" s="3"/>
      <c r="AH985" s="40"/>
      <c r="AI985" s="40"/>
      <c r="AJ985" s="40"/>
      <c r="AK985" s="40"/>
      <c r="AL985" s="40"/>
      <c r="AM985" s="40"/>
      <c r="AN985" s="40"/>
      <c r="AO985" s="40"/>
      <c r="AP985" s="40"/>
      <c r="AQ985" s="40"/>
      <c r="AR985" s="31"/>
      <c r="AS985" s="36">
        <v>0</v>
      </c>
      <c r="AY985" s="6"/>
      <c r="AZ985" s="2"/>
      <c r="BA985" s="2"/>
      <c r="BB985" s="2"/>
      <c r="BC985">
        <v>71500</v>
      </c>
      <c r="BD985">
        <v>56992</v>
      </c>
    </row>
    <row r="986" spans="3:56" x14ac:dyDescent="0.25">
      <c r="C986" s="1">
        <v>46606</v>
      </c>
      <c r="D986" s="36">
        <v>261950.629032258</v>
      </c>
      <c r="E986" s="33">
        <v>4.4193548387096797</v>
      </c>
      <c r="F986" s="33">
        <v>3.5941139784946201</v>
      </c>
      <c r="G986" s="2">
        <v>0.81326666666666703</v>
      </c>
      <c r="H986" s="2">
        <v>0.99</v>
      </c>
      <c r="I986" s="3"/>
      <c r="J986" s="3"/>
      <c r="K986" s="3"/>
      <c r="L986" s="3"/>
      <c r="M986" s="3"/>
      <c r="N986" s="3">
        <v>0</v>
      </c>
      <c r="O986" s="3"/>
      <c r="P986" s="3">
        <v>0</v>
      </c>
      <c r="Q986" s="3">
        <v>0</v>
      </c>
      <c r="R986" s="3">
        <v>0</v>
      </c>
      <c r="S986" s="3">
        <v>0</v>
      </c>
      <c r="T986" s="3">
        <v>0</v>
      </c>
      <c r="U986" s="3"/>
      <c r="V986" s="3"/>
      <c r="W986" s="3"/>
      <c r="X986" s="3"/>
      <c r="Y986" s="3"/>
      <c r="Z986" s="3"/>
      <c r="AA986" s="3"/>
      <c r="AB986" s="3"/>
      <c r="AC986" s="3"/>
      <c r="AD986" s="3"/>
      <c r="AE986" s="3">
        <v>0</v>
      </c>
      <c r="AF986" s="3">
        <v>0</v>
      </c>
      <c r="AG986" s="3"/>
      <c r="AH986" s="40"/>
      <c r="AI986" s="40"/>
      <c r="AJ986" s="40"/>
      <c r="AK986" s="40"/>
      <c r="AL986" s="40"/>
      <c r="AM986" s="40"/>
      <c r="AN986" s="40"/>
      <c r="AO986" s="40"/>
      <c r="AP986" s="40"/>
      <c r="AQ986" s="40"/>
      <c r="AR986" s="31"/>
      <c r="AS986" s="36">
        <v>0</v>
      </c>
      <c r="AY986" s="6"/>
      <c r="AZ986" s="2"/>
      <c r="BA986" s="2"/>
      <c r="BB986" s="2"/>
      <c r="BC986">
        <v>71500</v>
      </c>
      <c r="BD986">
        <v>56992</v>
      </c>
    </row>
    <row r="987" spans="3:56" x14ac:dyDescent="0.25">
      <c r="C987" s="1">
        <v>46607</v>
      </c>
      <c r="D987" s="36">
        <v>261950.629032258</v>
      </c>
      <c r="E987" s="33">
        <v>4.4193548387096797</v>
      </c>
      <c r="F987" s="33">
        <v>3.5940648745519699</v>
      </c>
      <c r="G987" s="2">
        <v>0.81325555555555595</v>
      </c>
      <c r="H987" s="2">
        <v>0.99</v>
      </c>
      <c r="I987" s="3"/>
      <c r="J987" s="3"/>
      <c r="K987" s="3"/>
      <c r="L987" s="3"/>
      <c r="M987" s="3"/>
      <c r="N987" s="3">
        <v>0</v>
      </c>
      <c r="O987" s="3"/>
      <c r="P987" s="3">
        <v>0</v>
      </c>
      <c r="Q987" s="3">
        <v>0</v>
      </c>
      <c r="R987" s="3">
        <v>0</v>
      </c>
      <c r="S987" s="3">
        <v>0</v>
      </c>
      <c r="T987" s="3">
        <v>0</v>
      </c>
      <c r="U987" s="3"/>
      <c r="V987" s="3"/>
      <c r="W987" s="3"/>
      <c r="X987" s="3"/>
      <c r="Y987" s="3"/>
      <c r="Z987" s="3"/>
      <c r="AA987" s="3"/>
      <c r="AB987" s="3"/>
      <c r="AC987" s="3"/>
      <c r="AD987" s="3"/>
      <c r="AE987" s="3">
        <v>0</v>
      </c>
      <c r="AF987" s="3">
        <v>0</v>
      </c>
      <c r="AG987" s="3"/>
      <c r="AH987" s="40"/>
      <c r="AI987" s="40"/>
      <c r="AJ987" s="40"/>
      <c r="AK987" s="40"/>
      <c r="AL987" s="40"/>
      <c r="AM987" s="40"/>
      <c r="AN987" s="40"/>
      <c r="AO987" s="40"/>
      <c r="AP987" s="40"/>
      <c r="AQ987" s="40"/>
      <c r="AR987" s="31"/>
      <c r="AS987" s="36">
        <v>0</v>
      </c>
      <c r="AY987" s="6"/>
      <c r="AZ987" s="2"/>
      <c r="BA987" s="2"/>
      <c r="BB987" s="2"/>
      <c r="BC987">
        <v>71500</v>
      </c>
      <c r="BD987">
        <v>56992</v>
      </c>
    </row>
    <row r="988" spans="3:56" x14ac:dyDescent="0.25">
      <c r="C988" s="1">
        <v>46608</v>
      </c>
      <c r="D988" s="36">
        <v>261950.629032258</v>
      </c>
      <c r="E988" s="33">
        <v>4.4193548387096797</v>
      </c>
      <c r="F988" s="33">
        <v>3.5940157706093201</v>
      </c>
      <c r="G988" s="2">
        <v>0.81324444444444399</v>
      </c>
      <c r="H988" s="2">
        <v>0.99</v>
      </c>
      <c r="I988" s="3"/>
      <c r="J988" s="3"/>
      <c r="K988" s="3"/>
      <c r="L988" s="3"/>
      <c r="M988" s="3"/>
      <c r="N988" s="3">
        <v>0</v>
      </c>
      <c r="O988" s="3"/>
      <c r="P988" s="3">
        <v>0</v>
      </c>
      <c r="Q988" s="3">
        <v>0</v>
      </c>
      <c r="R988" s="3">
        <v>0</v>
      </c>
      <c r="S988" s="3">
        <v>0</v>
      </c>
      <c r="T988" s="3">
        <v>0</v>
      </c>
      <c r="U988" s="3"/>
      <c r="V988" s="3"/>
      <c r="W988" s="3"/>
      <c r="X988" s="3"/>
      <c r="Y988" s="3"/>
      <c r="Z988" s="3"/>
      <c r="AA988" s="3"/>
      <c r="AB988" s="3"/>
      <c r="AC988" s="3"/>
      <c r="AD988" s="3"/>
      <c r="AE988" s="3">
        <v>0</v>
      </c>
      <c r="AF988" s="3">
        <v>0</v>
      </c>
      <c r="AG988" s="3"/>
      <c r="AH988" s="40"/>
      <c r="AI988" s="40"/>
      <c r="AJ988" s="40"/>
      <c r="AK988" s="40"/>
      <c r="AL988" s="40"/>
      <c r="AM988" s="40"/>
      <c r="AN988" s="40"/>
      <c r="AO988" s="40"/>
      <c r="AP988" s="40"/>
      <c r="AQ988" s="40"/>
      <c r="AR988" s="31"/>
      <c r="AS988" s="36">
        <v>0</v>
      </c>
      <c r="AY988" s="6"/>
      <c r="AZ988" s="2"/>
      <c r="BA988" s="2"/>
      <c r="BB988" s="2"/>
      <c r="BC988">
        <v>71500</v>
      </c>
      <c r="BD988">
        <v>56992</v>
      </c>
    </row>
    <row r="989" spans="3:56" x14ac:dyDescent="0.25">
      <c r="C989" s="1">
        <v>46609</v>
      </c>
      <c r="D989" s="36">
        <v>261950.629032258</v>
      </c>
      <c r="E989" s="33">
        <v>4.4193548387096797</v>
      </c>
      <c r="F989" s="33">
        <v>3.5939666666666699</v>
      </c>
      <c r="G989" s="2">
        <v>0.81323333333333303</v>
      </c>
      <c r="H989" s="2">
        <v>0.99</v>
      </c>
      <c r="I989" s="3"/>
      <c r="J989" s="3"/>
      <c r="K989" s="3"/>
      <c r="L989" s="3"/>
      <c r="M989" s="3"/>
      <c r="N989" s="3">
        <v>0</v>
      </c>
      <c r="O989" s="3"/>
      <c r="P989" s="3">
        <v>0</v>
      </c>
      <c r="Q989" s="3">
        <v>0</v>
      </c>
      <c r="R989" s="3">
        <v>0</v>
      </c>
      <c r="S989" s="3">
        <v>0</v>
      </c>
      <c r="T989" s="3">
        <v>0</v>
      </c>
      <c r="U989" s="3"/>
      <c r="V989" s="3"/>
      <c r="W989" s="3"/>
      <c r="X989" s="3"/>
      <c r="Y989" s="3"/>
      <c r="Z989" s="3"/>
      <c r="AA989" s="3"/>
      <c r="AB989" s="3"/>
      <c r="AC989" s="3"/>
      <c r="AD989" s="3"/>
      <c r="AE989" s="3">
        <v>0</v>
      </c>
      <c r="AF989" s="3">
        <v>0</v>
      </c>
      <c r="AG989" s="3"/>
      <c r="AH989" s="40"/>
      <c r="AI989" s="40"/>
      <c r="AJ989" s="40"/>
      <c r="AK989" s="40"/>
      <c r="AL989" s="40"/>
      <c r="AM989" s="40"/>
      <c r="AN989" s="40"/>
      <c r="AO989" s="40"/>
      <c r="AP989" s="40"/>
      <c r="AQ989" s="40"/>
      <c r="AR989" s="31"/>
      <c r="AS989" s="36">
        <v>0</v>
      </c>
      <c r="AY989" s="6"/>
      <c r="AZ989" s="2"/>
      <c r="BA989" s="2"/>
      <c r="BB989" s="2"/>
      <c r="BC989">
        <v>71500</v>
      </c>
      <c r="BD989">
        <v>56992</v>
      </c>
    </row>
    <row r="990" spans="3:56" x14ac:dyDescent="0.25">
      <c r="C990" s="1">
        <v>46610</v>
      </c>
      <c r="D990" s="36">
        <v>261950.629032258</v>
      </c>
      <c r="E990" s="33">
        <v>4.4193548387096797</v>
      </c>
      <c r="F990" s="33">
        <v>3.5939175627240099</v>
      </c>
      <c r="G990" s="2">
        <v>0.81322222222222196</v>
      </c>
      <c r="H990" s="2">
        <v>0.99</v>
      </c>
      <c r="I990" s="3"/>
      <c r="J990" s="3"/>
      <c r="K990" s="3"/>
      <c r="L990" s="3"/>
      <c r="M990" s="3"/>
      <c r="N990" s="3">
        <v>0</v>
      </c>
      <c r="O990" s="3"/>
      <c r="P990" s="3">
        <v>0</v>
      </c>
      <c r="Q990" s="3">
        <v>0</v>
      </c>
      <c r="R990" s="3">
        <v>0</v>
      </c>
      <c r="S990" s="3">
        <v>0</v>
      </c>
      <c r="T990" s="3">
        <v>0</v>
      </c>
      <c r="U990" s="3"/>
      <c r="V990" s="3"/>
      <c r="W990" s="3"/>
      <c r="X990" s="3"/>
      <c r="Y990" s="3"/>
      <c r="Z990" s="3"/>
      <c r="AA990" s="3"/>
      <c r="AB990" s="3"/>
      <c r="AC990" s="3"/>
      <c r="AD990" s="3"/>
      <c r="AE990" s="3">
        <v>0</v>
      </c>
      <c r="AF990" s="3">
        <v>0</v>
      </c>
      <c r="AG990" s="3"/>
      <c r="AH990" s="40"/>
      <c r="AI990" s="40"/>
      <c r="AJ990" s="40"/>
      <c r="AK990" s="40"/>
      <c r="AL990" s="40"/>
      <c r="AM990" s="40"/>
      <c r="AN990" s="40"/>
      <c r="AO990" s="40"/>
      <c r="AP990" s="40"/>
      <c r="AQ990" s="40"/>
      <c r="AR990" s="31"/>
      <c r="AS990" s="36">
        <v>0</v>
      </c>
      <c r="AY990" s="6"/>
      <c r="AZ990" s="2"/>
      <c r="BA990" s="2"/>
      <c r="BB990" s="2"/>
      <c r="BC990">
        <v>71500</v>
      </c>
      <c r="BD990">
        <v>56992</v>
      </c>
    </row>
    <row r="991" spans="3:56" x14ac:dyDescent="0.25">
      <c r="C991" s="1">
        <v>46611</v>
      </c>
      <c r="D991" s="36">
        <v>261950.629032258</v>
      </c>
      <c r="E991" s="33">
        <v>4.4193548387096797</v>
      </c>
      <c r="F991" s="33">
        <v>3.5938684587813601</v>
      </c>
      <c r="G991" s="2">
        <v>0.813211111111111</v>
      </c>
      <c r="H991" s="2">
        <v>0.99</v>
      </c>
      <c r="I991" s="3"/>
      <c r="J991" s="3"/>
      <c r="K991" s="3"/>
      <c r="L991" s="3"/>
      <c r="M991" s="3"/>
      <c r="N991" s="3">
        <v>0</v>
      </c>
      <c r="O991" s="3"/>
      <c r="P991" s="3">
        <v>0</v>
      </c>
      <c r="Q991" s="3">
        <v>0</v>
      </c>
      <c r="R991" s="3">
        <v>0</v>
      </c>
      <c r="S991" s="3">
        <v>0</v>
      </c>
      <c r="T991" s="3">
        <v>0</v>
      </c>
      <c r="U991" s="3"/>
      <c r="V991" s="3"/>
      <c r="W991" s="3"/>
      <c r="X991" s="3"/>
      <c r="Y991" s="3"/>
      <c r="Z991" s="3"/>
      <c r="AA991" s="3"/>
      <c r="AB991" s="3"/>
      <c r="AC991" s="3"/>
      <c r="AD991" s="3"/>
      <c r="AE991" s="3">
        <v>0</v>
      </c>
      <c r="AF991" s="3">
        <v>0</v>
      </c>
      <c r="AG991" s="3"/>
      <c r="AH991" s="40"/>
      <c r="AI991" s="40"/>
      <c r="AJ991" s="40"/>
      <c r="AK991" s="40"/>
      <c r="AL991" s="40"/>
      <c r="AM991" s="40"/>
      <c r="AN991" s="40"/>
      <c r="AO991" s="40"/>
      <c r="AP991" s="40"/>
      <c r="AQ991" s="40"/>
      <c r="AR991" s="31"/>
      <c r="AS991" s="36">
        <v>0</v>
      </c>
      <c r="AY991" s="6"/>
      <c r="AZ991" s="2"/>
      <c r="BA991" s="2"/>
      <c r="BB991" s="2"/>
      <c r="BC991">
        <v>71500</v>
      </c>
      <c r="BD991">
        <v>56992</v>
      </c>
    </row>
    <row r="992" spans="3:56" x14ac:dyDescent="0.25">
      <c r="C992" s="1">
        <v>46612</v>
      </c>
      <c r="D992" s="36">
        <v>261950.629032258</v>
      </c>
      <c r="E992" s="33">
        <v>4.4193548387096797</v>
      </c>
      <c r="F992" s="33">
        <v>3.5938193548387098</v>
      </c>
      <c r="G992" s="2">
        <v>0.81320000000000003</v>
      </c>
      <c r="H992" s="2">
        <v>0.99</v>
      </c>
      <c r="I992" s="3"/>
      <c r="J992" s="3"/>
      <c r="K992" s="3"/>
      <c r="L992" s="3"/>
      <c r="M992" s="3"/>
      <c r="N992" s="3">
        <v>0</v>
      </c>
      <c r="O992" s="3"/>
      <c r="P992" s="3">
        <v>0</v>
      </c>
      <c r="Q992" s="3">
        <v>0</v>
      </c>
      <c r="R992" s="3">
        <v>0</v>
      </c>
      <c r="S992" s="3">
        <v>0</v>
      </c>
      <c r="T992" s="3">
        <v>0</v>
      </c>
      <c r="U992" s="3"/>
      <c r="V992" s="3"/>
      <c r="W992" s="3"/>
      <c r="X992" s="3"/>
      <c r="Y992" s="3"/>
      <c r="Z992" s="3"/>
      <c r="AA992" s="3"/>
      <c r="AB992" s="3"/>
      <c r="AC992" s="3"/>
      <c r="AD992" s="3"/>
      <c r="AE992" s="3">
        <v>0</v>
      </c>
      <c r="AF992" s="3">
        <v>0</v>
      </c>
      <c r="AG992" s="3"/>
      <c r="AH992" s="40"/>
      <c r="AI992" s="40"/>
      <c r="AJ992" s="40"/>
      <c r="AK992" s="40"/>
      <c r="AL992" s="40"/>
      <c r="AM992" s="40"/>
      <c r="AN992" s="40"/>
      <c r="AO992" s="40"/>
      <c r="AP992" s="40"/>
      <c r="AQ992" s="40"/>
      <c r="AR992" s="31"/>
      <c r="AS992" s="36">
        <v>0</v>
      </c>
      <c r="AY992" s="6"/>
      <c r="AZ992" s="2"/>
      <c r="BA992" s="2"/>
      <c r="BB992" s="2"/>
      <c r="BC992">
        <v>71500</v>
      </c>
      <c r="BD992">
        <v>56992</v>
      </c>
    </row>
    <row r="993" spans="3:56" x14ac:dyDescent="0.25">
      <c r="C993" s="1">
        <v>46613</v>
      </c>
      <c r="D993" s="36">
        <v>261950.629032258</v>
      </c>
      <c r="E993" s="33">
        <v>4.4193548387096797</v>
      </c>
      <c r="F993" s="33">
        <v>3.5937702508960601</v>
      </c>
      <c r="G993" s="2">
        <v>0.81318888888888896</v>
      </c>
      <c r="H993" s="2">
        <v>0.99</v>
      </c>
      <c r="I993" s="3"/>
      <c r="J993" s="3"/>
      <c r="K993" s="3"/>
      <c r="L993" s="3"/>
      <c r="M993" s="3"/>
      <c r="N993" s="3">
        <v>0</v>
      </c>
      <c r="O993" s="3"/>
      <c r="P993" s="3">
        <v>0</v>
      </c>
      <c r="Q993" s="3">
        <v>0</v>
      </c>
      <c r="R993" s="3">
        <v>0</v>
      </c>
      <c r="S993" s="3">
        <v>0</v>
      </c>
      <c r="T993" s="3">
        <v>0</v>
      </c>
      <c r="U993" s="3"/>
      <c r="V993" s="3"/>
      <c r="W993" s="3"/>
      <c r="X993" s="3"/>
      <c r="Y993" s="3"/>
      <c r="Z993" s="3"/>
      <c r="AA993" s="3"/>
      <c r="AB993" s="3"/>
      <c r="AC993" s="3"/>
      <c r="AD993" s="3"/>
      <c r="AE993" s="3">
        <v>0</v>
      </c>
      <c r="AF993" s="3">
        <v>0</v>
      </c>
      <c r="AG993" s="3"/>
      <c r="AH993" s="40"/>
      <c r="AI993" s="40"/>
      <c r="AJ993" s="40"/>
      <c r="AK993" s="40"/>
      <c r="AL993" s="40"/>
      <c r="AM993" s="40"/>
      <c r="AN993" s="40"/>
      <c r="AO993" s="40"/>
      <c r="AP993" s="40"/>
      <c r="AQ993" s="40"/>
      <c r="AR993" s="31"/>
      <c r="AS993" s="36">
        <v>0</v>
      </c>
      <c r="AY993" s="6"/>
      <c r="AZ993" s="2"/>
      <c r="BA993" s="2"/>
      <c r="BB993" s="2"/>
      <c r="BC993">
        <v>71500</v>
      </c>
      <c r="BD993">
        <v>56992</v>
      </c>
    </row>
    <row r="994" spans="3:56" x14ac:dyDescent="0.25">
      <c r="C994" s="1">
        <v>46614</v>
      </c>
      <c r="D994" s="36">
        <v>261950.629032258</v>
      </c>
      <c r="E994" s="33">
        <v>4.4193548387096797</v>
      </c>
      <c r="F994" s="33">
        <v>3.5937211469534001</v>
      </c>
      <c r="G994" s="2">
        <v>0.813177777777778</v>
      </c>
      <c r="H994" s="2">
        <v>0.99</v>
      </c>
      <c r="I994" s="3"/>
      <c r="J994" s="3"/>
      <c r="K994" s="3"/>
      <c r="L994" s="3"/>
      <c r="M994" s="3"/>
      <c r="N994" s="3">
        <v>0</v>
      </c>
      <c r="O994" s="3"/>
      <c r="P994" s="3">
        <v>0</v>
      </c>
      <c r="Q994" s="3">
        <v>0</v>
      </c>
      <c r="R994" s="3">
        <v>0</v>
      </c>
      <c r="S994" s="3">
        <v>0</v>
      </c>
      <c r="T994" s="3">
        <v>0</v>
      </c>
      <c r="U994" s="3"/>
      <c r="V994" s="3"/>
      <c r="W994" s="3"/>
      <c r="X994" s="3"/>
      <c r="Y994" s="3"/>
      <c r="Z994" s="3"/>
      <c r="AA994" s="3"/>
      <c r="AB994" s="3"/>
      <c r="AC994" s="3"/>
      <c r="AD994" s="3"/>
      <c r="AE994" s="3">
        <v>0</v>
      </c>
      <c r="AF994" s="3">
        <v>0</v>
      </c>
      <c r="AG994" s="3"/>
      <c r="AH994" s="40"/>
      <c r="AI994" s="40"/>
      <c r="AJ994" s="40"/>
      <c r="AK994" s="40"/>
      <c r="AL994" s="40"/>
      <c r="AM994" s="40"/>
      <c r="AN994" s="40"/>
      <c r="AO994" s="40"/>
      <c r="AP994" s="40"/>
      <c r="AQ994" s="40"/>
      <c r="AR994" s="31"/>
      <c r="AS994" s="36">
        <v>0</v>
      </c>
      <c r="AY994" s="6"/>
      <c r="AZ994" s="2"/>
      <c r="BA994" s="2"/>
      <c r="BB994" s="2"/>
      <c r="BC994">
        <v>71500</v>
      </c>
      <c r="BD994">
        <v>56992</v>
      </c>
    </row>
    <row r="995" spans="3:56" x14ac:dyDescent="0.25">
      <c r="C995" s="1">
        <v>46615</v>
      </c>
      <c r="D995" s="36">
        <v>261950.629032258</v>
      </c>
      <c r="E995" s="33">
        <v>4.4193548387096797</v>
      </c>
      <c r="F995" s="33">
        <v>3.5936720430107498</v>
      </c>
      <c r="G995" s="2">
        <v>0.81316666666666704</v>
      </c>
      <c r="H995" s="2">
        <v>0.99</v>
      </c>
      <c r="I995" s="3"/>
      <c r="J995" s="3"/>
      <c r="K995" s="3"/>
      <c r="L995" s="3"/>
      <c r="M995" s="3"/>
      <c r="N995" s="3">
        <v>0</v>
      </c>
      <c r="O995" s="3"/>
      <c r="P995" s="3">
        <v>0</v>
      </c>
      <c r="Q995" s="3">
        <v>0</v>
      </c>
      <c r="R995" s="3">
        <v>0</v>
      </c>
      <c r="S995" s="3">
        <v>0</v>
      </c>
      <c r="T995" s="3">
        <v>0</v>
      </c>
      <c r="U995" s="3"/>
      <c r="V995" s="3"/>
      <c r="W995" s="3"/>
      <c r="X995" s="3"/>
      <c r="Y995" s="3"/>
      <c r="Z995" s="3"/>
      <c r="AA995" s="3"/>
      <c r="AB995" s="3"/>
      <c r="AC995" s="3"/>
      <c r="AD995" s="3"/>
      <c r="AE995" s="3">
        <v>0</v>
      </c>
      <c r="AF995" s="3">
        <v>0</v>
      </c>
      <c r="AG995" s="3"/>
      <c r="AH995" s="40"/>
      <c r="AI995" s="40"/>
      <c r="AJ995" s="40"/>
      <c r="AK995" s="40"/>
      <c r="AL995" s="40"/>
      <c r="AM995" s="40"/>
      <c r="AN995" s="40"/>
      <c r="AO995" s="40"/>
      <c r="AP995" s="40"/>
      <c r="AQ995" s="40"/>
      <c r="AR995" s="31"/>
      <c r="AS995" s="36">
        <v>0</v>
      </c>
      <c r="AY995" s="6"/>
      <c r="AZ995" s="2"/>
      <c r="BA995" s="2"/>
      <c r="BB995" s="2"/>
      <c r="BC995">
        <v>71500</v>
      </c>
      <c r="BD995">
        <v>56992</v>
      </c>
    </row>
    <row r="996" spans="3:56" x14ac:dyDescent="0.25">
      <c r="C996" s="1">
        <v>46616</v>
      </c>
      <c r="D996" s="36">
        <v>261950.629032258</v>
      </c>
      <c r="E996" s="33">
        <v>4.4193548387096797</v>
      </c>
      <c r="F996" s="33">
        <v>3.5936229390681</v>
      </c>
      <c r="G996" s="2">
        <v>0.81315555555555596</v>
      </c>
      <c r="H996" s="2">
        <v>0.99</v>
      </c>
      <c r="I996" s="3"/>
      <c r="J996" s="3"/>
      <c r="K996" s="3"/>
      <c r="L996" s="3"/>
      <c r="M996" s="3"/>
      <c r="N996" s="3">
        <v>0</v>
      </c>
      <c r="O996" s="3"/>
      <c r="P996" s="3">
        <v>0</v>
      </c>
      <c r="Q996" s="3">
        <v>0</v>
      </c>
      <c r="R996" s="3">
        <v>0</v>
      </c>
      <c r="S996" s="3">
        <v>0</v>
      </c>
      <c r="T996" s="3">
        <v>0</v>
      </c>
      <c r="U996" s="3"/>
      <c r="V996" s="3"/>
      <c r="W996" s="3"/>
      <c r="X996" s="3"/>
      <c r="Y996" s="3"/>
      <c r="Z996" s="3"/>
      <c r="AA996" s="3"/>
      <c r="AB996" s="3"/>
      <c r="AC996" s="3"/>
      <c r="AD996" s="3"/>
      <c r="AE996" s="3">
        <v>0</v>
      </c>
      <c r="AF996" s="3">
        <v>0</v>
      </c>
      <c r="AG996" s="3"/>
      <c r="AH996" s="40"/>
      <c r="AI996" s="40"/>
      <c r="AJ996" s="40"/>
      <c r="AK996" s="40"/>
      <c r="AL996" s="40"/>
      <c r="AM996" s="40"/>
      <c r="AN996" s="40"/>
      <c r="AO996" s="40"/>
      <c r="AP996" s="40"/>
      <c r="AQ996" s="40"/>
      <c r="AR996" s="31"/>
      <c r="AS996" s="36">
        <v>0</v>
      </c>
      <c r="AY996" s="6"/>
      <c r="AZ996" s="2"/>
      <c r="BA996" s="2"/>
      <c r="BB996" s="2"/>
      <c r="BC996">
        <v>71500</v>
      </c>
      <c r="BD996">
        <v>56992</v>
      </c>
    </row>
    <row r="997" spans="3:56" x14ac:dyDescent="0.25">
      <c r="C997" s="1">
        <v>46617</v>
      </c>
      <c r="D997" s="36">
        <v>261950.629032258</v>
      </c>
      <c r="E997" s="33">
        <v>4.4193548387096797</v>
      </c>
      <c r="F997" s="33">
        <v>3.5935738351254498</v>
      </c>
      <c r="G997" s="2">
        <v>0.813144444444444</v>
      </c>
      <c r="H997" s="2">
        <v>0.99</v>
      </c>
      <c r="I997" s="3"/>
      <c r="J997" s="3"/>
      <c r="K997" s="3"/>
      <c r="L997" s="3"/>
      <c r="M997" s="3"/>
      <c r="N997" s="3">
        <v>0</v>
      </c>
      <c r="O997" s="3"/>
      <c r="P997" s="3">
        <v>0</v>
      </c>
      <c r="Q997" s="3">
        <v>0</v>
      </c>
      <c r="R997" s="3">
        <v>0</v>
      </c>
      <c r="S997" s="3">
        <v>0</v>
      </c>
      <c r="T997" s="3">
        <v>0</v>
      </c>
      <c r="U997" s="3"/>
      <c r="V997" s="3"/>
      <c r="W997" s="3"/>
      <c r="X997" s="3"/>
      <c r="Y997" s="3"/>
      <c r="Z997" s="3"/>
      <c r="AA997" s="3"/>
      <c r="AB997" s="3"/>
      <c r="AC997" s="3"/>
      <c r="AD997" s="3"/>
      <c r="AE997" s="3">
        <v>0</v>
      </c>
      <c r="AF997" s="3">
        <v>0</v>
      </c>
      <c r="AG997" s="3"/>
      <c r="AH997" s="40"/>
      <c r="AI997" s="40"/>
      <c r="AJ997" s="40"/>
      <c r="AK997" s="40"/>
      <c r="AL997" s="40"/>
      <c r="AM997" s="40"/>
      <c r="AN997" s="40"/>
      <c r="AO997" s="40"/>
      <c r="AP997" s="40"/>
      <c r="AQ997" s="40"/>
      <c r="AR997" s="31"/>
      <c r="AS997" s="36">
        <v>0</v>
      </c>
      <c r="AY997" s="6"/>
      <c r="AZ997" s="2"/>
      <c r="BA997" s="2"/>
      <c r="BB997" s="2"/>
      <c r="BC997">
        <v>71500</v>
      </c>
      <c r="BD997">
        <v>56992</v>
      </c>
    </row>
    <row r="998" spans="3:56" x14ac:dyDescent="0.25">
      <c r="C998" s="1">
        <v>46618</v>
      </c>
      <c r="D998" s="36">
        <v>261950.629032258</v>
      </c>
      <c r="E998" s="33">
        <v>4.4193548387096797</v>
      </c>
      <c r="F998" s="33">
        <v>3.5935247311828</v>
      </c>
      <c r="G998" s="2">
        <v>0.81313333333333304</v>
      </c>
      <c r="H998" s="2">
        <v>0.99</v>
      </c>
      <c r="I998" s="3"/>
      <c r="J998" s="3"/>
      <c r="K998" s="3"/>
      <c r="L998" s="3"/>
      <c r="M998" s="3"/>
      <c r="N998" s="3">
        <v>0</v>
      </c>
      <c r="O998" s="3"/>
      <c r="P998" s="3">
        <v>0</v>
      </c>
      <c r="Q998" s="3">
        <v>0</v>
      </c>
      <c r="R998" s="3">
        <v>0</v>
      </c>
      <c r="S998" s="3">
        <v>0</v>
      </c>
      <c r="T998" s="3">
        <v>0</v>
      </c>
      <c r="U998" s="3"/>
      <c r="V998" s="3"/>
      <c r="W998" s="3"/>
      <c r="X998" s="3"/>
      <c r="Y998" s="3"/>
      <c r="Z998" s="3"/>
      <c r="AA998" s="3"/>
      <c r="AB998" s="3"/>
      <c r="AC998" s="3"/>
      <c r="AD998" s="3"/>
      <c r="AE998" s="3">
        <v>0</v>
      </c>
      <c r="AF998" s="3">
        <v>0</v>
      </c>
      <c r="AG998" s="3"/>
      <c r="AH998" s="40"/>
      <c r="AI998" s="40"/>
      <c r="AJ998" s="40"/>
      <c r="AK998" s="40"/>
      <c r="AL998" s="40"/>
      <c r="AM998" s="40"/>
      <c r="AN998" s="40"/>
      <c r="AO998" s="40"/>
      <c r="AP998" s="40"/>
      <c r="AQ998" s="40"/>
      <c r="AR998" s="31"/>
      <c r="AS998" s="36">
        <v>0</v>
      </c>
      <c r="AY998" s="6"/>
      <c r="AZ998" s="2"/>
      <c r="BA998" s="2"/>
      <c r="BB998" s="2"/>
      <c r="BC998">
        <v>71500</v>
      </c>
      <c r="BD998">
        <v>56992</v>
      </c>
    </row>
    <row r="999" spans="3:56" x14ac:dyDescent="0.25">
      <c r="C999" s="1">
        <v>46619</v>
      </c>
      <c r="D999" s="36">
        <v>261950.629032258</v>
      </c>
      <c r="E999" s="33">
        <v>4.4193548387096797</v>
      </c>
      <c r="F999" s="33">
        <v>3.59347562724014</v>
      </c>
      <c r="G999" s="2">
        <v>0.81312222222222197</v>
      </c>
      <c r="H999" s="2">
        <v>0.99</v>
      </c>
      <c r="I999" s="3"/>
      <c r="J999" s="3"/>
      <c r="K999" s="3"/>
      <c r="L999" s="3"/>
      <c r="M999" s="3"/>
      <c r="N999" s="3">
        <v>0</v>
      </c>
      <c r="O999" s="3"/>
      <c r="P999" s="3">
        <v>0</v>
      </c>
      <c r="Q999" s="3">
        <v>0</v>
      </c>
      <c r="R999" s="3">
        <v>0</v>
      </c>
      <c r="S999" s="3">
        <v>0</v>
      </c>
      <c r="T999" s="3">
        <v>0</v>
      </c>
      <c r="U999" s="3"/>
      <c r="V999" s="3"/>
      <c r="W999" s="3"/>
      <c r="X999" s="3"/>
      <c r="Y999" s="3"/>
      <c r="Z999" s="3"/>
      <c r="AA999" s="3"/>
      <c r="AB999" s="3"/>
      <c r="AC999" s="3"/>
      <c r="AD999" s="3"/>
      <c r="AE999" s="3">
        <v>0</v>
      </c>
      <c r="AF999" s="3">
        <v>0</v>
      </c>
      <c r="AG999" s="3"/>
      <c r="AH999" s="40"/>
      <c r="AI999" s="40"/>
      <c r="AJ999" s="40"/>
      <c r="AK999" s="40"/>
      <c r="AL999" s="40"/>
      <c r="AM999" s="40"/>
      <c r="AN999" s="40"/>
      <c r="AO999" s="40"/>
      <c r="AP999" s="40"/>
      <c r="AQ999" s="40"/>
      <c r="AR999" s="31"/>
      <c r="AS999" s="36">
        <v>0</v>
      </c>
      <c r="AY999" s="6"/>
      <c r="AZ999" s="2"/>
      <c r="BA999" s="2"/>
      <c r="BB999" s="2"/>
      <c r="BC999">
        <v>71500</v>
      </c>
      <c r="BD999">
        <v>56992</v>
      </c>
    </row>
    <row r="1000" spans="3:56" x14ac:dyDescent="0.25">
      <c r="C1000" s="1">
        <v>46620</v>
      </c>
      <c r="D1000" s="36">
        <v>261950.629032258</v>
      </c>
      <c r="E1000" s="33">
        <v>4.4193548387096797</v>
      </c>
      <c r="F1000" s="33">
        <v>3.5934265232974898</v>
      </c>
      <c r="G1000" s="2">
        <v>0.81311111111111101</v>
      </c>
      <c r="H1000" s="2">
        <v>0.99</v>
      </c>
      <c r="I1000" s="3"/>
      <c r="J1000" s="3"/>
      <c r="K1000" s="3"/>
      <c r="L1000" s="3"/>
      <c r="M1000" s="3"/>
      <c r="N1000" s="3">
        <v>0</v>
      </c>
      <c r="O1000" s="3"/>
      <c r="P1000" s="3">
        <v>0</v>
      </c>
      <c r="Q1000" s="3">
        <v>0</v>
      </c>
      <c r="R1000" s="3">
        <v>0</v>
      </c>
      <c r="S1000" s="3">
        <v>0</v>
      </c>
      <c r="T1000" s="3">
        <v>0</v>
      </c>
      <c r="U1000" s="3"/>
      <c r="V1000" s="3"/>
      <c r="W1000" s="3"/>
      <c r="X1000" s="3"/>
      <c r="Y1000" s="3"/>
      <c r="Z1000" s="3"/>
      <c r="AA1000" s="3"/>
      <c r="AB1000" s="3"/>
      <c r="AC1000" s="3"/>
      <c r="AD1000" s="3"/>
      <c r="AE1000" s="3">
        <v>0</v>
      </c>
      <c r="AF1000" s="3">
        <v>0</v>
      </c>
      <c r="AG1000" s="3"/>
      <c r="AH1000" s="40"/>
      <c r="AI1000" s="40"/>
      <c r="AJ1000" s="40"/>
      <c r="AK1000" s="40"/>
      <c r="AL1000" s="40"/>
      <c r="AM1000" s="40"/>
      <c r="AN1000" s="40"/>
      <c r="AO1000" s="40"/>
      <c r="AP1000" s="40"/>
      <c r="AQ1000" s="40"/>
      <c r="AR1000" s="31"/>
      <c r="AS1000" s="36">
        <v>0</v>
      </c>
      <c r="AY1000" s="6"/>
      <c r="AZ1000" s="2"/>
      <c r="BA1000" s="2"/>
      <c r="BB1000" s="2"/>
      <c r="BC1000">
        <v>71500</v>
      </c>
      <c r="BD1000">
        <v>56992</v>
      </c>
    </row>
    <row r="1001" spans="3:56" x14ac:dyDescent="0.25">
      <c r="C1001" s="1">
        <v>46621</v>
      </c>
      <c r="D1001" s="36">
        <v>261950.629032258</v>
      </c>
      <c r="E1001" s="33">
        <v>4.4193548387096797</v>
      </c>
      <c r="F1001" s="33">
        <v>3.59337741935484</v>
      </c>
      <c r="G1001" s="2">
        <v>0.81310000000000004</v>
      </c>
      <c r="H1001" s="2">
        <v>0.99</v>
      </c>
      <c r="I1001" s="3"/>
      <c r="J1001" s="3"/>
      <c r="K1001" s="3"/>
      <c r="L1001" s="3"/>
      <c r="M1001" s="3"/>
      <c r="N1001" s="3">
        <v>0</v>
      </c>
      <c r="O1001" s="3"/>
      <c r="P1001" s="3">
        <v>0</v>
      </c>
      <c r="Q1001" s="3">
        <v>0</v>
      </c>
      <c r="R1001" s="3">
        <v>0</v>
      </c>
      <c r="S1001" s="3">
        <v>0</v>
      </c>
      <c r="T1001" s="3">
        <v>0</v>
      </c>
      <c r="U1001" s="3"/>
      <c r="V1001" s="3"/>
      <c r="W1001" s="3"/>
      <c r="X1001" s="3"/>
      <c r="Y1001" s="3"/>
      <c r="Z1001" s="3"/>
      <c r="AA1001" s="3"/>
      <c r="AB1001" s="3"/>
      <c r="AC1001" s="3"/>
      <c r="AD1001" s="3"/>
      <c r="AE1001" s="3">
        <v>0</v>
      </c>
      <c r="AF1001" s="3">
        <v>0</v>
      </c>
      <c r="AG1001" s="3"/>
      <c r="AH1001" s="40"/>
      <c r="AI1001" s="40"/>
      <c r="AJ1001" s="40"/>
      <c r="AK1001" s="40"/>
      <c r="AL1001" s="40"/>
      <c r="AM1001" s="40"/>
      <c r="AN1001" s="40"/>
      <c r="AO1001" s="40"/>
      <c r="AP1001" s="40"/>
      <c r="AQ1001" s="40"/>
      <c r="AR1001" s="31"/>
      <c r="AS1001" s="36">
        <v>0</v>
      </c>
      <c r="AY1001" s="6"/>
      <c r="AZ1001" s="2"/>
      <c r="BA1001" s="2"/>
      <c r="BB1001" s="2"/>
      <c r="BC1001">
        <v>71500</v>
      </c>
      <c r="BD1001">
        <v>56992</v>
      </c>
    </row>
    <row r="1002" spans="3:56" x14ac:dyDescent="0.25">
      <c r="C1002" s="1">
        <v>46622</v>
      </c>
      <c r="D1002" s="36">
        <v>261950.629032258</v>
      </c>
      <c r="E1002" s="33">
        <v>4.4193548387096797</v>
      </c>
      <c r="F1002" s="33">
        <v>3.5933283154121902</v>
      </c>
      <c r="G1002" s="2">
        <v>0.81308888888888897</v>
      </c>
      <c r="H1002" s="2">
        <v>0.99</v>
      </c>
      <c r="I1002" s="3"/>
      <c r="J1002" s="3"/>
      <c r="K1002" s="3"/>
      <c r="L1002" s="3"/>
      <c r="M1002" s="3"/>
      <c r="N1002" s="3">
        <v>0</v>
      </c>
      <c r="O1002" s="3"/>
      <c r="P1002" s="3">
        <v>0</v>
      </c>
      <c r="Q1002" s="3">
        <v>0</v>
      </c>
      <c r="R1002" s="3">
        <v>0</v>
      </c>
      <c r="S1002" s="3">
        <v>0</v>
      </c>
      <c r="T1002" s="3">
        <v>0</v>
      </c>
      <c r="U1002" s="3"/>
      <c r="V1002" s="3"/>
      <c r="W1002" s="3"/>
      <c r="X1002" s="3"/>
      <c r="Y1002" s="3"/>
      <c r="Z1002" s="3"/>
      <c r="AA1002" s="3"/>
      <c r="AB1002" s="3"/>
      <c r="AC1002" s="3"/>
      <c r="AD1002" s="3"/>
      <c r="AE1002" s="3">
        <v>0</v>
      </c>
      <c r="AF1002" s="3">
        <v>0</v>
      </c>
      <c r="AG1002" s="3"/>
      <c r="AH1002" s="40"/>
      <c r="AI1002" s="40"/>
      <c r="AJ1002" s="40"/>
      <c r="AK1002" s="40"/>
      <c r="AL1002" s="40"/>
      <c r="AM1002" s="40"/>
      <c r="AN1002" s="40"/>
      <c r="AO1002" s="40"/>
      <c r="AP1002" s="40"/>
      <c r="AQ1002" s="40"/>
      <c r="AR1002" s="31"/>
      <c r="AS1002" s="36">
        <v>0</v>
      </c>
      <c r="AY1002" s="6"/>
      <c r="AZ1002" s="2"/>
      <c r="BA1002" s="2"/>
      <c r="BB1002" s="2"/>
      <c r="BC1002">
        <v>71500</v>
      </c>
      <c r="BD1002">
        <v>56992</v>
      </c>
    </row>
    <row r="1003" spans="3:56" x14ac:dyDescent="0.25">
      <c r="C1003" s="1">
        <v>46623</v>
      </c>
      <c r="D1003" s="36">
        <v>261950.629032258</v>
      </c>
      <c r="E1003" s="33">
        <v>4.4193548387096797</v>
      </c>
      <c r="F1003" s="33">
        <v>3.5932792114695302</v>
      </c>
      <c r="G1003" s="2">
        <v>0.81307777777777801</v>
      </c>
      <c r="H1003" s="2">
        <v>0.99</v>
      </c>
      <c r="I1003" s="3"/>
      <c r="J1003" s="3"/>
      <c r="K1003" s="3"/>
      <c r="L1003" s="3"/>
      <c r="M1003" s="3"/>
      <c r="N1003" s="3">
        <v>0</v>
      </c>
      <c r="O1003" s="3"/>
      <c r="P1003" s="3">
        <v>0</v>
      </c>
      <c r="Q1003" s="3">
        <v>0</v>
      </c>
      <c r="R1003" s="3">
        <v>0</v>
      </c>
      <c r="S1003" s="3">
        <v>0</v>
      </c>
      <c r="T1003" s="3">
        <v>0</v>
      </c>
      <c r="U1003" s="3"/>
      <c r="V1003" s="3"/>
      <c r="W1003" s="3"/>
      <c r="X1003" s="3"/>
      <c r="Y1003" s="3"/>
      <c r="Z1003" s="3"/>
      <c r="AA1003" s="3"/>
      <c r="AB1003" s="3"/>
      <c r="AC1003" s="3"/>
      <c r="AD1003" s="3"/>
      <c r="AE1003" s="3">
        <v>0</v>
      </c>
      <c r="AF1003" s="3">
        <v>0</v>
      </c>
      <c r="AG1003" s="3"/>
      <c r="AH1003" s="40"/>
      <c r="AI1003" s="40"/>
      <c r="AJ1003" s="40"/>
      <c r="AK1003" s="40"/>
      <c r="AL1003" s="40"/>
      <c r="AM1003" s="40"/>
      <c r="AN1003" s="40"/>
      <c r="AO1003" s="40"/>
      <c r="AP1003" s="40"/>
      <c r="AQ1003" s="40"/>
      <c r="AR1003" s="31"/>
      <c r="AS1003" s="36">
        <v>0</v>
      </c>
      <c r="AY1003" s="6"/>
      <c r="AZ1003" s="2"/>
      <c r="BA1003" s="2"/>
      <c r="BB1003" s="2"/>
      <c r="BC1003">
        <v>71500</v>
      </c>
      <c r="BD1003">
        <v>56992</v>
      </c>
    </row>
    <row r="1004" spans="3:56" x14ac:dyDescent="0.25">
      <c r="C1004" s="1">
        <v>46624</v>
      </c>
      <c r="D1004" s="36">
        <v>261950.629032258</v>
      </c>
      <c r="E1004" s="33">
        <v>4.4193548387096797</v>
      </c>
      <c r="F1004" s="33">
        <v>3.59323010752688</v>
      </c>
      <c r="G1004" s="2">
        <v>0.81306666666666705</v>
      </c>
      <c r="H1004" s="2">
        <v>0.99</v>
      </c>
      <c r="I1004" s="3"/>
      <c r="J1004" s="3"/>
      <c r="K1004" s="3"/>
      <c r="L1004" s="3"/>
      <c r="M1004" s="3"/>
      <c r="N1004" s="3">
        <v>0</v>
      </c>
      <c r="O1004" s="3"/>
      <c r="P1004" s="3">
        <v>0</v>
      </c>
      <c r="Q1004" s="3">
        <v>0</v>
      </c>
      <c r="R1004" s="3">
        <v>0</v>
      </c>
      <c r="S1004" s="3">
        <v>0</v>
      </c>
      <c r="T1004" s="3">
        <v>0</v>
      </c>
      <c r="U1004" s="3"/>
      <c r="V1004" s="3"/>
      <c r="W1004" s="3"/>
      <c r="X1004" s="3"/>
      <c r="Y1004" s="3"/>
      <c r="Z1004" s="3"/>
      <c r="AA1004" s="3"/>
      <c r="AB1004" s="3"/>
      <c r="AC1004" s="3"/>
      <c r="AD1004" s="3"/>
      <c r="AE1004" s="3">
        <v>0</v>
      </c>
      <c r="AF1004" s="3">
        <v>0</v>
      </c>
      <c r="AG1004" s="3"/>
      <c r="AH1004" s="40"/>
      <c r="AI1004" s="40"/>
      <c r="AJ1004" s="40"/>
      <c r="AK1004" s="40"/>
      <c r="AL1004" s="40"/>
      <c r="AM1004" s="40"/>
      <c r="AN1004" s="40"/>
      <c r="AO1004" s="40"/>
      <c r="AP1004" s="40"/>
      <c r="AQ1004" s="40"/>
      <c r="AR1004" s="31"/>
      <c r="AS1004" s="36">
        <v>0</v>
      </c>
      <c r="AY1004" s="6"/>
      <c r="AZ1004" s="2"/>
      <c r="BA1004" s="2"/>
      <c r="BB1004" s="2"/>
      <c r="BC1004">
        <v>71500</v>
      </c>
      <c r="BD1004">
        <v>56992</v>
      </c>
    </row>
    <row r="1005" spans="3:56" x14ac:dyDescent="0.25">
      <c r="C1005" s="1">
        <v>46625</v>
      </c>
      <c r="D1005" s="36">
        <v>261950.629032258</v>
      </c>
      <c r="E1005" s="33">
        <v>4.4193548387096797</v>
      </c>
      <c r="F1005" s="33">
        <v>3.5931810035842302</v>
      </c>
      <c r="G1005" s="2">
        <v>0.81305555555555598</v>
      </c>
      <c r="H1005" s="2">
        <v>0.99</v>
      </c>
      <c r="I1005" s="3"/>
      <c r="J1005" s="3"/>
      <c r="K1005" s="3"/>
      <c r="L1005" s="3"/>
      <c r="M1005" s="3"/>
      <c r="N1005" s="3">
        <v>0</v>
      </c>
      <c r="O1005" s="3"/>
      <c r="P1005" s="3">
        <v>0</v>
      </c>
      <c r="Q1005" s="3">
        <v>0</v>
      </c>
      <c r="R1005" s="3">
        <v>0</v>
      </c>
      <c r="S1005" s="3">
        <v>0</v>
      </c>
      <c r="T1005" s="3">
        <v>0</v>
      </c>
      <c r="U1005" s="3"/>
      <c r="V1005" s="3"/>
      <c r="W1005" s="3"/>
      <c r="X1005" s="3"/>
      <c r="Y1005" s="3"/>
      <c r="Z1005" s="3"/>
      <c r="AA1005" s="3"/>
      <c r="AB1005" s="3"/>
      <c r="AC1005" s="3"/>
      <c r="AD1005" s="3"/>
      <c r="AE1005" s="3">
        <v>0</v>
      </c>
      <c r="AF1005" s="3">
        <v>0</v>
      </c>
      <c r="AG1005" s="3"/>
      <c r="AH1005" s="40"/>
      <c r="AI1005" s="40"/>
      <c r="AJ1005" s="40"/>
      <c r="AK1005" s="40"/>
      <c r="AL1005" s="40"/>
      <c r="AM1005" s="40"/>
      <c r="AN1005" s="40"/>
      <c r="AO1005" s="40"/>
      <c r="AP1005" s="40"/>
      <c r="AQ1005" s="40"/>
      <c r="AR1005" s="31"/>
      <c r="AS1005" s="36">
        <v>0</v>
      </c>
      <c r="AY1005" s="6"/>
      <c r="AZ1005" s="2"/>
      <c r="BA1005" s="2"/>
      <c r="BB1005" s="2"/>
      <c r="BC1005">
        <v>71500</v>
      </c>
      <c r="BD1005">
        <v>56992</v>
      </c>
    </row>
    <row r="1006" spans="3:56" x14ac:dyDescent="0.25">
      <c r="C1006" s="1">
        <v>46626</v>
      </c>
      <c r="D1006" s="36">
        <v>261950.629032258</v>
      </c>
      <c r="E1006" s="33">
        <v>4.4193548387096797</v>
      </c>
      <c r="F1006" s="33">
        <v>3.59313189964158</v>
      </c>
      <c r="G1006" s="2">
        <v>0.81304444444444401</v>
      </c>
      <c r="H1006" s="2">
        <v>0.99</v>
      </c>
      <c r="I1006" s="3"/>
      <c r="J1006" s="3"/>
      <c r="K1006" s="3"/>
      <c r="L1006" s="3"/>
      <c r="M1006" s="3"/>
      <c r="N1006" s="3">
        <v>0</v>
      </c>
      <c r="O1006" s="3"/>
      <c r="P1006" s="3">
        <v>0</v>
      </c>
      <c r="Q1006" s="3">
        <v>0</v>
      </c>
      <c r="R1006" s="3">
        <v>0</v>
      </c>
      <c r="S1006" s="3">
        <v>0</v>
      </c>
      <c r="T1006" s="3">
        <v>0</v>
      </c>
      <c r="U1006" s="3"/>
      <c r="V1006" s="3"/>
      <c r="W1006" s="3"/>
      <c r="X1006" s="3"/>
      <c r="Y1006" s="3"/>
      <c r="Z1006" s="3"/>
      <c r="AA1006" s="3"/>
      <c r="AB1006" s="3"/>
      <c r="AC1006" s="3"/>
      <c r="AD1006" s="3"/>
      <c r="AE1006" s="3">
        <v>0</v>
      </c>
      <c r="AF1006" s="3">
        <v>0</v>
      </c>
      <c r="AG1006" s="3"/>
      <c r="AH1006" s="40"/>
      <c r="AI1006" s="40"/>
      <c r="AJ1006" s="40"/>
      <c r="AK1006" s="40"/>
      <c r="AL1006" s="40"/>
      <c r="AM1006" s="40"/>
      <c r="AN1006" s="40"/>
      <c r="AO1006" s="40"/>
      <c r="AP1006" s="40"/>
      <c r="AQ1006" s="40"/>
      <c r="AR1006" s="31"/>
      <c r="AS1006" s="36">
        <v>0</v>
      </c>
      <c r="AY1006" s="6"/>
      <c r="AZ1006" s="2"/>
      <c r="BA1006" s="2"/>
      <c r="BB1006" s="2"/>
      <c r="BC1006">
        <v>71500</v>
      </c>
      <c r="BD1006">
        <v>56992</v>
      </c>
    </row>
    <row r="1007" spans="3:56" x14ac:dyDescent="0.25">
      <c r="C1007" s="1">
        <v>46627</v>
      </c>
      <c r="D1007" s="36">
        <v>261950.629032258</v>
      </c>
      <c r="E1007" s="33">
        <v>4.4193548387096797</v>
      </c>
      <c r="F1007" s="33">
        <v>3.59308279569892</v>
      </c>
      <c r="G1007" s="2">
        <v>0.81303333333333305</v>
      </c>
      <c r="H1007" s="2">
        <v>0.99</v>
      </c>
      <c r="I1007" s="3"/>
      <c r="J1007" s="3"/>
      <c r="K1007" s="3"/>
      <c r="L1007" s="3"/>
      <c r="M1007" s="3"/>
      <c r="N1007" s="3">
        <v>0</v>
      </c>
      <c r="O1007" s="3"/>
      <c r="P1007" s="3">
        <v>0</v>
      </c>
      <c r="Q1007" s="3">
        <v>0</v>
      </c>
      <c r="R1007" s="3">
        <v>0</v>
      </c>
      <c r="S1007" s="3">
        <v>0</v>
      </c>
      <c r="T1007" s="3">
        <v>0</v>
      </c>
      <c r="U1007" s="3"/>
      <c r="V1007" s="3"/>
      <c r="W1007" s="3"/>
      <c r="X1007" s="3"/>
      <c r="Y1007" s="3"/>
      <c r="Z1007" s="3"/>
      <c r="AA1007" s="3"/>
      <c r="AB1007" s="3"/>
      <c r="AC1007" s="3"/>
      <c r="AD1007" s="3"/>
      <c r="AE1007" s="3">
        <v>0</v>
      </c>
      <c r="AF1007" s="3">
        <v>0</v>
      </c>
      <c r="AG1007" s="3"/>
      <c r="AH1007" s="40"/>
      <c r="AI1007" s="40"/>
      <c r="AJ1007" s="40"/>
      <c r="AK1007" s="40"/>
      <c r="AL1007" s="40"/>
      <c r="AM1007" s="40"/>
      <c r="AN1007" s="40"/>
      <c r="AO1007" s="40"/>
      <c r="AP1007" s="40"/>
      <c r="AQ1007" s="40"/>
      <c r="AR1007" s="31"/>
      <c r="AS1007" s="36">
        <v>0</v>
      </c>
      <c r="AY1007" s="6"/>
      <c r="AZ1007" s="2"/>
      <c r="BA1007" s="2"/>
      <c r="BB1007" s="2"/>
      <c r="BC1007">
        <v>71500</v>
      </c>
      <c r="BD1007">
        <v>56992</v>
      </c>
    </row>
    <row r="1008" spans="3:56" x14ac:dyDescent="0.25">
      <c r="C1008" s="1">
        <v>46628</v>
      </c>
      <c r="D1008" s="36">
        <v>261950.629032258</v>
      </c>
      <c r="E1008" s="33">
        <v>4.4193548387096797</v>
      </c>
      <c r="F1008" s="33">
        <v>3.5930336917562702</v>
      </c>
      <c r="G1008" s="2">
        <v>0.81302222222222198</v>
      </c>
      <c r="H1008" s="2">
        <v>0.99</v>
      </c>
      <c r="I1008" s="3"/>
      <c r="J1008" s="3"/>
      <c r="K1008" s="3"/>
      <c r="L1008" s="3"/>
      <c r="M1008" s="3"/>
      <c r="N1008" s="3">
        <v>0</v>
      </c>
      <c r="O1008" s="3"/>
      <c r="P1008" s="3">
        <v>0</v>
      </c>
      <c r="Q1008" s="3">
        <v>0</v>
      </c>
      <c r="R1008" s="3">
        <v>0</v>
      </c>
      <c r="S1008" s="3">
        <v>0</v>
      </c>
      <c r="T1008" s="3">
        <v>0</v>
      </c>
      <c r="U1008" s="3"/>
      <c r="V1008" s="3"/>
      <c r="W1008" s="3"/>
      <c r="X1008" s="3"/>
      <c r="Y1008" s="3"/>
      <c r="Z1008" s="3"/>
      <c r="AA1008" s="3"/>
      <c r="AB1008" s="3"/>
      <c r="AC1008" s="3"/>
      <c r="AD1008" s="3"/>
      <c r="AE1008" s="3">
        <v>0</v>
      </c>
      <c r="AF1008" s="3">
        <v>0</v>
      </c>
      <c r="AG1008" s="3"/>
      <c r="AH1008" s="40"/>
      <c r="AI1008" s="40"/>
      <c r="AJ1008" s="40"/>
      <c r="AK1008" s="40"/>
      <c r="AL1008" s="40"/>
      <c r="AM1008" s="40"/>
      <c r="AN1008" s="40"/>
      <c r="AO1008" s="40"/>
      <c r="AP1008" s="40"/>
      <c r="AQ1008" s="40"/>
      <c r="AR1008" s="31"/>
      <c r="AS1008" s="36">
        <v>0</v>
      </c>
      <c r="AY1008" s="6"/>
      <c r="AZ1008" s="2"/>
      <c r="BA1008" s="2"/>
      <c r="BB1008" s="2"/>
      <c r="BC1008">
        <v>71500</v>
      </c>
      <c r="BD1008">
        <v>56992</v>
      </c>
    </row>
    <row r="1009" spans="3:56" x14ac:dyDescent="0.25">
      <c r="C1009" s="1">
        <v>46629</v>
      </c>
      <c r="D1009" s="36">
        <v>261950.629032258</v>
      </c>
      <c r="E1009" s="33">
        <v>4.4193548387096797</v>
      </c>
      <c r="F1009" s="33">
        <v>3.59298458781362</v>
      </c>
      <c r="G1009" s="2">
        <v>0.81301111111111102</v>
      </c>
      <c r="H1009" s="2">
        <v>0.99</v>
      </c>
      <c r="I1009" s="3"/>
      <c r="J1009" s="3"/>
      <c r="K1009" s="3"/>
      <c r="L1009" s="3"/>
      <c r="M1009" s="3"/>
      <c r="N1009" s="3">
        <v>0</v>
      </c>
      <c r="O1009" s="3"/>
      <c r="P1009" s="3">
        <v>0</v>
      </c>
      <c r="Q1009" s="3">
        <v>0</v>
      </c>
      <c r="R1009" s="3">
        <v>0</v>
      </c>
      <c r="S1009" s="3">
        <v>0</v>
      </c>
      <c r="T1009" s="3">
        <v>0</v>
      </c>
      <c r="U1009" s="3"/>
      <c r="V1009" s="3"/>
      <c r="W1009" s="3"/>
      <c r="X1009" s="3"/>
      <c r="Y1009" s="3"/>
      <c r="Z1009" s="3"/>
      <c r="AA1009" s="3"/>
      <c r="AB1009" s="3"/>
      <c r="AC1009" s="3"/>
      <c r="AD1009" s="3"/>
      <c r="AE1009" s="3">
        <v>0</v>
      </c>
      <c r="AF1009" s="3">
        <v>0</v>
      </c>
      <c r="AG1009" s="3"/>
      <c r="AH1009" s="40"/>
      <c r="AI1009" s="40"/>
      <c r="AJ1009" s="40"/>
      <c r="AK1009" s="40"/>
      <c r="AL1009" s="40"/>
      <c r="AM1009" s="40"/>
      <c r="AN1009" s="40"/>
      <c r="AO1009" s="40"/>
      <c r="AP1009" s="40"/>
      <c r="AQ1009" s="40"/>
      <c r="AR1009" s="31"/>
      <c r="AS1009" s="36">
        <v>0</v>
      </c>
      <c r="AY1009" s="6"/>
      <c r="AZ1009" s="2"/>
      <c r="BA1009" s="2"/>
      <c r="BB1009" s="2"/>
      <c r="BC1009">
        <v>71500</v>
      </c>
      <c r="BD1009">
        <v>56992</v>
      </c>
    </row>
    <row r="1010" spans="3:56" x14ac:dyDescent="0.25">
      <c r="C1010" s="1">
        <v>46630</v>
      </c>
      <c r="D1010" s="36">
        <v>261950.629032258</v>
      </c>
      <c r="E1010" s="33">
        <v>4.4193548387096797</v>
      </c>
      <c r="F1010" s="33">
        <v>3.5929354838709702</v>
      </c>
      <c r="G1010" s="2">
        <v>0.81299999999999994</v>
      </c>
      <c r="H1010" s="2">
        <v>0.99</v>
      </c>
      <c r="I1010" s="3"/>
      <c r="J1010" s="3"/>
      <c r="K1010" s="3"/>
      <c r="L1010" s="3"/>
      <c r="M1010" s="3"/>
      <c r="N1010" s="3">
        <v>0</v>
      </c>
      <c r="O1010" s="3"/>
      <c r="P1010" s="3">
        <v>0</v>
      </c>
      <c r="Q1010" s="3">
        <v>0</v>
      </c>
      <c r="R1010" s="3">
        <v>0</v>
      </c>
      <c r="S1010" s="3">
        <v>0</v>
      </c>
      <c r="T1010" s="3">
        <v>0</v>
      </c>
      <c r="U1010" s="3"/>
      <c r="V1010" s="3"/>
      <c r="W1010" s="3"/>
      <c r="X1010" s="3"/>
      <c r="Y1010" s="3"/>
      <c r="Z1010" s="3"/>
      <c r="AA1010" s="3"/>
      <c r="AB1010" s="3"/>
      <c r="AC1010" s="3"/>
      <c r="AD1010" s="3"/>
      <c r="AE1010" s="3">
        <v>0</v>
      </c>
      <c r="AF1010" s="3">
        <v>0</v>
      </c>
      <c r="AG1010" s="3"/>
      <c r="AH1010" s="40"/>
      <c r="AI1010" s="40"/>
      <c r="AJ1010" s="40"/>
      <c r="AK1010" s="40"/>
      <c r="AL1010" s="40"/>
      <c r="AM1010" s="40"/>
      <c r="AN1010" s="40"/>
      <c r="AO1010" s="40"/>
      <c r="AP1010" s="40"/>
      <c r="AQ1010" s="40"/>
      <c r="AR1010" s="31"/>
      <c r="AS1010" s="36">
        <v>0</v>
      </c>
      <c r="AY1010" s="6"/>
      <c r="AZ1010" s="2"/>
      <c r="BA1010" s="2"/>
      <c r="BB1010" s="2"/>
      <c r="BC1010">
        <v>71500</v>
      </c>
      <c r="BD1010">
        <v>56992</v>
      </c>
    </row>
    <row r="1011" spans="3:56" x14ac:dyDescent="0.25">
      <c r="C1011" s="1">
        <v>46631</v>
      </c>
      <c r="D1011" s="36">
        <v>280814.82</v>
      </c>
      <c r="E1011" s="33">
        <v>4.7433333333333296</v>
      </c>
      <c r="F1011" s="33">
        <v>3.8563299999999998</v>
      </c>
      <c r="G1011" s="2">
        <v>0.81299999999999994</v>
      </c>
      <c r="H1011" s="2">
        <v>0.99</v>
      </c>
      <c r="I1011" s="3"/>
      <c r="J1011" s="3"/>
      <c r="K1011" s="3"/>
      <c r="L1011" s="3"/>
      <c r="M1011" s="3"/>
      <c r="N1011" s="3">
        <v>0</v>
      </c>
      <c r="O1011" s="3"/>
      <c r="P1011" s="3">
        <v>0</v>
      </c>
      <c r="Q1011" s="3">
        <v>0</v>
      </c>
      <c r="R1011" s="3">
        <v>0</v>
      </c>
      <c r="S1011" s="3">
        <v>0</v>
      </c>
      <c r="T1011" s="3">
        <v>0</v>
      </c>
      <c r="U1011" s="3"/>
      <c r="V1011" s="3"/>
      <c r="W1011" s="3"/>
      <c r="X1011" s="3"/>
      <c r="Y1011" s="3"/>
      <c r="Z1011" s="3"/>
      <c r="AA1011" s="3"/>
      <c r="AB1011" s="3"/>
      <c r="AC1011" s="3"/>
      <c r="AD1011" s="3"/>
      <c r="AE1011" s="3">
        <v>0</v>
      </c>
      <c r="AF1011" s="3">
        <v>0</v>
      </c>
      <c r="AG1011" s="3"/>
      <c r="AH1011" s="40"/>
      <c r="AI1011" s="40"/>
      <c r="AJ1011" s="40"/>
      <c r="AK1011" s="40"/>
      <c r="AL1011" s="40"/>
      <c r="AM1011" s="40"/>
      <c r="AN1011" s="40"/>
      <c r="AO1011" s="40"/>
      <c r="AP1011" s="40"/>
      <c r="AQ1011" s="40"/>
      <c r="AR1011" s="31"/>
      <c r="AS1011" s="36">
        <v>0</v>
      </c>
      <c r="AY1011" s="6"/>
      <c r="AZ1011" s="2"/>
      <c r="BA1011" s="2"/>
      <c r="BB1011" s="2"/>
      <c r="BC1011">
        <v>71500</v>
      </c>
      <c r="BD1011">
        <v>56992</v>
      </c>
    </row>
    <row r="1012" spans="3:56" x14ac:dyDescent="0.25">
      <c r="C1012" s="1">
        <v>46632</v>
      </c>
      <c r="D1012" s="36">
        <v>280814.82</v>
      </c>
      <c r="E1012" s="33">
        <v>4.7433333333333296</v>
      </c>
      <c r="F1012" s="33">
        <v>3.8562772962962999</v>
      </c>
      <c r="G1012" s="2">
        <v>0.81298888888888898</v>
      </c>
      <c r="H1012" s="2">
        <v>0.99</v>
      </c>
      <c r="I1012" s="3"/>
      <c r="J1012" s="3"/>
      <c r="K1012" s="3"/>
      <c r="L1012" s="3"/>
      <c r="M1012" s="3"/>
      <c r="N1012" s="3">
        <v>0</v>
      </c>
      <c r="O1012" s="3"/>
      <c r="P1012" s="3">
        <v>0</v>
      </c>
      <c r="Q1012" s="3">
        <v>0</v>
      </c>
      <c r="R1012" s="3">
        <v>0</v>
      </c>
      <c r="S1012" s="3">
        <v>0</v>
      </c>
      <c r="T1012" s="3">
        <v>0</v>
      </c>
      <c r="U1012" s="3"/>
      <c r="V1012" s="3"/>
      <c r="W1012" s="3"/>
      <c r="X1012" s="3"/>
      <c r="Y1012" s="3"/>
      <c r="Z1012" s="3"/>
      <c r="AA1012" s="3"/>
      <c r="AB1012" s="3"/>
      <c r="AC1012" s="3"/>
      <c r="AD1012" s="3"/>
      <c r="AE1012" s="3">
        <v>0</v>
      </c>
      <c r="AF1012" s="3">
        <v>0</v>
      </c>
      <c r="AG1012" s="3"/>
      <c r="AH1012" s="40"/>
      <c r="AI1012" s="40"/>
      <c r="AJ1012" s="40"/>
      <c r="AK1012" s="40"/>
      <c r="AL1012" s="40"/>
      <c r="AM1012" s="40"/>
      <c r="AN1012" s="40"/>
      <c r="AO1012" s="40"/>
      <c r="AP1012" s="40"/>
      <c r="AQ1012" s="40"/>
      <c r="AR1012" s="31"/>
      <c r="AS1012" s="36">
        <v>0</v>
      </c>
      <c r="AY1012" s="6"/>
      <c r="AZ1012" s="2"/>
      <c r="BA1012" s="2"/>
      <c r="BB1012" s="2"/>
      <c r="BC1012">
        <v>71500</v>
      </c>
      <c r="BD1012">
        <v>56992</v>
      </c>
    </row>
    <row r="1013" spans="3:56" x14ac:dyDescent="0.25">
      <c r="C1013" s="1">
        <v>46633</v>
      </c>
      <c r="D1013" s="36">
        <v>280814.82</v>
      </c>
      <c r="E1013" s="33">
        <v>4.7433333333333296</v>
      </c>
      <c r="F1013" s="33">
        <v>3.8562245925925902</v>
      </c>
      <c r="G1013" s="2">
        <v>0.81297777777777802</v>
      </c>
      <c r="H1013" s="2">
        <v>0.99</v>
      </c>
      <c r="I1013" s="3"/>
      <c r="J1013" s="3"/>
      <c r="K1013" s="3"/>
      <c r="L1013" s="3"/>
      <c r="M1013" s="3"/>
      <c r="N1013" s="3">
        <v>0</v>
      </c>
      <c r="O1013" s="3"/>
      <c r="P1013" s="3">
        <v>0</v>
      </c>
      <c r="Q1013" s="3">
        <v>0</v>
      </c>
      <c r="R1013" s="3">
        <v>0</v>
      </c>
      <c r="S1013" s="3">
        <v>0</v>
      </c>
      <c r="T1013" s="3">
        <v>0</v>
      </c>
      <c r="U1013" s="3"/>
      <c r="V1013" s="3"/>
      <c r="W1013" s="3"/>
      <c r="X1013" s="3"/>
      <c r="Y1013" s="3"/>
      <c r="Z1013" s="3"/>
      <c r="AA1013" s="3"/>
      <c r="AB1013" s="3"/>
      <c r="AC1013" s="3"/>
      <c r="AD1013" s="3"/>
      <c r="AE1013" s="3">
        <v>0</v>
      </c>
      <c r="AF1013" s="3">
        <v>0</v>
      </c>
      <c r="AG1013" s="3"/>
      <c r="AH1013" s="40"/>
      <c r="AI1013" s="40"/>
      <c r="AJ1013" s="40"/>
      <c r="AK1013" s="40"/>
      <c r="AL1013" s="40"/>
      <c r="AM1013" s="40"/>
      <c r="AN1013" s="40"/>
      <c r="AO1013" s="40"/>
      <c r="AP1013" s="40"/>
      <c r="AQ1013" s="40"/>
      <c r="AR1013" s="31"/>
      <c r="AS1013" s="36">
        <v>0</v>
      </c>
      <c r="AY1013" s="6"/>
      <c r="AZ1013" s="2"/>
      <c r="BA1013" s="2"/>
      <c r="BB1013" s="2"/>
      <c r="BC1013">
        <v>71500</v>
      </c>
      <c r="BD1013">
        <v>56992</v>
      </c>
    </row>
    <row r="1014" spans="3:56" x14ac:dyDescent="0.25">
      <c r="C1014" s="1">
        <v>46634</v>
      </c>
      <c r="D1014" s="36">
        <v>280814.82</v>
      </c>
      <c r="E1014" s="33">
        <v>4.7433333333333296</v>
      </c>
      <c r="F1014" s="33">
        <v>3.8561718888888898</v>
      </c>
      <c r="G1014" s="2">
        <v>0.81296666666666695</v>
      </c>
      <c r="H1014" s="2">
        <v>0.99</v>
      </c>
      <c r="I1014" s="3"/>
      <c r="J1014" s="3"/>
      <c r="K1014" s="3"/>
      <c r="L1014" s="3"/>
      <c r="M1014" s="3"/>
      <c r="N1014" s="3">
        <v>0</v>
      </c>
      <c r="O1014" s="3"/>
      <c r="P1014" s="3">
        <v>0</v>
      </c>
      <c r="Q1014" s="3">
        <v>0</v>
      </c>
      <c r="R1014" s="3">
        <v>0</v>
      </c>
      <c r="S1014" s="3">
        <v>0</v>
      </c>
      <c r="T1014" s="3">
        <v>0</v>
      </c>
      <c r="U1014" s="3"/>
      <c r="V1014" s="3"/>
      <c r="W1014" s="3"/>
      <c r="X1014" s="3"/>
      <c r="Y1014" s="3"/>
      <c r="Z1014" s="3"/>
      <c r="AA1014" s="3"/>
      <c r="AB1014" s="3"/>
      <c r="AC1014" s="3"/>
      <c r="AD1014" s="3"/>
      <c r="AE1014" s="3">
        <v>0</v>
      </c>
      <c r="AF1014" s="3">
        <v>0</v>
      </c>
      <c r="AG1014" s="3"/>
      <c r="AH1014" s="40"/>
      <c r="AI1014" s="40"/>
      <c r="AJ1014" s="40"/>
      <c r="AK1014" s="40"/>
      <c r="AL1014" s="40"/>
      <c r="AM1014" s="40"/>
      <c r="AN1014" s="40"/>
      <c r="AO1014" s="40"/>
      <c r="AP1014" s="40"/>
      <c r="AQ1014" s="40"/>
      <c r="AR1014" s="31"/>
      <c r="AS1014" s="36">
        <v>0</v>
      </c>
      <c r="AY1014" s="6"/>
      <c r="AZ1014" s="2"/>
      <c r="BA1014" s="2"/>
      <c r="BB1014" s="2"/>
      <c r="BC1014">
        <v>71500</v>
      </c>
      <c r="BD1014">
        <v>56992</v>
      </c>
    </row>
    <row r="1015" spans="3:56" x14ac:dyDescent="0.25">
      <c r="C1015" s="1">
        <v>46635</v>
      </c>
      <c r="D1015" s="36">
        <v>280814.82</v>
      </c>
      <c r="E1015" s="33">
        <v>4.7433333333333296</v>
      </c>
      <c r="F1015" s="33">
        <v>3.8561191851851899</v>
      </c>
      <c r="G1015" s="2">
        <v>0.81295555555555599</v>
      </c>
      <c r="H1015" s="2">
        <v>0.99</v>
      </c>
      <c r="I1015" s="3"/>
      <c r="J1015" s="3"/>
      <c r="K1015" s="3"/>
      <c r="L1015" s="3"/>
      <c r="M1015" s="3"/>
      <c r="N1015" s="3">
        <v>0</v>
      </c>
      <c r="O1015" s="3"/>
      <c r="P1015" s="3">
        <v>0</v>
      </c>
      <c r="Q1015" s="3">
        <v>0</v>
      </c>
      <c r="R1015" s="3">
        <v>0</v>
      </c>
      <c r="S1015" s="3">
        <v>0</v>
      </c>
      <c r="T1015" s="3">
        <v>0</v>
      </c>
      <c r="U1015" s="3"/>
      <c r="V1015" s="3"/>
      <c r="W1015" s="3"/>
      <c r="X1015" s="3"/>
      <c r="Y1015" s="3"/>
      <c r="Z1015" s="3"/>
      <c r="AA1015" s="3"/>
      <c r="AB1015" s="3"/>
      <c r="AC1015" s="3"/>
      <c r="AD1015" s="3"/>
      <c r="AE1015" s="3">
        <v>0</v>
      </c>
      <c r="AF1015" s="3">
        <v>0</v>
      </c>
      <c r="AG1015" s="3"/>
      <c r="AH1015" s="40"/>
      <c r="AI1015" s="40"/>
      <c r="AJ1015" s="40"/>
      <c r="AK1015" s="40"/>
      <c r="AL1015" s="40"/>
      <c r="AM1015" s="40"/>
      <c r="AN1015" s="40"/>
      <c r="AO1015" s="40"/>
      <c r="AP1015" s="40"/>
      <c r="AQ1015" s="40"/>
      <c r="AR1015" s="31"/>
      <c r="AS1015" s="36">
        <v>0</v>
      </c>
      <c r="AY1015" s="6"/>
      <c r="AZ1015" s="2"/>
      <c r="BA1015" s="2"/>
      <c r="BB1015" s="2"/>
      <c r="BC1015">
        <v>71500</v>
      </c>
      <c r="BD1015">
        <v>56992</v>
      </c>
    </row>
    <row r="1016" spans="3:56" x14ac:dyDescent="0.25">
      <c r="C1016" s="1">
        <v>46636</v>
      </c>
      <c r="D1016" s="36">
        <v>280814.82</v>
      </c>
      <c r="E1016" s="33">
        <v>4.7433333333333296</v>
      </c>
      <c r="F1016" s="33">
        <v>3.8560664814814798</v>
      </c>
      <c r="G1016" s="2">
        <v>0.81294444444444403</v>
      </c>
      <c r="H1016" s="2">
        <v>0.99</v>
      </c>
      <c r="I1016" s="3"/>
      <c r="J1016" s="3"/>
      <c r="K1016" s="3"/>
      <c r="L1016" s="3"/>
      <c r="M1016" s="3"/>
      <c r="N1016" s="3">
        <v>0</v>
      </c>
      <c r="O1016" s="3"/>
      <c r="P1016" s="3">
        <v>0</v>
      </c>
      <c r="Q1016" s="3">
        <v>0</v>
      </c>
      <c r="R1016" s="3">
        <v>0</v>
      </c>
      <c r="S1016" s="3">
        <v>0</v>
      </c>
      <c r="T1016" s="3">
        <v>0</v>
      </c>
      <c r="U1016" s="3"/>
      <c r="V1016" s="3"/>
      <c r="W1016" s="3"/>
      <c r="X1016" s="3"/>
      <c r="Y1016" s="3"/>
      <c r="Z1016" s="3"/>
      <c r="AA1016" s="3"/>
      <c r="AB1016" s="3"/>
      <c r="AC1016" s="3"/>
      <c r="AD1016" s="3"/>
      <c r="AE1016" s="3">
        <v>0</v>
      </c>
      <c r="AF1016" s="3">
        <v>0</v>
      </c>
      <c r="AG1016" s="3"/>
      <c r="AH1016" s="40"/>
      <c r="AI1016" s="40"/>
      <c r="AJ1016" s="40"/>
      <c r="AK1016" s="40"/>
      <c r="AL1016" s="40"/>
      <c r="AM1016" s="40"/>
      <c r="AN1016" s="40"/>
      <c r="AO1016" s="40"/>
      <c r="AP1016" s="40"/>
      <c r="AQ1016" s="40"/>
      <c r="AR1016" s="31"/>
      <c r="AS1016" s="36">
        <v>0</v>
      </c>
      <c r="AY1016" s="6"/>
      <c r="AZ1016" s="2"/>
      <c r="BA1016" s="2"/>
      <c r="BB1016" s="2"/>
      <c r="BC1016">
        <v>71500</v>
      </c>
      <c r="BD1016">
        <v>56992</v>
      </c>
    </row>
    <row r="1017" spans="3:56" x14ac:dyDescent="0.25">
      <c r="C1017" s="1">
        <v>46637</v>
      </c>
      <c r="D1017" s="36">
        <v>280814.82</v>
      </c>
      <c r="E1017" s="33">
        <v>4.7433333333333296</v>
      </c>
      <c r="F1017" s="33">
        <v>3.8560137777777799</v>
      </c>
      <c r="G1017" s="2">
        <v>0.81293333333333295</v>
      </c>
      <c r="H1017" s="2">
        <v>0.99</v>
      </c>
      <c r="I1017" s="3"/>
      <c r="J1017" s="3"/>
      <c r="K1017" s="3"/>
      <c r="L1017" s="3"/>
      <c r="M1017" s="3"/>
      <c r="N1017" s="3">
        <v>0</v>
      </c>
      <c r="O1017" s="3"/>
      <c r="P1017" s="3">
        <v>0</v>
      </c>
      <c r="Q1017" s="3">
        <v>0</v>
      </c>
      <c r="R1017" s="3">
        <v>0</v>
      </c>
      <c r="S1017" s="3">
        <v>0</v>
      </c>
      <c r="T1017" s="3">
        <v>0</v>
      </c>
      <c r="U1017" s="3"/>
      <c r="V1017" s="3"/>
      <c r="W1017" s="3"/>
      <c r="X1017" s="3"/>
      <c r="Y1017" s="3"/>
      <c r="Z1017" s="3"/>
      <c r="AA1017" s="3"/>
      <c r="AB1017" s="3"/>
      <c r="AC1017" s="3"/>
      <c r="AD1017" s="3"/>
      <c r="AE1017" s="3">
        <v>0</v>
      </c>
      <c r="AF1017" s="3">
        <v>0</v>
      </c>
      <c r="AG1017" s="3"/>
      <c r="AH1017" s="40"/>
      <c r="AI1017" s="40"/>
      <c r="AJ1017" s="40"/>
      <c r="AK1017" s="40"/>
      <c r="AL1017" s="40"/>
      <c r="AM1017" s="40"/>
      <c r="AN1017" s="40"/>
      <c r="AO1017" s="40"/>
      <c r="AP1017" s="40"/>
      <c r="AQ1017" s="40"/>
      <c r="AR1017" s="31"/>
      <c r="AS1017" s="36">
        <v>0</v>
      </c>
      <c r="AY1017" s="6"/>
      <c r="AZ1017" s="2"/>
      <c r="BA1017" s="2"/>
      <c r="BB1017" s="2"/>
      <c r="BC1017">
        <v>71500</v>
      </c>
      <c r="BD1017">
        <v>56992</v>
      </c>
    </row>
    <row r="1018" spans="3:56" x14ac:dyDescent="0.25">
      <c r="C1018" s="1">
        <v>46638</v>
      </c>
      <c r="D1018" s="36">
        <v>280814.82</v>
      </c>
      <c r="E1018" s="33">
        <v>4.7433333333333296</v>
      </c>
      <c r="F1018" s="33">
        <v>3.8559610740740702</v>
      </c>
      <c r="G1018" s="2">
        <v>0.81292222222222199</v>
      </c>
      <c r="H1018" s="2">
        <v>0.99</v>
      </c>
      <c r="I1018" s="3"/>
      <c r="J1018" s="3"/>
      <c r="K1018" s="3"/>
      <c r="L1018" s="3"/>
      <c r="M1018" s="3"/>
      <c r="N1018" s="3">
        <v>0</v>
      </c>
      <c r="O1018" s="3"/>
      <c r="P1018" s="3">
        <v>0</v>
      </c>
      <c r="Q1018" s="3">
        <v>0</v>
      </c>
      <c r="R1018" s="3">
        <v>0</v>
      </c>
      <c r="S1018" s="3">
        <v>0</v>
      </c>
      <c r="T1018" s="3">
        <v>0</v>
      </c>
      <c r="U1018" s="3"/>
      <c r="V1018" s="3"/>
      <c r="W1018" s="3"/>
      <c r="X1018" s="3"/>
      <c r="Y1018" s="3"/>
      <c r="Z1018" s="3"/>
      <c r="AA1018" s="3"/>
      <c r="AB1018" s="3"/>
      <c r="AC1018" s="3"/>
      <c r="AD1018" s="3"/>
      <c r="AE1018" s="3">
        <v>0</v>
      </c>
      <c r="AF1018" s="3">
        <v>0</v>
      </c>
      <c r="AG1018" s="3"/>
      <c r="AH1018" s="40"/>
      <c r="AI1018" s="40"/>
      <c r="AJ1018" s="40"/>
      <c r="AK1018" s="40"/>
      <c r="AL1018" s="40"/>
      <c r="AM1018" s="40"/>
      <c r="AN1018" s="40"/>
      <c r="AO1018" s="40"/>
      <c r="AP1018" s="40"/>
      <c r="AQ1018" s="40"/>
      <c r="AR1018" s="31"/>
      <c r="AS1018" s="36">
        <v>0</v>
      </c>
      <c r="AY1018" s="6"/>
      <c r="AZ1018" s="2"/>
      <c r="BA1018" s="2"/>
      <c r="BB1018" s="2"/>
      <c r="BC1018">
        <v>71500</v>
      </c>
      <c r="BD1018">
        <v>56992</v>
      </c>
    </row>
    <row r="1019" spans="3:56" x14ac:dyDescent="0.25">
      <c r="C1019" s="1">
        <v>46639</v>
      </c>
      <c r="D1019" s="36">
        <v>280814.82</v>
      </c>
      <c r="E1019" s="33">
        <v>4.7433333333333296</v>
      </c>
      <c r="F1019" s="33">
        <v>3.8559083703703698</v>
      </c>
      <c r="G1019" s="2">
        <v>0.81291111111111103</v>
      </c>
      <c r="H1019" s="2">
        <v>0.99</v>
      </c>
      <c r="I1019" s="3"/>
      <c r="J1019" s="3"/>
      <c r="K1019" s="3"/>
      <c r="L1019" s="3"/>
      <c r="M1019" s="3"/>
      <c r="N1019" s="3">
        <v>0</v>
      </c>
      <c r="O1019" s="3"/>
      <c r="P1019" s="3">
        <v>0</v>
      </c>
      <c r="Q1019" s="3">
        <v>0</v>
      </c>
      <c r="R1019" s="3">
        <v>0</v>
      </c>
      <c r="S1019" s="3">
        <v>0</v>
      </c>
      <c r="T1019" s="3">
        <v>0</v>
      </c>
      <c r="U1019" s="3"/>
      <c r="V1019" s="3"/>
      <c r="W1019" s="3"/>
      <c r="X1019" s="3"/>
      <c r="Y1019" s="3"/>
      <c r="Z1019" s="3"/>
      <c r="AA1019" s="3"/>
      <c r="AB1019" s="3"/>
      <c r="AC1019" s="3"/>
      <c r="AD1019" s="3"/>
      <c r="AE1019" s="3">
        <v>0</v>
      </c>
      <c r="AF1019" s="3">
        <v>0</v>
      </c>
      <c r="AG1019" s="3"/>
      <c r="AH1019" s="40"/>
      <c r="AI1019" s="40"/>
      <c r="AJ1019" s="40"/>
      <c r="AK1019" s="40"/>
      <c r="AL1019" s="40"/>
      <c r="AM1019" s="40"/>
      <c r="AN1019" s="40"/>
      <c r="AO1019" s="40"/>
      <c r="AP1019" s="40"/>
      <c r="AQ1019" s="40"/>
      <c r="AR1019" s="31"/>
      <c r="AS1019" s="36">
        <v>0</v>
      </c>
      <c r="AY1019" s="6"/>
      <c r="AZ1019" s="2"/>
      <c r="BA1019" s="2"/>
      <c r="BB1019" s="2"/>
      <c r="BC1019">
        <v>71500</v>
      </c>
      <c r="BD1019">
        <v>56992</v>
      </c>
    </row>
    <row r="1020" spans="3:56" x14ac:dyDescent="0.25">
      <c r="C1020" s="1">
        <v>46640</v>
      </c>
      <c r="D1020" s="36">
        <v>280814.82</v>
      </c>
      <c r="E1020" s="33">
        <v>4.7433333333333296</v>
      </c>
      <c r="F1020" s="33">
        <v>3.8558556666666699</v>
      </c>
      <c r="G1020" s="2">
        <v>0.81289999999999996</v>
      </c>
      <c r="H1020" s="2">
        <v>0.99</v>
      </c>
      <c r="I1020" s="3"/>
      <c r="J1020" s="3"/>
      <c r="K1020" s="3"/>
      <c r="L1020" s="3"/>
      <c r="M1020" s="3"/>
      <c r="N1020" s="3">
        <v>0</v>
      </c>
      <c r="O1020" s="3"/>
      <c r="P1020" s="3">
        <v>0</v>
      </c>
      <c r="Q1020" s="3">
        <v>0</v>
      </c>
      <c r="R1020" s="3">
        <v>0</v>
      </c>
      <c r="S1020" s="3">
        <v>0</v>
      </c>
      <c r="T1020" s="3">
        <v>0</v>
      </c>
      <c r="U1020" s="3"/>
      <c r="V1020" s="3"/>
      <c r="W1020" s="3"/>
      <c r="X1020" s="3"/>
      <c r="Y1020" s="3"/>
      <c r="Z1020" s="3"/>
      <c r="AA1020" s="3"/>
      <c r="AB1020" s="3"/>
      <c r="AC1020" s="3"/>
      <c r="AD1020" s="3"/>
      <c r="AE1020" s="3">
        <v>0</v>
      </c>
      <c r="AF1020" s="3">
        <v>0</v>
      </c>
      <c r="AG1020" s="3"/>
      <c r="AH1020" s="40"/>
      <c r="AI1020" s="40"/>
      <c r="AJ1020" s="40"/>
      <c r="AK1020" s="40"/>
      <c r="AL1020" s="40"/>
      <c r="AM1020" s="40"/>
      <c r="AN1020" s="40"/>
      <c r="AO1020" s="40"/>
      <c r="AP1020" s="40"/>
      <c r="AQ1020" s="40"/>
      <c r="AR1020" s="31"/>
      <c r="AS1020" s="36">
        <v>0</v>
      </c>
      <c r="AY1020" s="6"/>
      <c r="AZ1020" s="2"/>
      <c r="BA1020" s="2"/>
      <c r="BB1020" s="2"/>
      <c r="BC1020">
        <v>71500</v>
      </c>
      <c r="BD1020">
        <v>56992</v>
      </c>
    </row>
    <row r="1021" spans="3:56" x14ac:dyDescent="0.25">
      <c r="C1021" s="1">
        <v>46641</v>
      </c>
      <c r="D1021" s="36">
        <v>280814.82</v>
      </c>
      <c r="E1021" s="33">
        <v>4.7433333333333296</v>
      </c>
      <c r="F1021" s="33">
        <v>3.8558029629629602</v>
      </c>
      <c r="G1021" s="2">
        <v>0.81288888888888899</v>
      </c>
      <c r="H1021" s="2">
        <v>0.99</v>
      </c>
      <c r="I1021" s="3"/>
      <c r="J1021" s="3"/>
      <c r="K1021" s="3"/>
      <c r="L1021" s="3"/>
      <c r="M1021" s="3"/>
      <c r="N1021" s="3">
        <v>0</v>
      </c>
      <c r="O1021" s="3"/>
      <c r="P1021" s="3">
        <v>0</v>
      </c>
      <c r="Q1021" s="3">
        <v>0</v>
      </c>
      <c r="R1021" s="3">
        <v>0</v>
      </c>
      <c r="S1021" s="3">
        <v>0</v>
      </c>
      <c r="T1021" s="3">
        <v>0</v>
      </c>
      <c r="U1021" s="3"/>
      <c r="V1021" s="3"/>
      <c r="W1021" s="3"/>
      <c r="X1021" s="3"/>
      <c r="Y1021" s="3"/>
      <c r="Z1021" s="3"/>
      <c r="AA1021" s="3"/>
      <c r="AB1021" s="3"/>
      <c r="AC1021" s="3"/>
      <c r="AD1021" s="3"/>
      <c r="AE1021" s="3">
        <v>0</v>
      </c>
      <c r="AF1021" s="3">
        <v>0</v>
      </c>
      <c r="AG1021" s="3"/>
      <c r="AH1021" s="40"/>
      <c r="AI1021" s="40"/>
      <c r="AJ1021" s="40"/>
      <c r="AK1021" s="40"/>
      <c r="AL1021" s="40"/>
      <c r="AM1021" s="40"/>
      <c r="AN1021" s="40"/>
      <c r="AO1021" s="40"/>
      <c r="AP1021" s="40"/>
      <c r="AQ1021" s="40"/>
      <c r="AR1021" s="31"/>
      <c r="AS1021" s="36">
        <v>0</v>
      </c>
      <c r="AY1021" s="6"/>
      <c r="AZ1021" s="2"/>
      <c r="BA1021" s="2"/>
      <c r="BB1021" s="2"/>
      <c r="BC1021">
        <v>71500</v>
      </c>
      <c r="BD1021">
        <v>56992</v>
      </c>
    </row>
    <row r="1022" spans="3:56" x14ac:dyDescent="0.25">
      <c r="C1022" s="1">
        <v>46642</v>
      </c>
      <c r="D1022" s="36">
        <v>280814.82</v>
      </c>
      <c r="E1022" s="33">
        <v>4.7433333333333296</v>
      </c>
      <c r="F1022" s="33">
        <v>3.8557502592592598</v>
      </c>
      <c r="G1022" s="2">
        <v>0.81287777777777803</v>
      </c>
      <c r="H1022" s="2">
        <v>0.99</v>
      </c>
      <c r="I1022" s="3"/>
      <c r="J1022" s="3"/>
      <c r="K1022" s="3"/>
      <c r="L1022" s="3"/>
      <c r="M1022" s="3"/>
      <c r="N1022" s="3">
        <v>0</v>
      </c>
      <c r="O1022" s="3"/>
      <c r="P1022" s="3">
        <v>0</v>
      </c>
      <c r="Q1022" s="3">
        <v>0</v>
      </c>
      <c r="R1022" s="3">
        <v>0</v>
      </c>
      <c r="S1022" s="3">
        <v>0</v>
      </c>
      <c r="T1022" s="3">
        <v>0</v>
      </c>
      <c r="U1022" s="3"/>
      <c r="V1022" s="3"/>
      <c r="W1022" s="3"/>
      <c r="X1022" s="3"/>
      <c r="Y1022" s="3"/>
      <c r="Z1022" s="3"/>
      <c r="AA1022" s="3"/>
      <c r="AB1022" s="3"/>
      <c r="AC1022" s="3"/>
      <c r="AD1022" s="3"/>
      <c r="AE1022" s="3">
        <v>0</v>
      </c>
      <c r="AF1022" s="3">
        <v>0</v>
      </c>
      <c r="AG1022" s="3"/>
      <c r="AH1022" s="40"/>
      <c r="AI1022" s="40"/>
      <c r="AJ1022" s="40"/>
      <c r="AK1022" s="40"/>
      <c r="AL1022" s="40"/>
      <c r="AM1022" s="40"/>
      <c r="AN1022" s="40"/>
      <c r="AO1022" s="40"/>
      <c r="AP1022" s="40"/>
      <c r="AQ1022" s="40"/>
      <c r="AR1022" s="31"/>
      <c r="AS1022" s="36">
        <v>0</v>
      </c>
      <c r="AY1022" s="6"/>
      <c r="AZ1022" s="2"/>
      <c r="BA1022" s="2"/>
      <c r="BB1022" s="2"/>
      <c r="BC1022">
        <v>71500</v>
      </c>
      <c r="BD1022">
        <v>56992</v>
      </c>
    </row>
    <row r="1023" spans="3:56" x14ac:dyDescent="0.25">
      <c r="C1023" s="1">
        <v>46643</v>
      </c>
      <c r="D1023" s="36">
        <v>280814.82</v>
      </c>
      <c r="E1023" s="33">
        <v>4.7433333333333296</v>
      </c>
      <c r="F1023" s="33">
        <v>3.8556975555555599</v>
      </c>
      <c r="G1023" s="2">
        <v>0.81286666666666696</v>
      </c>
      <c r="H1023" s="2">
        <v>0.99</v>
      </c>
      <c r="I1023" s="3"/>
      <c r="J1023" s="3"/>
      <c r="K1023" s="3"/>
      <c r="L1023" s="3"/>
      <c r="M1023" s="3"/>
      <c r="N1023" s="3">
        <v>0</v>
      </c>
      <c r="O1023" s="3"/>
      <c r="P1023" s="3">
        <v>0</v>
      </c>
      <c r="Q1023" s="3">
        <v>0</v>
      </c>
      <c r="R1023" s="3">
        <v>0</v>
      </c>
      <c r="S1023" s="3">
        <v>0</v>
      </c>
      <c r="T1023" s="3">
        <v>0</v>
      </c>
      <c r="U1023" s="3"/>
      <c r="V1023" s="3"/>
      <c r="W1023" s="3"/>
      <c r="X1023" s="3"/>
      <c r="Y1023" s="3"/>
      <c r="Z1023" s="3"/>
      <c r="AA1023" s="3"/>
      <c r="AB1023" s="3"/>
      <c r="AC1023" s="3"/>
      <c r="AD1023" s="3"/>
      <c r="AE1023" s="3">
        <v>0</v>
      </c>
      <c r="AF1023" s="3">
        <v>0</v>
      </c>
      <c r="AG1023" s="3"/>
      <c r="AH1023" s="40"/>
      <c r="AI1023" s="40"/>
      <c r="AJ1023" s="40"/>
      <c r="AK1023" s="40"/>
      <c r="AL1023" s="40"/>
      <c r="AM1023" s="40"/>
      <c r="AN1023" s="40"/>
      <c r="AO1023" s="40"/>
      <c r="AP1023" s="40"/>
      <c r="AQ1023" s="40"/>
      <c r="AR1023" s="31"/>
      <c r="AS1023" s="36">
        <v>0</v>
      </c>
      <c r="AY1023" s="6"/>
      <c r="AZ1023" s="2"/>
      <c r="BA1023" s="2"/>
      <c r="BB1023" s="2"/>
      <c r="BC1023">
        <v>71500</v>
      </c>
      <c r="BD1023">
        <v>56992</v>
      </c>
    </row>
    <row r="1024" spans="3:56" x14ac:dyDescent="0.25">
      <c r="C1024" s="1">
        <v>46644</v>
      </c>
      <c r="D1024" s="36">
        <v>280814.82</v>
      </c>
      <c r="E1024" s="33">
        <v>4.7433333333333296</v>
      </c>
      <c r="F1024" s="33">
        <v>3.8556448518518498</v>
      </c>
      <c r="G1024" s="2">
        <v>0.812855555555556</v>
      </c>
      <c r="H1024" s="2">
        <v>0.99</v>
      </c>
      <c r="I1024" s="3"/>
      <c r="J1024" s="3"/>
      <c r="K1024" s="3"/>
      <c r="L1024" s="3"/>
      <c r="M1024" s="3"/>
      <c r="N1024" s="3">
        <v>0</v>
      </c>
      <c r="O1024" s="3"/>
      <c r="P1024" s="3">
        <v>0</v>
      </c>
      <c r="Q1024" s="3">
        <v>0</v>
      </c>
      <c r="R1024" s="3">
        <v>0</v>
      </c>
      <c r="S1024" s="3">
        <v>0</v>
      </c>
      <c r="T1024" s="3">
        <v>0</v>
      </c>
      <c r="U1024" s="3"/>
      <c r="V1024" s="3"/>
      <c r="W1024" s="3"/>
      <c r="X1024" s="3"/>
      <c r="Y1024" s="3"/>
      <c r="Z1024" s="3"/>
      <c r="AA1024" s="3"/>
      <c r="AB1024" s="3"/>
      <c r="AC1024" s="3"/>
      <c r="AD1024" s="3"/>
      <c r="AE1024" s="3">
        <v>0</v>
      </c>
      <c r="AF1024" s="3">
        <v>0</v>
      </c>
      <c r="AG1024" s="3"/>
      <c r="AH1024" s="40"/>
      <c r="AI1024" s="40"/>
      <c r="AJ1024" s="40"/>
      <c r="AK1024" s="40"/>
      <c r="AL1024" s="40"/>
      <c r="AM1024" s="40"/>
      <c r="AN1024" s="40"/>
      <c r="AO1024" s="40"/>
      <c r="AP1024" s="40"/>
      <c r="AQ1024" s="40"/>
      <c r="AR1024" s="31"/>
      <c r="AS1024" s="36">
        <v>0</v>
      </c>
      <c r="AY1024" s="6"/>
      <c r="AZ1024" s="2"/>
      <c r="BA1024" s="2"/>
      <c r="BB1024" s="2"/>
      <c r="BC1024">
        <v>71500</v>
      </c>
      <c r="BD1024">
        <v>56992</v>
      </c>
    </row>
    <row r="1025" spans="3:56" x14ac:dyDescent="0.25">
      <c r="C1025" s="1">
        <v>46645</v>
      </c>
      <c r="D1025" s="36">
        <v>280814.82</v>
      </c>
      <c r="E1025" s="33">
        <v>4.7433333333333296</v>
      </c>
      <c r="F1025" s="33">
        <v>3.8555921481481499</v>
      </c>
      <c r="G1025" s="2">
        <v>0.81284444444444404</v>
      </c>
      <c r="H1025" s="2">
        <v>0.99</v>
      </c>
      <c r="I1025" s="3"/>
      <c r="J1025" s="3"/>
      <c r="K1025" s="3"/>
      <c r="L1025" s="3"/>
      <c r="M1025" s="3"/>
      <c r="N1025" s="3">
        <v>0</v>
      </c>
      <c r="O1025" s="3"/>
      <c r="P1025" s="3">
        <v>0</v>
      </c>
      <c r="Q1025" s="3">
        <v>0</v>
      </c>
      <c r="R1025" s="3">
        <v>0</v>
      </c>
      <c r="S1025" s="3">
        <v>0</v>
      </c>
      <c r="T1025" s="3">
        <v>0</v>
      </c>
      <c r="U1025" s="3"/>
      <c r="V1025" s="3"/>
      <c r="W1025" s="3"/>
      <c r="X1025" s="3"/>
      <c r="Y1025" s="3"/>
      <c r="Z1025" s="3"/>
      <c r="AA1025" s="3"/>
      <c r="AB1025" s="3"/>
      <c r="AC1025" s="3"/>
      <c r="AD1025" s="3"/>
      <c r="AE1025" s="3">
        <v>0</v>
      </c>
      <c r="AF1025" s="3">
        <v>0</v>
      </c>
      <c r="AG1025" s="3"/>
      <c r="AH1025" s="40"/>
      <c r="AI1025" s="40"/>
      <c r="AJ1025" s="40"/>
      <c r="AK1025" s="40"/>
      <c r="AL1025" s="40"/>
      <c r="AM1025" s="40"/>
      <c r="AN1025" s="40"/>
      <c r="AO1025" s="40"/>
      <c r="AP1025" s="40"/>
      <c r="AQ1025" s="40"/>
      <c r="AR1025" s="31"/>
      <c r="AS1025" s="36">
        <v>0</v>
      </c>
      <c r="AY1025" s="6"/>
      <c r="AZ1025" s="2"/>
      <c r="BA1025" s="2"/>
      <c r="BB1025" s="2"/>
      <c r="BC1025">
        <v>71500</v>
      </c>
      <c r="BD1025">
        <v>56992</v>
      </c>
    </row>
    <row r="1026" spans="3:56" x14ac:dyDescent="0.25">
      <c r="C1026" s="1">
        <v>46646</v>
      </c>
      <c r="D1026" s="36">
        <v>280814.82</v>
      </c>
      <c r="E1026" s="33">
        <v>4.7433333333333296</v>
      </c>
      <c r="F1026" s="33">
        <v>3.85553944444445</v>
      </c>
      <c r="G1026" s="2">
        <v>0.81283333333333296</v>
      </c>
      <c r="H1026" s="2">
        <v>0.99</v>
      </c>
      <c r="I1026" s="3"/>
      <c r="J1026" s="3"/>
      <c r="K1026" s="3"/>
      <c r="L1026" s="3"/>
      <c r="M1026" s="3"/>
      <c r="N1026" s="3">
        <v>0</v>
      </c>
      <c r="O1026" s="3"/>
      <c r="P1026" s="3">
        <v>0</v>
      </c>
      <c r="Q1026" s="3">
        <v>0</v>
      </c>
      <c r="R1026" s="3">
        <v>0</v>
      </c>
      <c r="S1026" s="3">
        <v>0</v>
      </c>
      <c r="T1026" s="3">
        <v>0</v>
      </c>
      <c r="U1026" s="3"/>
      <c r="V1026" s="3"/>
      <c r="W1026" s="3"/>
      <c r="X1026" s="3"/>
      <c r="Y1026" s="3"/>
      <c r="Z1026" s="3"/>
      <c r="AA1026" s="3"/>
      <c r="AB1026" s="3"/>
      <c r="AC1026" s="3"/>
      <c r="AD1026" s="3"/>
      <c r="AE1026" s="3">
        <v>0</v>
      </c>
      <c r="AF1026" s="3">
        <v>0</v>
      </c>
      <c r="AG1026" s="3"/>
      <c r="AH1026" s="40"/>
      <c r="AI1026" s="40"/>
      <c r="AJ1026" s="40"/>
      <c r="AK1026" s="40"/>
      <c r="AL1026" s="40"/>
      <c r="AM1026" s="40"/>
      <c r="AN1026" s="40"/>
      <c r="AO1026" s="40"/>
      <c r="AP1026" s="40"/>
      <c r="AQ1026" s="40"/>
      <c r="AR1026" s="31"/>
      <c r="AS1026" s="36">
        <v>0</v>
      </c>
      <c r="AY1026" s="6"/>
      <c r="AZ1026" s="2"/>
      <c r="BA1026" s="2"/>
      <c r="BB1026" s="2"/>
      <c r="BC1026">
        <v>71500</v>
      </c>
      <c r="BD1026">
        <v>56992</v>
      </c>
    </row>
    <row r="1027" spans="3:56" x14ac:dyDescent="0.25">
      <c r="C1027" s="1">
        <v>46647</v>
      </c>
      <c r="D1027" s="36">
        <v>280814.82</v>
      </c>
      <c r="E1027" s="33">
        <v>4.7433333333333296</v>
      </c>
      <c r="F1027" s="33">
        <v>3.8554867407407398</v>
      </c>
      <c r="G1027" s="2">
        <v>0.812822222222222</v>
      </c>
      <c r="H1027" s="2">
        <v>0.99</v>
      </c>
      <c r="I1027" s="3"/>
      <c r="J1027" s="3"/>
      <c r="K1027" s="3"/>
      <c r="L1027" s="3"/>
      <c r="M1027" s="3"/>
      <c r="N1027" s="3">
        <v>0</v>
      </c>
      <c r="O1027" s="3"/>
      <c r="P1027" s="3">
        <v>0</v>
      </c>
      <c r="Q1027" s="3">
        <v>0</v>
      </c>
      <c r="R1027" s="3">
        <v>0</v>
      </c>
      <c r="S1027" s="3">
        <v>0</v>
      </c>
      <c r="T1027" s="3">
        <v>0</v>
      </c>
      <c r="U1027" s="3"/>
      <c r="V1027" s="3"/>
      <c r="W1027" s="3"/>
      <c r="X1027" s="3"/>
      <c r="Y1027" s="3"/>
      <c r="Z1027" s="3"/>
      <c r="AA1027" s="3"/>
      <c r="AB1027" s="3"/>
      <c r="AC1027" s="3"/>
      <c r="AD1027" s="3"/>
      <c r="AE1027" s="3">
        <v>0</v>
      </c>
      <c r="AF1027" s="3">
        <v>0</v>
      </c>
      <c r="AG1027" s="3"/>
      <c r="AH1027" s="40"/>
      <c r="AI1027" s="40"/>
      <c r="AJ1027" s="40"/>
      <c r="AK1027" s="40"/>
      <c r="AL1027" s="40"/>
      <c r="AM1027" s="40"/>
      <c r="AN1027" s="40"/>
      <c r="AO1027" s="40"/>
      <c r="AP1027" s="40"/>
      <c r="AQ1027" s="40"/>
      <c r="AR1027" s="31"/>
      <c r="AS1027" s="36">
        <v>0</v>
      </c>
      <c r="AY1027" s="6"/>
      <c r="AZ1027" s="2"/>
      <c r="BA1027" s="2"/>
      <c r="BB1027" s="2"/>
      <c r="BC1027">
        <v>71500</v>
      </c>
      <c r="BD1027">
        <v>56992</v>
      </c>
    </row>
    <row r="1028" spans="3:56" x14ac:dyDescent="0.25">
      <c r="C1028" s="1">
        <v>46648</v>
      </c>
      <c r="D1028" s="36">
        <v>280814.82</v>
      </c>
      <c r="E1028" s="33">
        <v>4.7433333333333296</v>
      </c>
      <c r="F1028" s="33">
        <v>3.8554340370370399</v>
      </c>
      <c r="G1028" s="2">
        <v>0.81281111111111104</v>
      </c>
      <c r="H1028" s="2">
        <v>0.99</v>
      </c>
      <c r="I1028" s="3"/>
      <c r="J1028" s="3"/>
      <c r="K1028" s="3"/>
      <c r="L1028" s="3"/>
      <c r="M1028" s="3"/>
      <c r="N1028" s="3">
        <v>0</v>
      </c>
      <c r="O1028" s="3"/>
      <c r="P1028" s="3">
        <v>0</v>
      </c>
      <c r="Q1028" s="3">
        <v>0</v>
      </c>
      <c r="R1028" s="3">
        <v>0</v>
      </c>
      <c r="S1028" s="3">
        <v>0</v>
      </c>
      <c r="T1028" s="3">
        <v>0</v>
      </c>
      <c r="U1028" s="3"/>
      <c r="V1028" s="3"/>
      <c r="W1028" s="3"/>
      <c r="X1028" s="3"/>
      <c r="Y1028" s="3"/>
      <c r="Z1028" s="3"/>
      <c r="AA1028" s="3"/>
      <c r="AB1028" s="3"/>
      <c r="AC1028" s="3"/>
      <c r="AD1028" s="3"/>
      <c r="AE1028" s="3">
        <v>0</v>
      </c>
      <c r="AF1028" s="3">
        <v>0</v>
      </c>
      <c r="AG1028" s="3"/>
      <c r="AH1028" s="40"/>
      <c r="AI1028" s="40"/>
      <c r="AJ1028" s="40"/>
      <c r="AK1028" s="40"/>
      <c r="AL1028" s="40"/>
      <c r="AM1028" s="40"/>
      <c r="AN1028" s="40"/>
      <c r="AO1028" s="40"/>
      <c r="AP1028" s="40"/>
      <c r="AQ1028" s="40"/>
      <c r="AR1028" s="31"/>
      <c r="AS1028" s="36">
        <v>0</v>
      </c>
      <c r="AY1028" s="6"/>
      <c r="AZ1028" s="2"/>
      <c r="BA1028" s="2"/>
      <c r="BB1028" s="2"/>
      <c r="BC1028">
        <v>71500</v>
      </c>
      <c r="BD1028">
        <v>56992</v>
      </c>
    </row>
    <row r="1029" spans="3:56" x14ac:dyDescent="0.25">
      <c r="C1029" s="1">
        <v>46649</v>
      </c>
      <c r="D1029" s="36">
        <v>280814.82</v>
      </c>
      <c r="E1029" s="33">
        <v>4.7433333333333296</v>
      </c>
      <c r="F1029" s="33">
        <v>3.8553813333333302</v>
      </c>
      <c r="G1029" s="2">
        <v>0.81279999999999997</v>
      </c>
      <c r="H1029" s="2">
        <v>0.99</v>
      </c>
      <c r="I1029" s="3"/>
      <c r="J1029" s="3"/>
      <c r="K1029" s="3"/>
      <c r="L1029" s="3"/>
      <c r="M1029" s="3"/>
      <c r="N1029" s="3">
        <v>0</v>
      </c>
      <c r="O1029" s="3"/>
      <c r="P1029" s="3">
        <v>0</v>
      </c>
      <c r="Q1029" s="3">
        <v>0</v>
      </c>
      <c r="R1029" s="3">
        <v>0</v>
      </c>
      <c r="S1029" s="3">
        <v>0</v>
      </c>
      <c r="T1029" s="3">
        <v>0</v>
      </c>
      <c r="U1029" s="3"/>
      <c r="V1029" s="3"/>
      <c r="W1029" s="3"/>
      <c r="X1029" s="3"/>
      <c r="Y1029" s="3"/>
      <c r="Z1029" s="3"/>
      <c r="AA1029" s="3"/>
      <c r="AB1029" s="3"/>
      <c r="AC1029" s="3"/>
      <c r="AD1029" s="3"/>
      <c r="AE1029" s="3">
        <v>0</v>
      </c>
      <c r="AF1029" s="3">
        <v>0</v>
      </c>
      <c r="AG1029" s="3"/>
      <c r="AH1029" s="40"/>
      <c r="AI1029" s="40"/>
      <c r="AJ1029" s="40"/>
      <c r="AK1029" s="40"/>
      <c r="AL1029" s="40"/>
      <c r="AM1029" s="40"/>
      <c r="AN1029" s="40"/>
      <c r="AO1029" s="40"/>
      <c r="AP1029" s="40"/>
      <c r="AQ1029" s="40"/>
      <c r="AR1029" s="31"/>
      <c r="AS1029" s="36">
        <v>0</v>
      </c>
      <c r="AY1029" s="6"/>
      <c r="AZ1029" s="2"/>
      <c r="BA1029" s="2"/>
      <c r="BB1029" s="2"/>
      <c r="BC1029">
        <v>71500</v>
      </c>
      <c r="BD1029">
        <v>56992</v>
      </c>
    </row>
    <row r="1030" spans="3:56" x14ac:dyDescent="0.25">
      <c r="C1030" s="1">
        <v>46650</v>
      </c>
      <c r="D1030" s="36">
        <v>280814.82</v>
      </c>
      <c r="E1030" s="33">
        <v>4.7433333333333296</v>
      </c>
      <c r="F1030" s="33">
        <v>3.8553286296296299</v>
      </c>
      <c r="G1030" s="2">
        <v>0.81278888888888901</v>
      </c>
      <c r="H1030" s="2">
        <v>0.99</v>
      </c>
      <c r="I1030" s="3"/>
      <c r="J1030" s="3"/>
      <c r="K1030" s="3"/>
      <c r="L1030" s="3"/>
      <c r="M1030" s="3"/>
      <c r="N1030" s="3">
        <v>0</v>
      </c>
      <c r="O1030" s="3"/>
      <c r="P1030" s="3">
        <v>0</v>
      </c>
      <c r="Q1030" s="3">
        <v>0</v>
      </c>
      <c r="R1030" s="3">
        <v>0</v>
      </c>
      <c r="S1030" s="3">
        <v>0</v>
      </c>
      <c r="T1030" s="3">
        <v>0</v>
      </c>
      <c r="U1030" s="3"/>
      <c r="V1030" s="3"/>
      <c r="W1030" s="3"/>
      <c r="X1030" s="3"/>
      <c r="Y1030" s="3"/>
      <c r="Z1030" s="3"/>
      <c r="AA1030" s="3"/>
      <c r="AB1030" s="3"/>
      <c r="AC1030" s="3"/>
      <c r="AD1030" s="3"/>
      <c r="AE1030" s="3">
        <v>0</v>
      </c>
      <c r="AF1030" s="3">
        <v>0</v>
      </c>
      <c r="AG1030" s="3"/>
      <c r="AH1030" s="40"/>
      <c r="AI1030" s="40"/>
      <c r="AJ1030" s="40"/>
      <c r="AK1030" s="40"/>
      <c r="AL1030" s="40"/>
      <c r="AM1030" s="40"/>
      <c r="AN1030" s="40"/>
      <c r="AO1030" s="40"/>
      <c r="AP1030" s="40"/>
      <c r="AQ1030" s="40"/>
      <c r="AR1030" s="31"/>
      <c r="AS1030" s="36">
        <v>0</v>
      </c>
      <c r="AY1030" s="6"/>
      <c r="AZ1030" s="2"/>
      <c r="BA1030" s="2"/>
      <c r="BB1030" s="2"/>
      <c r="BC1030">
        <v>71500</v>
      </c>
      <c r="BD1030">
        <v>56992</v>
      </c>
    </row>
    <row r="1031" spans="3:56" x14ac:dyDescent="0.25">
      <c r="C1031" s="1">
        <v>46651</v>
      </c>
      <c r="D1031" s="36">
        <v>280814.82</v>
      </c>
      <c r="E1031" s="33">
        <v>4.7433333333333296</v>
      </c>
      <c r="F1031" s="33">
        <v>3.8552759259259299</v>
      </c>
      <c r="G1031" s="2">
        <v>0.81277777777777804</v>
      </c>
      <c r="H1031" s="2">
        <v>0.99</v>
      </c>
      <c r="I1031" s="3"/>
      <c r="J1031" s="3"/>
      <c r="K1031" s="3"/>
      <c r="L1031" s="3"/>
      <c r="M1031" s="3"/>
      <c r="N1031" s="3">
        <v>0</v>
      </c>
      <c r="O1031" s="3"/>
      <c r="P1031" s="3">
        <v>0</v>
      </c>
      <c r="Q1031" s="3">
        <v>0</v>
      </c>
      <c r="R1031" s="3">
        <v>0</v>
      </c>
      <c r="S1031" s="3">
        <v>0</v>
      </c>
      <c r="T1031" s="3">
        <v>0</v>
      </c>
      <c r="U1031" s="3"/>
      <c r="V1031" s="3"/>
      <c r="W1031" s="3"/>
      <c r="X1031" s="3"/>
      <c r="Y1031" s="3"/>
      <c r="Z1031" s="3"/>
      <c r="AA1031" s="3"/>
      <c r="AB1031" s="3"/>
      <c r="AC1031" s="3"/>
      <c r="AD1031" s="3"/>
      <c r="AE1031" s="3">
        <v>0</v>
      </c>
      <c r="AF1031" s="3">
        <v>0</v>
      </c>
      <c r="AG1031" s="3"/>
      <c r="AH1031" s="40"/>
      <c r="AI1031" s="40"/>
      <c r="AJ1031" s="40"/>
      <c r="AK1031" s="40"/>
      <c r="AL1031" s="40"/>
      <c r="AM1031" s="40"/>
      <c r="AN1031" s="40"/>
      <c r="AO1031" s="40"/>
      <c r="AP1031" s="40"/>
      <c r="AQ1031" s="40"/>
      <c r="AR1031" s="31"/>
      <c r="AS1031" s="36">
        <v>0</v>
      </c>
      <c r="AY1031" s="6"/>
      <c r="AZ1031" s="2"/>
      <c r="BA1031" s="2"/>
      <c r="BB1031" s="2"/>
      <c r="BC1031">
        <v>71500</v>
      </c>
      <c r="BD1031">
        <v>56992</v>
      </c>
    </row>
    <row r="1032" spans="3:56" x14ac:dyDescent="0.25">
      <c r="C1032" s="1">
        <v>46652</v>
      </c>
      <c r="D1032" s="36">
        <v>280814.82</v>
      </c>
      <c r="E1032" s="33">
        <v>4.7433333333333296</v>
      </c>
      <c r="F1032" s="33">
        <v>3.8552232222222198</v>
      </c>
      <c r="G1032" s="2">
        <v>0.81276666666666697</v>
      </c>
      <c r="H1032" s="2">
        <v>0.99</v>
      </c>
      <c r="I1032" s="3"/>
      <c r="J1032" s="3"/>
      <c r="K1032" s="3"/>
      <c r="L1032" s="3"/>
      <c r="M1032" s="3"/>
      <c r="N1032" s="3">
        <v>0</v>
      </c>
      <c r="O1032" s="3"/>
      <c r="P1032" s="3">
        <v>0</v>
      </c>
      <c r="Q1032" s="3">
        <v>0</v>
      </c>
      <c r="R1032" s="3">
        <v>0</v>
      </c>
      <c r="S1032" s="3">
        <v>0</v>
      </c>
      <c r="T1032" s="3">
        <v>0</v>
      </c>
      <c r="U1032" s="3"/>
      <c r="V1032" s="3"/>
      <c r="W1032" s="3"/>
      <c r="X1032" s="3"/>
      <c r="Y1032" s="3"/>
      <c r="Z1032" s="3"/>
      <c r="AA1032" s="3"/>
      <c r="AB1032" s="3"/>
      <c r="AC1032" s="3"/>
      <c r="AD1032" s="3"/>
      <c r="AE1032" s="3">
        <v>0</v>
      </c>
      <c r="AF1032" s="3">
        <v>0</v>
      </c>
      <c r="AG1032" s="3"/>
      <c r="AH1032" s="40"/>
      <c r="AI1032" s="40"/>
      <c r="AJ1032" s="40"/>
      <c r="AK1032" s="40"/>
      <c r="AL1032" s="40"/>
      <c r="AM1032" s="40"/>
      <c r="AN1032" s="40"/>
      <c r="AO1032" s="40"/>
      <c r="AP1032" s="40"/>
      <c r="AQ1032" s="40"/>
      <c r="AR1032" s="31"/>
      <c r="AS1032" s="36">
        <v>0</v>
      </c>
      <c r="AY1032" s="6"/>
      <c r="AZ1032" s="2"/>
      <c r="BA1032" s="2"/>
      <c r="BB1032" s="2"/>
      <c r="BC1032">
        <v>71500</v>
      </c>
      <c r="BD1032">
        <v>56992</v>
      </c>
    </row>
    <row r="1033" spans="3:56" x14ac:dyDescent="0.25">
      <c r="C1033" s="1">
        <v>46653</v>
      </c>
      <c r="D1033" s="36">
        <v>280814.82</v>
      </c>
      <c r="E1033" s="33">
        <v>4.7433333333333296</v>
      </c>
      <c r="F1033" s="33">
        <v>3.8551705185185199</v>
      </c>
      <c r="G1033" s="2">
        <v>0.81275555555555601</v>
      </c>
      <c r="H1033" s="2">
        <v>0.99</v>
      </c>
      <c r="I1033" s="3"/>
      <c r="J1033" s="3"/>
      <c r="K1033" s="3"/>
      <c r="L1033" s="3"/>
      <c r="M1033" s="3"/>
      <c r="N1033" s="3">
        <v>0</v>
      </c>
      <c r="O1033" s="3"/>
      <c r="P1033" s="3">
        <v>0</v>
      </c>
      <c r="Q1033" s="3">
        <v>0</v>
      </c>
      <c r="R1033" s="3">
        <v>0</v>
      </c>
      <c r="S1033" s="3">
        <v>0</v>
      </c>
      <c r="T1033" s="3">
        <v>0</v>
      </c>
      <c r="U1033" s="3"/>
      <c r="V1033" s="3"/>
      <c r="W1033" s="3"/>
      <c r="X1033" s="3"/>
      <c r="Y1033" s="3"/>
      <c r="Z1033" s="3"/>
      <c r="AA1033" s="3"/>
      <c r="AB1033" s="3"/>
      <c r="AC1033" s="3"/>
      <c r="AD1033" s="3"/>
      <c r="AE1033" s="3">
        <v>0</v>
      </c>
      <c r="AF1033" s="3">
        <v>0</v>
      </c>
      <c r="AG1033" s="3"/>
      <c r="AH1033" s="40"/>
      <c r="AI1033" s="40"/>
      <c r="AJ1033" s="40"/>
      <c r="AK1033" s="40"/>
      <c r="AL1033" s="40"/>
      <c r="AM1033" s="40"/>
      <c r="AN1033" s="40"/>
      <c r="AO1033" s="40"/>
      <c r="AP1033" s="40"/>
      <c r="AQ1033" s="40"/>
      <c r="AR1033" s="31"/>
      <c r="AS1033" s="36">
        <v>0</v>
      </c>
      <c r="AY1033" s="6"/>
      <c r="AZ1033" s="2"/>
      <c r="BA1033" s="2"/>
      <c r="BB1033" s="2"/>
      <c r="BC1033">
        <v>71500</v>
      </c>
      <c r="BD1033">
        <v>56992</v>
      </c>
    </row>
    <row r="1034" spans="3:56" x14ac:dyDescent="0.25">
      <c r="C1034" s="1">
        <v>46654</v>
      </c>
      <c r="D1034" s="36">
        <v>280814.82</v>
      </c>
      <c r="E1034" s="33">
        <v>4.7433333333333296</v>
      </c>
      <c r="F1034" s="33">
        <v>3.85511781481482</v>
      </c>
      <c r="G1034" s="2">
        <v>0.81274444444444405</v>
      </c>
      <c r="H1034" s="2">
        <v>0.99</v>
      </c>
      <c r="I1034" s="3"/>
      <c r="J1034" s="3"/>
      <c r="K1034" s="3"/>
      <c r="L1034" s="3"/>
      <c r="M1034" s="3"/>
      <c r="N1034" s="3">
        <v>0</v>
      </c>
      <c r="O1034" s="3"/>
      <c r="P1034" s="3">
        <v>0</v>
      </c>
      <c r="Q1034" s="3">
        <v>0</v>
      </c>
      <c r="R1034" s="3">
        <v>0</v>
      </c>
      <c r="S1034" s="3">
        <v>0</v>
      </c>
      <c r="T1034" s="3">
        <v>0</v>
      </c>
      <c r="U1034" s="3"/>
      <c r="V1034" s="3"/>
      <c r="W1034" s="3"/>
      <c r="X1034" s="3"/>
      <c r="Y1034" s="3"/>
      <c r="Z1034" s="3"/>
      <c r="AA1034" s="3"/>
      <c r="AB1034" s="3"/>
      <c r="AC1034" s="3"/>
      <c r="AD1034" s="3"/>
      <c r="AE1034" s="3">
        <v>0</v>
      </c>
      <c r="AF1034" s="3">
        <v>0</v>
      </c>
      <c r="AG1034" s="3"/>
      <c r="AH1034" s="40"/>
      <c r="AI1034" s="40"/>
      <c r="AJ1034" s="40"/>
      <c r="AK1034" s="40"/>
      <c r="AL1034" s="40"/>
      <c r="AM1034" s="40"/>
      <c r="AN1034" s="40"/>
      <c r="AO1034" s="40"/>
      <c r="AP1034" s="40"/>
      <c r="AQ1034" s="40"/>
      <c r="AR1034" s="31"/>
      <c r="AS1034" s="36">
        <v>0</v>
      </c>
      <c r="AY1034" s="6"/>
      <c r="AZ1034" s="2"/>
      <c r="BA1034" s="2"/>
      <c r="BB1034" s="2"/>
      <c r="BC1034">
        <v>71500</v>
      </c>
      <c r="BD1034">
        <v>56992</v>
      </c>
    </row>
    <row r="1035" spans="3:56" x14ac:dyDescent="0.25">
      <c r="C1035" s="1">
        <v>46655</v>
      </c>
      <c r="D1035" s="36">
        <v>280814.82</v>
      </c>
      <c r="E1035" s="33">
        <v>4.7433333333333296</v>
      </c>
      <c r="F1035" s="33">
        <v>3.8550651111111098</v>
      </c>
      <c r="G1035" s="2">
        <v>0.81273333333333297</v>
      </c>
      <c r="H1035" s="2">
        <v>0.99</v>
      </c>
      <c r="I1035" s="3"/>
      <c r="J1035" s="3"/>
      <c r="K1035" s="3"/>
      <c r="L1035" s="3"/>
      <c r="M1035" s="3"/>
      <c r="N1035" s="3">
        <v>0</v>
      </c>
      <c r="O1035" s="3"/>
      <c r="P1035" s="3">
        <v>0</v>
      </c>
      <c r="Q1035" s="3">
        <v>0</v>
      </c>
      <c r="R1035" s="3">
        <v>0</v>
      </c>
      <c r="S1035" s="3">
        <v>0</v>
      </c>
      <c r="T1035" s="3">
        <v>0</v>
      </c>
      <c r="U1035" s="3"/>
      <c r="V1035" s="3"/>
      <c r="W1035" s="3"/>
      <c r="X1035" s="3"/>
      <c r="Y1035" s="3"/>
      <c r="Z1035" s="3"/>
      <c r="AA1035" s="3"/>
      <c r="AB1035" s="3"/>
      <c r="AC1035" s="3"/>
      <c r="AD1035" s="3"/>
      <c r="AE1035" s="3">
        <v>0</v>
      </c>
      <c r="AF1035" s="3">
        <v>0</v>
      </c>
      <c r="AG1035" s="3"/>
      <c r="AH1035" s="40"/>
      <c r="AI1035" s="40"/>
      <c r="AJ1035" s="40"/>
      <c r="AK1035" s="40"/>
      <c r="AL1035" s="40"/>
      <c r="AM1035" s="40"/>
      <c r="AN1035" s="40"/>
      <c r="AO1035" s="40"/>
      <c r="AP1035" s="40"/>
      <c r="AQ1035" s="40"/>
      <c r="AR1035" s="31"/>
      <c r="AS1035" s="36">
        <v>0</v>
      </c>
      <c r="AY1035" s="6"/>
      <c r="AZ1035" s="2"/>
      <c r="BA1035" s="2"/>
      <c r="BB1035" s="2"/>
      <c r="BC1035">
        <v>71500</v>
      </c>
      <c r="BD1035">
        <v>56992</v>
      </c>
    </row>
    <row r="1036" spans="3:56" x14ac:dyDescent="0.25">
      <c r="C1036" s="1">
        <v>46656</v>
      </c>
      <c r="D1036" s="36">
        <v>280814.82</v>
      </c>
      <c r="E1036" s="33">
        <v>4.7433333333333296</v>
      </c>
      <c r="F1036" s="33">
        <v>3.8550124074074099</v>
      </c>
      <c r="G1036" s="2">
        <v>0.81272222222222201</v>
      </c>
      <c r="H1036" s="2">
        <v>0.99</v>
      </c>
      <c r="I1036" s="3"/>
      <c r="J1036" s="3"/>
      <c r="K1036" s="3"/>
      <c r="L1036" s="3"/>
      <c r="M1036" s="3"/>
      <c r="N1036" s="3">
        <v>0</v>
      </c>
      <c r="O1036" s="3"/>
      <c r="P1036" s="3">
        <v>0</v>
      </c>
      <c r="Q1036" s="3">
        <v>0</v>
      </c>
      <c r="R1036" s="3">
        <v>0</v>
      </c>
      <c r="S1036" s="3">
        <v>0</v>
      </c>
      <c r="T1036" s="3">
        <v>0</v>
      </c>
      <c r="U1036" s="3"/>
      <c r="V1036" s="3"/>
      <c r="W1036" s="3"/>
      <c r="X1036" s="3"/>
      <c r="Y1036" s="3"/>
      <c r="Z1036" s="3"/>
      <c r="AA1036" s="3"/>
      <c r="AB1036" s="3"/>
      <c r="AC1036" s="3"/>
      <c r="AD1036" s="3"/>
      <c r="AE1036" s="3">
        <v>0</v>
      </c>
      <c r="AF1036" s="3">
        <v>0</v>
      </c>
      <c r="AG1036" s="3"/>
      <c r="AH1036" s="40"/>
      <c r="AI1036" s="40"/>
      <c r="AJ1036" s="40"/>
      <c r="AK1036" s="40"/>
      <c r="AL1036" s="40"/>
      <c r="AM1036" s="40"/>
      <c r="AN1036" s="40"/>
      <c r="AO1036" s="40"/>
      <c r="AP1036" s="40"/>
      <c r="AQ1036" s="40"/>
      <c r="AR1036" s="31"/>
      <c r="AS1036" s="36">
        <v>0</v>
      </c>
      <c r="AY1036" s="6"/>
      <c r="AZ1036" s="2"/>
      <c r="BA1036" s="2"/>
      <c r="BB1036" s="2"/>
      <c r="BC1036">
        <v>71500</v>
      </c>
      <c r="BD1036">
        <v>56992</v>
      </c>
    </row>
    <row r="1037" spans="3:56" x14ac:dyDescent="0.25">
      <c r="C1037" s="1">
        <v>46657</v>
      </c>
      <c r="D1037" s="36">
        <v>280814.82</v>
      </c>
      <c r="E1037" s="33">
        <v>4.7433333333333296</v>
      </c>
      <c r="F1037" s="33">
        <v>3.8549597037036998</v>
      </c>
      <c r="G1037" s="2">
        <v>0.81271111111111105</v>
      </c>
      <c r="H1037" s="2">
        <v>0.99</v>
      </c>
      <c r="I1037" s="3"/>
      <c r="J1037" s="3"/>
      <c r="K1037" s="3"/>
      <c r="L1037" s="3"/>
      <c r="M1037" s="3"/>
      <c r="N1037" s="3">
        <v>0</v>
      </c>
      <c r="O1037" s="3"/>
      <c r="P1037" s="3">
        <v>0</v>
      </c>
      <c r="Q1037" s="3">
        <v>0</v>
      </c>
      <c r="R1037" s="3">
        <v>0</v>
      </c>
      <c r="S1037" s="3">
        <v>0</v>
      </c>
      <c r="T1037" s="3">
        <v>0</v>
      </c>
      <c r="U1037" s="3"/>
      <c r="V1037" s="3"/>
      <c r="W1037" s="3"/>
      <c r="X1037" s="3"/>
      <c r="Y1037" s="3"/>
      <c r="Z1037" s="3"/>
      <c r="AA1037" s="3"/>
      <c r="AB1037" s="3"/>
      <c r="AC1037" s="3"/>
      <c r="AD1037" s="3"/>
      <c r="AE1037" s="3">
        <v>0</v>
      </c>
      <c r="AF1037" s="3">
        <v>0</v>
      </c>
      <c r="AG1037" s="3"/>
      <c r="AH1037" s="40"/>
      <c r="AI1037" s="40"/>
      <c r="AJ1037" s="40"/>
      <c r="AK1037" s="40"/>
      <c r="AL1037" s="40"/>
      <c r="AM1037" s="40"/>
      <c r="AN1037" s="40"/>
      <c r="AO1037" s="40"/>
      <c r="AP1037" s="40"/>
      <c r="AQ1037" s="40"/>
      <c r="AR1037" s="31"/>
      <c r="AS1037" s="36">
        <v>0</v>
      </c>
      <c r="AY1037" s="6"/>
      <c r="AZ1037" s="2"/>
      <c r="BA1037" s="2"/>
      <c r="BB1037" s="2"/>
      <c r="BC1037">
        <v>71500</v>
      </c>
      <c r="BD1037">
        <v>56992</v>
      </c>
    </row>
    <row r="1038" spans="3:56" x14ac:dyDescent="0.25">
      <c r="C1038" s="1">
        <v>46658</v>
      </c>
      <c r="D1038" s="36">
        <v>280814.82</v>
      </c>
      <c r="E1038" s="33">
        <v>4.7433333333333296</v>
      </c>
      <c r="F1038" s="33">
        <v>3.8549069999999999</v>
      </c>
      <c r="G1038" s="2">
        <v>0.81269999999999998</v>
      </c>
      <c r="H1038" s="2">
        <v>0.99</v>
      </c>
      <c r="I1038" s="3"/>
      <c r="J1038" s="3"/>
      <c r="K1038" s="3"/>
      <c r="L1038" s="3"/>
      <c r="M1038" s="3"/>
      <c r="N1038" s="3">
        <v>0</v>
      </c>
      <c r="O1038" s="3"/>
      <c r="P1038" s="3">
        <v>0</v>
      </c>
      <c r="Q1038" s="3">
        <v>0</v>
      </c>
      <c r="R1038" s="3">
        <v>0</v>
      </c>
      <c r="S1038" s="3">
        <v>0</v>
      </c>
      <c r="T1038" s="3">
        <v>0</v>
      </c>
      <c r="U1038" s="3"/>
      <c r="V1038" s="3"/>
      <c r="W1038" s="3"/>
      <c r="X1038" s="3"/>
      <c r="Y1038" s="3"/>
      <c r="Z1038" s="3"/>
      <c r="AA1038" s="3"/>
      <c r="AB1038" s="3"/>
      <c r="AC1038" s="3"/>
      <c r="AD1038" s="3"/>
      <c r="AE1038" s="3">
        <v>0</v>
      </c>
      <c r="AF1038" s="3">
        <v>0</v>
      </c>
      <c r="AG1038" s="3"/>
      <c r="AH1038" s="40"/>
      <c r="AI1038" s="40"/>
      <c r="AJ1038" s="40"/>
      <c r="AK1038" s="40"/>
      <c r="AL1038" s="40"/>
      <c r="AM1038" s="40"/>
      <c r="AN1038" s="40"/>
      <c r="AO1038" s="40"/>
      <c r="AP1038" s="40"/>
      <c r="AQ1038" s="40"/>
      <c r="AR1038" s="31"/>
      <c r="AS1038" s="36">
        <v>0</v>
      </c>
      <c r="AY1038" s="6"/>
      <c r="AZ1038" s="2"/>
      <c r="BA1038" s="2"/>
      <c r="BB1038" s="2"/>
      <c r="BC1038">
        <v>71500</v>
      </c>
      <c r="BD1038">
        <v>56992</v>
      </c>
    </row>
    <row r="1039" spans="3:56" x14ac:dyDescent="0.25">
      <c r="C1039" s="1">
        <v>46659</v>
      </c>
      <c r="D1039" s="36">
        <v>280814.82</v>
      </c>
      <c r="E1039" s="33">
        <v>4.7433333333333296</v>
      </c>
      <c r="F1039" s="33">
        <v>3.8548542962962999</v>
      </c>
      <c r="G1039" s="2">
        <v>0.81268888888888902</v>
      </c>
      <c r="H1039" s="2">
        <v>0.99</v>
      </c>
      <c r="I1039" s="3"/>
      <c r="J1039" s="3"/>
      <c r="K1039" s="3"/>
      <c r="L1039" s="3"/>
      <c r="M1039" s="3"/>
      <c r="N1039" s="3">
        <v>0</v>
      </c>
      <c r="O1039" s="3"/>
      <c r="P1039" s="3">
        <v>0</v>
      </c>
      <c r="Q1039" s="3">
        <v>0</v>
      </c>
      <c r="R1039" s="3">
        <v>0</v>
      </c>
      <c r="S1039" s="3">
        <v>0</v>
      </c>
      <c r="T1039" s="3">
        <v>0</v>
      </c>
      <c r="U1039" s="3"/>
      <c r="V1039" s="3"/>
      <c r="W1039" s="3"/>
      <c r="X1039" s="3"/>
      <c r="Y1039" s="3"/>
      <c r="Z1039" s="3"/>
      <c r="AA1039" s="3"/>
      <c r="AB1039" s="3"/>
      <c r="AC1039" s="3"/>
      <c r="AD1039" s="3"/>
      <c r="AE1039" s="3">
        <v>0</v>
      </c>
      <c r="AF1039" s="3">
        <v>0</v>
      </c>
      <c r="AG1039" s="3"/>
      <c r="AH1039" s="40"/>
      <c r="AI1039" s="40"/>
      <c r="AJ1039" s="40"/>
      <c r="AK1039" s="40"/>
      <c r="AL1039" s="40"/>
      <c r="AM1039" s="40"/>
      <c r="AN1039" s="40"/>
      <c r="AO1039" s="40"/>
      <c r="AP1039" s="40"/>
      <c r="AQ1039" s="40"/>
      <c r="AR1039" s="31"/>
      <c r="AS1039" s="36">
        <v>0</v>
      </c>
      <c r="AY1039" s="6"/>
      <c r="AZ1039" s="2"/>
      <c r="BA1039" s="2"/>
      <c r="BB1039" s="2"/>
      <c r="BC1039">
        <v>71500</v>
      </c>
      <c r="BD1039">
        <v>56992</v>
      </c>
    </row>
    <row r="1040" spans="3:56" x14ac:dyDescent="0.25">
      <c r="C1040" s="1">
        <v>46660</v>
      </c>
      <c r="D1040" s="36">
        <v>280814.82</v>
      </c>
      <c r="E1040" s="33">
        <v>4.7433333333333296</v>
      </c>
      <c r="F1040" s="33">
        <v>3.8548015925925898</v>
      </c>
      <c r="G1040" s="2">
        <v>0.81267777777777805</v>
      </c>
      <c r="H1040" s="2">
        <v>0.99</v>
      </c>
      <c r="I1040" s="3"/>
      <c r="J1040" s="3"/>
      <c r="K1040" s="3"/>
      <c r="L1040" s="3"/>
      <c r="M1040" s="3"/>
      <c r="N1040" s="3">
        <v>0</v>
      </c>
      <c r="O1040" s="3"/>
      <c r="P1040" s="3">
        <v>0</v>
      </c>
      <c r="Q1040" s="3">
        <v>0</v>
      </c>
      <c r="R1040" s="3">
        <v>0</v>
      </c>
      <c r="S1040" s="3">
        <v>0</v>
      </c>
      <c r="T1040" s="3">
        <v>0</v>
      </c>
      <c r="U1040" s="3"/>
      <c r="V1040" s="3"/>
      <c r="W1040" s="3"/>
      <c r="X1040" s="3"/>
      <c r="Y1040" s="3"/>
      <c r="Z1040" s="3"/>
      <c r="AA1040" s="3"/>
      <c r="AB1040" s="3"/>
      <c r="AC1040" s="3"/>
      <c r="AD1040" s="3"/>
      <c r="AE1040" s="3">
        <v>0</v>
      </c>
      <c r="AF1040" s="3">
        <v>0</v>
      </c>
      <c r="AG1040" s="3"/>
      <c r="AH1040" s="40"/>
      <c r="AI1040" s="40"/>
      <c r="AJ1040" s="40"/>
      <c r="AK1040" s="40"/>
      <c r="AL1040" s="40"/>
      <c r="AM1040" s="40"/>
      <c r="AN1040" s="40"/>
      <c r="AO1040" s="40"/>
      <c r="AP1040" s="40"/>
      <c r="AQ1040" s="40"/>
      <c r="AR1040" s="31"/>
      <c r="AS1040" s="36">
        <v>0</v>
      </c>
      <c r="AY1040" s="6"/>
      <c r="AZ1040" s="2"/>
      <c r="BA1040" s="2"/>
      <c r="BB1040" s="2"/>
      <c r="BC1040">
        <v>71500</v>
      </c>
      <c r="BD1040">
        <v>56992</v>
      </c>
    </row>
    <row r="1041" spans="3:56" x14ac:dyDescent="0.25">
      <c r="C1041" s="1">
        <v>46661</v>
      </c>
      <c r="D1041" s="36">
        <v>267120.30967741902</v>
      </c>
      <c r="E1041" s="33">
        <v>4.4903225806451603</v>
      </c>
      <c r="F1041" s="33">
        <v>3.6491354838709702</v>
      </c>
      <c r="G1041" s="2">
        <v>0.81266666666666698</v>
      </c>
      <c r="H1041" s="2">
        <v>0.99</v>
      </c>
      <c r="I1041" s="3"/>
      <c r="J1041" s="3"/>
      <c r="K1041" s="3"/>
      <c r="L1041" s="3"/>
      <c r="M1041" s="3"/>
      <c r="N1041" s="3">
        <v>0</v>
      </c>
      <c r="O1041" s="3"/>
      <c r="P1041" s="3">
        <v>0</v>
      </c>
      <c r="Q1041" s="3">
        <v>0</v>
      </c>
      <c r="R1041" s="3">
        <v>0</v>
      </c>
      <c r="S1041" s="3">
        <v>0</v>
      </c>
      <c r="T1041" s="3">
        <v>0</v>
      </c>
      <c r="U1041" s="3"/>
      <c r="V1041" s="3"/>
      <c r="W1041" s="3"/>
      <c r="X1041" s="3"/>
      <c r="Y1041" s="3"/>
      <c r="Z1041" s="3"/>
      <c r="AA1041" s="3"/>
      <c r="AB1041" s="3"/>
      <c r="AC1041" s="3"/>
      <c r="AD1041" s="3"/>
      <c r="AE1041" s="3">
        <v>0</v>
      </c>
      <c r="AF1041" s="3">
        <v>0</v>
      </c>
      <c r="AG1041" s="3"/>
      <c r="AH1041" s="40"/>
      <c r="AI1041" s="40"/>
      <c r="AJ1041" s="40"/>
      <c r="AK1041" s="40"/>
      <c r="AL1041" s="40"/>
      <c r="AM1041" s="40"/>
      <c r="AN1041" s="40"/>
      <c r="AO1041" s="40"/>
      <c r="AP1041" s="40"/>
      <c r="AQ1041" s="40"/>
      <c r="AR1041" s="31"/>
      <c r="AS1041" s="36">
        <v>0</v>
      </c>
      <c r="AY1041" s="6"/>
      <c r="AZ1041" s="2"/>
      <c r="BA1041" s="2"/>
      <c r="BB1041" s="2"/>
      <c r="BC1041">
        <v>71500</v>
      </c>
      <c r="BD1041">
        <v>56992</v>
      </c>
    </row>
    <row r="1042" spans="3:56" x14ac:dyDescent="0.25">
      <c r="C1042" s="1">
        <v>46662</v>
      </c>
      <c r="D1042" s="36">
        <v>267120.30967741902</v>
      </c>
      <c r="E1042" s="33">
        <v>4.4903225806451603</v>
      </c>
      <c r="F1042" s="33">
        <v>3.6490855913978502</v>
      </c>
      <c r="G1042" s="2">
        <v>0.81265555555555602</v>
      </c>
      <c r="H1042" s="2">
        <v>0.99</v>
      </c>
      <c r="I1042" s="3"/>
      <c r="J1042" s="3"/>
      <c r="K1042" s="3"/>
      <c r="L1042" s="3"/>
      <c r="M1042" s="3"/>
      <c r="N1042" s="3">
        <v>0</v>
      </c>
      <c r="O1042" s="3"/>
      <c r="P1042" s="3">
        <v>0</v>
      </c>
      <c r="Q1042" s="3">
        <v>0</v>
      </c>
      <c r="R1042" s="3">
        <v>0</v>
      </c>
      <c r="S1042" s="3">
        <v>0</v>
      </c>
      <c r="T1042" s="3">
        <v>0</v>
      </c>
      <c r="U1042" s="3"/>
      <c r="V1042" s="3"/>
      <c r="W1042" s="3"/>
      <c r="X1042" s="3"/>
      <c r="Y1042" s="3"/>
      <c r="Z1042" s="3"/>
      <c r="AA1042" s="3"/>
      <c r="AB1042" s="3"/>
      <c r="AC1042" s="3"/>
      <c r="AD1042" s="3"/>
      <c r="AE1042" s="3">
        <v>0</v>
      </c>
      <c r="AF1042" s="3">
        <v>0</v>
      </c>
      <c r="AG1042" s="3"/>
      <c r="AH1042" s="40"/>
      <c r="AI1042" s="40"/>
      <c r="AJ1042" s="40"/>
      <c r="AK1042" s="40"/>
      <c r="AL1042" s="40"/>
      <c r="AM1042" s="40"/>
      <c r="AN1042" s="40"/>
      <c r="AO1042" s="40"/>
      <c r="AP1042" s="40"/>
      <c r="AQ1042" s="40"/>
      <c r="AR1042" s="31"/>
      <c r="AS1042" s="36">
        <v>0</v>
      </c>
      <c r="AY1042" s="6"/>
      <c r="AZ1042" s="2"/>
      <c r="BA1042" s="2"/>
      <c r="BB1042" s="2"/>
      <c r="BC1042">
        <v>71500</v>
      </c>
      <c r="BD1042">
        <v>56992</v>
      </c>
    </row>
    <row r="1043" spans="3:56" x14ac:dyDescent="0.25">
      <c r="C1043" s="1">
        <v>46663</v>
      </c>
      <c r="D1043" s="36">
        <v>267120.30967741902</v>
      </c>
      <c r="E1043" s="33">
        <v>4.4903225806451603</v>
      </c>
      <c r="F1043" s="33">
        <v>3.6490356989247301</v>
      </c>
      <c r="G1043" s="2">
        <v>0.81264444444444395</v>
      </c>
      <c r="H1043" s="2">
        <v>0.99</v>
      </c>
      <c r="I1043" s="3"/>
      <c r="J1043" s="3"/>
      <c r="K1043" s="3"/>
      <c r="L1043" s="3"/>
      <c r="M1043" s="3"/>
      <c r="N1043" s="3">
        <v>0</v>
      </c>
      <c r="O1043" s="3"/>
      <c r="P1043" s="3">
        <v>0</v>
      </c>
      <c r="Q1043" s="3">
        <v>0</v>
      </c>
      <c r="R1043" s="3">
        <v>0</v>
      </c>
      <c r="S1043" s="3">
        <v>0</v>
      </c>
      <c r="T1043" s="3">
        <v>0</v>
      </c>
      <c r="U1043" s="3"/>
      <c r="V1043" s="3"/>
      <c r="W1043" s="3"/>
      <c r="X1043" s="3"/>
      <c r="Y1043" s="3"/>
      <c r="Z1043" s="3"/>
      <c r="AA1043" s="3"/>
      <c r="AB1043" s="3"/>
      <c r="AC1043" s="3"/>
      <c r="AD1043" s="3"/>
      <c r="AE1043" s="3">
        <v>0</v>
      </c>
      <c r="AF1043" s="3">
        <v>0</v>
      </c>
      <c r="AG1043" s="3"/>
      <c r="AH1043" s="40"/>
      <c r="AI1043" s="40"/>
      <c r="AJ1043" s="40"/>
      <c r="AK1043" s="40"/>
      <c r="AL1043" s="40"/>
      <c r="AM1043" s="40"/>
      <c r="AN1043" s="40"/>
      <c r="AO1043" s="40"/>
      <c r="AP1043" s="40"/>
      <c r="AQ1043" s="40"/>
      <c r="AR1043" s="31"/>
      <c r="AS1043" s="36">
        <v>0</v>
      </c>
      <c r="AY1043" s="6"/>
      <c r="AZ1043" s="2"/>
      <c r="BA1043" s="2"/>
      <c r="BB1043" s="2"/>
      <c r="BC1043">
        <v>71500</v>
      </c>
      <c r="BD1043">
        <v>56992</v>
      </c>
    </row>
    <row r="1044" spans="3:56" x14ac:dyDescent="0.25">
      <c r="C1044" s="1">
        <v>46664</v>
      </c>
      <c r="D1044" s="36">
        <v>267120.30967741902</v>
      </c>
      <c r="E1044" s="33">
        <v>4.4903225806451603</v>
      </c>
      <c r="F1044" s="33">
        <v>3.6489858064516101</v>
      </c>
      <c r="G1044" s="2">
        <v>0.81263333333333299</v>
      </c>
      <c r="H1044" s="2">
        <v>0.99</v>
      </c>
      <c r="I1044" s="3"/>
      <c r="J1044" s="3"/>
      <c r="K1044" s="3"/>
      <c r="L1044" s="3"/>
      <c r="M1044" s="3"/>
      <c r="N1044" s="3">
        <v>0</v>
      </c>
      <c r="O1044" s="3"/>
      <c r="P1044" s="3">
        <v>0</v>
      </c>
      <c r="Q1044" s="3">
        <v>0</v>
      </c>
      <c r="R1044" s="3">
        <v>0</v>
      </c>
      <c r="S1044" s="3">
        <v>0</v>
      </c>
      <c r="T1044" s="3">
        <v>0</v>
      </c>
      <c r="U1044" s="3"/>
      <c r="V1044" s="3"/>
      <c r="W1044" s="3"/>
      <c r="X1044" s="3"/>
      <c r="Y1044" s="3"/>
      <c r="Z1044" s="3"/>
      <c r="AA1044" s="3"/>
      <c r="AB1044" s="3"/>
      <c r="AC1044" s="3"/>
      <c r="AD1044" s="3"/>
      <c r="AE1044" s="3">
        <v>0</v>
      </c>
      <c r="AF1044" s="3">
        <v>0</v>
      </c>
      <c r="AG1044" s="3"/>
      <c r="AH1044" s="40"/>
      <c r="AI1044" s="40"/>
      <c r="AJ1044" s="40"/>
      <c r="AK1044" s="40"/>
      <c r="AL1044" s="40"/>
      <c r="AM1044" s="40"/>
      <c r="AN1044" s="40"/>
      <c r="AO1044" s="40"/>
      <c r="AP1044" s="40"/>
      <c r="AQ1044" s="40"/>
      <c r="AR1044" s="31"/>
      <c r="AS1044" s="36">
        <v>0</v>
      </c>
      <c r="AY1044" s="6"/>
      <c r="AZ1044" s="2"/>
      <c r="BA1044" s="2"/>
      <c r="BB1044" s="2"/>
      <c r="BC1044">
        <v>71500</v>
      </c>
      <c r="BD1044">
        <v>56992</v>
      </c>
    </row>
    <row r="1045" spans="3:56" x14ac:dyDescent="0.25">
      <c r="C1045" s="1">
        <v>46665</v>
      </c>
      <c r="D1045" s="36">
        <v>267120.30967741902</v>
      </c>
      <c r="E1045" s="33">
        <v>4.4903225806451603</v>
      </c>
      <c r="F1045" s="33">
        <v>3.64893591397849</v>
      </c>
      <c r="G1045" s="2">
        <v>0.81262222222222202</v>
      </c>
      <c r="H1045" s="2">
        <v>0.99</v>
      </c>
      <c r="I1045" s="3"/>
      <c r="J1045" s="3"/>
      <c r="K1045" s="3"/>
      <c r="L1045" s="3"/>
      <c r="M1045" s="3"/>
      <c r="N1045" s="3">
        <v>0</v>
      </c>
      <c r="O1045" s="3"/>
      <c r="P1045" s="3">
        <v>0</v>
      </c>
      <c r="Q1045" s="3">
        <v>0</v>
      </c>
      <c r="R1045" s="3">
        <v>0</v>
      </c>
      <c r="S1045" s="3">
        <v>0</v>
      </c>
      <c r="T1045" s="3">
        <v>0</v>
      </c>
      <c r="U1045" s="3"/>
      <c r="V1045" s="3"/>
      <c r="W1045" s="3"/>
      <c r="X1045" s="3"/>
      <c r="Y1045" s="3"/>
      <c r="Z1045" s="3"/>
      <c r="AA1045" s="3"/>
      <c r="AB1045" s="3"/>
      <c r="AC1045" s="3"/>
      <c r="AD1045" s="3"/>
      <c r="AE1045" s="3">
        <v>0</v>
      </c>
      <c r="AF1045" s="3">
        <v>0</v>
      </c>
      <c r="AG1045" s="3"/>
      <c r="AH1045" s="40"/>
      <c r="AI1045" s="40"/>
      <c r="AJ1045" s="40"/>
      <c r="AK1045" s="40"/>
      <c r="AL1045" s="40"/>
      <c r="AM1045" s="40"/>
      <c r="AN1045" s="40"/>
      <c r="AO1045" s="40"/>
      <c r="AP1045" s="40"/>
      <c r="AQ1045" s="40"/>
      <c r="AR1045" s="31"/>
      <c r="AS1045" s="36">
        <v>0</v>
      </c>
      <c r="AY1045" s="6"/>
      <c r="AZ1045" s="2"/>
      <c r="BA1045" s="2"/>
      <c r="BB1045" s="2"/>
      <c r="BC1045">
        <v>71500</v>
      </c>
      <c r="BD1045">
        <v>56992</v>
      </c>
    </row>
    <row r="1046" spans="3:56" x14ac:dyDescent="0.25">
      <c r="C1046" s="1">
        <v>46666</v>
      </c>
      <c r="D1046" s="36">
        <v>267120.30967741902</v>
      </c>
      <c r="E1046" s="33">
        <v>4.4903225806451603</v>
      </c>
      <c r="F1046" s="33">
        <v>3.6488860215053802</v>
      </c>
      <c r="G1046" s="2">
        <v>0.81261111111111095</v>
      </c>
      <c r="H1046" s="2">
        <v>0.99</v>
      </c>
      <c r="I1046" s="3"/>
      <c r="J1046" s="3"/>
      <c r="K1046" s="3"/>
      <c r="L1046" s="3"/>
      <c r="M1046" s="3"/>
      <c r="N1046" s="3">
        <v>0</v>
      </c>
      <c r="O1046" s="3"/>
      <c r="P1046" s="3">
        <v>0</v>
      </c>
      <c r="Q1046" s="3">
        <v>0</v>
      </c>
      <c r="R1046" s="3">
        <v>0</v>
      </c>
      <c r="S1046" s="3">
        <v>0</v>
      </c>
      <c r="T1046" s="3">
        <v>0</v>
      </c>
      <c r="U1046" s="3"/>
      <c r="V1046" s="3"/>
      <c r="W1046" s="3"/>
      <c r="X1046" s="3"/>
      <c r="Y1046" s="3"/>
      <c r="Z1046" s="3"/>
      <c r="AA1046" s="3"/>
      <c r="AB1046" s="3"/>
      <c r="AC1046" s="3"/>
      <c r="AD1046" s="3"/>
      <c r="AE1046" s="3">
        <v>0</v>
      </c>
      <c r="AF1046" s="3">
        <v>0</v>
      </c>
      <c r="AG1046" s="3"/>
      <c r="AH1046" s="40"/>
      <c r="AI1046" s="40"/>
      <c r="AJ1046" s="40"/>
      <c r="AK1046" s="40"/>
      <c r="AL1046" s="40"/>
      <c r="AM1046" s="40"/>
      <c r="AN1046" s="40"/>
      <c r="AO1046" s="40"/>
      <c r="AP1046" s="40"/>
      <c r="AQ1046" s="40"/>
      <c r="AR1046" s="31"/>
      <c r="AS1046" s="36">
        <v>0</v>
      </c>
      <c r="AY1046" s="6"/>
      <c r="AZ1046" s="2"/>
      <c r="BA1046" s="2"/>
      <c r="BB1046" s="2"/>
      <c r="BC1046">
        <v>71500</v>
      </c>
      <c r="BD1046">
        <v>56992</v>
      </c>
    </row>
    <row r="1047" spans="3:56" x14ac:dyDescent="0.25">
      <c r="C1047" s="1">
        <v>46667</v>
      </c>
      <c r="D1047" s="36">
        <v>267120.30967741902</v>
      </c>
      <c r="E1047" s="33">
        <v>4.4903225806451603</v>
      </c>
      <c r="F1047" s="33">
        <v>3.6488361290322602</v>
      </c>
      <c r="G1047" s="2">
        <v>0.81259999999999999</v>
      </c>
      <c r="H1047" s="2">
        <v>0.99</v>
      </c>
      <c r="I1047" s="3"/>
      <c r="J1047" s="3"/>
      <c r="K1047" s="3"/>
      <c r="L1047" s="3"/>
      <c r="M1047" s="3"/>
      <c r="N1047" s="3">
        <v>0</v>
      </c>
      <c r="O1047" s="3"/>
      <c r="P1047" s="3">
        <v>0</v>
      </c>
      <c r="Q1047" s="3">
        <v>0</v>
      </c>
      <c r="R1047" s="3">
        <v>0</v>
      </c>
      <c r="S1047" s="3">
        <v>0</v>
      </c>
      <c r="T1047" s="3">
        <v>0</v>
      </c>
      <c r="U1047" s="3"/>
      <c r="V1047" s="3"/>
      <c r="W1047" s="3"/>
      <c r="X1047" s="3"/>
      <c r="Y1047" s="3"/>
      <c r="Z1047" s="3"/>
      <c r="AA1047" s="3"/>
      <c r="AB1047" s="3"/>
      <c r="AC1047" s="3"/>
      <c r="AD1047" s="3"/>
      <c r="AE1047" s="3">
        <v>0</v>
      </c>
      <c r="AF1047" s="3">
        <v>0</v>
      </c>
      <c r="AG1047" s="3"/>
      <c r="AH1047" s="40"/>
      <c r="AI1047" s="40"/>
      <c r="AJ1047" s="40"/>
      <c r="AK1047" s="40"/>
      <c r="AL1047" s="40"/>
      <c r="AM1047" s="40"/>
      <c r="AN1047" s="40"/>
      <c r="AO1047" s="40"/>
      <c r="AP1047" s="40"/>
      <c r="AQ1047" s="40"/>
      <c r="AR1047" s="31"/>
      <c r="AS1047" s="36">
        <v>0</v>
      </c>
      <c r="AY1047" s="6"/>
      <c r="AZ1047" s="2"/>
      <c r="BA1047" s="2"/>
      <c r="BB1047" s="2"/>
      <c r="BC1047">
        <v>71500</v>
      </c>
      <c r="BD1047">
        <v>56992</v>
      </c>
    </row>
    <row r="1048" spans="3:56" x14ac:dyDescent="0.25">
      <c r="C1048" s="1">
        <v>46668</v>
      </c>
      <c r="D1048" s="36">
        <v>267120.30967741902</v>
      </c>
      <c r="E1048" s="33">
        <v>4.4903225806451603</v>
      </c>
      <c r="F1048" s="33">
        <v>3.6487862365591401</v>
      </c>
      <c r="G1048" s="2">
        <v>0.81258888888888903</v>
      </c>
      <c r="H1048" s="2">
        <v>0.99</v>
      </c>
      <c r="I1048" s="3"/>
      <c r="J1048" s="3"/>
      <c r="K1048" s="3"/>
      <c r="L1048" s="3"/>
      <c r="M1048" s="3"/>
      <c r="N1048" s="3">
        <v>0</v>
      </c>
      <c r="O1048" s="3"/>
      <c r="P1048" s="3">
        <v>0</v>
      </c>
      <c r="Q1048" s="3">
        <v>0</v>
      </c>
      <c r="R1048" s="3">
        <v>0</v>
      </c>
      <c r="S1048" s="3">
        <v>0</v>
      </c>
      <c r="T1048" s="3">
        <v>0</v>
      </c>
      <c r="U1048" s="3"/>
      <c r="V1048" s="3"/>
      <c r="W1048" s="3"/>
      <c r="X1048" s="3"/>
      <c r="Y1048" s="3"/>
      <c r="Z1048" s="3"/>
      <c r="AA1048" s="3"/>
      <c r="AB1048" s="3"/>
      <c r="AC1048" s="3"/>
      <c r="AD1048" s="3"/>
      <c r="AE1048" s="3">
        <v>0</v>
      </c>
      <c r="AF1048" s="3">
        <v>0</v>
      </c>
      <c r="AG1048" s="3"/>
      <c r="AH1048" s="40"/>
      <c r="AI1048" s="40"/>
      <c r="AJ1048" s="40"/>
      <c r="AK1048" s="40"/>
      <c r="AL1048" s="40"/>
      <c r="AM1048" s="40"/>
      <c r="AN1048" s="40"/>
      <c r="AO1048" s="40"/>
      <c r="AP1048" s="40"/>
      <c r="AQ1048" s="40"/>
      <c r="AR1048" s="31"/>
      <c r="AS1048" s="36">
        <v>0</v>
      </c>
      <c r="AY1048" s="6"/>
      <c r="AZ1048" s="2"/>
      <c r="BA1048" s="2"/>
      <c r="BB1048" s="2"/>
      <c r="BC1048">
        <v>71500</v>
      </c>
      <c r="BD1048">
        <v>56992</v>
      </c>
    </row>
    <row r="1049" spans="3:56" x14ac:dyDescent="0.25">
      <c r="C1049" s="1">
        <v>46669</v>
      </c>
      <c r="D1049" s="36">
        <v>267120.30967741902</v>
      </c>
      <c r="E1049" s="33">
        <v>4.4903225806451603</v>
      </c>
      <c r="F1049" s="33">
        <v>3.6487363440860201</v>
      </c>
      <c r="G1049" s="2">
        <v>0.81257777777777795</v>
      </c>
      <c r="H1049" s="2">
        <v>0.99</v>
      </c>
      <c r="I1049" s="3"/>
      <c r="J1049" s="3"/>
      <c r="K1049" s="3"/>
      <c r="L1049" s="3"/>
      <c r="M1049" s="3"/>
      <c r="N1049" s="3">
        <v>0</v>
      </c>
      <c r="O1049" s="3"/>
      <c r="P1049" s="3">
        <v>0</v>
      </c>
      <c r="Q1049" s="3">
        <v>0</v>
      </c>
      <c r="R1049" s="3">
        <v>0</v>
      </c>
      <c r="S1049" s="3">
        <v>0</v>
      </c>
      <c r="T1049" s="3">
        <v>0</v>
      </c>
      <c r="U1049" s="3"/>
      <c r="V1049" s="3"/>
      <c r="W1049" s="3"/>
      <c r="X1049" s="3"/>
      <c r="Y1049" s="3"/>
      <c r="Z1049" s="3"/>
      <c r="AA1049" s="3"/>
      <c r="AB1049" s="3"/>
      <c r="AC1049" s="3"/>
      <c r="AD1049" s="3"/>
      <c r="AE1049" s="3">
        <v>0</v>
      </c>
      <c r="AF1049" s="3">
        <v>0</v>
      </c>
      <c r="AG1049" s="3"/>
      <c r="AH1049" s="40"/>
      <c r="AI1049" s="40"/>
      <c r="AJ1049" s="40"/>
      <c r="AK1049" s="40"/>
      <c r="AL1049" s="40"/>
      <c r="AM1049" s="40"/>
      <c r="AN1049" s="40"/>
      <c r="AO1049" s="40"/>
      <c r="AP1049" s="40"/>
      <c r="AQ1049" s="40"/>
      <c r="AR1049" s="31"/>
      <c r="AS1049" s="36">
        <v>0</v>
      </c>
      <c r="AY1049" s="6"/>
      <c r="AZ1049" s="2"/>
      <c r="BA1049" s="2"/>
      <c r="BB1049" s="2"/>
      <c r="BC1049">
        <v>71500</v>
      </c>
      <c r="BD1049">
        <v>56992</v>
      </c>
    </row>
    <row r="1050" spans="3:56" x14ac:dyDescent="0.25">
      <c r="C1050" s="1">
        <v>46670</v>
      </c>
      <c r="D1050" s="36">
        <v>267120.30967741902</v>
      </c>
      <c r="E1050" s="33">
        <v>4.4903225806451603</v>
      </c>
      <c r="F1050" s="33">
        <v>3.6486864516129001</v>
      </c>
      <c r="G1050" s="2">
        <v>0.81256666666666699</v>
      </c>
      <c r="H1050" s="2">
        <v>0.99</v>
      </c>
      <c r="I1050" s="3"/>
      <c r="J1050" s="3"/>
      <c r="K1050" s="3"/>
      <c r="L1050" s="3"/>
      <c r="M1050" s="3"/>
      <c r="N1050" s="3">
        <v>0</v>
      </c>
      <c r="O1050" s="3"/>
      <c r="P1050" s="3">
        <v>0</v>
      </c>
      <c r="Q1050" s="3">
        <v>0</v>
      </c>
      <c r="R1050" s="3">
        <v>0</v>
      </c>
      <c r="S1050" s="3">
        <v>0</v>
      </c>
      <c r="T1050" s="3">
        <v>0</v>
      </c>
      <c r="U1050" s="3"/>
      <c r="V1050" s="3"/>
      <c r="W1050" s="3"/>
      <c r="X1050" s="3"/>
      <c r="Y1050" s="3"/>
      <c r="Z1050" s="3"/>
      <c r="AA1050" s="3"/>
      <c r="AB1050" s="3"/>
      <c r="AC1050" s="3"/>
      <c r="AD1050" s="3"/>
      <c r="AE1050" s="3">
        <v>0</v>
      </c>
      <c r="AF1050" s="3">
        <v>0</v>
      </c>
      <c r="AG1050" s="3"/>
      <c r="AH1050" s="40"/>
      <c r="AI1050" s="40"/>
      <c r="AJ1050" s="40"/>
      <c r="AK1050" s="40"/>
      <c r="AL1050" s="40"/>
      <c r="AM1050" s="40"/>
      <c r="AN1050" s="40"/>
      <c r="AO1050" s="40"/>
      <c r="AP1050" s="40"/>
      <c r="AQ1050" s="40"/>
      <c r="AR1050" s="31"/>
      <c r="AS1050" s="36">
        <v>0</v>
      </c>
      <c r="AY1050" s="6"/>
      <c r="AZ1050" s="2"/>
      <c r="BA1050" s="2"/>
      <c r="BB1050" s="2"/>
      <c r="BC1050">
        <v>71500</v>
      </c>
      <c r="BD1050">
        <v>56992</v>
      </c>
    </row>
    <row r="1051" spans="3:56" x14ac:dyDescent="0.25">
      <c r="C1051" s="1">
        <v>46671</v>
      </c>
      <c r="D1051" s="36">
        <v>267120.30967741902</v>
      </c>
      <c r="E1051" s="33">
        <v>4.4903225806451603</v>
      </c>
      <c r="F1051" s="33">
        <v>3.64863655913978</v>
      </c>
      <c r="G1051" s="2">
        <v>0.81255555555555603</v>
      </c>
      <c r="H1051" s="2">
        <v>0.99</v>
      </c>
      <c r="I1051" s="3"/>
      <c r="J1051" s="3"/>
      <c r="K1051" s="3"/>
      <c r="L1051" s="3"/>
      <c r="M1051" s="3"/>
      <c r="N1051" s="3">
        <v>0</v>
      </c>
      <c r="O1051" s="3"/>
      <c r="P1051" s="3">
        <v>0</v>
      </c>
      <c r="Q1051" s="3">
        <v>0</v>
      </c>
      <c r="R1051" s="3">
        <v>0</v>
      </c>
      <c r="S1051" s="3">
        <v>0</v>
      </c>
      <c r="T1051" s="3">
        <v>0</v>
      </c>
      <c r="U1051" s="3"/>
      <c r="V1051" s="3"/>
      <c r="W1051" s="3"/>
      <c r="X1051" s="3"/>
      <c r="Y1051" s="3"/>
      <c r="Z1051" s="3"/>
      <c r="AA1051" s="3"/>
      <c r="AB1051" s="3"/>
      <c r="AC1051" s="3"/>
      <c r="AD1051" s="3"/>
      <c r="AE1051" s="3">
        <v>0</v>
      </c>
      <c r="AF1051" s="3">
        <v>0</v>
      </c>
      <c r="AG1051" s="3"/>
      <c r="AH1051" s="40"/>
      <c r="AI1051" s="40"/>
      <c r="AJ1051" s="40"/>
      <c r="AK1051" s="40"/>
      <c r="AL1051" s="40"/>
      <c r="AM1051" s="40"/>
      <c r="AN1051" s="40"/>
      <c r="AO1051" s="40"/>
      <c r="AP1051" s="40"/>
      <c r="AQ1051" s="40"/>
      <c r="AR1051" s="31"/>
      <c r="AS1051" s="36">
        <v>0</v>
      </c>
      <c r="AY1051" s="6"/>
      <c r="AZ1051" s="2"/>
      <c r="BA1051" s="2"/>
      <c r="BB1051" s="2"/>
      <c r="BC1051">
        <v>71500</v>
      </c>
      <c r="BD1051">
        <v>56992</v>
      </c>
    </row>
    <row r="1052" spans="3:56" x14ac:dyDescent="0.25">
      <c r="C1052" s="1">
        <v>46672</v>
      </c>
      <c r="D1052" s="36">
        <v>267120.30967741902</v>
      </c>
      <c r="E1052" s="33">
        <v>4.4903225806451603</v>
      </c>
      <c r="F1052" s="33">
        <v>3.6485866666666702</v>
      </c>
      <c r="G1052" s="2">
        <v>0.81254444444444396</v>
      </c>
      <c r="H1052" s="2">
        <v>0.99</v>
      </c>
      <c r="I1052" s="3"/>
      <c r="J1052" s="3"/>
      <c r="K1052" s="3"/>
      <c r="L1052" s="3"/>
      <c r="M1052" s="3"/>
      <c r="N1052" s="3">
        <v>0</v>
      </c>
      <c r="O1052" s="3"/>
      <c r="P1052" s="3">
        <v>0</v>
      </c>
      <c r="Q1052" s="3">
        <v>0</v>
      </c>
      <c r="R1052" s="3">
        <v>0</v>
      </c>
      <c r="S1052" s="3">
        <v>0</v>
      </c>
      <c r="T1052" s="3">
        <v>0</v>
      </c>
      <c r="U1052" s="3"/>
      <c r="V1052" s="3"/>
      <c r="W1052" s="3"/>
      <c r="X1052" s="3"/>
      <c r="Y1052" s="3"/>
      <c r="Z1052" s="3"/>
      <c r="AA1052" s="3"/>
      <c r="AB1052" s="3"/>
      <c r="AC1052" s="3"/>
      <c r="AD1052" s="3"/>
      <c r="AE1052" s="3">
        <v>0</v>
      </c>
      <c r="AF1052" s="3">
        <v>0</v>
      </c>
      <c r="AG1052" s="3"/>
      <c r="AH1052" s="40"/>
      <c r="AI1052" s="40"/>
      <c r="AJ1052" s="40"/>
      <c r="AK1052" s="40"/>
      <c r="AL1052" s="40"/>
      <c r="AM1052" s="40"/>
      <c r="AN1052" s="40"/>
      <c r="AO1052" s="40"/>
      <c r="AP1052" s="40"/>
      <c r="AQ1052" s="40"/>
      <c r="AR1052" s="31"/>
      <c r="AS1052" s="36">
        <v>0</v>
      </c>
      <c r="AY1052" s="6"/>
      <c r="AZ1052" s="2"/>
      <c r="BA1052" s="2"/>
      <c r="BB1052" s="2"/>
      <c r="BC1052">
        <v>71500</v>
      </c>
      <c r="BD1052">
        <v>56992</v>
      </c>
    </row>
    <row r="1053" spans="3:56" x14ac:dyDescent="0.25">
      <c r="C1053" s="1">
        <v>46673</v>
      </c>
      <c r="D1053" s="36">
        <v>267120.30967741902</v>
      </c>
      <c r="E1053" s="33">
        <v>4.4903225806451603</v>
      </c>
      <c r="F1053" s="33">
        <v>3.6485367741935502</v>
      </c>
      <c r="G1053" s="2">
        <v>0.812533333333333</v>
      </c>
      <c r="H1053" s="2">
        <v>0.99</v>
      </c>
      <c r="I1053" s="3"/>
      <c r="J1053" s="3"/>
      <c r="K1053" s="3"/>
      <c r="L1053" s="3"/>
      <c r="M1053" s="3"/>
      <c r="N1053" s="3">
        <v>0</v>
      </c>
      <c r="O1053" s="3"/>
      <c r="P1053" s="3">
        <v>0</v>
      </c>
      <c r="Q1053" s="3">
        <v>0</v>
      </c>
      <c r="R1053" s="3">
        <v>0</v>
      </c>
      <c r="S1053" s="3">
        <v>0</v>
      </c>
      <c r="T1053" s="3">
        <v>0</v>
      </c>
      <c r="U1053" s="3"/>
      <c r="V1053" s="3"/>
      <c r="W1053" s="3"/>
      <c r="X1053" s="3"/>
      <c r="Y1053" s="3"/>
      <c r="Z1053" s="3"/>
      <c r="AA1053" s="3"/>
      <c r="AB1053" s="3"/>
      <c r="AC1053" s="3"/>
      <c r="AD1053" s="3"/>
      <c r="AE1053" s="3">
        <v>0</v>
      </c>
      <c r="AF1053" s="3">
        <v>0</v>
      </c>
      <c r="AG1053" s="3"/>
      <c r="AH1053" s="40"/>
      <c r="AI1053" s="40"/>
      <c r="AJ1053" s="40"/>
      <c r="AK1053" s="40"/>
      <c r="AL1053" s="40"/>
      <c r="AM1053" s="40"/>
      <c r="AN1053" s="40"/>
      <c r="AO1053" s="40"/>
      <c r="AP1053" s="40"/>
      <c r="AQ1053" s="40"/>
      <c r="AR1053" s="31"/>
      <c r="AS1053" s="36">
        <v>0</v>
      </c>
      <c r="AY1053" s="6"/>
      <c r="AZ1053" s="2"/>
      <c r="BA1053" s="2"/>
      <c r="BB1053" s="2"/>
      <c r="BC1053">
        <v>71500</v>
      </c>
      <c r="BD1053">
        <v>56992</v>
      </c>
    </row>
    <row r="1054" spans="3:56" x14ac:dyDescent="0.25">
      <c r="C1054" s="1">
        <v>46674</v>
      </c>
      <c r="D1054" s="36">
        <v>267120.30967741902</v>
      </c>
      <c r="E1054" s="33">
        <v>4.4903225806451603</v>
      </c>
      <c r="F1054" s="33">
        <v>3.6484868817204301</v>
      </c>
      <c r="G1054" s="2">
        <v>0.81252222222222203</v>
      </c>
      <c r="H1054" s="2">
        <v>0.99</v>
      </c>
      <c r="I1054" s="3"/>
      <c r="J1054" s="3"/>
      <c r="K1054" s="3"/>
      <c r="L1054" s="3"/>
      <c r="M1054" s="3"/>
      <c r="N1054" s="3">
        <v>0</v>
      </c>
      <c r="O1054" s="3"/>
      <c r="P1054" s="3">
        <v>0</v>
      </c>
      <c r="Q1054" s="3">
        <v>0</v>
      </c>
      <c r="R1054" s="3">
        <v>0</v>
      </c>
      <c r="S1054" s="3">
        <v>0</v>
      </c>
      <c r="T1054" s="3">
        <v>0</v>
      </c>
      <c r="U1054" s="3"/>
      <c r="V1054" s="3"/>
      <c r="W1054" s="3"/>
      <c r="X1054" s="3"/>
      <c r="Y1054" s="3"/>
      <c r="Z1054" s="3"/>
      <c r="AA1054" s="3"/>
      <c r="AB1054" s="3"/>
      <c r="AC1054" s="3"/>
      <c r="AD1054" s="3"/>
      <c r="AE1054" s="3">
        <v>0</v>
      </c>
      <c r="AF1054" s="3">
        <v>0</v>
      </c>
      <c r="AG1054" s="3"/>
      <c r="AH1054" s="40"/>
      <c r="AI1054" s="40"/>
      <c r="AJ1054" s="40"/>
      <c r="AK1054" s="40"/>
      <c r="AL1054" s="40"/>
      <c r="AM1054" s="40"/>
      <c r="AN1054" s="40"/>
      <c r="AO1054" s="40"/>
      <c r="AP1054" s="40"/>
      <c r="AQ1054" s="40"/>
      <c r="AR1054" s="31"/>
      <c r="AS1054" s="36">
        <v>0</v>
      </c>
      <c r="AY1054" s="6"/>
      <c r="AZ1054" s="2"/>
      <c r="BA1054" s="2"/>
      <c r="BB1054" s="2"/>
      <c r="BC1054">
        <v>71500</v>
      </c>
      <c r="BD1054">
        <v>56992</v>
      </c>
    </row>
    <row r="1055" spans="3:56" x14ac:dyDescent="0.25">
      <c r="C1055" s="1">
        <v>46675</v>
      </c>
      <c r="D1055" s="36">
        <v>267120.30967741902</v>
      </c>
      <c r="E1055" s="33">
        <v>4.4903225806451603</v>
      </c>
      <c r="F1055" s="33">
        <v>3.6484369892473101</v>
      </c>
      <c r="G1055" s="2">
        <v>0.81251111111111096</v>
      </c>
      <c r="H1055" s="2">
        <v>0.99</v>
      </c>
      <c r="I1055" s="3"/>
      <c r="J1055" s="3"/>
      <c r="K1055" s="3"/>
      <c r="L1055" s="3"/>
      <c r="M1055" s="3"/>
      <c r="N1055" s="3">
        <v>0</v>
      </c>
      <c r="O1055" s="3"/>
      <c r="P1055" s="3">
        <v>0</v>
      </c>
      <c r="Q1055" s="3">
        <v>0</v>
      </c>
      <c r="R1055" s="3">
        <v>0</v>
      </c>
      <c r="S1055" s="3">
        <v>0</v>
      </c>
      <c r="T1055" s="3">
        <v>0</v>
      </c>
      <c r="U1055" s="3"/>
      <c r="V1055" s="3"/>
      <c r="W1055" s="3"/>
      <c r="X1055" s="3"/>
      <c r="Y1055" s="3"/>
      <c r="Z1055" s="3"/>
      <c r="AA1055" s="3"/>
      <c r="AB1055" s="3"/>
      <c r="AC1055" s="3"/>
      <c r="AD1055" s="3"/>
      <c r="AE1055" s="3">
        <v>0</v>
      </c>
      <c r="AF1055" s="3">
        <v>0</v>
      </c>
      <c r="AG1055" s="3"/>
      <c r="AH1055" s="40"/>
      <c r="AI1055" s="40"/>
      <c r="AJ1055" s="40"/>
      <c r="AK1055" s="40"/>
      <c r="AL1055" s="40"/>
      <c r="AM1055" s="40"/>
      <c r="AN1055" s="40"/>
      <c r="AO1055" s="40"/>
      <c r="AP1055" s="40"/>
      <c r="AQ1055" s="40"/>
      <c r="AR1055" s="31"/>
      <c r="AS1055" s="36">
        <v>0</v>
      </c>
      <c r="AY1055" s="6"/>
      <c r="AZ1055" s="2"/>
      <c r="BA1055" s="2"/>
      <c r="BB1055" s="2"/>
      <c r="BC1055">
        <v>71500</v>
      </c>
      <c r="BD1055">
        <v>56992</v>
      </c>
    </row>
    <row r="1056" spans="3:56" x14ac:dyDescent="0.25">
      <c r="C1056" s="1">
        <v>46676</v>
      </c>
      <c r="D1056" s="36">
        <v>267120.30967741902</v>
      </c>
      <c r="E1056" s="33">
        <v>4.4903225806451603</v>
      </c>
      <c r="F1056" s="33">
        <v>3.64838709677419</v>
      </c>
      <c r="G1056" s="2">
        <v>0.8125</v>
      </c>
      <c r="H1056" s="2">
        <v>0.99</v>
      </c>
      <c r="I1056" s="3"/>
      <c r="J1056" s="3"/>
      <c r="K1056" s="3"/>
      <c r="L1056" s="3"/>
      <c r="M1056" s="3"/>
      <c r="N1056" s="3">
        <v>0</v>
      </c>
      <c r="O1056" s="3"/>
      <c r="P1056" s="3">
        <v>0</v>
      </c>
      <c r="Q1056" s="3">
        <v>0</v>
      </c>
      <c r="R1056" s="3">
        <v>0</v>
      </c>
      <c r="S1056" s="3">
        <v>0</v>
      </c>
      <c r="T1056" s="3">
        <v>0</v>
      </c>
      <c r="U1056" s="3"/>
      <c r="V1056" s="3"/>
      <c r="W1056" s="3"/>
      <c r="X1056" s="3"/>
      <c r="Y1056" s="3"/>
      <c r="Z1056" s="3"/>
      <c r="AA1056" s="3"/>
      <c r="AB1056" s="3"/>
      <c r="AC1056" s="3"/>
      <c r="AD1056" s="3"/>
      <c r="AE1056" s="3">
        <v>0</v>
      </c>
      <c r="AF1056" s="3">
        <v>0</v>
      </c>
      <c r="AG1056" s="3"/>
      <c r="AH1056" s="40"/>
      <c r="AI1056" s="40"/>
      <c r="AJ1056" s="40"/>
      <c r="AK1056" s="40"/>
      <c r="AL1056" s="40"/>
      <c r="AM1056" s="40"/>
      <c r="AN1056" s="40"/>
      <c r="AO1056" s="40"/>
      <c r="AP1056" s="40"/>
      <c r="AQ1056" s="40"/>
      <c r="AR1056" s="31"/>
      <c r="AS1056" s="36">
        <v>0</v>
      </c>
      <c r="AY1056" s="6"/>
      <c r="AZ1056" s="2"/>
      <c r="BA1056" s="2"/>
      <c r="BB1056" s="2"/>
      <c r="BC1056">
        <v>71500</v>
      </c>
      <c r="BD1056">
        <v>56992</v>
      </c>
    </row>
    <row r="1057" spans="3:56" x14ac:dyDescent="0.25">
      <c r="C1057" s="1">
        <v>46677</v>
      </c>
      <c r="D1057" s="36">
        <v>267120.30967741902</v>
      </c>
      <c r="E1057" s="33">
        <v>4.4903225806451603</v>
      </c>
      <c r="F1057" s="33">
        <v>3.6483372043010802</v>
      </c>
      <c r="G1057" s="2">
        <v>0.81248888888888904</v>
      </c>
      <c r="H1057" s="2">
        <v>0.99</v>
      </c>
      <c r="I1057" s="3"/>
      <c r="J1057" s="3"/>
      <c r="K1057" s="3"/>
      <c r="L1057" s="3"/>
      <c r="M1057" s="3"/>
      <c r="N1057" s="3">
        <v>0</v>
      </c>
      <c r="O1057" s="3"/>
      <c r="P1057" s="3">
        <v>0</v>
      </c>
      <c r="Q1057" s="3">
        <v>0</v>
      </c>
      <c r="R1057" s="3">
        <v>0</v>
      </c>
      <c r="S1057" s="3">
        <v>0</v>
      </c>
      <c r="T1057" s="3">
        <v>0</v>
      </c>
      <c r="U1057" s="3"/>
      <c r="V1057" s="3"/>
      <c r="W1057" s="3"/>
      <c r="X1057" s="3"/>
      <c r="Y1057" s="3"/>
      <c r="Z1057" s="3"/>
      <c r="AA1057" s="3"/>
      <c r="AB1057" s="3"/>
      <c r="AC1057" s="3"/>
      <c r="AD1057" s="3"/>
      <c r="AE1057" s="3">
        <v>0</v>
      </c>
      <c r="AF1057" s="3">
        <v>0</v>
      </c>
      <c r="AG1057" s="3"/>
      <c r="AH1057" s="40"/>
      <c r="AI1057" s="40"/>
      <c r="AJ1057" s="40"/>
      <c r="AK1057" s="40"/>
      <c r="AL1057" s="40"/>
      <c r="AM1057" s="40"/>
      <c r="AN1057" s="40"/>
      <c r="AO1057" s="40"/>
      <c r="AP1057" s="40"/>
      <c r="AQ1057" s="40"/>
      <c r="AR1057" s="31"/>
      <c r="AS1057" s="36">
        <v>0</v>
      </c>
      <c r="AY1057" s="6"/>
      <c r="AZ1057" s="2"/>
      <c r="BA1057" s="2"/>
      <c r="BB1057" s="2"/>
      <c r="BC1057">
        <v>71500</v>
      </c>
      <c r="BD1057">
        <v>56992</v>
      </c>
    </row>
    <row r="1058" spans="3:56" x14ac:dyDescent="0.25">
      <c r="C1058" s="1">
        <v>46678</v>
      </c>
      <c r="D1058" s="36">
        <v>267120.30967741902</v>
      </c>
      <c r="E1058" s="33">
        <v>4.4903225806451603</v>
      </c>
      <c r="F1058" s="33">
        <v>3.6482873118279602</v>
      </c>
      <c r="G1058" s="2">
        <v>0.81247777777777797</v>
      </c>
      <c r="H1058" s="2">
        <v>0.99</v>
      </c>
      <c r="I1058" s="3"/>
      <c r="J1058" s="3"/>
      <c r="K1058" s="3"/>
      <c r="L1058" s="3"/>
      <c r="M1058" s="3"/>
      <c r="N1058" s="3">
        <v>0</v>
      </c>
      <c r="O1058" s="3"/>
      <c r="P1058" s="3">
        <v>0</v>
      </c>
      <c r="Q1058" s="3">
        <v>0</v>
      </c>
      <c r="R1058" s="3">
        <v>0</v>
      </c>
      <c r="S1058" s="3">
        <v>0</v>
      </c>
      <c r="T1058" s="3">
        <v>0</v>
      </c>
      <c r="U1058" s="3"/>
      <c r="V1058" s="3"/>
      <c r="W1058" s="3"/>
      <c r="X1058" s="3"/>
      <c r="Y1058" s="3"/>
      <c r="Z1058" s="3"/>
      <c r="AA1058" s="3"/>
      <c r="AB1058" s="3"/>
      <c r="AC1058" s="3"/>
      <c r="AD1058" s="3"/>
      <c r="AE1058" s="3">
        <v>0</v>
      </c>
      <c r="AF1058" s="3">
        <v>0</v>
      </c>
      <c r="AG1058" s="3"/>
      <c r="AH1058" s="40"/>
      <c r="AI1058" s="40"/>
      <c r="AJ1058" s="40"/>
      <c r="AK1058" s="40"/>
      <c r="AL1058" s="40"/>
      <c r="AM1058" s="40"/>
      <c r="AN1058" s="40"/>
      <c r="AO1058" s="40"/>
      <c r="AP1058" s="40"/>
      <c r="AQ1058" s="40"/>
      <c r="AR1058" s="31"/>
      <c r="AS1058" s="36">
        <v>0</v>
      </c>
      <c r="AY1058" s="6"/>
      <c r="AZ1058" s="2"/>
      <c r="BA1058" s="2"/>
      <c r="BB1058" s="2"/>
      <c r="BC1058">
        <v>71500</v>
      </c>
      <c r="BD1058">
        <v>56992</v>
      </c>
    </row>
    <row r="1059" spans="3:56" x14ac:dyDescent="0.25">
      <c r="C1059" s="1">
        <v>46679</v>
      </c>
      <c r="D1059" s="36">
        <v>267120.30967741902</v>
      </c>
      <c r="E1059" s="33">
        <v>4.4903225806451603</v>
      </c>
      <c r="F1059" s="33">
        <v>3.6482374193548401</v>
      </c>
      <c r="G1059" s="2">
        <v>0.812466666666667</v>
      </c>
      <c r="H1059" s="2">
        <v>0.99</v>
      </c>
      <c r="I1059" s="3"/>
      <c r="J1059" s="3"/>
      <c r="K1059" s="3"/>
      <c r="L1059" s="3"/>
      <c r="M1059" s="3"/>
      <c r="N1059" s="3">
        <v>0</v>
      </c>
      <c r="O1059" s="3"/>
      <c r="P1059" s="3">
        <v>0</v>
      </c>
      <c r="Q1059" s="3">
        <v>0</v>
      </c>
      <c r="R1059" s="3">
        <v>0</v>
      </c>
      <c r="S1059" s="3">
        <v>0</v>
      </c>
      <c r="T1059" s="3">
        <v>0</v>
      </c>
      <c r="U1059" s="3"/>
      <c r="V1059" s="3"/>
      <c r="W1059" s="3"/>
      <c r="X1059" s="3"/>
      <c r="Y1059" s="3"/>
      <c r="Z1059" s="3"/>
      <c r="AA1059" s="3"/>
      <c r="AB1059" s="3"/>
      <c r="AC1059" s="3"/>
      <c r="AD1059" s="3"/>
      <c r="AE1059" s="3">
        <v>0</v>
      </c>
      <c r="AF1059" s="3">
        <v>0</v>
      </c>
      <c r="AG1059" s="3"/>
      <c r="AH1059" s="40"/>
      <c r="AI1059" s="40"/>
      <c r="AJ1059" s="40"/>
      <c r="AK1059" s="40"/>
      <c r="AL1059" s="40"/>
      <c r="AM1059" s="40"/>
      <c r="AN1059" s="40"/>
      <c r="AO1059" s="40"/>
      <c r="AP1059" s="40"/>
      <c r="AQ1059" s="40"/>
      <c r="AR1059" s="31"/>
      <c r="AS1059" s="36">
        <v>0</v>
      </c>
      <c r="AY1059" s="6"/>
      <c r="AZ1059" s="2"/>
      <c r="BA1059" s="2"/>
      <c r="BB1059" s="2"/>
      <c r="BC1059">
        <v>71500</v>
      </c>
      <c r="BD1059">
        <v>56992</v>
      </c>
    </row>
    <row r="1060" spans="3:56" x14ac:dyDescent="0.25">
      <c r="C1060" s="1">
        <v>46680</v>
      </c>
      <c r="D1060" s="36">
        <v>267120.30967741902</v>
      </c>
      <c r="E1060" s="33">
        <v>4.4903225806451603</v>
      </c>
      <c r="F1060" s="33">
        <v>3.6481875268817201</v>
      </c>
      <c r="G1060" s="2">
        <v>0.81245555555555504</v>
      </c>
      <c r="H1060" s="2">
        <v>0.99</v>
      </c>
      <c r="I1060" s="3"/>
      <c r="J1060" s="3"/>
      <c r="K1060" s="3"/>
      <c r="L1060" s="3"/>
      <c r="M1060" s="3"/>
      <c r="N1060" s="3">
        <v>0</v>
      </c>
      <c r="O1060" s="3"/>
      <c r="P1060" s="3">
        <v>0</v>
      </c>
      <c r="Q1060" s="3">
        <v>0</v>
      </c>
      <c r="R1060" s="3">
        <v>0</v>
      </c>
      <c r="S1060" s="3">
        <v>0</v>
      </c>
      <c r="T1060" s="3">
        <v>0</v>
      </c>
      <c r="U1060" s="3"/>
      <c r="V1060" s="3"/>
      <c r="W1060" s="3"/>
      <c r="X1060" s="3"/>
      <c r="Y1060" s="3"/>
      <c r="Z1060" s="3"/>
      <c r="AA1060" s="3"/>
      <c r="AB1060" s="3"/>
      <c r="AC1060" s="3"/>
      <c r="AD1060" s="3"/>
      <c r="AE1060" s="3">
        <v>0</v>
      </c>
      <c r="AF1060" s="3">
        <v>0</v>
      </c>
      <c r="AG1060" s="3"/>
      <c r="AH1060" s="40"/>
      <c r="AI1060" s="40"/>
      <c r="AJ1060" s="40"/>
      <c r="AK1060" s="40"/>
      <c r="AL1060" s="40"/>
      <c r="AM1060" s="40"/>
      <c r="AN1060" s="40"/>
      <c r="AO1060" s="40"/>
      <c r="AP1060" s="40"/>
      <c r="AQ1060" s="40"/>
      <c r="AR1060" s="31"/>
      <c r="AS1060" s="36">
        <v>0</v>
      </c>
      <c r="AY1060" s="6"/>
      <c r="AZ1060" s="2"/>
      <c r="BA1060" s="2"/>
      <c r="BB1060" s="2"/>
      <c r="BC1060">
        <v>71500</v>
      </c>
      <c r="BD1060">
        <v>56992</v>
      </c>
    </row>
    <row r="1061" spans="3:56" x14ac:dyDescent="0.25">
      <c r="C1061" s="1">
        <v>46681</v>
      </c>
      <c r="D1061" s="36">
        <v>267120.30967741902</v>
      </c>
      <c r="E1061" s="33">
        <v>4.4903225806451603</v>
      </c>
      <c r="F1061" s="33">
        <v>3.6481376344086001</v>
      </c>
      <c r="G1061" s="2">
        <v>0.81244444444444397</v>
      </c>
      <c r="H1061" s="2">
        <v>0.99</v>
      </c>
      <c r="I1061" s="3"/>
      <c r="J1061" s="3"/>
      <c r="K1061" s="3"/>
      <c r="L1061" s="3"/>
      <c r="M1061" s="3"/>
      <c r="N1061" s="3">
        <v>0</v>
      </c>
      <c r="O1061" s="3"/>
      <c r="P1061" s="3">
        <v>0</v>
      </c>
      <c r="Q1061" s="3">
        <v>0</v>
      </c>
      <c r="R1061" s="3">
        <v>0</v>
      </c>
      <c r="S1061" s="3">
        <v>0</v>
      </c>
      <c r="T1061" s="3">
        <v>0</v>
      </c>
      <c r="U1061" s="3"/>
      <c r="V1061" s="3"/>
      <c r="W1061" s="3"/>
      <c r="X1061" s="3"/>
      <c r="Y1061" s="3"/>
      <c r="Z1061" s="3"/>
      <c r="AA1061" s="3"/>
      <c r="AB1061" s="3"/>
      <c r="AC1061" s="3"/>
      <c r="AD1061" s="3"/>
      <c r="AE1061" s="3">
        <v>0</v>
      </c>
      <c r="AF1061" s="3">
        <v>0</v>
      </c>
      <c r="AG1061" s="3"/>
      <c r="AH1061" s="40"/>
      <c r="AI1061" s="40"/>
      <c r="AJ1061" s="40"/>
      <c r="AK1061" s="40"/>
      <c r="AL1061" s="40"/>
      <c r="AM1061" s="40"/>
      <c r="AN1061" s="40"/>
      <c r="AO1061" s="40"/>
      <c r="AP1061" s="40"/>
      <c r="AQ1061" s="40"/>
      <c r="AR1061" s="31"/>
      <c r="AS1061" s="36">
        <v>0</v>
      </c>
      <c r="AY1061" s="6"/>
      <c r="AZ1061" s="2"/>
      <c r="BA1061" s="2"/>
      <c r="BB1061" s="2"/>
      <c r="BC1061">
        <v>71500</v>
      </c>
      <c r="BD1061">
        <v>56992</v>
      </c>
    </row>
    <row r="1062" spans="3:56" x14ac:dyDescent="0.25">
      <c r="C1062" s="1">
        <v>46682</v>
      </c>
      <c r="D1062" s="36">
        <v>267120.30967741902</v>
      </c>
      <c r="E1062" s="33">
        <v>4.4903225806451603</v>
      </c>
      <c r="F1062" s="33">
        <v>3.64808774193548</v>
      </c>
      <c r="G1062" s="2">
        <v>0.81243333333333301</v>
      </c>
      <c r="H1062" s="2">
        <v>0.99</v>
      </c>
      <c r="I1062" s="3"/>
      <c r="J1062" s="3"/>
      <c r="K1062" s="3"/>
      <c r="L1062" s="3"/>
      <c r="M1062" s="3"/>
      <c r="N1062" s="3">
        <v>0</v>
      </c>
      <c r="O1062" s="3"/>
      <c r="P1062" s="3">
        <v>0</v>
      </c>
      <c r="Q1062" s="3">
        <v>0</v>
      </c>
      <c r="R1062" s="3">
        <v>0</v>
      </c>
      <c r="S1062" s="3">
        <v>0</v>
      </c>
      <c r="T1062" s="3">
        <v>0</v>
      </c>
      <c r="U1062" s="3"/>
      <c r="V1062" s="3"/>
      <c r="W1062" s="3"/>
      <c r="X1062" s="3"/>
      <c r="Y1062" s="3"/>
      <c r="Z1062" s="3"/>
      <c r="AA1062" s="3"/>
      <c r="AB1062" s="3"/>
      <c r="AC1062" s="3"/>
      <c r="AD1062" s="3"/>
      <c r="AE1062" s="3">
        <v>0</v>
      </c>
      <c r="AF1062" s="3">
        <v>0</v>
      </c>
      <c r="AG1062" s="3"/>
      <c r="AH1062" s="40"/>
      <c r="AI1062" s="40"/>
      <c r="AJ1062" s="40"/>
      <c r="AK1062" s="40"/>
      <c r="AL1062" s="40"/>
      <c r="AM1062" s="40"/>
      <c r="AN1062" s="40"/>
      <c r="AO1062" s="40"/>
      <c r="AP1062" s="40"/>
      <c r="AQ1062" s="40"/>
      <c r="AR1062" s="31"/>
      <c r="AS1062" s="36">
        <v>0</v>
      </c>
      <c r="AY1062" s="6"/>
      <c r="AZ1062" s="2"/>
      <c r="BA1062" s="2"/>
      <c r="BB1062" s="2"/>
      <c r="BC1062">
        <v>71500</v>
      </c>
      <c r="BD1062">
        <v>56992</v>
      </c>
    </row>
    <row r="1063" spans="3:56" x14ac:dyDescent="0.25">
      <c r="C1063" s="1">
        <v>46683</v>
      </c>
      <c r="D1063" s="36">
        <v>267120.30967741902</v>
      </c>
      <c r="E1063" s="33">
        <v>4.4903225806451603</v>
      </c>
      <c r="F1063" s="33">
        <v>3.6480378494623702</v>
      </c>
      <c r="G1063" s="2">
        <v>0.81242222222222205</v>
      </c>
      <c r="H1063" s="2">
        <v>0.99</v>
      </c>
      <c r="I1063" s="3"/>
      <c r="J1063" s="3"/>
      <c r="K1063" s="3"/>
      <c r="L1063" s="3"/>
      <c r="M1063" s="3"/>
      <c r="N1063" s="3">
        <v>0</v>
      </c>
      <c r="O1063" s="3"/>
      <c r="P1063" s="3">
        <v>0</v>
      </c>
      <c r="Q1063" s="3">
        <v>0</v>
      </c>
      <c r="R1063" s="3">
        <v>0</v>
      </c>
      <c r="S1063" s="3">
        <v>0</v>
      </c>
      <c r="T1063" s="3">
        <v>0</v>
      </c>
      <c r="U1063" s="3"/>
      <c r="V1063" s="3"/>
      <c r="W1063" s="3"/>
      <c r="X1063" s="3"/>
      <c r="Y1063" s="3"/>
      <c r="Z1063" s="3"/>
      <c r="AA1063" s="3"/>
      <c r="AB1063" s="3"/>
      <c r="AC1063" s="3"/>
      <c r="AD1063" s="3"/>
      <c r="AE1063" s="3">
        <v>0</v>
      </c>
      <c r="AF1063" s="3">
        <v>0</v>
      </c>
      <c r="AG1063" s="3"/>
      <c r="AH1063" s="40"/>
      <c r="AI1063" s="40"/>
      <c r="AJ1063" s="40"/>
      <c r="AK1063" s="40"/>
      <c r="AL1063" s="40"/>
      <c r="AM1063" s="40"/>
      <c r="AN1063" s="40"/>
      <c r="AO1063" s="40"/>
      <c r="AP1063" s="40"/>
      <c r="AQ1063" s="40"/>
      <c r="AR1063" s="31"/>
      <c r="AS1063" s="36">
        <v>0</v>
      </c>
      <c r="AY1063" s="6"/>
      <c r="AZ1063" s="2"/>
      <c r="BA1063" s="2"/>
      <c r="BB1063" s="2"/>
      <c r="BC1063">
        <v>71500</v>
      </c>
      <c r="BD1063">
        <v>56992</v>
      </c>
    </row>
    <row r="1064" spans="3:56" x14ac:dyDescent="0.25">
      <c r="C1064" s="1">
        <v>46684</v>
      </c>
      <c r="D1064" s="36">
        <v>267120.30967741902</v>
      </c>
      <c r="E1064" s="33">
        <v>4.4903225806451603</v>
      </c>
      <c r="F1064" s="33">
        <v>3.6479879569892502</v>
      </c>
      <c r="G1064" s="2">
        <v>0.81241111111111097</v>
      </c>
      <c r="H1064" s="2">
        <v>0.99</v>
      </c>
      <c r="I1064" s="3"/>
      <c r="J1064" s="3"/>
      <c r="K1064" s="3"/>
      <c r="L1064" s="3"/>
      <c r="M1064" s="3"/>
      <c r="N1064" s="3">
        <v>0</v>
      </c>
      <c r="O1064" s="3"/>
      <c r="P1064" s="3">
        <v>0</v>
      </c>
      <c r="Q1064" s="3">
        <v>0</v>
      </c>
      <c r="R1064" s="3">
        <v>0</v>
      </c>
      <c r="S1064" s="3">
        <v>0</v>
      </c>
      <c r="T1064" s="3">
        <v>0</v>
      </c>
      <c r="U1064" s="3"/>
      <c r="V1064" s="3"/>
      <c r="W1064" s="3"/>
      <c r="X1064" s="3"/>
      <c r="Y1064" s="3"/>
      <c r="Z1064" s="3"/>
      <c r="AA1064" s="3"/>
      <c r="AB1064" s="3"/>
      <c r="AC1064" s="3"/>
      <c r="AD1064" s="3"/>
      <c r="AE1064" s="3">
        <v>0</v>
      </c>
      <c r="AF1064" s="3">
        <v>0</v>
      </c>
      <c r="AG1064" s="3"/>
      <c r="AH1064" s="40"/>
      <c r="AI1064" s="40"/>
      <c r="AJ1064" s="40"/>
      <c r="AK1064" s="40"/>
      <c r="AL1064" s="40"/>
      <c r="AM1064" s="40"/>
      <c r="AN1064" s="40"/>
      <c r="AO1064" s="40"/>
      <c r="AP1064" s="40"/>
      <c r="AQ1064" s="40"/>
      <c r="AR1064" s="31"/>
      <c r="AS1064" s="36">
        <v>0</v>
      </c>
      <c r="AY1064" s="6"/>
      <c r="AZ1064" s="2"/>
      <c r="BA1064" s="2"/>
      <c r="BB1064" s="2"/>
      <c r="BC1064">
        <v>71500</v>
      </c>
      <c r="BD1064">
        <v>56992</v>
      </c>
    </row>
    <row r="1065" spans="3:56" x14ac:dyDescent="0.25">
      <c r="C1065" s="1">
        <v>46685</v>
      </c>
      <c r="D1065" s="36">
        <v>267120.30967741902</v>
      </c>
      <c r="E1065" s="33">
        <v>4.4903225806451603</v>
      </c>
      <c r="F1065" s="33">
        <v>3.6479380645161301</v>
      </c>
      <c r="G1065" s="2">
        <v>0.81240000000000001</v>
      </c>
      <c r="H1065" s="2">
        <v>0.99</v>
      </c>
      <c r="I1065" s="3"/>
      <c r="J1065" s="3"/>
      <c r="K1065" s="3"/>
      <c r="L1065" s="3"/>
      <c r="M1065" s="3"/>
      <c r="N1065" s="3">
        <v>0</v>
      </c>
      <c r="O1065" s="3"/>
      <c r="P1065" s="3">
        <v>0</v>
      </c>
      <c r="Q1065" s="3">
        <v>0</v>
      </c>
      <c r="R1065" s="3">
        <v>0</v>
      </c>
      <c r="S1065" s="3">
        <v>0</v>
      </c>
      <c r="T1065" s="3">
        <v>0</v>
      </c>
      <c r="U1065" s="3"/>
      <c r="V1065" s="3"/>
      <c r="W1065" s="3"/>
      <c r="X1065" s="3"/>
      <c r="Y1065" s="3"/>
      <c r="Z1065" s="3"/>
      <c r="AA1065" s="3"/>
      <c r="AB1065" s="3"/>
      <c r="AC1065" s="3"/>
      <c r="AD1065" s="3"/>
      <c r="AE1065" s="3">
        <v>0</v>
      </c>
      <c r="AF1065" s="3">
        <v>0</v>
      </c>
      <c r="AG1065" s="3"/>
      <c r="AH1065" s="40"/>
      <c r="AI1065" s="40"/>
      <c r="AJ1065" s="40"/>
      <c r="AK1065" s="40"/>
      <c r="AL1065" s="40"/>
      <c r="AM1065" s="40"/>
      <c r="AN1065" s="40"/>
      <c r="AO1065" s="40"/>
      <c r="AP1065" s="40"/>
      <c r="AQ1065" s="40"/>
      <c r="AR1065" s="31"/>
      <c r="AS1065" s="36">
        <v>0</v>
      </c>
      <c r="AY1065" s="6"/>
      <c r="AZ1065" s="2"/>
      <c r="BA1065" s="2"/>
      <c r="BB1065" s="2"/>
      <c r="BC1065">
        <v>71500</v>
      </c>
      <c r="BD1065">
        <v>56992</v>
      </c>
    </row>
    <row r="1066" spans="3:56" x14ac:dyDescent="0.25">
      <c r="C1066" s="1">
        <v>46686</v>
      </c>
      <c r="D1066" s="36">
        <v>267120.30967741902</v>
      </c>
      <c r="E1066" s="33">
        <v>4.4903225806451603</v>
      </c>
      <c r="F1066" s="33">
        <v>3.6478881720430101</v>
      </c>
      <c r="G1066" s="2">
        <v>0.81238888888888905</v>
      </c>
      <c r="H1066" s="2">
        <v>0.99</v>
      </c>
      <c r="I1066" s="3"/>
      <c r="J1066" s="3"/>
      <c r="K1066" s="3"/>
      <c r="L1066" s="3"/>
      <c r="M1066" s="3"/>
      <c r="N1066" s="3">
        <v>0</v>
      </c>
      <c r="O1066" s="3"/>
      <c r="P1066" s="3">
        <v>0</v>
      </c>
      <c r="Q1066" s="3">
        <v>0</v>
      </c>
      <c r="R1066" s="3">
        <v>0</v>
      </c>
      <c r="S1066" s="3">
        <v>0</v>
      </c>
      <c r="T1066" s="3">
        <v>0</v>
      </c>
      <c r="U1066" s="3"/>
      <c r="V1066" s="3"/>
      <c r="W1066" s="3"/>
      <c r="X1066" s="3"/>
      <c r="Y1066" s="3"/>
      <c r="Z1066" s="3"/>
      <c r="AA1066" s="3"/>
      <c r="AB1066" s="3"/>
      <c r="AC1066" s="3"/>
      <c r="AD1066" s="3"/>
      <c r="AE1066" s="3">
        <v>0</v>
      </c>
      <c r="AF1066" s="3">
        <v>0</v>
      </c>
      <c r="AG1066" s="3"/>
      <c r="AH1066" s="40"/>
      <c r="AI1066" s="40"/>
      <c r="AJ1066" s="40"/>
      <c r="AK1066" s="40"/>
      <c r="AL1066" s="40"/>
      <c r="AM1066" s="40"/>
      <c r="AN1066" s="40"/>
      <c r="AO1066" s="40"/>
      <c r="AP1066" s="40"/>
      <c r="AQ1066" s="40"/>
      <c r="AR1066" s="31"/>
      <c r="AS1066" s="36">
        <v>0</v>
      </c>
      <c r="AY1066" s="6"/>
      <c r="AZ1066" s="2"/>
      <c r="BA1066" s="2"/>
      <c r="BB1066" s="2"/>
      <c r="BC1066">
        <v>71500</v>
      </c>
      <c r="BD1066">
        <v>56992</v>
      </c>
    </row>
    <row r="1067" spans="3:56" x14ac:dyDescent="0.25">
      <c r="C1067" s="1">
        <v>46687</v>
      </c>
      <c r="D1067" s="36">
        <v>267120.30967741902</v>
      </c>
      <c r="E1067" s="33">
        <v>4.4903225806451603</v>
      </c>
      <c r="F1067" s="33">
        <v>3.64783827956989</v>
      </c>
      <c r="G1067" s="2">
        <v>0.81237777777777798</v>
      </c>
      <c r="H1067" s="2">
        <v>0.99</v>
      </c>
      <c r="I1067" s="3"/>
      <c r="J1067" s="3"/>
      <c r="K1067" s="3"/>
      <c r="L1067" s="3"/>
      <c r="M1067" s="3"/>
      <c r="N1067" s="3">
        <v>0</v>
      </c>
      <c r="O1067" s="3"/>
      <c r="P1067" s="3">
        <v>0</v>
      </c>
      <c r="Q1067" s="3">
        <v>0</v>
      </c>
      <c r="R1067" s="3">
        <v>0</v>
      </c>
      <c r="S1067" s="3">
        <v>0</v>
      </c>
      <c r="T1067" s="3">
        <v>0</v>
      </c>
      <c r="U1067" s="3"/>
      <c r="V1067" s="3"/>
      <c r="W1067" s="3"/>
      <c r="X1067" s="3"/>
      <c r="Y1067" s="3"/>
      <c r="Z1067" s="3"/>
      <c r="AA1067" s="3"/>
      <c r="AB1067" s="3"/>
      <c r="AC1067" s="3"/>
      <c r="AD1067" s="3"/>
      <c r="AE1067" s="3">
        <v>0</v>
      </c>
      <c r="AF1067" s="3">
        <v>0</v>
      </c>
      <c r="AG1067" s="3"/>
      <c r="AH1067" s="40"/>
      <c r="AI1067" s="40"/>
      <c r="AJ1067" s="40"/>
      <c r="AK1067" s="40"/>
      <c r="AL1067" s="40"/>
      <c r="AM1067" s="40"/>
      <c r="AN1067" s="40"/>
      <c r="AO1067" s="40"/>
      <c r="AP1067" s="40"/>
      <c r="AQ1067" s="40"/>
      <c r="AR1067" s="31"/>
      <c r="AS1067" s="36">
        <v>0</v>
      </c>
      <c r="AY1067" s="6"/>
      <c r="AZ1067" s="2"/>
      <c r="BA1067" s="2"/>
      <c r="BB1067" s="2"/>
      <c r="BC1067">
        <v>71500</v>
      </c>
      <c r="BD1067">
        <v>56992</v>
      </c>
    </row>
    <row r="1068" spans="3:56" x14ac:dyDescent="0.25">
      <c r="C1068" s="1">
        <v>46688</v>
      </c>
      <c r="D1068" s="36">
        <v>267120.30967741902</v>
      </c>
      <c r="E1068" s="33">
        <v>4.4903225806451603</v>
      </c>
      <c r="F1068" s="33">
        <v>3.64778838709677</v>
      </c>
      <c r="G1068" s="2">
        <v>0.81236666666666701</v>
      </c>
      <c r="H1068" s="2">
        <v>0.99</v>
      </c>
      <c r="I1068" s="3"/>
      <c r="J1068" s="3"/>
      <c r="K1068" s="3"/>
      <c r="L1068" s="3"/>
      <c r="M1068" s="3"/>
      <c r="N1068" s="3">
        <v>0</v>
      </c>
      <c r="O1068" s="3"/>
      <c r="P1068" s="3">
        <v>0</v>
      </c>
      <c r="Q1068" s="3">
        <v>0</v>
      </c>
      <c r="R1068" s="3">
        <v>0</v>
      </c>
      <c r="S1068" s="3">
        <v>0</v>
      </c>
      <c r="T1068" s="3">
        <v>0</v>
      </c>
      <c r="U1068" s="3"/>
      <c r="V1068" s="3"/>
      <c r="W1068" s="3"/>
      <c r="X1068" s="3"/>
      <c r="Y1068" s="3"/>
      <c r="Z1068" s="3"/>
      <c r="AA1068" s="3"/>
      <c r="AB1068" s="3"/>
      <c r="AC1068" s="3"/>
      <c r="AD1068" s="3"/>
      <c r="AE1068" s="3">
        <v>0</v>
      </c>
      <c r="AF1068" s="3">
        <v>0</v>
      </c>
      <c r="AG1068" s="3"/>
      <c r="AH1068" s="40"/>
      <c r="AI1068" s="40"/>
      <c r="AJ1068" s="40"/>
      <c r="AK1068" s="40"/>
      <c r="AL1068" s="40"/>
      <c r="AM1068" s="40"/>
      <c r="AN1068" s="40"/>
      <c r="AO1068" s="40"/>
      <c r="AP1068" s="40"/>
      <c r="AQ1068" s="40"/>
      <c r="AR1068" s="31"/>
      <c r="AS1068" s="36">
        <v>0</v>
      </c>
      <c r="AY1068" s="6"/>
      <c r="AZ1068" s="2"/>
      <c r="BA1068" s="2"/>
      <c r="BB1068" s="2"/>
      <c r="BC1068">
        <v>71500</v>
      </c>
      <c r="BD1068">
        <v>56992</v>
      </c>
    </row>
    <row r="1069" spans="3:56" x14ac:dyDescent="0.25">
      <c r="C1069" s="1">
        <v>46689</v>
      </c>
      <c r="D1069" s="36">
        <v>267120.30967741902</v>
      </c>
      <c r="E1069" s="33">
        <v>4.4903225806451603</v>
      </c>
      <c r="F1069" s="33">
        <v>3.6477384946236602</v>
      </c>
      <c r="G1069" s="2">
        <v>0.81235555555555505</v>
      </c>
      <c r="H1069" s="2">
        <v>0.99</v>
      </c>
      <c r="I1069" s="3"/>
      <c r="J1069" s="3"/>
      <c r="K1069" s="3"/>
      <c r="L1069" s="3"/>
      <c r="M1069" s="3"/>
      <c r="N1069" s="3">
        <v>0</v>
      </c>
      <c r="O1069" s="3"/>
      <c r="P1069" s="3">
        <v>0</v>
      </c>
      <c r="Q1069" s="3">
        <v>0</v>
      </c>
      <c r="R1069" s="3">
        <v>0</v>
      </c>
      <c r="S1069" s="3">
        <v>0</v>
      </c>
      <c r="T1069" s="3">
        <v>0</v>
      </c>
      <c r="U1069" s="3"/>
      <c r="V1069" s="3"/>
      <c r="W1069" s="3"/>
      <c r="X1069" s="3"/>
      <c r="Y1069" s="3"/>
      <c r="Z1069" s="3"/>
      <c r="AA1069" s="3"/>
      <c r="AB1069" s="3"/>
      <c r="AC1069" s="3"/>
      <c r="AD1069" s="3"/>
      <c r="AE1069" s="3">
        <v>0</v>
      </c>
      <c r="AF1069" s="3">
        <v>0</v>
      </c>
      <c r="AG1069" s="3"/>
      <c r="AH1069" s="40"/>
      <c r="AI1069" s="40"/>
      <c r="AJ1069" s="40"/>
      <c r="AK1069" s="40"/>
      <c r="AL1069" s="40"/>
      <c r="AM1069" s="40"/>
      <c r="AN1069" s="40"/>
      <c r="AO1069" s="40"/>
      <c r="AP1069" s="40"/>
      <c r="AQ1069" s="40"/>
      <c r="AR1069" s="31"/>
      <c r="AS1069" s="36">
        <v>0</v>
      </c>
      <c r="AY1069" s="6"/>
      <c r="AZ1069" s="2"/>
      <c r="BA1069" s="2"/>
      <c r="BB1069" s="2"/>
      <c r="BC1069">
        <v>71500</v>
      </c>
      <c r="BD1069">
        <v>56992</v>
      </c>
    </row>
    <row r="1070" spans="3:56" x14ac:dyDescent="0.25">
      <c r="C1070" s="1">
        <v>46690</v>
      </c>
      <c r="D1070" s="36">
        <v>267120.30967741902</v>
      </c>
      <c r="E1070" s="33">
        <v>4.4903225806451603</v>
      </c>
      <c r="F1070" s="33">
        <v>3.6476886021505401</v>
      </c>
      <c r="G1070" s="2">
        <v>0.81234444444444398</v>
      </c>
      <c r="H1070" s="2">
        <v>0.99</v>
      </c>
      <c r="I1070" s="3"/>
      <c r="J1070" s="3"/>
      <c r="K1070" s="3"/>
      <c r="L1070" s="3"/>
      <c r="M1070" s="3"/>
      <c r="N1070" s="3">
        <v>0</v>
      </c>
      <c r="O1070" s="3"/>
      <c r="P1070" s="3">
        <v>0</v>
      </c>
      <c r="Q1070" s="3">
        <v>0</v>
      </c>
      <c r="R1070" s="3">
        <v>0</v>
      </c>
      <c r="S1070" s="3">
        <v>0</v>
      </c>
      <c r="T1070" s="3">
        <v>0</v>
      </c>
      <c r="U1070" s="3"/>
      <c r="V1070" s="3"/>
      <c r="W1070" s="3"/>
      <c r="X1070" s="3"/>
      <c r="Y1070" s="3"/>
      <c r="Z1070" s="3"/>
      <c r="AA1070" s="3"/>
      <c r="AB1070" s="3"/>
      <c r="AC1070" s="3"/>
      <c r="AD1070" s="3"/>
      <c r="AE1070" s="3">
        <v>0</v>
      </c>
      <c r="AF1070" s="3">
        <v>0</v>
      </c>
      <c r="AG1070" s="3"/>
      <c r="AH1070" s="40"/>
      <c r="AI1070" s="40"/>
      <c r="AJ1070" s="40"/>
      <c r="AK1070" s="40"/>
      <c r="AL1070" s="40"/>
      <c r="AM1070" s="40"/>
      <c r="AN1070" s="40"/>
      <c r="AO1070" s="40"/>
      <c r="AP1070" s="40"/>
      <c r="AQ1070" s="40"/>
      <c r="AR1070" s="31"/>
      <c r="AS1070" s="36">
        <v>0</v>
      </c>
      <c r="AY1070" s="6"/>
      <c r="AZ1070" s="2"/>
      <c r="BA1070" s="2"/>
      <c r="BB1070" s="2"/>
      <c r="BC1070">
        <v>71500</v>
      </c>
      <c r="BD1070">
        <v>56992</v>
      </c>
    </row>
    <row r="1071" spans="3:56" x14ac:dyDescent="0.25">
      <c r="C1071" s="1">
        <v>46691</v>
      </c>
      <c r="D1071" s="36">
        <v>267120.30967741902</v>
      </c>
      <c r="E1071" s="33">
        <v>4.4903225806451603</v>
      </c>
      <c r="F1071" s="33">
        <v>3.6476387096774201</v>
      </c>
      <c r="G1071" s="2">
        <v>0.81233333333333302</v>
      </c>
      <c r="H1071" s="2">
        <v>0.99</v>
      </c>
      <c r="I1071" s="3"/>
      <c r="J1071" s="3"/>
      <c r="K1071" s="3"/>
      <c r="L1071" s="3"/>
      <c r="M1071" s="3"/>
      <c r="N1071" s="3">
        <v>0</v>
      </c>
      <c r="O1071" s="3"/>
      <c r="P1071" s="3">
        <v>0</v>
      </c>
      <c r="Q1071" s="3">
        <v>0</v>
      </c>
      <c r="R1071" s="3">
        <v>0</v>
      </c>
      <c r="S1071" s="3">
        <v>0</v>
      </c>
      <c r="T1071" s="3">
        <v>0</v>
      </c>
      <c r="U1071" s="3"/>
      <c r="V1071" s="3"/>
      <c r="W1071" s="3"/>
      <c r="X1071" s="3"/>
      <c r="Y1071" s="3"/>
      <c r="Z1071" s="3"/>
      <c r="AA1071" s="3"/>
      <c r="AB1071" s="3"/>
      <c r="AC1071" s="3"/>
      <c r="AD1071" s="3"/>
      <c r="AE1071" s="3">
        <v>0</v>
      </c>
      <c r="AF1071" s="3">
        <v>0</v>
      </c>
      <c r="AG1071" s="3"/>
      <c r="AH1071" s="40"/>
      <c r="AI1071" s="40"/>
      <c r="AJ1071" s="40"/>
      <c r="AK1071" s="40"/>
      <c r="AL1071" s="40"/>
      <c r="AM1071" s="40"/>
      <c r="AN1071" s="40"/>
      <c r="AO1071" s="40"/>
      <c r="AP1071" s="40"/>
      <c r="AQ1071" s="40"/>
      <c r="AR1071" s="31"/>
      <c r="AS1071" s="36">
        <v>0</v>
      </c>
      <c r="AY1071" s="6"/>
      <c r="AZ1071" s="2"/>
      <c r="BA1071" s="2"/>
      <c r="BB1071" s="2"/>
      <c r="BC1071">
        <v>71500</v>
      </c>
      <c r="BD1071">
        <v>56992</v>
      </c>
    </row>
    <row r="1072" spans="3:56" x14ac:dyDescent="0.25">
      <c r="C1072" s="1">
        <v>46692</v>
      </c>
      <c r="D1072" s="36">
        <v>247960.808333333</v>
      </c>
      <c r="E1072" s="33">
        <v>4.18333333333333</v>
      </c>
      <c r="F1072" s="33">
        <v>3.3982611111111098</v>
      </c>
      <c r="G1072" s="2">
        <v>0.81233333333333302</v>
      </c>
      <c r="H1072" s="2">
        <v>0.99</v>
      </c>
      <c r="I1072" s="3"/>
      <c r="J1072" s="3"/>
      <c r="K1072" s="3"/>
      <c r="L1072" s="3"/>
      <c r="M1072" s="3"/>
      <c r="N1072" s="3">
        <v>0</v>
      </c>
      <c r="O1072" s="3"/>
      <c r="P1072" s="3">
        <v>0</v>
      </c>
      <c r="Q1072" s="3">
        <v>0</v>
      </c>
      <c r="R1072" s="3">
        <v>0</v>
      </c>
      <c r="S1072" s="3">
        <v>0</v>
      </c>
      <c r="T1072" s="3">
        <v>0</v>
      </c>
      <c r="U1072" s="3"/>
      <c r="V1072" s="3"/>
      <c r="W1072" s="3"/>
      <c r="X1072" s="3"/>
      <c r="Y1072" s="3"/>
      <c r="Z1072" s="3"/>
      <c r="AA1072" s="3"/>
      <c r="AB1072" s="3"/>
      <c r="AC1072" s="3"/>
      <c r="AD1072" s="3"/>
      <c r="AE1072" s="3">
        <v>0</v>
      </c>
      <c r="AF1072" s="3">
        <v>0</v>
      </c>
      <c r="AG1072" s="3"/>
      <c r="AH1072" s="40"/>
      <c r="AI1072" s="40"/>
      <c r="AJ1072" s="40"/>
      <c r="AK1072" s="40"/>
      <c r="AL1072" s="40"/>
      <c r="AM1072" s="40"/>
      <c r="AN1072" s="40"/>
      <c r="AO1072" s="40"/>
      <c r="AP1072" s="40"/>
      <c r="AQ1072" s="40"/>
      <c r="AR1072" s="31"/>
      <c r="AS1072" s="36">
        <v>0</v>
      </c>
      <c r="AY1072" s="6"/>
      <c r="AZ1072" s="2"/>
      <c r="BA1072" s="2"/>
      <c r="BB1072" s="2"/>
      <c r="BC1072">
        <v>71500</v>
      </c>
      <c r="BD1072">
        <v>56992</v>
      </c>
    </row>
    <row r="1073" spans="3:56" x14ac:dyDescent="0.25">
      <c r="C1073" s="1">
        <v>46693</v>
      </c>
      <c r="D1073" s="36">
        <v>247960.808333333</v>
      </c>
      <c r="E1073" s="33">
        <v>4.18333333333333</v>
      </c>
      <c r="F1073" s="33">
        <v>3.3982146296296301</v>
      </c>
      <c r="G1073" s="2">
        <v>0.81232222222222195</v>
      </c>
      <c r="H1073" s="2">
        <v>0.99</v>
      </c>
      <c r="I1073" s="3"/>
      <c r="J1073" s="3"/>
      <c r="K1073" s="3"/>
      <c r="L1073" s="3"/>
      <c r="M1073" s="3"/>
      <c r="N1073" s="3">
        <v>0</v>
      </c>
      <c r="O1073" s="3"/>
      <c r="P1073" s="3">
        <v>0</v>
      </c>
      <c r="Q1073" s="3">
        <v>0</v>
      </c>
      <c r="R1073" s="3">
        <v>0</v>
      </c>
      <c r="S1073" s="3">
        <v>0</v>
      </c>
      <c r="T1073" s="3">
        <v>0</v>
      </c>
      <c r="U1073" s="3"/>
      <c r="V1073" s="3"/>
      <c r="W1073" s="3"/>
      <c r="X1073" s="3"/>
      <c r="Y1073" s="3"/>
      <c r="Z1073" s="3"/>
      <c r="AA1073" s="3"/>
      <c r="AB1073" s="3"/>
      <c r="AC1073" s="3"/>
      <c r="AD1073" s="3"/>
      <c r="AE1073" s="3">
        <v>0</v>
      </c>
      <c r="AF1073" s="3">
        <v>0</v>
      </c>
      <c r="AG1073" s="3"/>
      <c r="AH1073" s="40"/>
      <c r="AI1073" s="40"/>
      <c r="AJ1073" s="40"/>
      <c r="AK1073" s="40"/>
      <c r="AL1073" s="40"/>
      <c r="AM1073" s="40"/>
      <c r="AN1073" s="40"/>
      <c r="AO1073" s="40"/>
      <c r="AP1073" s="40"/>
      <c r="AQ1073" s="40"/>
      <c r="AR1073" s="31"/>
      <c r="AS1073" s="36">
        <v>0</v>
      </c>
      <c r="AY1073" s="6"/>
      <c r="AZ1073" s="2"/>
      <c r="BA1073" s="2"/>
      <c r="BB1073" s="2"/>
      <c r="BC1073">
        <v>71500</v>
      </c>
      <c r="BD1073">
        <v>56992</v>
      </c>
    </row>
    <row r="1074" spans="3:56" x14ac:dyDescent="0.25">
      <c r="C1074" s="1">
        <v>46694</v>
      </c>
      <c r="D1074" s="36">
        <v>247960.808333333</v>
      </c>
      <c r="E1074" s="33">
        <v>4.18333333333333</v>
      </c>
      <c r="F1074" s="33">
        <v>3.3981681481481498</v>
      </c>
      <c r="G1074" s="2">
        <v>0.81231111111111098</v>
      </c>
      <c r="H1074" s="2">
        <v>0.99</v>
      </c>
      <c r="I1074" s="3"/>
      <c r="J1074" s="3"/>
      <c r="K1074" s="3"/>
      <c r="L1074" s="3"/>
      <c r="M1074" s="3"/>
      <c r="N1074" s="3">
        <v>0</v>
      </c>
      <c r="O1074" s="3"/>
      <c r="P1074" s="3">
        <v>0</v>
      </c>
      <c r="Q1074" s="3">
        <v>0</v>
      </c>
      <c r="R1074" s="3">
        <v>0</v>
      </c>
      <c r="S1074" s="3">
        <v>0</v>
      </c>
      <c r="T1074" s="3">
        <v>0</v>
      </c>
      <c r="U1074" s="3"/>
      <c r="V1074" s="3"/>
      <c r="W1074" s="3"/>
      <c r="X1074" s="3"/>
      <c r="Y1074" s="3"/>
      <c r="Z1074" s="3"/>
      <c r="AA1074" s="3"/>
      <c r="AB1074" s="3"/>
      <c r="AC1074" s="3"/>
      <c r="AD1074" s="3"/>
      <c r="AE1074" s="3">
        <v>0</v>
      </c>
      <c r="AF1074" s="3">
        <v>0</v>
      </c>
      <c r="AG1074" s="3"/>
      <c r="AH1074" s="40"/>
      <c r="AI1074" s="40"/>
      <c r="AJ1074" s="40"/>
      <c r="AK1074" s="40"/>
      <c r="AL1074" s="40"/>
      <c r="AM1074" s="40"/>
      <c r="AN1074" s="40"/>
      <c r="AO1074" s="40"/>
      <c r="AP1074" s="40"/>
      <c r="AQ1074" s="40"/>
      <c r="AR1074" s="31"/>
      <c r="AS1074" s="36">
        <v>0</v>
      </c>
      <c r="AY1074" s="6"/>
      <c r="AZ1074" s="2"/>
      <c r="BA1074" s="2"/>
      <c r="BB1074" s="2"/>
      <c r="BC1074">
        <v>71500</v>
      </c>
      <c r="BD1074">
        <v>56992</v>
      </c>
    </row>
    <row r="1075" spans="3:56" x14ac:dyDescent="0.25">
      <c r="C1075" s="1">
        <v>46695</v>
      </c>
      <c r="D1075" s="36">
        <v>247960.808333333</v>
      </c>
      <c r="E1075" s="33">
        <v>4.18333333333333</v>
      </c>
      <c r="F1075" s="33">
        <v>3.39812166666667</v>
      </c>
      <c r="G1075" s="2">
        <v>0.81230000000000002</v>
      </c>
      <c r="H1075" s="2">
        <v>0.99</v>
      </c>
      <c r="I1075" s="3"/>
      <c r="J1075" s="3"/>
      <c r="K1075" s="3"/>
      <c r="L1075" s="3"/>
      <c r="M1075" s="3"/>
      <c r="N1075" s="3">
        <v>0</v>
      </c>
      <c r="O1075" s="3"/>
      <c r="P1075" s="3">
        <v>0</v>
      </c>
      <c r="Q1075" s="3">
        <v>0</v>
      </c>
      <c r="R1075" s="3">
        <v>0</v>
      </c>
      <c r="S1075" s="3">
        <v>0</v>
      </c>
      <c r="T1075" s="3">
        <v>0</v>
      </c>
      <c r="U1075" s="3"/>
      <c r="V1075" s="3"/>
      <c r="W1075" s="3"/>
      <c r="X1075" s="3"/>
      <c r="Y1075" s="3"/>
      <c r="Z1075" s="3"/>
      <c r="AA1075" s="3"/>
      <c r="AB1075" s="3"/>
      <c r="AC1075" s="3"/>
      <c r="AD1075" s="3"/>
      <c r="AE1075" s="3">
        <v>0</v>
      </c>
      <c r="AF1075" s="3">
        <v>0</v>
      </c>
      <c r="AG1075" s="3"/>
      <c r="AH1075" s="40"/>
      <c r="AI1075" s="40"/>
      <c r="AJ1075" s="40"/>
      <c r="AK1075" s="40"/>
      <c r="AL1075" s="40"/>
      <c r="AM1075" s="40"/>
      <c r="AN1075" s="40"/>
      <c r="AO1075" s="40"/>
      <c r="AP1075" s="40"/>
      <c r="AQ1075" s="40"/>
      <c r="AR1075" s="31"/>
      <c r="AS1075" s="36">
        <v>0</v>
      </c>
      <c r="AY1075" s="6"/>
      <c r="AZ1075" s="2"/>
      <c r="BA1075" s="2"/>
      <c r="BB1075" s="2"/>
      <c r="BC1075">
        <v>71500</v>
      </c>
      <c r="BD1075">
        <v>56992</v>
      </c>
    </row>
    <row r="1076" spans="3:56" x14ac:dyDescent="0.25">
      <c r="C1076" s="1">
        <v>46696</v>
      </c>
      <c r="D1076" s="36">
        <v>247960.808333333</v>
      </c>
      <c r="E1076" s="33">
        <v>4.18333333333333</v>
      </c>
      <c r="F1076" s="33">
        <v>3.3980751851851898</v>
      </c>
      <c r="G1076" s="2">
        <v>0.81228888888888895</v>
      </c>
      <c r="H1076" s="2">
        <v>0.99</v>
      </c>
      <c r="I1076" s="3"/>
      <c r="J1076" s="3"/>
      <c r="K1076" s="3"/>
      <c r="L1076" s="3"/>
      <c r="M1076" s="3"/>
      <c r="N1076" s="3">
        <v>0</v>
      </c>
      <c r="O1076" s="3"/>
      <c r="P1076" s="3">
        <v>0</v>
      </c>
      <c r="Q1076" s="3">
        <v>0</v>
      </c>
      <c r="R1076" s="3">
        <v>0</v>
      </c>
      <c r="S1076" s="3">
        <v>0</v>
      </c>
      <c r="T1076" s="3">
        <v>0</v>
      </c>
      <c r="U1076" s="3"/>
      <c r="V1076" s="3"/>
      <c r="W1076" s="3"/>
      <c r="X1076" s="3"/>
      <c r="Y1076" s="3"/>
      <c r="Z1076" s="3"/>
      <c r="AA1076" s="3"/>
      <c r="AB1076" s="3"/>
      <c r="AC1076" s="3"/>
      <c r="AD1076" s="3"/>
      <c r="AE1076" s="3">
        <v>0</v>
      </c>
      <c r="AF1076" s="3">
        <v>0</v>
      </c>
      <c r="AG1076" s="3"/>
      <c r="AH1076" s="40"/>
      <c r="AI1076" s="40"/>
      <c r="AJ1076" s="40"/>
      <c r="AK1076" s="40"/>
      <c r="AL1076" s="40"/>
      <c r="AM1076" s="40"/>
      <c r="AN1076" s="40"/>
      <c r="AO1076" s="40"/>
      <c r="AP1076" s="40"/>
      <c r="AQ1076" s="40"/>
      <c r="AR1076" s="31"/>
      <c r="AS1076" s="36">
        <v>0</v>
      </c>
      <c r="AY1076" s="6"/>
      <c r="AZ1076" s="2"/>
      <c r="BA1076" s="2"/>
      <c r="BB1076" s="2"/>
      <c r="BC1076">
        <v>71500</v>
      </c>
      <c r="BD1076">
        <v>56992</v>
      </c>
    </row>
    <row r="1077" spans="3:56" x14ac:dyDescent="0.25">
      <c r="C1077" s="1">
        <v>46697</v>
      </c>
      <c r="D1077" s="36">
        <v>247960.808333333</v>
      </c>
      <c r="E1077" s="33">
        <v>4.18333333333333</v>
      </c>
      <c r="F1077" s="33">
        <v>3.3980287037036998</v>
      </c>
      <c r="G1077" s="2">
        <v>0.81227777777777799</v>
      </c>
      <c r="H1077" s="2">
        <v>0.99</v>
      </c>
      <c r="I1077" s="3"/>
      <c r="J1077" s="3"/>
      <c r="K1077" s="3"/>
      <c r="L1077" s="3"/>
      <c r="M1077" s="3"/>
      <c r="N1077" s="3">
        <v>0</v>
      </c>
      <c r="O1077" s="3"/>
      <c r="P1077" s="3">
        <v>0</v>
      </c>
      <c r="Q1077" s="3">
        <v>0</v>
      </c>
      <c r="R1077" s="3">
        <v>0</v>
      </c>
      <c r="S1077" s="3">
        <v>0</v>
      </c>
      <c r="T1077" s="3">
        <v>0</v>
      </c>
      <c r="U1077" s="3"/>
      <c r="V1077" s="3"/>
      <c r="W1077" s="3"/>
      <c r="X1077" s="3"/>
      <c r="Y1077" s="3"/>
      <c r="Z1077" s="3"/>
      <c r="AA1077" s="3"/>
      <c r="AB1077" s="3"/>
      <c r="AC1077" s="3"/>
      <c r="AD1077" s="3"/>
      <c r="AE1077" s="3">
        <v>0</v>
      </c>
      <c r="AF1077" s="3">
        <v>0</v>
      </c>
      <c r="AG1077" s="3"/>
      <c r="AH1077" s="40"/>
      <c r="AI1077" s="40"/>
      <c r="AJ1077" s="40"/>
      <c r="AK1077" s="40"/>
      <c r="AL1077" s="40"/>
      <c r="AM1077" s="40"/>
      <c r="AN1077" s="40"/>
      <c r="AO1077" s="40"/>
      <c r="AP1077" s="40"/>
      <c r="AQ1077" s="40"/>
      <c r="AR1077" s="31"/>
      <c r="AS1077" s="36">
        <v>0</v>
      </c>
      <c r="AY1077" s="6"/>
      <c r="AZ1077" s="2"/>
      <c r="BA1077" s="2"/>
      <c r="BB1077" s="2"/>
      <c r="BC1077">
        <v>71500</v>
      </c>
      <c r="BD1077">
        <v>56992</v>
      </c>
    </row>
    <row r="1078" spans="3:56" x14ac:dyDescent="0.25">
      <c r="C1078" s="1">
        <v>46698</v>
      </c>
      <c r="D1078" s="36">
        <v>247960.808333333</v>
      </c>
      <c r="E1078" s="33">
        <v>4.18333333333333</v>
      </c>
      <c r="F1078" s="33">
        <v>3.39798222222222</v>
      </c>
      <c r="G1078" s="2">
        <v>0.81226666666666703</v>
      </c>
      <c r="H1078" s="2">
        <v>0.99</v>
      </c>
      <c r="I1078" s="3"/>
      <c r="J1078" s="3"/>
      <c r="K1078" s="3"/>
      <c r="L1078" s="3"/>
      <c r="M1078" s="3"/>
      <c r="N1078" s="3">
        <v>0</v>
      </c>
      <c r="O1078" s="3"/>
      <c r="P1078" s="3">
        <v>0</v>
      </c>
      <c r="Q1078" s="3">
        <v>0</v>
      </c>
      <c r="R1078" s="3">
        <v>0</v>
      </c>
      <c r="S1078" s="3">
        <v>0</v>
      </c>
      <c r="T1078" s="3">
        <v>0</v>
      </c>
      <c r="U1078" s="3"/>
      <c r="V1078" s="3"/>
      <c r="W1078" s="3"/>
      <c r="X1078" s="3"/>
      <c r="Y1078" s="3"/>
      <c r="Z1078" s="3"/>
      <c r="AA1078" s="3"/>
      <c r="AB1078" s="3"/>
      <c r="AC1078" s="3"/>
      <c r="AD1078" s="3"/>
      <c r="AE1078" s="3">
        <v>0</v>
      </c>
      <c r="AF1078" s="3">
        <v>0</v>
      </c>
      <c r="AG1078" s="3"/>
      <c r="AH1078" s="40"/>
      <c r="AI1078" s="40"/>
      <c r="AJ1078" s="40"/>
      <c r="AK1078" s="40"/>
      <c r="AL1078" s="40"/>
      <c r="AM1078" s="40"/>
      <c r="AN1078" s="40"/>
      <c r="AO1078" s="40"/>
      <c r="AP1078" s="40"/>
      <c r="AQ1078" s="40"/>
      <c r="AR1078" s="31"/>
      <c r="AS1078" s="36">
        <v>0</v>
      </c>
      <c r="AY1078" s="6"/>
      <c r="AZ1078" s="2"/>
      <c r="BA1078" s="2"/>
      <c r="BB1078" s="2"/>
      <c r="BC1078">
        <v>71500</v>
      </c>
      <c r="BD1078">
        <v>56992</v>
      </c>
    </row>
    <row r="1079" spans="3:56" x14ac:dyDescent="0.25">
      <c r="C1079" s="1">
        <v>46699</v>
      </c>
      <c r="D1079" s="36">
        <v>247960.808333333</v>
      </c>
      <c r="E1079" s="33">
        <v>4.18333333333333</v>
      </c>
      <c r="F1079" s="33">
        <v>3.3979357407407398</v>
      </c>
      <c r="G1079" s="2">
        <v>0.81225555555555595</v>
      </c>
      <c r="H1079" s="2">
        <v>0.99</v>
      </c>
      <c r="I1079" s="3"/>
      <c r="J1079" s="3"/>
      <c r="K1079" s="3"/>
      <c r="L1079" s="3"/>
      <c r="M1079" s="3"/>
      <c r="N1079" s="3">
        <v>0</v>
      </c>
      <c r="O1079" s="3"/>
      <c r="P1079" s="3">
        <v>0</v>
      </c>
      <c r="Q1079" s="3">
        <v>0</v>
      </c>
      <c r="R1079" s="3">
        <v>0</v>
      </c>
      <c r="S1079" s="3">
        <v>0</v>
      </c>
      <c r="T1079" s="3">
        <v>0</v>
      </c>
      <c r="U1079" s="3"/>
      <c r="V1079" s="3"/>
      <c r="W1079" s="3"/>
      <c r="X1079" s="3"/>
      <c r="Y1079" s="3"/>
      <c r="Z1079" s="3"/>
      <c r="AA1079" s="3"/>
      <c r="AB1079" s="3"/>
      <c r="AC1079" s="3"/>
      <c r="AD1079" s="3"/>
      <c r="AE1079" s="3">
        <v>0</v>
      </c>
      <c r="AF1079" s="3">
        <v>0</v>
      </c>
      <c r="AG1079" s="3"/>
      <c r="AH1079" s="40"/>
      <c r="AI1079" s="40"/>
      <c r="AJ1079" s="40"/>
      <c r="AK1079" s="40"/>
      <c r="AL1079" s="40"/>
      <c r="AM1079" s="40"/>
      <c r="AN1079" s="40"/>
      <c r="AO1079" s="40"/>
      <c r="AP1079" s="40"/>
      <c r="AQ1079" s="40"/>
      <c r="AR1079" s="31"/>
      <c r="AS1079" s="36">
        <v>0</v>
      </c>
      <c r="AY1079" s="6"/>
      <c r="AZ1079" s="2"/>
      <c r="BA1079" s="2"/>
      <c r="BB1079" s="2"/>
      <c r="BC1079">
        <v>71500</v>
      </c>
      <c r="BD1079">
        <v>56992</v>
      </c>
    </row>
    <row r="1080" spans="3:56" x14ac:dyDescent="0.25">
      <c r="C1080" s="1">
        <v>46700</v>
      </c>
      <c r="D1080" s="36">
        <v>247960.808333333</v>
      </c>
      <c r="E1080" s="33">
        <v>4.18333333333333</v>
      </c>
      <c r="F1080" s="33">
        <v>3.39788925925926</v>
      </c>
      <c r="G1080" s="2">
        <v>0.81224444444444399</v>
      </c>
      <c r="H1080" s="2">
        <v>0.99</v>
      </c>
      <c r="I1080" s="3"/>
      <c r="J1080" s="3"/>
      <c r="K1080" s="3"/>
      <c r="L1080" s="3"/>
      <c r="M1080" s="3"/>
      <c r="N1080" s="3">
        <v>0</v>
      </c>
      <c r="O1080" s="3"/>
      <c r="P1080" s="3">
        <v>0</v>
      </c>
      <c r="Q1080" s="3">
        <v>0</v>
      </c>
      <c r="R1080" s="3">
        <v>0</v>
      </c>
      <c r="S1080" s="3">
        <v>0</v>
      </c>
      <c r="T1080" s="3">
        <v>0</v>
      </c>
      <c r="U1080" s="3"/>
      <c r="V1080" s="3"/>
      <c r="W1080" s="3"/>
      <c r="X1080" s="3"/>
      <c r="Y1080" s="3"/>
      <c r="Z1080" s="3"/>
      <c r="AA1080" s="3"/>
      <c r="AB1080" s="3"/>
      <c r="AC1080" s="3"/>
      <c r="AD1080" s="3"/>
      <c r="AE1080" s="3">
        <v>0</v>
      </c>
      <c r="AF1080" s="3">
        <v>0</v>
      </c>
      <c r="AG1080" s="3"/>
      <c r="AH1080" s="40"/>
      <c r="AI1080" s="40"/>
      <c r="AJ1080" s="40"/>
      <c r="AK1080" s="40"/>
      <c r="AL1080" s="40"/>
      <c r="AM1080" s="40"/>
      <c r="AN1080" s="40"/>
      <c r="AO1080" s="40"/>
      <c r="AP1080" s="40"/>
      <c r="AQ1080" s="40"/>
      <c r="AR1080" s="31"/>
      <c r="AS1080" s="36">
        <v>0</v>
      </c>
      <c r="AY1080" s="6"/>
      <c r="AZ1080" s="2"/>
      <c r="BA1080" s="2"/>
      <c r="BB1080" s="2"/>
      <c r="BC1080">
        <v>71500</v>
      </c>
      <c r="BD1080">
        <v>56992</v>
      </c>
    </row>
    <row r="1081" spans="3:56" x14ac:dyDescent="0.25">
      <c r="C1081" s="1">
        <v>46701</v>
      </c>
      <c r="D1081" s="36">
        <v>247960.808333333</v>
      </c>
      <c r="E1081" s="33">
        <v>4.18333333333333</v>
      </c>
      <c r="F1081" s="33">
        <v>3.3978427777777802</v>
      </c>
      <c r="G1081" s="2">
        <v>0.81223333333333303</v>
      </c>
      <c r="H1081" s="2">
        <v>0.99</v>
      </c>
      <c r="I1081" s="3"/>
      <c r="J1081" s="3"/>
      <c r="K1081" s="3"/>
      <c r="L1081" s="3"/>
      <c r="M1081" s="3"/>
      <c r="N1081" s="3">
        <v>0</v>
      </c>
      <c r="O1081" s="3"/>
      <c r="P1081" s="3">
        <v>0</v>
      </c>
      <c r="Q1081" s="3">
        <v>0</v>
      </c>
      <c r="R1081" s="3">
        <v>0</v>
      </c>
      <c r="S1081" s="3">
        <v>0</v>
      </c>
      <c r="T1081" s="3">
        <v>0</v>
      </c>
      <c r="U1081" s="3"/>
      <c r="V1081" s="3"/>
      <c r="W1081" s="3"/>
      <c r="X1081" s="3"/>
      <c r="Y1081" s="3"/>
      <c r="Z1081" s="3"/>
      <c r="AA1081" s="3"/>
      <c r="AB1081" s="3"/>
      <c r="AC1081" s="3"/>
      <c r="AD1081" s="3"/>
      <c r="AE1081" s="3">
        <v>0</v>
      </c>
      <c r="AF1081" s="3">
        <v>0</v>
      </c>
      <c r="AG1081" s="3"/>
      <c r="AH1081" s="40"/>
      <c r="AI1081" s="40"/>
      <c r="AJ1081" s="40"/>
      <c r="AK1081" s="40"/>
      <c r="AL1081" s="40"/>
      <c r="AM1081" s="40"/>
      <c r="AN1081" s="40"/>
      <c r="AO1081" s="40"/>
      <c r="AP1081" s="40"/>
      <c r="AQ1081" s="40"/>
      <c r="AR1081" s="31"/>
      <c r="AS1081" s="36">
        <v>0</v>
      </c>
      <c r="AY1081" s="6"/>
      <c r="AZ1081" s="2"/>
      <c r="BA1081" s="2"/>
      <c r="BB1081" s="2"/>
      <c r="BC1081">
        <v>71500</v>
      </c>
      <c r="BD1081">
        <v>56992</v>
      </c>
    </row>
    <row r="1082" spans="3:56" x14ac:dyDescent="0.25">
      <c r="C1082" s="1">
        <v>46702</v>
      </c>
      <c r="D1082" s="36">
        <v>247960.808333333</v>
      </c>
      <c r="E1082" s="33">
        <v>4.18333333333333</v>
      </c>
      <c r="F1082" s="33">
        <v>3.3977962962963</v>
      </c>
      <c r="G1082" s="2">
        <v>0.81222222222222196</v>
      </c>
      <c r="H1082" s="2">
        <v>0.99</v>
      </c>
      <c r="I1082" s="3"/>
      <c r="J1082" s="3"/>
      <c r="K1082" s="3"/>
      <c r="L1082" s="3"/>
      <c r="M1082" s="3"/>
      <c r="N1082" s="3">
        <v>0</v>
      </c>
      <c r="O1082" s="3"/>
      <c r="P1082" s="3">
        <v>0</v>
      </c>
      <c r="Q1082" s="3">
        <v>0</v>
      </c>
      <c r="R1082" s="3">
        <v>0</v>
      </c>
      <c r="S1082" s="3">
        <v>0</v>
      </c>
      <c r="T1082" s="3">
        <v>0</v>
      </c>
      <c r="U1082" s="3"/>
      <c r="V1082" s="3"/>
      <c r="W1082" s="3"/>
      <c r="X1082" s="3"/>
      <c r="Y1082" s="3"/>
      <c r="Z1082" s="3"/>
      <c r="AA1082" s="3"/>
      <c r="AB1082" s="3"/>
      <c r="AC1082" s="3"/>
      <c r="AD1082" s="3"/>
      <c r="AE1082" s="3">
        <v>0</v>
      </c>
      <c r="AF1082" s="3">
        <v>0</v>
      </c>
      <c r="AG1082" s="3"/>
      <c r="AH1082" s="40"/>
      <c r="AI1082" s="40"/>
      <c r="AJ1082" s="40"/>
      <c r="AK1082" s="40"/>
      <c r="AL1082" s="40"/>
      <c r="AM1082" s="40"/>
      <c r="AN1082" s="40"/>
      <c r="AO1082" s="40"/>
      <c r="AP1082" s="40"/>
      <c r="AQ1082" s="40"/>
      <c r="AR1082" s="31"/>
      <c r="AS1082" s="36">
        <v>0</v>
      </c>
      <c r="AY1082" s="6"/>
      <c r="AZ1082" s="2"/>
      <c r="BA1082" s="2"/>
      <c r="BB1082" s="2"/>
      <c r="BC1082">
        <v>71500</v>
      </c>
      <c r="BD1082">
        <v>56992</v>
      </c>
    </row>
    <row r="1083" spans="3:56" x14ac:dyDescent="0.25">
      <c r="C1083" s="1">
        <v>46703</v>
      </c>
      <c r="D1083" s="36">
        <v>247960.808333333</v>
      </c>
      <c r="E1083" s="33">
        <v>4.18333333333333</v>
      </c>
      <c r="F1083" s="33">
        <v>3.39774981481481</v>
      </c>
      <c r="G1083" s="2">
        <v>0.81221111111111099</v>
      </c>
      <c r="H1083" s="2">
        <v>0.99</v>
      </c>
      <c r="I1083" s="3"/>
      <c r="J1083" s="3"/>
      <c r="K1083" s="3"/>
      <c r="L1083" s="3"/>
      <c r="M1083" s="3"/>
      <c r="N1083" s="3">
        <v>0</v>
      </c>
      <c r="O1083" s="3"/>
      <c r="P1083" s="3">
        <v>0</v>
      </c>
      <c r="Q1083" s="3">
        <v>0</v>
      </c>
      <c r="R1083" s="3">
        <v>0</v>
      </c>
      <c r="S1083" s="3">
        <v>0</v>
      </c>
      <c r="T1083" s="3">
        <v>0</v>
      </c>
      <c r="U1083" s="3"/>
      <c r="V1083" s="3"/>
      <c r="W1083" s="3"/>
      <c r="X1083" s="3"/>
      <c r="Y1083" s="3"/>
      <c r="Z1083" s="3"/>
      <c r="AA1083" s="3"/>
      <c r="AB1083" s="3"/>
      <c r="AC1083" s="3"/>
      <c r="AD1083" s="3"/>
      <c r="AE1083" s="3">
        <v>0</v>
      </c>
      <c r="AF1083" s="3">
        <v>0</v>
      </c>
      <c r="AG1083" s="3"/>
      <c r="AH1083" s="40"/>
      <c r="AI1083" s="40"/>
      <c r="AJ1083" s="40"/>
      <c r="AK1083" s="40"/>
      <c r="AL1083" s="40"/>
      <c r="AM1083" s="40"/>
      <c r="AN1083" s="40"/>
      <c r="AO1083" s="40"/>
      <c r="AP1083" s="40"/>
      <c r="AQ1083" s="40"/>
      <c r="AR1083" s="31"/>
      <c r="AS1083" s="36">
        <v>0</v>
      </c>
      <c r="AY1083" s="6"/>
      <c r="AZ1083" s="2"/>
      <c r="BA1083" s="2"/>
      <c r="BB1083" s="2"/>
      <c r="BC1083">
        <v>71500</v>
      </c>
      <c r="BD1083">
        <v>56992</v>
      </c>
    </row>
    <row r="1084" spans="3:56" x14ac:dyDescent="0.25">
      <c r="C1084" s="1">
        <v>46704</v>
      </c>
      <c r="D1084" s="36">
        <v>247960.808333333</v>
      </c>
      <c r="E1084" s="33">
        <v>4.18333333333333</v>
      </c>
      <c r="F1084" s="33">
        <v>3.3977033333333302</v>
      </c>
      <c r="G1084" s="2">
        <v>0.81220000000000003</v>
      </c>
      <c r="H1084" s="2">
        <v>0.99</v>
      </c>
      <c r="I1084" s="3"/>
      <c r="J1084" s="3"/>
      <c r="K1084" s="3"/>
      <c r="L1084" s="3"/>
      <c r="M1084" s="3"/>
      <c r="N1084" s="3">
        <v>0</v>
      </c>
      <c r="O1084" s="3"/>
      <c r="P1084" s="3">
        <v>0</v>
      </c>
      <c r="Q1084" s="3">
        <v>0</v>
      </c>
      <c r="R1084" s="3">
        <v>0</v>
      </c>
      <c r="S1084" s="3">
        <v>0</v>
      </c>
      <c r="T1084" s="3">
        <v>0</v>
      </c>
      <c r="U1084" s="3"/>
      <c r="V1084" s="3"/>
      <c r="W1084" s="3"/>
      <c r="X1084" s="3"/>
      <c r="Y1084" s="3"/>
      <c r="Z1084" s="3"/>
      <c r="AA1084" s="3"/>
      <c r="AB1084" s="3"/>
      <c r="AC1084" s="3"/>
      <c r="AD1084" s="3"/>
      <c r="AE1084" s="3">
        <v>0</v>
      </c>
      <c r="AF1084" s="3">
        <v>0</v>
      </c>
      <c r="AG1084" s="3"/>
      <c r="AH1084" s="40"/>
      <c r="AI1084" s="40"/>
      <c r="AJ1084" s="40"/>
      <c r="AK1084" s="40"/>
      <c r="AL1084" s="40"/>
      <c r="AM1084" s="40"/>
      <c r="AN1084" s="40"/>
      <c r="AO1084" s="40"/>
      <c r="AP1084" s="40"/>
      <c r="AQ1084" s="40"/>
      <c r="AR1084" s="31"/>
      <c r="AS1084" s="36">
        <v>0</v>
      </c>
      <c r="AY1084" s="6"/>
      <c r="AZ1084" s="2"/>
      <c r="BA1084" s="2"/>
      <c r="BB1084" s="2"/>
      <c r="BC1084">
        <v>71500</v>
      </c>
      <c r="BD1084">
        <v>56992</v>
      </c>
    </row>
    <row r="1085" spans="3:56" x14ac:dyDescent="0.25">
      <c r="C1085" s="1">
        <v>46705</v>
      </c>
      <c r="D1085" s="36">
        <v>247960.808333333</v>
      </c>
      <c r="E1085" s="33">
        <v>4.18333333333333</v>
      </c>
      <c r="F1085" s="33">
        <v>3.39765685185185</v>
      </c>
      <c r="G1085" s="2">
        <v>0.81218888888888896</v>
      </c>
      <c r="H1085" s="2">
        <v>0.99</v>
      </c>
      <c r="I1085" s="3"/>
      <c r="J1085" s="3"/>
      <c r="K1085" s="3"/>
      <c r="L1085" s="3"/>
      <c r="M1085" s="3"/>
      <c r="N1085" s="3">
        <v>0</v>
      </c>
      <c r="O1085" s="3"/>
      <c r="P1085" s="3">
        <v>0</v>
      </c>
      <c r="Q1085" s="3">
        <v>0</v>
      </c>
      <c r="R1085" s="3">
        <v>0</v>
      </c>
      <c r="S1085" s="3">
        <v>0</v>
      </c>
      <c r="T1085" s="3">
        <v>0</v>
      </c>
      <c r="U1085" s="3"/>
      <c r="V1085" s="3"/>
      <c r="W1085" s="3"/>
      <c r="X1085" s="3"/>
      <c r="Y1085" s="3"/>
      <c r="Z1085" s="3"/>
      <c r="AA1085" s="3"/>
      <c r="AB1085" s="3"/>
      <c r="AC1085" s="3"/>
      <c r="AD1085" s="3"/>
      <c r="AE1085" s="3">
        <v>0</v>
      </c>
      <c r="AF1085" s="3">
        <v>0</v>
      </c>
      <c r="AG1085" s="3"/>
      <c r="AH1085" s="40"/>
      <c r="AI1085" s="40"/>
      <c r="AJ1085" s="40"/>
      <c r="AK1085" s="40"/>
      <c r="AL1085" s="40"/>
      <c r="AM1085" s="40"/>
      <c r="AN1085" s="40"/>
      <c r="AO1085" s="40"/>
      <c r="AP1085" s="40"/>
      <c r="AQ1085" s="40"/>
      <c r="AR1085" s="31"/>
      <c r="AS1085" s="36">
        <v>0</v>
      </c>
      <c r="AY1085" s="6"/>
      <c r="AZ1085" s="2"/>
      <c r="BA1085" s="2"/>
      <c r="BB1085" s="2"/>
      <c r="BC1085">
        <v>71500</v>
      </c>
      <c r="BD1085">
        <v>56992</v>
      </c>
    </row>
    <row r="1086" spans="3:56" x14ac:dyDescent="0.25">
      <c r="C1086" s="1">
        <v>46706</v>
      </c>
      <c r="D1086" s="36">
        <v>247960.808333333</v>
      </c>
      <c r="E1086" s="33">
        <v>4.18333333333333</v>
      </c>
      <c r="F1086" s="33">
        <v>3.3976103703703702</v>
      </c>
      <c r="G1086" s="2">
        <v>0.812177777777778</v>
      </c>
      <c r="H1086" s="2">
        <v>0.99</v>
      </c>
      <c r="I1086" s="3"/>
      <c r="J1086" s="3"/>
      <c r="K1086" s="3"/>
      <c r="L1086" s="3"/>
      <c r="M1086" s="3"/>
      <c r="N1086" s="3">
        <v>0</v>
      </c>
      <c r="O1086" s="3"/>
      <c r="P1086" s="3">
        <v>0</v>
      </c>
      <c r="Q1086" s="3">
        <v>0</v>
      </c>
      <c r="R1086" s="3">
        <v>0</v>
      </c>
      <c r="S1086" s="3">
        <v>0</v>
      </c>
      <c r="T1086" s="3">
        <v>0</v>
      </c>
      <c r="U1086" s="3"/>
      <c r="V1086" s="3"/>
      <c r="W1086" s="3"/>
      <c r="X1086" s="3"/>
      <c r="Y1086" s="3"/>
      <c r="Z1086" s="3"/>
      <c r="AA1086" s="3"/>
      <c r="AB1086" s="3"/>
      <c r="AC1086" s="3"/>
      <c r="AD1086" s="3"/>
      <c r="AE1086" s="3">
        <v>0</v>
      </c>
      <c r="AF1086" s="3">
        <v>0</v>
      </c>
      <c r="AG1086" s="3"/>
      <c r="AH1086" s="40"/>
      <c r="AI1086" s="40"/>
      <c r="AJ1086" s="40"/>
      <c r="AK1086" s="40"/>
      <c r="AL1086" s="40"/>
      <c r="AM1086" s="40"/>
      <c r="AN1086" s="40"/>
      <c r="AO1086" s="40"/>
      <c r="AP1086" s="40"/>
      <c r="AQ1086" s="40"/>
      <c r="AR1086" s="31"/>
      <c r="AS1086" s="36">
        <v>0</v>
      </c>
      <c r="AY1086" s="6"/>
      <c r="AZ1086" s="2"/>
      <c r="BA1086" s="2"/>
      <c r="BB1086" s="2"/>
      <c r="BC1086">
        <v>71500</v>
      </c>
      <c r="BD1086">
        <v>56992</v>
      </c>
    </row>
    <row r="1087" spans="3:56" x14ac:dyDescent="0.25">
      <c r="C1087" s="1">
        <v>46707</v>
      </c>
      <c r="D1087" s="36">
        <v>247960.808333333</v>
      </c>
      <c r="E1087" s="33">
        <v>4.18333333333333</v>
      </c>
      <c r="F1087" s="33">
        <v>3.3975638888888899</v>
      </c>
      <c r="G1087" s="2">
        <v>0.81216666666666704</v>
      </c>
      <c r="H1087" s="2">
        <v>0.99</v>
      </c>
      <c r="I1087" s="3"/>
      <c r="J1087" s="3"/>
      <c r="K1087" s="3"/>
      <c r="L1087" s="3"/>
      <c r="M1087" s="3"/>
      <c r="N1087" s="3">
        <v>0</v>
      </c>
      <c r="O1087" s="3"/>
      <c r="P1087" s="3">
        <v>0</v>
      </c>
      <c r="Q1087" s="3">
        <v>0</v>
      </c>
      <c r="R1087" s="3">
        <v>0</v>
      </c>
      <c r="S1087" s="3">
        <v>0</v>
      </c>
      <c r="T1087" s="3">
        <v>0</v>
      </c>
      <c r="U1087" s="3"/>
      <c r="V1087" s="3"/>
      <c r="W1087" s="3"/>
      <c r="X1087" s="3"/>
      <c r="Y1087" s="3"/>
      <c r="Z1087" s="3"/>
      <c r="AA1087" s="3"/>
      <c r="AB1087" s="3"/>
      <c r="AC1087" s="3"/>
      <c r="AD1087" s="3"/>
      <c r="AE1087" s="3">
        <v>0</v>
      </c>
      <c r="AF1087" s="3">
        <v>0</v>
      </c>
      <c r="AG1087" s="3"/>
      <c r="AH1087" s="40"/>
      <c r="AI1087" s="40"/>
      <c r="AJ1087" s="40"/>
      <c r="AK1087" s="40"/>
      <c r="AL1087" s="40"/>
      <c r="AM1087" s="40"/>
      <c r="AN1087" s="40"/>
      <c r="AO1087" s="40"/>
      <c r="AP1087" s="40"/>
      <c r="AQ1087" s="40"/>
      <c r="AR1087" s="31"/>
      <c r="AS1087" s="36">
        <v>0</v>
      </c>
      <c r="AY1087" s="6"/>
      <c r="AZ1087" s="2"/>
      <c r="BA1087" s="2"/>
      <c r="BB1087" s="2"/>
      <c r="BC1087">
        <v>71500</v>
      </c>
      <c r="BD1087">
        <v>56992</v>
      </c>
    </row>
    <row r="1088" spans="3:56" x14ac:dyDescent="0.25">
      <c r="C1088" s="1">
        <v>46708</v>
      </c>
      <c r="D1088" s="36">
        <v>247960.808333333</v>
      </c>
      <c r="E1088" s="33">
        <v>4.18333333333333</v>
      </c>
      <c r="F1088" s="33">
        <v>3.3975174074074102</v>
      </c>
      <c r="G1088" s="2">
        <v>0.81215555555555596</v>
      </c>
      <c r="H1088" s="2">
        <v>0.99</v>
      </c>
      <c r="I1088" s="3"/>
      <c r="J1088" s="3"/>
      <c r="K1088" s="3"/>
      <c r="L1088" s="3"/>
      <c r="M1088" s="3"/>
      <c r="N1088" s="3">
        <v>0</v>
      </c>
      <c r="O1088" s="3"/>
      <c r="P1088" s="3">
        <v>0</v>
      </c>
      <c r="Q1088" s="3">
        <v>0</v>
      </c>
      <c r="R1088" s="3">
        <v>0</v>
      </c>
      <c r="S1088" s="3">
        <v>0</v>
      </c>
      <c r="T1088" s="3">
        <v>0</v>
      </c>
      <c r="U1088" s="3"/>
      <c r="V1088" s="3"/>
      <c r="W1088" s="3"/>
      <c r="X1088" s="3"/>
      <c r="Y1088" s="3"/>
      <c r="Z1088" s="3"/>
      <c r="AA1088" s="3"/>
      <c r="AB1088" s="3"/>
      <c r="AC1088" s="3"/>
      <c r="AD1088" s="3"/>
      <c r="AE1088" s="3">
        <v>0</v>
      </c>
      <c r="AF1088" s="3">
        <v>0</v>
      </c>
      <c r="AG1088" s="3"/>
      <c r="AH1088" s="40"/>
      <c r="AI1088" s="40"/>
      <c r="AJ1088" s="40"/>
      <c r="AK1088" s="40"/>
      <c r="AL1088" s="40"/>
      <c r="AM1088" s="40"/>
      <c r="AN1088" s="40"/>
      <c r="AO1088" s="40"/>
      <c r="AP1088" s="40"/>
      <c r="AQ1088" s="40"/>
      <c r="AR1088" s="31"/>
      <c r="AS1088" s="36">
        <v>0</v>
      </c>
      <c r="AY1088" s="6"/>
      <c r="AZ1088" s="2"/>
      <c r="BA1088" s="2"/>
      <c r="BB1088" s="2"/>
      <c r="BC1088">
        <v>71500</v>
      </c>
      <c r="BD1088">
        <v>56992</v>
      </c>
    </row>
    <row r="1089" spans="3:56" x14ac:dyDescent="0.25">
      <c r="C1089" s="1">
        <v>46709</v>
      </c>
      <c r="D1089" s="36">
        <v>247960.808333333</v>
      </c>
      <c r="E1089" s="33">
        <v>4.18333333333333</v>
      </c>
      <c r="F1089" s="33">
        <v>3.3974709259259299</v>
      </c>
      <c r="G1089" s="2">
        <v>0.812144444444444</v>
      </c>
      <c r="H1089" s="2">
        <v>0.99</v>
      </c>
      <c r="I1089" s="3"/>
      <c r="J1089" s="3"/>
      <c r="K1089" s="3"/>
      <c r="L1089" s="3"/>
      <c r="M1089" s="3"/>
      <c r="N1089" s="3">
        <v>0</v>
      </c>
      <c r="O1089" s="3"/>
      <c r="P1089" s="3">
        <v>0</v>
      </c>
      <c r="Q1089" s="3">
        <v>0</v>
      </c>
      <c r="R1089" s="3">
        <v>0</v>
      </c>
      <c r="S1089" s="3">
        <v>0</v>
      </c>
      <c r="T1089" s="3">
        <v>0</v>
      </c>
      <c r="U1089" s="3"/>
      <c r="V1089" s="3"/>
      <c r="W1089" s="3"/>
      <c r="X1089" s="3"/>
      <c r="Y1089" s="3"/>
      <c r="Z1089" s="3"/>
      <c r="AA1089" s="3"/>
      <c r="AB1089" s="3"/>
      <c r="AC1089" s="3"/>
      <c r="AD1089" s="3"/>
      <c r="AE1089" s="3">
        <v>0</v>
      </c>
      <c r="AF1089" s="3">
        <v>0</v>
      </c>
      <c r="AG1089" s="3"/>
      <c r="AH1089" s="40"/>
      <c r="AI1089" s="40"/>
      <c r="AJ1089" s="40"/>
      <c r="AK1089" s="40"/>
      <c r="AL1089" s="40"/>
      <c r="AM1089" s="40"/>
      <c r="AN1089" s="40"/>
      <c r="AO1089" s="40"/>
      <c r="AP1089" s="40"/>
      <c r="AQ1089" s="40"/>
      <c r="AR1089" s="31"/>
      <c r="AS1089" s="36">
        <v>0</v>
      </c>
      <c r="AY1089" s="6"/>
      <c r="AZ1089" s="2"/>
      <c r="BA1089" s="2"/>
      <c r="BB1089" s="2"/>
      <c r="BC1089">
        <v>71500</v>
      </c>
      <c r="BD1089">
        <v>56992</v>
      </c>
    </row>
    <row r="1090" spans="3:56" x14ac:dyDescent="0.25">
      <c r="C1090" s="1">
        <v>46710</v>
      </c>
      <c r="D1090" s="36">
        <v>247960.808333333</v>
      </c>
      <c r="E1090" s="33">
        <v>4.18333333333333</v>
      </c>
      <c r="F1090" s="33">
        <v>3.3974244444444399</v>
      </c>
      <c r="G1090" s="2">
        <v>0.81213333333333304</v>
      </c>
      <c r="H1090" s="2">
        <v>0.99</v>
      </c>
      <c r="I1090" s="3"/>
      <c r="J1090" s="3"/>
      <c r="K1090" s="3"/>
      <c r="L1090" s="3"/>
      <c r="M1090" s="3"/>
      <c r="N1090" s="3">
        <v>0</v>
      </c>
      <c r="O1090" s="3"/>
      <c r="P1090" s="3">
        <v>0</v>
      </c>
      <c r="Q1090" s="3">
        <v>0</v>
      </c>
      <c r="R1090" s="3">
        <v>0</v>
      </c>
      <c r="S1090" s="3">
        <v>0</v>
      </c>
      <c r="T1090" s="3">
        <v>0</v>
      </c>
      <c r="U1090" s="3"/>
      <c r="V1090" s="3"/>
      <c r="W1090" s="3"/>
      <c r="X1090" s="3"/>
      <c r="Y1090" s="3"/>
      <c r="Z1090" s="3"/>
      <c r="AA1090" s="3"/>
      <c r="AB1090" s="3"/>
      <c r="AC1090" s="3"/>
      <c r="AD1090" s="3"/>
      <c r="AE1090" s="3">
        <v>0</v>
      </c>
      <c r="AF1090" s="3">
        <v>0</v>
      </c>
      <c r="AG1090" s="3"/>
      <c r="AH1090" s="40"/>
      <c r="AI1090" s="40"/>
      <c r="AJ1090" s="40"/>
      <c r="AK1090" s="40"/>
      <c r="AL1090" s="40"/>
      <c r="AM1090" s="40"/>
      <c r="AN1090" s="40"/>
      <c r="AO1090" s="40"/>
      <c r="AP1090" s="40"/>
      <c r="AQ1090" s="40"/>
      <c r="AR1090" s="31"/>
      <c r="AS1090" s="36">
        <v>0</v>
      </c>
      <c r="AY1090" s="6"/>
      <c r="AZ1090" s="2"/>
      <c r="BA1090" s="2"/>
      <c r="BB1090" s="2"/>
      <c r="BC1090">
        <v>71500</v>
      </c>
      <c r="BD1090">
        <v>56992</v>
      </c>
    </row>
    <row r="1091" spans="3:56" x14ac:dyDescent="0.25">
      <c r="C1091" s="1">
        <v>46711</v>
      </c>
      <c r="D1091" s="36">
        <v>247960.808333333</v>
      </c>
      <c r="E1091" s="33">
        <v>4.18333333333333</v>
      </c>
      <c r="F1091" s="33">
        <v>3.3973779629629601</v>
      </c>
      <c r="G1091" s="2">
        <v>0.81212222222222197</v>
      </c>
      <c r="H1091" s="2">
        <v>0.99</v>
      </c>
      <c r="I1091" s="3"/>
      <c r="J1091" s="3"/>
      <c r="K1091" s="3"/>
      <c r="L1091" s="3"/>
      <c r="M1091" s="3"/>
      <c r="N1091" s="3">
        <v>0</v>
      </c>
      <c r="O1091" s="3"/>
      <c r="P1091" s="3">
        <v>0</v>
      </c>
      <c r="Q1091" s="3">
        <v>0</v>
      </c>
      <c r="R1091" s="3">
        <v>0</v>
      </c>
      <c r="S1091" s="3">
        <v>0</v>
      </c>
      <c r="T1091" s="3">
        <v>0</v>
      </c>
      <c r="U1091" s="3"/>
      <c r="V1091" s="3"/>
      <c r="W1091" s="3"/>
      <c r="X1091" s="3"/>
      <c r="Y1091" s="3"/>
      <c r="Z1091" s="3"/>
      <c r="AA1091" s="3"/>
      <c r="AB1091" s="3"/>
      <c r="AC1091" s="3"/>
      <c r="AD1091" s="3"/>
      <c r="AE1091" s="3">
        <v>0</v>
      </c>
      <c r="AF1091" s="3">
        <v>0</v>
      </c>
      <c r="AG1091" s="3"/>
      <c r="AH1091" s="40"/>
      <c r="AI1091" s="40"/>
      <c r="AJ1091" s="40"/>
      <c r="AK1091" s="40"/>
      <c r="AL1091" s="40"/>
      <c r="AM1091" s="40"/>
      <c r="AN1091" s="40"/>
      <c r="AO1091" s="40"/>
      <c r="AP1091" s="40"/>
      <c r="AQ1091" s="40"/>
      <c r="AR1091" s="31"/>
      <c r="AS1091" s="36">
        <v>0</v>
      </c>
      <c r="AY1091" s="6"/>
      <c r="AZ1091" s="2"/>
      <c r="BA1091" s="2"/>
      <c r="BB1091" s="2"/>
      <c r="BC1091">
        <v>71500</v>
      </c>
      <c r="BD1091">
        <v>56992</v>
      </c>
    </row>
    <row r="1092" spans="3:56" x14ac:dyDescent="0.25">
      <c r="C1092" s="1">
        <v>46712</v>
      </c>
      <c r="D1092" s="36">
        <v>247960.808333333</v>
      </c>
      <c r="E1092" s="33">
        <v>4.18333333333333</v>
      </c>
      <c r="F1092" s="33">
        <v>3.3973314814814799</v>
      </c>
      <c r="G1092" s="2">
        <v>0.81211111111111101</v>
      </c>
      <c r="H1092" s="2">
        <v>0.99</v>
      </c>
      <c r="I1092" s="3"/>
      <c r="J1092" s="3"/>
      <c r="K1092" s="3"/>
      <c r="L1092" s="3"/>
      <c r="M1092" s="3"/>
      <c r="N1092" s="3">
        <v>0</v>
      </c>
      <c r="O1092" s="3"/>
      <c r="P1092" s="3">
        <v>0</v>
      </c>
      <c r="Q1092" s="3">
        <v>0</v>
      </c>
      <c r="R1092" s="3">
        <v>0</v>
      </c>
      <c r="S1092" s="3">
        <v>0</v>
      </c>
      <c r="T1092" s="3">
        <v>0</v>
      </c>
      <c r="U1092" s="3"/>
      <c r="V1092" s="3"/>
      <c r="W1092" s="3"/>
      <c r="X1092" s="3"/>
      <c r="Y1092" s="3"/>
      <c r="Z1092" s="3"/>
      <c r="AA1092" s="3"/>
      <c r="AB1092" s="3"/>
      <c r="AC1092" s="3"/>
      <c r="AD1092" s="3"/>
      <c r="AE1092" s="3">
        <v>0</v>
      </c>
      <c r="AF1092" s="3">
        <v>0</v>
      </c>
      <c r="AG1092" s="3"/>
      <c r="AH1092" s="40"/>
      <c r="AI1092" s="40"/>
      <c r="AJ1092" s="40"/>
      <c r="AK1092" s="40"/>
      <c r="AL1092" s="40"/>
      <c r="AM1092" s="40"/>
      <c r="AN1092" s="40"/>
      <c r="AO1092" s="40"/>
      <c r="AP1092" s="40"/>
      <c r="AQ1092" s="40"/>
      <c r="AR1092" s="31"/>
      <c r="AS1092" s="36">
        <v>0</v>
      </c>
      <c r="AY1092" s="6"/>
      <c r="AZ1092" s="2"/>
      <c r="BA1092" s="2"/>
      <c r="BB1092" s="2"/>
      <c r="BC1092">
        <v>71500</v>
      </c>
      <c r="BD1092">
        <v>56992</v>
      </c>
    </row>
    <row r="1093" spans="3:56" x14ac:dyDescent="0.25">
      <c r="C1093" s="1">
        <v>46713</v>
      </c>
      <c r="D1093" s="36">
        <v>247960.808333333</v>
      </c>
      <c r="E1093" s="33">
        <v>4.18333333333333</v>
      </c>
      <c r="F1093" s="33">
        <v>3.3972850000000001</v>
      </c>
      <c r="G1093" s="2">
        <v>0.81210000000000004</v>
      </c>
      <c r="H1093" s="2">
        <v>0.99</v>
      </c>
      <c r="I1093" s="3"/>
      <c r="J1093" s="3"/>
      <c r="K1093" s="3"/>
      <c r="L1093" s="3"/>
      <c r="M1093" s="3"/>
      <c r="N1093" s="3">
        <v>0</v>
      </c>
      <c r="O1093" s="3"/>
      <c r="P1093" s="3">
        <v>0</v>
      </c>
      <c r="Q1093" s="3">
        <v>0</v>
      </c>
      <c r="R1093" s="3">
        <v>0</v>
      </c>
      <c r="S1093" s="3">
        <v>0</v>
      </c>
      <c r="T1093" s="3">
        <v>0</v>
      </c>
      <c r="U1093" s="3"/>
      <c r="V1093" s="3"/>
      <c r="W1093" s="3"/>
      <c r="X1093" s="3"/>
      <c r="Y1093" s="3"/>
      <c r="Z1093" s="3"/>
      <c r="AA1093" s="3"/>
      <c r="AB1093" s="3"/>
      <c r="AC1093" s="3"/>
      <c r="AD1093" s="3"/>
      <c r="AE1093" s="3">
        <v>0</v>
      </c>
      <c r="AF1093" s="3">
        <v>0</v>
      </c>
      <c r="AG1093" s="3"/>
      <c r="AH1093" s="40"/>
      <c r="AI1093" s="40"/>
      <c r="AJ1093" s="40"/>
      <c r="AK1093" s="40"/>
      <c r="AL1093" s="40"/>
      <c r="AM1093" s="40"/>
      <c r="AN1093" s="40"/>
      <c r="AO1093" s="40"/>
      <c r="AP1093" s="40"/>
      <c r="AQ1093" s="40"/>
      <c r="AR1093" s="31"/>
      <c r="AS1093" s="36">
        <v>0</v>
      </c>
      <c r="AY1093" s="6"/>
      <c r="AZ1093" s="2"/>
      <c r="BA1093" s="2"/>
      <c r="BB1093" s="2"/>
      <c r="BC1093">
        <v>71500</v>
      </c>
      <c r="BD1093">
        <v>56992</v>
      </c>
    </row>
    <row r="1094" spans="3:56" x14ac:dyDescent="0.25">
      <c r="C1094" s="1">
        <v>46714</v>
      </c>
      <c r="D1094" s="36">
        <v>247960.808333333</v>
      </c>
      <c r="E1094" s="33">
        <v>4.18333333333333</v>
      </c>
      <c r="F1094" s="33">
        <v>3.3972385185185199</v>
      </c>
      <c r="G1094" s="2">
        <v>0.81208888888888897</v>
      </c>
      <c r="H1094" s="2">
        <v>0.99</v>
      </c>
      <c r="I1094" s="3"/>
      <c r="J1094" s="3"/>
      <c r="K1094" s="3"/>
      <c r="L1094" s="3"/>
      <c r="M1094" s="3"/>
      <c r="N1094" s="3">
        <v>0</v>
      </c>
      <c r="O1094" s="3"/>
      <c r="P1094" s="3">
        <v>0</v>
      </c>
      <c r="Q1094" s="3">
        <v>0</v>
      </c>
      <c r="R1094" s="3">
        <v>0</v>
      </c>
      <c r="S1094" s="3">
        <v>0</v>
      </c>
      <c r="T1094" s="3">
        <v>0</v>
      </c>
      <c r="U1094" s="3"/>
      <c r="V1094" s="3"/>
      <c r="W1094" s="3"/>
      <c r="X1094" s="3"/>
      <c r="Y1094" s="3"/>
      <c r="Z1094" s="3"/>
      <c r="AA1094" s="3"/>
      <c r="AB1094" s="3"/>
      <c r="AC1094" s="3"/>
      <c r="AD1094" s="3"/>
      <c r="AE1094" s="3">
        <v>0</v>
      </c>
      <c r="AF1094" s="3">
        <v>0</v>
      </c>
      <c r="AG1094" s="3"/>
      <c r="AH1094" s="40"/>
      <c r="AI1094" s="40"/>
      <c r="AJ1094" s="40"/>
      <c r="AK1094" s="40"/>
      <c r="AL1094" s="40"/>
      <c r="AM1094" s="40"/>
      <c r="AN1094" s="40"/>
      <c r="AO1094" s="40"/>
      <c r="AP1094" s="40"/>
      <c r="AQ1094" s="40"/>
      <c r="AR1094" s="31"/>
      <c r="AS1094" s="36">
        <v>0</v>
      </c>
      <c r="AY1094" s="6"/>
      <c r="AZ1094" s="2"/>
      <c r="BA1094" s="2"/>
      <c r="BB1094" s="2"/>
      <c r="BC1094">
        <v>71500</v>
      </c>
      <c r="BD1094">
        <v>56992</v>
      </c>
    </row>
    <row r="1095" spans="3:56" x14ac:dyDescent="0.25">
      <c r="C1095" s="1">
        <v>46715</v>
      </c>
      <c r="D1095" s="36">
        <v>247960.808333333</v>
      </c>
      <c r="E1095" s="33">
        <v>4.18333333333333</v>
      </c>
      <c r="F1095" s="33">
        <v>3.3971920370370401</v>
      </c>
      <c r="G1095" s="2">
        <v>0.81207777777777801</v>
      </c>
      <c r="H1095" s="2">
        <v>0.99</v>
      </c>
      <c r="I1095" s="3"/>
      <c r="J1095" s="3"/>
      <c r="K1095" s="3"/>
      <c r="L1095" s="3"/>
      <c r="M1095" s="3"/>
      <c r="N1095" s="3">
        <v>0</v>
      </c>
      <c r="O1095" s="3"/>
      <c r="P1095" s="3">
        <v>0</v>
      </c>
      <c r="Q1095" s="3">
        <v>0</v>
      </c>
      <c r="R1095" s="3">
        <v>0</v>
      </c>
      <c r="S1095" s="3">
        <v>0</v>
      </c>
      <c r="T1095" s="3">
        <v>0</v>
      </c>
      <c r="U1095" s="3"/>
      <c r="V1095" s="3"/>
      <c r="W1095" s="3"/>
      <c r="X1095" s="3"/>
      <c r="Y1095" s="3"/>
      <c r="Z1095" s="3"/>
      <c r="AA1095" s="3"/>
      <c r="AB1095" s="3"/>
      <c r="AC1095" s="3"/>
      <c r="AD1095" s="3"/>
      <c r="AE1095" s="3">
        <v>0</v>
      </c>
      <c r="AF1095" s="3">
        <v>0</v>
      </c>
      <c r="AG1095" s="3"/>
      <c r="AH1095" s="40"/>
      <c r="AI1095" s="40"/>
      <c r="AJ1095" s="40"/>
      <c r="AK1095" s="40"/>
      <c r="AL1095" s="40"/>
      <c r="AM1095" s="40"/>
      <c r="AN1095" s="40"/>
      <c r="AO1095" s="40"/>
      <c r="AP1095" s="40"/>
      <c r="AQ1095" s="40"/>
      <c r="AR1095" s="31"/>
      <c r="AS1095" s="36">
        <v>0</v>
      </c>
      <c r="AY1095" s="6"/>
      <c r="AZ1095" s="2"/>
      <c r="BA1095" s="2"/>
      <c r="BB1095" s="2"/>
      <c r="BC1095">
        <v>71500</v>
      </c>
      <c r="BD1095">
        <v>56992</v>
      </c>
    </row>
    <row r="1096" spans="3:56" x14ac:dyDescent="0.25">
      <c r="C1096" s="1">
        <v>46716</v>
      </c>
      <c r="D1096" s="36">
        <v>247960.808333333</v>
      </c>
      <c r="E1096" s="33">
        <v>4.18333333333333</v>
      </c>
      <c r="F1096" s="33">
        <v>3.3971455555555599</v>
      </c>
      <c r="G1096" s="2">
        <v>0.81206666666666705</v>
      </c>
      <c r="H1096" s="2">
        <v>0.99</v>
      </c>
      <c r="I1096" s="3"/>
      <c r="J1096" s="3"/>
      <c r="K1096" s="3"/>
      <c r="L1096" s="3"/>
      <c r="M1096" s="3"/>
      <c r="N1096" s="3">
        <v>0</v>
      </c>
      <c r="O1096" s="3"/>
      <c r="P1096" s="3">
        <v>0</v>
      </c>
      <c r="Q1096" s="3">
        <v>0</v>
      </c>
      <c r="R1096" s="3">
        <v>0</v>
      </c>
      <c r="S1096" s="3">
        <v>0</v>
      </c>
      <c r="T1096" s="3">
        <v>0</v>
      </c>
      <c r="U1096" s="3"/>
      <c r="V1096" s="3"/>
      <c r="W1096" s="3"/>
      <c r="X1096" s="3"/>
      <c r="Y1096" s="3"/>
      <c r="Z1096" s="3"/>
      <c r="AA1096" s="3"/>
      <c r="AB1096" s="3"/>
      <c r="AC1096" s="3"/>
      <c r="AD1096" s="3"/>
      <c r="AE1096" s="3">
        <v>0</v>
      </c>
      <c r="AF1096" s="3">
        <v>0</v>
      </c>
      <c r="AG1096" s="3"/>
      <c r="AH1096" s="40"/>
      <c r="AI1096" s="40"/>
      <c r="AJ1096" s="40"/>
      <c r="AK1096" s="40"/>
      <c r="AL1096" s="40"/>
      <c r="AM1096" s="40"/>
      <c r="AN1096" s="40"/>
      <c r="AO1096" s="40"/>
      <c r="AP1096" s="40"/>
      <c r="AQ1096" s="40"/>
      <c r="AR1096" s="31"/>
      <c r="AS1096" s="36">
        <v>0</v>
      </c>
      <c r="AY1096" s="6"/>
      <c r="AZ1096" s="2"/>
      <c r="BA1096" s="2"/>
      <c r="BB1096" s="2"/>
      <c r="BC1096">
        <v>71500</v>
      </c>
      <c r="BD1096">
        <v>56992</v>
      </c>
    </row>
    <row r="1097" spans="3:56" x14ac:dyDescent="0.25">
      <c r="C1097" s="1">
        <v>46717</v>
      </c>
      <c r="D1097" s="36">
        <v>247960.808333333</v>
      </c>
      <c r="E1097" s="33">
        <v>4.18333333333333</v>
      </c>
      <c r="F1097" s="33">
        <v>3.3970990740740699</v>
      </c>
      <c r="G1097" s="2">
        <v>0.81205555555555597</v>
      </c>
      <c r="H1097" s="2">
        <v>0.99</v>
      </c>
      <c r="I1097" s="3"/>
      <c r="J1097" s="3"/>
      <c r="K1097" s="3"/>
      <c r="L1097" s="3"/>
      <c r="M1097" s="3"/>
      <c r="N1097" s="3">
        <v>0</v>
      </c>
      <c r="O1097" s="3"/>
      <c r="P1097" s="3">
        <v>0</v>
      </c>
      <c r="Q1097" s="3">
        <v>0</v>
      </c>
      <c r="R1097" s="3">
        <v>0</v>
      </c>
      <c r="S1097" s="3">
        <v>0</v>
      </c>
      <c r="T1097" s="3">
        <v>0</v>
      </c>
      <c r="U1097" s="3"/>
      <c r="V1097" s="3"/>
      <c r="W1097" s="3"/>
      <c r="X1097" s="3"/>
      <c r="Y1097" s="3"/>
      <c r="Z1097" s="3"/>
      <c r="AA1097" s="3"/>
      <c r="AB1097" s="3"/>
      <c r="AC1097" s="3"/>
      <c r="AD1097" s="3"/>
      <c r="AE1097" s="3">
        <v>0</v>
      </c>
      <c r="AF1097" s="3">
        <v>0</v>
      </c>
      <c r="AG1097" s="3"/>
      <c r="AH1097" s="40"/>
      <c r="AI1097" s="40"/>
      <c r="AJ1097" s="40"/>
      <c r="AK1097" s="40"/>
      <c r="AL1097" s="40"/>
      <c r="AM1097" s="40"/>
      <c r="AN1097" s="40"/>
      <c r="AO1097" s="40"/>
      <c r="AP1097" s="40"/>
      <c r="AQ1097" s="40"/>
      <c r="AR1097" s="31"/>
      <c r="AS1097" s="36">
        <v>0</v>
      </c>
      <c r="AY1097" s="6"/>
      <c r="AZ1097" s="2"/>
      <c r="BA1097" s="2"/>
      <c r="BB1097" s="2"/>
      <c r="BC1097">
        <v>71500</v>
      </c>
      <c r="BD1097">
        <v>56992</v>
      </c>
    </row>
    <row r="1098" spans="3:56" x14ac:dyDescent="0.25">
      <c r="C1098" s="1">
        <v>46718</v>
      </c>
      <c r="D1098" s="36">
        <v>247960.808333333</v>
      </c>
      <c r="E1098" s="33">
        <v>4.18333333333333</v>
      </c>
      <c r="F1098" s="33">
        <v>3.3970525925925901</v>
      </c>
      <c r="G1098" s="2">
        <v>0.81204444444444401</v>
      </c>
      <c r="H1098" s="2">
        <v>0.99</v>
      </c>
      <c r="I1098" s="3"/>
      <c r="J1098" s="3"/>
      <c r="K1098" s="3"/>
      <c r="L1098" s="3"/>
      <c r="M1098" s="3"/>
      <c r="N1098" s="3">
        <v>0</v>
      </c>
      <c r="O1098" s="3"/>
      <c r="P1098" s="3">
        <v>0</v>
      </c>
      <c r="Q1098" s="3">
        <v>0</v>
      </c>
      <c r="R1098" s="3">
        <v>0</v>
      </c>
      <c r="S1098" s="3">
        <v>0</v>
      </c>
      <c r="T1098" s="3">
        <v>0</v>
      </c>
      <c r="U1098" s="3"/>
      <c r="V1098" s="3"/>
      <c r="W1098" s="3"/>
      <c r="X1098" s="3"/>
      <c r="Y1098" s="3"/>
      <c r="Z1098" s="3"/>
      <c r="AA1098" s="3"/>
      <c r="AB1098" s="3"/>
      <c r="AC1098" s="3"/>
      <c r="AD1098" s="3"/>
      <c r="AE1098" s="3">
        <v>0</v>
      </c>
      <c r="AF1098" s="3">
        <v>0</v>
      </c>
      <c r="AG1098" s="3"/>
      <c r="AH1098" s="40"/>
      <c r="AI1098" s="40"/>
      <c r="AJ1098" s="40"/>
      <c r="AK1098" s="40"/>
      <c r="AL1098" s="40"/>
      <c r="AM1098" s="40"/>
      <c r="AN1098" s="40"/>
      <c r="AO1098" s="40"/>
      <c r="AP1098" s="40"/>
      <c r="AQ1098" s="40"/>
      <c r="AR1098" s="31"/>
      <c r="AS1098" s="36">
        <v>0</v>
      </c>
      <c r="AY1098" s="6"/>
      <c r="AZ1098" s="2"/>
      <c r="BA1098" s="2"/>
      <c r="BB1098" s="2"/>
      <c r="BC1098">
        <v>71500</v>
      </c>
      <c r="BD1098">
        <v>56992</v>
      </c>
    </row>
    <row r="1099" spans="3:56" x14ac:dyDescent="0.25">
      <c r="C1099" s="1">
        <v>46719</v>
      </c>
      <c r="D1099" s="36">
        <v>247960.808333333</v>
      </c>
      <c r="E1099" s="33">
        <v>4.18333333333333</v>
      </c>
      <c r="F1099" s="33">
        <v>3.3970061111111098</v>
      </c>
      <c r="G1099" s="2">
        <v>0.81203333333333305</v>
      </c>
      <c r="H1099" s="2">
        <v>0.99</v>
      </c>
      <c r="I1099" s="3"/>
      <c r="J1099" s="3"/>
      <c r="K1099" s="3"/>
      <c r="L1099" s="3"/>
      <c r="M1099" s="3"/>
      <c r="N1099" s="3">
        <v>0</v>
      </c>
      <c r="O1099" s="3"/>
      <c r="P1099" s="3">
        <v>0</v>
      </c>
      <c r="Q1099" s="3">
        <v>0</v>
      </c>
      <c r="R1099" s="3">
        <v>0</v>
      </c>
      <c r="S1099" s="3">
        <v>0</v>
      </c>
      <c r="T1099" s="3">
        <v>0</v>
      </c>
      <c r="U1099" s="3"/>
      <c r="V1099" s="3"/>
      <c r="W1099" s="3"/>
      <c r="X1099" s="3"/>
      <c r="Y1099" s="3"/>
      <c r="Z1099" s="3"/>
      <c r="AA1099" s="3"/>
      <c r="AB1099" s="3"/>
      <c r="AC1099" s="3"/>
      <c r="AD1099" s="3"/>
      <c r="AE1099" s="3">
        <v>0</v>
      </c>
      <c r="AF1099" s="3">
        <v>0</v>
      </c>
      <c r="AG1099" s="3"/>
      <c r="AH1099" s="40"/>
      <c r="AI1099" s="40"/>
      <c r="AJ1099" s="40"/>
      <c r="AK1099" s="40"/>
      <c r="AL1099" s="40"/>
      <c r="AM1099" s="40"/>
      <c r="AN1099" s="40"/>
      <c r="AO1099" s="40"/>
      <c r="AP1099" s="40"/>
      <c r="AQ1099" s="40"/>
      <c r="AR1099" s="31"/>
      <c r="AS1099" s="36">
        <v>0</v>
      </c>
      <c r="AY1099" s="6"/>
      <c r="AZ1099" s="2"/>
      <c r="BA1099" s="2"/>
      <c r="BB1099" s="2"/>
      <c r="BC1099">
        <v>71500</v>
      </c>
      <c r="BD1099">
        <v>56992</v>
      </c>
    </row>
    <row r="1100" spans="3:56" x14ac:dyDescent="0.25">
      <c r="C1100" s="1">
        <v>46720</v>
      </c>
      <c r="D1100" s="36">
        <v>247960.808333333</v>
      </c>
      <c r="E1100" s="33">
        <v>4.18333333333333</v>
      </c>
      <c r="F1100" s="33">
        <v>3.3969596296296301</v>
      </c>
      <c r="G1100" s="2">
        <v>0.81202222222222198</v>
      </c>
      <c r="H1100" s="2">
        <v>0.99</v>
      </c>
      <c r="I1100" s="3"/>
      <c r="J1100" s="3"/>
      <c r="K1100" s="3"/>
      <c r="L1100" s="3"/>
      <c r="M1100" s="3"/>
      <c r="N1100" s="3">
        <v>0</v>
      </c>
      <c r="O1100" s="3"/>
      <c r="P1100" s="3">
        <v>0</v>
      </c>
      <c r="Q1100" s="3">
        <v>0</v>
      </c>
      <c r="R1100" s="3">
        <v>0</v>
      </c>
      <c r="S1100" s="3">
        <v>0</v>
      </c>
      <c r="T1100" s="3">
        <v>0</v>
      </c>
      <c r="U1100" s="3"/>
      <c r="V1100" s="3"/>
      <c r="W1100" s="3"/>
      <c r="X1100" s="3"/>
      <c r="Y1100" s="3"/>
      <c r="Z1100" s="3"/>
      <c r="AA1100" s="3"/>
      <c r="AB1100" s="3"/>
      <c r="AC1100" s="3"/>
      <c r="AD1100" s="3"/>
      <c r="AE1100" s="3">
        <v>0</v>
      </c>
      <c r="AF1100" s="3">
        <v>0</v>
      </c>
      <c r="AG1100" s="3"/>
      <c r="AH1100" s="40"/>
      <c r="AI1100" s="40"/>
      <c r="AJ1100" s="40"/>
      <c r="AK1100" s="40"/>
      <c r="AL1100" s="40"/>
      <c r="AM1100" s="40"/>
      <c r="AN1100" s="40"/>
      <c r="AO1100" s="40"/>
      <c r="AP1100" s="40"/>
      <c r="AQ1100" s="40"/>
      <c r="AR1100" s="31"/>
      <c r="AS1100" s="36">
        <v>0</v>
      </c>
      <c r="AY1100" s="6"/>
      <c r="AZ1100" s="2"/>
      <c r="BA1100" s="2"/>
      <c r="BB1100" s="2"/>
      <c r="BC1100">
        <v>71500</v>
      </c>
      <c r="BD1100">
        <v>56992</v>
      </c>
    </row>
    <row r="1101" spans="3:56" x14ac:dyDescent="0.25">
      <c r="C1101" s="1">
        <v>46721</v>
      </c>
      <c r="D1101" s="36">
        <v>247960.808333333</v>
      </c>
      <c r="E1101" s="33">
        <v>4.18333333333333</v>
      </c>
      <c r="F1101" s="33">
        <v>3.3969131481481498</v>
      </c>
      <c r="G1101" s="2">
        <v>0.81201111111111102</v>
      </c>
      <c r="H1101" s="2">
        <v>0.99</v>
      </c>
      <c r="I1101" s="3"/>
      <c r="J1101" s="3"/>
      <c r="K1101" s="3"/>
      <c r="L1101" s="3"/>
      <c r="M1101" s="3"/>
      <c r="N1101" s="3">
        <v>0</v>
      </c>
      <c r="O1101" s="3"/>
      <c r="P1101" s="3">
        <v>0</v>
      </c>
      <c r="Q1101" s="3">
        <v>0</v>
      </c>
      <c r="R1101" s="3">
        <v>0</v>
      </c>
      <c r="S1101" s="3">
        <v>0</v>
      </c>
      <c r="T1101" s="3">
        <v>0</v>
      </c>
      <c r="U1101" s="3"/>
      <c r="V1101" s="3"/>
      <c r="W1101" s="3"/>
      <c r="X1101" s="3"/>
      <c r="Y1101" s="3"/>
      <c r="Z1101" s="3"/>
      <c r="AA1101" s="3"/>
      <c r="AB1101" s="3"/>
      <c r="AC1101" s="3"/>
      <c r="AD1101" s="3"/>
      <c r="AE1101" s="3">
        <v>0</v>
      </c>
      <c r="AF1101" s="3">
        <v>0</v>
      </c>
      <c r="AG1101" s="3"/>
      <c r="AH1101" s="40"/>
      <c r="AI1101" s="40"/>
      <c r="AJ1101" s="40"/>
      <c r="AK1101" s="40"/>
      <c r="AL1101" s="40"/>
      <c r="AM1101" s="40"/>
      <c r="AN1101" s="40"/>
      <c r="AO1101" s="40"/>
      <c r="AP1101" s="40"/>
      <c r="AQ1101" s="40"/>
      <c r="AR1101" s="31"/>
      <c r="AS1101" s="36">
        <v>0</v>
      </c>
      <c r="AY1101" s="6"/>
      <c r="AZ1101" s="2"/>
      <c r="BA1101" s="2"/>
      <c r="BB1101" s="2"/>
      <c r="BC1101">
        <v>71500</v>
      </c>
      <c r="BD1101">
        <v>56992</v>
      </c>
    </row>
    <row r="1102" spans="3:56" x14ac:dyDescent="0.25">
      <c r="C1102" s="1">
        <v>46722</v>
      </c>
      <c r="D1102" s="36">
        <v>235895.33709677399</v>
      </c>
      <c r="E1102" s="33">
        <v>4.1709677419354803</v>
      </c>
      <c r="F1102" s="33">
        <v>3.3868258064516099</v>
      </c>
      <c r="G1102" s="2">
        <v>0.81200000000000006</v>
      </c>
      <c r="H1102" s="2">
        <v>0.99</v>
      </c>
      <c r="I1102" s="3"/>
      <c r="J1102" s="3"/>
      <c r="K1102" s="3"/>
      <c r="L1102" s="3"/>
      <c r="M1102" s="3"/>
      <c r="N1102" s="3">
        <v>0</v>
      </c>
      <c r="O1102" s="3"/>
      <c r="P1102" s="3">
        <v>0</v>
      </c>
      <c r="Q1102" s="3">
        <v>0</v>
      </c>
      <c r="R1102" s="3">
        <v>0</v>
      </c>
      <c r="S1102" s="3">
        <v>0</v>
      </c>
      <c r="T1102" s="3">
        <v>0</v>
      </c>
      <c r="U1102" s="3"/>
      <c r="V1102" s="3"/>
      <c r="W1102" s="3"/>
      <c r="X1102" s="3"/>
      <c r="Y1102" s="3"/>
      <c r="Z1102" s="3"/>
      <c r="AA1102" s="3"/>
      <c r="AB1102" s="3"/>
      <c r="AC1102" s="3"/>
      <c r="AD1102" s="3"/>
      <c r="AE1102" s="3">
        <v>0</v>
      </c>
      <c r="AF1102" s="3">
        <v>0</v>
      </c>
      <c r="AG1102" s="3"/>
      <c r="AH1102" s="40"/>
      <c r="AI1102" s="40"/>
      <c r="AJ1102" s="40"/>
      <c r="AK1102" s="40"/>
      <c r="AL1102" s="40"/>
      <c r="AM1102" s="40"/>
      <c r="AN1102" s="40"/>
      <c r="AO1102" s="40"/>
      <c r="AP1102" s="40"/>
      <c r="AQ1102" s="40"/>
      <c r="AR1102" s="31"/>
      <c r="AS1102" s="36">
        <v>0</v>
      </c>
      <c r="AY1102" s="6"/>
      <c r="AZ1102" s="2"/>
      <c r="BA1102" s="2"/>
      <c r="BB1102" s="2"/>
      <c r="BC1102">
        <v>71500</v>
      </c>
      <c r="BD1102">
        <v>56992</v>
      </c>
    </row>
    <row r="1103" spans="3:56" x14ac:dyDescent="0.25">
      <c r="C1103" s="1">
        <v>46723</v>
      </c>
      <c r="D1103" s="36">
        <v>235895.33709677399</v>
      </c>
      <c r="E1103" s="33">
        <v>4.1709677419354803</v>
      </c>
      <c r="F1103" s="33">
        <v>3.38677946236559</v>
      </c>
      <c r="G1103" s="2">
        <v>0.81198888888888898</v>
      </c>
      <c r="H1103" s="2">
        <v>0.99</v>
      </c>
      <c r="I1103" s="3"/>
      <c r="J1103" s="3"/>
      <c r="K1103" s="3"/>
      <c r="L1103" s="3"/>
      <c r="M1103" s="3"/>
      <c r="N1103" s="3">
        <v>0</v>
      </c>
      <c r="O1103" s="3"/>
      <c r="P1103" s="3">
        <v>0</v>
      </c>
      <c r="Q1103" s="3">
        <v>0</v>
      </c>
      <c r="R1103" s="3">
        <v>0</v>
      </c>
      <c r="S1103" s="3">
        <v>0</v>
      </c>
      <c r="T1103" s="3">
        <v>0</v>
      </c>
      <c r="U1103" s="3"/>
      <c r="V1103" s="3"/>
      <c r="W1103" s="3"/>
      <c r="X1103" s="3"/>
      <c r="Y1103" s="3"/>
      <c r="Z1103" s="3"/>
      <c r="AA1103" s="3"/>
      <c r="AB1103" s="3"/>
      <c r="AC1103" s="3"/>
      <c r="AD1103" s="3"/>
      <c r="AE1103" s="3">
        <v>0</v>
      </c>
      <c r="AF1103" s="3">
        <v>0</v>
      </c>
      <c r="AG1103" s="3"/>
      <c r="AH1103" s="40"/>
      <c r="AI1103" s="40"/>
      <c r="AJ1103" s="40"/>
      <c r="AK1103" s="40"/>
      <c r="AL1103" s="40"/>
      <c r="AM1103" s="40"/>
      <c r="AN1103" s="40"/>
      <c r="AO1103" s="40"/>
      <c r="AP1103" s="40"/>
      <c r="AQ1103" s="40"/>
      <c r="AR1103" s="31"/>
      <c r="AS1103" s="36">
        <v>0</v>
      </c>
      <c r="AY1103" s="6"/>
      <c r="AZ1103" s="2"/>
      <c r="BA1103" s="2"/>
      <c r="BB1103" s="2"/>
      <c r="BC1103">
        <v>71500</v>
      </c>
      <c r="BD1103">
        <v>56992</v>
      </c>
    </row>
    <row r="1104" spans="3:56" x14ac:dyDescent="0.25">
      <c r="C1104" s="1">
        <v>46724</v>
      </c>
      <c r="D1104" s="36">
        <v>235895.33709677399</v>
      </c>
      <c r="E1104" s="33">
        <v>4.1709677419354803</v>
      </c>
      <c r="F1104" s="33">
        <v>3.3867331182795701</v>
      </c>
      <c r="G1104" s="2">
        <v>0.81197777777777802</v>
      </c>
      <c r="H1104" s="2">
        <v>0.99</v>
      </c>
      <c r="I1104" s="3"/>
      <c r="J1104" s="3"/>
      <c r="K1104" s="3"/>
      <c r="L1104" s="3"/>
      <c r="M1104" s="3"/>
      <c r="N1104" s="3">
        <v>0</v>
      </c>
      <c r="O1104" s="3"/>
      <c r="P1104" s="3">
        <v>0</v>
      </c>
      <c r="Q1104" s="3">
        <v>0</v>
      </c>
      <c r="R1104" s="3">
        <v>0</v>
      </c>
      <c r="S1104" s="3">
        <v>0</v>
      </c>
      <c r="T1104" s="3">
        <v>0</v>
      </c>
      <c r="U1104" s="3"/>
      <c r="V1104" s="3"/>
      <c r="W1104" s="3"/>
      <c r="X1104" s="3"/>
      <c r="Y1104" s="3"/>
      <c r="Z1104" s="3"/>
      <c r="AA1104" s="3"/>
      <c r="AB1104" s="3"/>
      <c r="AC1104" s="3"/>
      <c r="AD1104" s="3"/>
      <c r="AE1104" s="3">
        <v>0</v>
      </c>
      <c r="AF1104" s="3">
        <v>0</v>
      </c>
      <c r="AG1104" s="3"/>
      <c r="AH1104" s="40"/>
      <c r="AI1104" s="40"/>
      <c r="AJ1104" s="40"/>
      <c r="AK1104" s="40"/>
      <c r="AL1104" s="40"/>
      <c r="AM1104" s="40"/>
      <c r="AN1104" s="40"/>
      <c r="AO1104" s="40"/>
      <c r="AP1104" s="40"/>
      <c r="AQ1104" s="40"/>
      <c r="AR1104" s="31"/>
      <c r="AS1104" s="36">
        <v>0</v>
      </c>
      <c r="AY1104" s="6"/>
      <c r="AZ1104" s="2"/>
      <c r="BA1104" s="2"/>
      <c r="BB1104" s="2"/>
      <c r="BC1104">
        <v>71500</v>
      </c>
      <c r="BD1104">
        <v>56992</v>
      </c>
    </row>
    <row r="1105" spans="3:56" x14ac:dyDescent="0.25">
      <c r="C1105" s="1">
        <v>46725</v>
      </c>
      <c r="D1105" s="36">
        <v>235895.33709677399</v>
      </c>
      <c r="E1105" s="33">
        <v>4.1709677419354803</v>
      </c>
      <c r="F1105" s="33">
        <v>3.3866867741935498</v>
      </c>
      <c r="G1105" s="2">
        <v>0.81196666666666695</v>
      </c>
      <c r="H1105" s="2">
        <v>0.99</v>
      </c>
      <c r="I1105" s="3"/>
      <c r="J1105" s="3"/>
      <c r="K1105" s="3"/>
      <c r="L1105" s="3"/>
      <c r="M1105" s="3"/>
      <c r="N1105" s="3">
        <v>0</v>
      </c>
      <c r="O1105" s="3"/>
      <c r="P1105" s="3">
        <v>0</v>
      </c>
      <c r="Q1105" s="3">
        <v>0</v>
      </c>
      <c r="R1105" s="3">
        <v>0</v>
      </c>
      <c r="S1105" s="3">
        <v>0</v>
      </c>
      <c r="T1105" s="3">
        <v>0</v>
      </c>
      <c r="U1105" s="3"/>
      <c r="V1105" s="3"/>
      <c r="W1105" s="3"/>
      <c r="X1105" s="3"/>
      <c r="Y1105" s="3"/>
      <c r="Z1105" s="3"/>
      <c r="AA1105" s="3"/>
      <c r="AB1105" s="3"/>
      <c r="AC1105" s="3"/>
      <c r="AD1105" s="3"/>
      <c r="AE1105" s="3">
        <v>0</v>
      </c>
      <c r="AF1105" s="3">
        <v>0</v>
      </c>
      <c r="AG1105" s="3"/>
      <c r="AH1105" s="40"/>
      <c r="AI1105" s="40"/>
      <c r="AJ1105" s="40"/>
      <c r="AK1105" s="40"/>
      <c r="AL1105" s="40"/>
      <c r="AM1105" s="40"/>
      <c r="AN1105" s="40"/>
      <c r="AO1105" s="40"/>
      <c r="AP1105" s="40"/>
      <c r="AQ1105" s="40"/>
      <c r="AR1105" s="31"/>
      <c r="AS1105" s="36">
        <v>0</v>
      </c>
      <c r="AY1105" s="6"/>
      <c r="AZ1105" s="2"/>
      <c r="BA1105" s="2"/>
      <c r="BB1105" s="2"/>
      <c r="BC1105">
        <v>71500</v>
      </c>
      <c r="BD1105">
        <v>56992</v>
      </c>
    </row>
    <row r="1106" spans="3:56" x14ac:dyDescent="0.25">
      <c r="C1106" s="1">
        <v>46726</v>
      </c>
      <c r="D1106" s="36">
        <v>235895.33709677399</v>
      </c>
      <c r="E1106" s="33">
        <v>4.1709677419354803</v>
      </c>
      <c r="F1106" s="33">
        <v>3.3866404301075299</v>
      </c>
      <c r="G1106" s="2">
        <v>0.81195555555555599</v>
      </c>
      <c r="H1106" s="2">
        <v>0.99</v>
      </c>
      <c r="I1106" s="3"/>
      <c r="J1106" s="3"/>
      <c r="K1106" s="3"/>
      <c r="L1106" s="3"/>
      <c r="M1106" s="3"/>
      <c r="N1106" s="3">
        <v>0</v>
      </c>
      <c r="O1106" s="3"/>
      <c r="P1106" s="3">
        <v>0</v>
      </c>
      <c r="Q1106" s="3">
        <v>0</v>
      </c>
      <c r="R1106" s="3">
        <v>0</v>
      </c>
      <c r="S1106" s="3">
        <v>0</v>
      </c>
      <c r="T1106" s="3">
        <v>0</v>
      </c>
      <c r="U1106" s="3"/>
      <c r="V1106" s="3"/>
      <c r="W1106" s="3"/>
      <c r="X1106" s="3"/>
      <c r="Y1106" s="3"/>
      <c r="Z1106" s="3"/>
      <c r="AA1106" s="3"/>
      <c r="AB1106" s="3"/>
      <c r="AC1106" s="3"/>
      <c r="AD1106" s="3"/>
      <c r="AE1106" s="3">
        <v>0</v>
      </c>
      <c r="AF1106" s="3">
        <v>0</v>
      </c>
      <c r="AG1106" s="3"/>
      <c r="AH1106" s="40"/>
      <c r="AI1106" s="40"/>
      <c r="AJ1106" s="40"/>
      <c r="AK1106" s="40"/>
      <c r="AL1106" s="40"/>
      <c r="AM1106" s="40"/>
      <c r="AN1106" s="40"/>
      <c r="AO1106" s="40"/>
      <c r="AP1106" s="40"/>
      <c r="AQ1106" s="40"/>
      <c r="AR1106" s="31"/>
      <c r="AS1106" s="36">
        <v>0</v>
      </c>
      <c r="AY1106" s="6"/>
      <c r="AZ1106" s="2"/>
      <c r="BA1106" s="2"/>
      <c r="BB1106" s="2"/>
      <c r="BC1106">
        <v>71500</v>
      </c>
      <c r="BD1106">
        <v>56992</v>
      </c>
    </row>
    <row r="1107" spans="3:56" x14ac:dyDescent="0.25">
      <c r="C1107" s="1">
        <v>46727</v>
      </c>
      <c r="D1107" s="36">
        <v>235895.33709677399</v>
      </c>
      <c r="E1107" s="33">
        <v>4.1709677419354803</v>
      </c>
      <c r="F1107" s="33">
        <v>3.38659408602151</v>
      </c>
      <c r="G1107" s="2">
        <v>0.81194444444444402</v>
      </c>
      <c r="H1107" s="2">
        <v>0.99</v>
      </c>
      <c r="I1107" s="3"/>
      <c r="J1107" s="3"/>
      <c r="K1107" s="3"/>
      <c r="L1107" s="3"/>
      <c r="M1107" s="3"/>
      <c r="N1107" s="3">
        <v>0</v>
      </c>
      <c r="O1107" s="3"/>
      <c r="P1107" s="3">
        <v>0</v>
      </c>
      <c r="Q1107" s="3">
        <v>0</v>
      </c>
      <c r="R1107" s="3">
        <v>0</v>
      </c>
      <c r="S1107" s="3">
        <v>0</v>
      </c>
      <c r="T1107" s="3">
        <v>0</v>
      </c>
      <c r="U1107" s="3"/>
      <c r="V1107" s="3"/>
      <c r="W1107" s="3"/>
      <c r="X1107" s="3"/>
      <c r="Y1107" s="3"/>
      <c r="Z1107" s="3"/>
      <c r="AA1107" s="3"/>
      <c r="AB1107" s="3"/>
      <c r="AC1107" s="3"/>
      <c r="AD1107" s="3"/>
      <c r="AE1107" s="3">
        <v>0</v>
      </c>
      <c r="AF1107" s="3">
        <v>0</v>
      </c>
      <c r="AG1107" s="3"/>
      <c r="AH1107" s="40"/>
      <c r="AI1107" s="40"/>
      <c r="AJ1107" s="40"/>
      <c r="AK1107" s="40"/>
      <c r="AL1107" s="40"/>
      <c r="AM1107" s="40"/>
      <c r="AN1107" s="40"/>
      <c r="AO1107" s="40"/>
      <c r="AP1107" s="40"/>
      <c r="AQ1107" s="40"/>
      <c r="AR1107" s="31"/>
      <c r="AS1107" s="36">
        <v>0</v>
      </c>
      <c r="AY1107" s="6"/>
      <c r="AZ1107" s="2"/>
      <c r="BA1107" s="2"/>
      <c r="BB1107" s="2"/>
      <c r="BC1107">
        <v>71500</v>
      </c>
      <c r="BD1107">
        <v>56992</v>
      </c>
    </row>
    <row r="1108" spans="3:56" x14ac:dyDescent="0.25">
      <c r="C1108" s="1">
        <v>46728</v>
      </c>
      <c r="D1108" s="36">
        <v>235895.33709677399</v>
      </c>
      <c r="E1108" s="33">
        <v>4.1709677419354803</v>
      </c>
      <c r="F1108" s="33">
        <v>3.3865477419354799</v>
      </c>
      <c r="G1108" s="2">
        <v>0.81193333333333295</v>
      </c>
      <c r="H1108" s="2">
        <v>0.99</v>
      </c>
      <c r="I1108" s="3"/>
      <c r="J1108" s="3"/>
      <c r="K1108" s="3"/>
      <c r="L1108" s="3"/>
      <c r="M1108" s="3"/>
      <c r="N1108" s="3">
        <v>0</v>
      </c>
      <c r="O1108" s="3"/>
      <c r="P1108" s="3">
        <v>0</v>
      </c>
      <c r="Q1108" s="3">
        <v>0</v>
      </c>
      <c r="R1108" s="3">
        <v>0</v>
      </c>
      <c r="S1108" s="3">
        <v>0</v>
      </c>
      <c r="T1108" s="3">
        <v>0</v>
      </c>
      <c r="U1108" s="3"/>
      <c r="V1108" s="3"/>
      <c r="W1108" s="3"/>
      <c r="X1108" s="3"/>
      <c r="Y1108" s="3"/>
      <c r="Z1108" s="3"/>
      <c r="AA1108" s="3"/>
      <c r="AB1108" s="3"/>
      <c r="AC1108" s="3"/>
      <c r="AD1108" s="3"/>
      <c r="AE1108" s="3">
        <v>0</v>
      </c>
      <c r="AF1108" s="3">
        <v>0</v>
      </c>
      <c r="AG1108" s="3"/>
      <c r="AH1108" s="40"/>
      <c r="AI1108" s="40"/>
      <c r="AJ1108" s="40"/>
      <c r="AK1108" s="40"/>
      <c r="AL1108" s="40"/>
      <c r="AM1108" s="40"/>
      <c r="AN1108" s="40"/>
      <c r="AO1108" s="40"/>
      <c r="AP1108" s="40"/>
      <c r="AQ1108" s="40"/>
      <c r="AR1108" s="31"/>
      <c r="AS1108" s="36">
        <v>0</v>
      </c>
      <c r="AY1108" s="6"/>
      <c r="AZ1108" s="2"/>
      <c r="BA1108" s="2"/>
      <c r="BB1108" s="2"/>
      <c r="BC1108">
        <v>71500</v>
      </c>
      <c r="BD1108">
        <v>56992</v>
      </c>
    </row>
    <row r="1109" spans="3:56" x14ac:dyDescent="0.25">
      <c r="C1109" s="1">
        <v>46729</v>
      </c>
      <c r="D1109" s="36">
        <v>235895.33709677399</v>
      </c>
      <c r="E1109" s="33">
        <v>4.1709677419354803</v>
      </c>
      <c r="F1109" s="33">
        <v>3.38650139784946</v>
      </c>
      <c r="G1109" s="2">
        <v>0.81192222222222199</v>
      </c>
      <c r="H1109" s="2">
        <v>0.99</v>
      </c>
      <c r="I1109" s="3"/>
      <c r="J1109" s="3"/>
      <c r="K1109" s="3"/>
      <c r="L1109" s="3"/>
      <c r="M1109" s="3"/>
      <c r="N1109" s="3">
        <v>0</v>
      </c>
      <c r="O1109" s="3"/>
      <c r="P1109" s="3">
        <v>0</v>
      </c>
      <c r="Q1109" s="3">
        <v>0</v>
      </c>
      <c r="R1109" s="3">
        <v>0</v>
      </c>
      <c r="S1109" s="3">
        <v>0</v>
      </c>
      <c r="T1109" s="3">
        <v>0</v>
      </c>
      <c r="U1109" s="3"/>
      <c r="V1109" s="3"/>
      <c r="W1109" s="3"/>
      <c r="X1109" s="3"/>
      <c r="Y1109" s="3"/>
      <c r="Z1109" s="3"/>
      <c r="AA1109" s="3"/>
      <c r="AB1109" s="3"/>
      <c r="AC1109" s="3"/>
      <c r="AD1109" s="3"/>
      <c r="AE1109" s="3">
        <v>0</v>
      </c>
      <c r="AF1109" s="3">
        <v>0</v>
      </c>
      <c r="AG1109" s="3"/>
      <c r="AH1109" s="40"/>
      <c r="AI1109" s="40"/>
      <c r="AJ1109" s="40"/>
      <c r="AK1109" s="40"/>
      <c r="AL1109" s="40"/>
      <c r="AM1109" s="40"/>
      <c r="AN1109" s="40"/>
      <c r="AO1109" s="40"/>
      <c r="AP1109" s="40"/>
      <c r="AQ1109" s="40"/>
      <c r="AR1109" s="31"/>
      <c r="AS1109" s="36">
        <v>0</v>
      </c>
      <c r="AY1109" s="6"/>
      <c r="AZ1109" s="2"/>
      <c r="BA1109" s="2"/>
      <c r="BB1109" s="2"/>
      <c r="BC1109">
        <v>71500</v>
      </c>
      <c r="BD1109">
        <v>56992</v>
      </c>
    </row>
    <row r="1110" spans="3:56" x14ac:dyDescent="0.25">
      <c r="C1110" s="1">
        <v>46730</v>
      </c>
      <c r="D1110" s="36">
        <v>235895.33709677399</v>
      </c>
      <c r="E1110" s="33">
        <v>4.1709677419354803</v>
      </c>
      <c r="F1110" s="33">
        <v>3.3864550537634401</v>
      </c>
      <c r="G1110" s="2">
        <v>0.81191111111111103</v>
      </c>
      <c r="H1110" s="2">
        <v>0.99</v>
      </c>
      <c r="I1110" s="3"/>
      <c r="J1110" s="3"/>
      <c r="K1110" s="3"/>
      <c r="L1110" s="3"/>
      <c r="M1110" s="3"/>
      <c r="N1110" s="3">
        <v>0</v>
      </c>
      <c r="O1110" s="3"/>
      <c r="P1110" s="3">
        <v>0</v>
      </c>
      <c r="Q1110" s="3">
        <v>0</v>
      </c>
      <c r="R1110" s="3">
        <v>0</v>
      </c>
      <c r="S1110" s="3">
        <v>0</v>
      </c>
      <c r="T1110" s="3">
        <v>0</v>
      </c>
      <c r="U1110" s="3"/>
      <c r="V1110" s="3"/>
      <c r="W1110" s="3"/>
      <c r="X1110" s="3"/>
      <c r="Y1110" s="3"/>
      <c r="Z1110" s="3"/>
      <c r="AA1110" s="3"/>
      <c r="AB1110" s="3"/>
      <c r="AC1110" s="3"/>
      <c r="AD1110" s="3"/>
      <c r="AE1110" s="3">
        <v>0</v>
      </c>
      <c r="AF1110" s="3">
        <v>0</v>
      </c>
      <c r="AG1110" s="3"/>
      <c r="AH1110" s="40"/>
      <c r="AI1110" s="40"/>
      <c r="AJ1110" s="40"/>
      <c r="AK1110" s="40"/>
      <c r="AL1110" s="40"/>
      <c r="AM1110" s="40"/>
      <c r="AN1110" s="40"/>
      <c r="AO1110" s="40"/>
      <c r="AP1110" s="40"/>
      <c r="AQ1110" s="40"/>
      <c r="AR1110" s="31"/>
      <c r="AS1110" s="36">
        <v>0</v>
      </c>
      <c r="AY1110" s="6"/>
      <c r="AZ1110" s="2"/>
      <c r="BA1110" s="2"/>
      <c r="BB1110" s="2"/>
      <c r="BC1110">
        <v>71500</v>
      </c>
      <c r="BD1110">
        <v>56992</v>
      </c>
    </row>
    <row r="1111" spans="3:56" x14ac:dyDescent="0.25">
      <c r="C1111" s="1">
        <v>46731</v>
      </c>
      <c r="D1111" s="36">
        <v>235895.33709677399</v>
      </c>
      <c r="E1111" s="33">
        <v>4.1709677419354803</v>
      </c>
      <c r="F1111" s="33">
        <v>3.3864087096774198</v>
      </c>
      <c r="G1111" s="2">
        <v>0.81189999999999996</v>
      </c>
      <c r="H1111" s="2">
        <v>0.99</v>
      </c>
      <c r="I1111" s="3"/>
      <c r="J1111" s="3"/>
      <c r="K1111" s="3"/>
      <c r="L1111" s="3"/>
      <c r="M1111" s="3"/>
      <c r="N1111" s="3">
        <v>0</v>
      </c>
      <c r="O1111" s="3"/>
      <c r="P1111" s="3">
        <v>0</v>
      </c>
      <c r="Q1111" s="3">
        <v>0</v>
      </c>
      <c r="R1111" s="3">
        <v>0</v>
      </c>
      <c r="S1111" s="3">
        <v>0</v>
      </c>
      <c r="T1111" s="3">
        <v>0</v>
      </c>
      <c r="U1111" s="3"/>
      <c r="V1111" s="3"/>
      <c r="W1111" s="3"/>
      <c r="X1111" s="3"/>
      <c r="Y1111" s="3"/>
      <c r="Z1111" s="3"/>
      <c r="AA1111" s="3"/>
      <c r="AB1111" s="3"/>
      <c r="AC1111" s="3"/>
      <c r="AD1111" s="3"/>
      <c r="AE1111" s="3">
        <v>0</v>
      </c>
      <c r="AF1111" s="3">
        <v>0</v>
      </c>
      <c r="AG1111" s="3"/>
      <c r="AH1111" s="40"/>
      <c r="AI1111" s="40"/>
      <c r="AJ1111" s="40"/>
      <c r="AK1111" s="40"/>
      <c r="AL1111" s="40"/>
      <c r="AM1111" s="40"/>
      <c r="AN1111" s="40"/>
      <c r="AO1111" s="40"/>
      <c r="AP1111" s="40"/>
      <c r="AQ1111" s="40"/>
      <c r="AR1111" s="31"/>
      <c r="AS1111" s="36">
        <v>0</v>
      </c>
      <c r="AY1111" s="6"/>
      <c r="AZ1111" s="2"/>
      <c r="BA1111" s="2"/>
      <c r="BB1111" s="2"/>
      <c r="BC1111">
        <v>71500</v>
      </c>
      <c r="BD1111">
        <v>56992</v>
      </c>
    </row>
    <row r="1112" spans="3:56" x14ac:dyDescent="0.25">
      <c r="C1112" s="1">
        <v>46732</v>
      </c>
      <c r="D1112" s="36">
        <v>235895.33709677399</v>
      </c>
      <c r="E1112" s="33">
        <v>4.1709677419354803</v>
      </c>
      <c r="F1112" s="33">
        <v>3.3863623655913999</v>
      </c>
      <c r="G1112" s="2">
        <v>0.81188888888888899</v>
      </c>
      <c r="H1112" s="2">
        <v>0.99</v>
      </c>
      <c r="I1112" s="3"/>
      <c r="J1112" s="3"/>
      <c r="K1112" s="3"/>
      <c r="L1112" s="3"/>
      <c r="M1112" s="3"/>
      <c r="N1112" s="3">
        <v>0</v>
      </c>
      <c r="O1112" s="3"/>
      <c r="P1112" s="3">
        <v>0</v>
      </c>
      <c r="Q1112" s="3">
        <v>0</v>
      </c>
      <c r="R1112" s="3">
        <v>0</v>
      </c>
      <c r="S1112" s="3">
        <v>0</v>
      </c>
      <c r="T1112" s="3">
        <v>0</v>
      </c>
      <c r="U1112" s="3"/>
      <c r="V1112" s="3"/>
      <c r="W1112" s="3"/>
      <c r="X1112" s="3"/>
      <c r="Y1112" s="3"/>
      <c r="Z1112" s="3"/>
      <c r="AA1112" s="3"/>
      <c r="AB1112" s="3"/>
      <c r="AC1112" s="3"/>
      <c r="AD1112" s="3"/>
      <c r="AE1112" s="3">
        <v>0</v>
      </c>
      <c r="AF1112" s="3">
        <v>0</v>
      </c>
      <c r="AG1112" s="3"/>
      <c r="AH1112" s="40"/>
      <c r="AI1112" s="40"/>
      <c r="AJ1112" s="40"/>
      <c r="AK1112" s="40"/>
      <c r="AL1112" s="40"/>
      <c r="AM1112" s="40"/>
      <c r="AN1112" s="40"/>
      <c r="AO1112" s="40"/>
      <c r="AP1112" s="40"/>
      <c r="AQ1112" s="40"/>
      <c r="AR1112" s="31"/>
      <c r="AS1112" s="36">
        <v>0</v>
      </c>
      <c r="AY1112" s="6"/>
      <c r="AZ1112" s="2"/>
      <c r="BA1112" s="2"/>
      <c r="BB1112" s="2"/>
      <c r="BC1112">
        <v>71500</v>
      </c>
      <c r="BD1112">
        <v>56992</v>
      </c>
    </row>
    <row r="1113" spans="3:56" x14ac:dyDescent="0.25">
      <c r="C1113" s="1">
        <v>46733</v>
      </c>
      <c r="D1113" s="36">
        <v>235895.33709677399</v>
      </c>
      <c r="E1113" s="33">
        <v>4.1709677419354803</v>
      </c>
      <c r="F1113" s="33">
        <v>3.38631602150538</v>
      </c>
      <c r="G1113" s="2">
        <v>0.81187777777777803</v>
      </c>
      <c r="H1113" s="2">
        <v>0.99</v>
      </c>
      <c r="I1113" s="3"/>
      <c r="J1113" s="3"/>
      <c r="K1113" s="3"/>
      <c r="L1113" s="3"/>
      <c r="M1113" s="3"/>
      <c r="N1113" s="3">
        <v>0</v>
      </c>
      <c r="O1113" s="3"/>
      <c r="P1113" s="3">
        <v>0</v>
      </c>
      <c r="Q1113" s="3">
        <v>0</v>
      </c>
      <c r="R1113" s="3">
        <v>0</v>
      </c>
      <c r="S1113" s="3">
        <v>0</v>
      </c>
      <c r="T1113" s="3">
        <v>0</v>
      </c>
      <c r="U1113" s="3"/>
      <c r="V1113" s="3"/>
      <c r="W1113" s="3"/>
      <c r="X1113" s="3"/>
      <c r="Y1113" s="3"/>
      <c r="Z1113" s="3"/>
      <c r="AA1113" s="3"/>
      <c r="AB1113" s="3"/>
      <c r="AC1113" s="3"/>
      <c r="AD1113" s="3"/>
      <c r="AE1113" s="3">
        <v>0</v>
      </c>
      <c r="AF1113" s="3">
        <v>0</v>
      </c>
      <c r="AG1113" s="3"/>
      <c r="AH1113" s="40"/>
      <c r="AI1113" s="40"/>
      <c r="AJ1113" s="40"/>
      <c r="AK1113" s="40"/>
      <c r="AL1113" s="40"/>
      <c r="AM1113" s="40"/>
      <c r="AN1113" s="40"/>
      <c r="AO1113" s="40"/>
      <c r="AP1113" s="40"/>
      <c r="AQ1113" s="40"/>
      <c r="AR1113" s="31"/>
      <c r="AS1113" s="36">
        <v>0</v>
      </c>
      <c r="AY1113" s="6"/>
      <c r="AZ1113" s="2"/>
      <c r="BA1113" s="2"/>
      <c r="BB1113" s="2"/>
      <c r="BC1113">
        <v>71500</v>
      </c>
      <c r="BD1113">
        <v>56992</v>
      </c>
    </row>
    <row r="1114" spans="3:56" x14ac:dyDescent="0.25">
      <c r="C1114" s="1">
        <v>46734</v>
      </c>
      <c r="D1114" s="36">
        <v>235895.33709677399</v>
      </c>
      <c r="E1114" s="33">
        <v>4.1709677419354803</v>
      </c>
      <c r="F1114" s="33">
        <v>3.3862696774193499</v>
      </c>
      <c r="G1114" s="2">
        <v>0.81186666666666696</v>
      </c>
      <c r="H1114" s="2">
        <v>0.99</v>
      </c>
      <c r="I1114" s="3"/>
      <c r="J1114" s="3"/>
      <c r="K1114" s="3"/>
      <c r="L1114" s="3"/>
      <c r="M1114" s="3"/>
      <c r="N1114" s="3">
        <v>0</v>
      </c>
      <c r="O1114" s="3"/>
      <c r="P1114" s="3">
        <v>0</v>
      </c>
      <c r="Q1114" s="3">
        <v>0</v>
      </c>
      <c r="R1114" s="3">
        <v>0</v>
      </c>
      <c r="S1114" s="3">
        <v>0</v>
      </c>
      <c r="T1114" s="3">
        <v>0</v>
      </c>
      <c r="U1114" s="3"/>
      <c r="V1114" s="3"/>
      <c r="W1114" s="3"/>
      <c r="X1114" s="3"/>
      <c r="Y1114" s="3"/>
      <c r="Z1114" s="3"/>
      <c r="AA1114" s="3"/>
      <c r="AB1114" s="3"/>
      <c r="AC1114" s="3"/>
      <c r="AD1114" s="3"/>
      <c r="AE1114" s="3">
        <v>0</v>
      </c>
      <c r="AF1114" s="3">
        <v>0</v>
      </c>
      <c r="AG1114" s="3"/>
      <c r="AH1114" s="40"/>
      <c r="AI1114" s="40"/>
      <c r="AJ1114" s="40"/>
      <c r="AK1114" s="40"/>
      <c r="AL1114" s="40"/>
      <c r="AM1114" s="40"/>
      <c r="AN1114" s="40"/>
      <c r="AO1114" s="40"/>
      <c r="AP1114" s="40"/>
      <c r="AQ1114" s="40"/>
      <c r="AR1114" s="31"/>
      <c r="AS1114" s="36">
        <v>0</v>
      </c>
      <c r="AY1114" s="6"/>
      <c r="AZ1114" s="2"/>
      <c r="BA1114" s="2"/>
      <c r="BB1114" s="2"/>
      <c r="BC1114">
        <v>71500</v>
      </c>
      <c r="BD1114">
        <v>56992</v>
      </c>
    </row>
    <row r="1115" spans="3:56" x14ac:dyDescent="0.25">
      <c r="C1115" s="1">
        <v>46735</v>
      </c>
      <c r="D1115" s="36">
        <v>235895.33709677399</v>
      </c>
      <c r="E1115" s="33">
        <v>4.1709677419354803</v>
      </c>
      <c r="F1115" s="33">
        <v>3.38622333333333</v>
      </c>
      <c r="G1115" s="2">
        <v>0.811855555555556</v>
      </c>
      <c r="H1115" s="2">
        <v>0.99</v>
      </c>
      <c r="I1115" s="3"/>
      <c r="J1115" s="3"/>
      <c r="K1115" s="3"/>
      <c r="L1115" s="3"/>
      <c r="M1115" s="3"/>
      <c r="N1115" s="3">
        <v>0</v>
      </c>
      <c r="O1115" s="3"/>
      <c r="P1115" s="3">
        <v>0</v>
      </c>
      <c r="Q1115" s="3">
        <v>0</v>
      </c>
      <c r="R1115" s="3">
        <v>0</v>
      </c>
      <c r="S1115" s="3">
        <v>0</v>
      </c>
      <c r="T1115" s="3">
        <v>0</v>
      </c>
      <c r="U1115" s="3"/>
      <c r="V1115" s="3"/>
      <c r="W1115" s="3"/>
      <c r="X1115" s="3"/>
      <c r="Y1115" s="3"/>
      <c r="Z1115" s="3"/>
      <c r="AA1115" s="3"/>
      <c r="AB1115" s="3"/>
      <c r="AC1115" s="3"/>
      <c r="AD1115" s="3"/>
      <c r="AE1115" s="3">
        <v>0</v>
      </c>
      <c r="AF1115" s="3">
        <v>0</v>
      </c>
      <c r="AG1115" s="3"/>
      <c r="AH1115" s="40"/>
      <c r="AI1115" s="40"/>
      <c r="AJ1115" s="40"/>
      <c r="AK1115" s="40"/>
      <c r="AL1115" s="40"/>
      <c r="AM1115" s="40"/>
      <c r="AN1115" s="40"/>
      <c r="AO1115" s="40"/>
      <c r="AP1115" s="40"/>
      <c r="AQ1115" s="40"/>
      <c r="AR1115" s="31"/>
      <c r="AS1115" s="36">
        <v>0</v>
      </c>
      <c r="AY1115" s="6"/>
      <c r="AZ1115" s="2"/>
      <c r="BA1115" s="2"/>
      <c r="BB1115" s="2"/>
      <c r="BC1115">
        <v>71500</v>
      </c>
      <c r="BD1115">
        <v>56992</v>
      </c>
    </row>
    <row r="1116" spans="3:56" x14ac:dyDescent="0.25">
      <c r="C1116" s="1">
        <v>46736</v>
      </c>
      <c r="D1116" s="36">
        <v>235895.33709677399</v>
      </c>
      <c r="E1116" s="33">
        <v>4.1709677419354803</v>
      </c>
      <c r="F1116" s="33">
        <v>3.3861769892473101</v>
      </c>
      <c r="G1116" s="2">
        <v>0.81184444444444404</v>
      </c>
      <c r="H1116" s="2">
        <v>0.99</v>
      </c>
      <c r="I1116" s="3"/>
      <c r="J1116" s="3"/>
      <c r="K1116" s="3"/>
      <c r="L1116" s="3"/>
      <c r="M1116" s="3"/>
      <c r="N1116" s="3">
        <v>0</v>
      </c>
      <c r="O1116" s="3"/>
      <c r="P1116" s="3">
        <v>0</v>
      </c>
      <c r="Q1116" s="3">
        <v>0</v>
      </c>
      <c r="R1116" s="3">
        <v>0</v>
      </c>
      <c r="S1116" s="3">
        <v>0</v>
      </c>
      <c r="T1116" s="3">
        <v>0</v>
      </c>
      <c r="U1116" s="3"/>
      <c r="V1116" s="3"/>
      <c r="W1116" s="3"/>
      <c r="X1116" s="3"/>
      <c r="Y1116" s="3"/>
      <c r="Z1116" s="3"/>
      <c r="AA1116" s="3"/>
      <c r="AB1116" s="3"/>
      <c r="AC1116" s="3"/>
      <c r="AD1116" s="3"/>
      <c r="AE1116" s="3">
        <v>0</v>
      </c>
      <c r="AF1116" s="3">
        <v>0</v>
      </c>
      <c r="AG1116" s="3"/>
      <c r="AH1116" s="40"/>
      <c r="AI1116" s="40"/>
      <c r="AJ1116" s="40"/>
      <c r="AK1116" s="40"/>
      <c r="AL1116" s="40"/>
      <c r="AM1116" s="40"/>
      <c r="AN1116" s="40"/>
      <c r="AO1116" s="40"/>
      <c r="AP1116" s="40"/>
      <c r="AQ1116" s="40"/>
      <c r="AR1116" s="31"/>
      <c r="AS1116" s="36">
        <v>0</v>
      </c>
      <c r="AY1116" s="6"/>
      <c r="AZ1116" s="2"/>
      <c r="BA1116" s="2"/>
      <c r="BB1116" s="2"/>
      <c r="BC1116">
        <v>71500</v>
      </c>
      <c r="BD1116">
        <v>56992</v>
      </c>
    </row>
    <row r="1117" spans="3:56" x14ac:dyDescent="0.25">
      <c r="C1117" s="1">
        <v>46737</v>
      </c>
      <c r="D1117" s="36">
        <v>235895.33709677399</v>
      </c>
      <c r="E1117" s="33">
        <v>4.1709677419354803</v>
      </c>
      <c r="F1117" s="33">
        <v>3.3861306451612898</v>
      </c>
      <c r="G1117" s="2">
        <v>0.81183333333333296</v>
      </c>
      <c r="H1117" s="2">
        <v>0.99</v>
      </c>
      <c r="I1117" s="3"/>
      <c r="J1117" s="3"/>
      <c r="K1117" s="3"/>
      <c r="L1117" s="3"/>
      <c r="M1117" s="3"/>
      <c r="N1117" s="3">
        <v>0</v>
      </c>
      <c r="O1117" s="3"/>
      <c r="P1117" s="3">
        <v>0</v>
      </c>
      <c r="Q1117" s="3">
        <v>0</v>
      </c>
      <c r="R1117" s="3">
        <v>0</v>
      </c>
      <c r="S1117" s="3">
        <v>0</v>
      </c>
      <c r="T1117" s="3">
        <v>0</v>
      </c>
      <c r="U1117" s="3"/>
      <c r="V1117" s="3"/>
      <c r="W1117" s="3"/>
      <c r="X1117" s="3"/>
      <c r="Y1117" s="3"/>
      <c r="Z1117" s="3"/>
      <c r="AA1117" s="3"/>
      <c r="AB1117" s="3"/>
      <c r="AC1117" s="3"/>
      <c r="AD1117" s="3"/>
      <c r="AE1117" s="3">
        <v>0</v>
      </c>
      <c r="AF1117" s="3">
        <v>0</v>
      </c>
      <c r="AG1117" s="3"/>
      <c r="AH1117" s="40"/>
      <c r="AI1117" s="40"/>
      <c r="AJ1117" s="40"/>
      <c r="AK1117" s="40"/>
      <c r="AL1117" s="40"/>
      <c r="AM1117" s="40"/>
      <c r="AN1117" s="40"/>
      <c r="AO1117" s="40"/>
      <c r="AP1117" s="40"/>
      <c r="AQ1117" s="40"/>
      <c r="AR1117" s="31"/>
      <c r="AS1117" s="36">
        <v>0</v>
      </c>
      <c r="AY1117" s="6"/>
      <c r="AZ1117" s="2"/>
      <c r="BA1117" s="2"/>
      <c r="BB1117" s="2"/>
      <c r="BC1117">
        <v>71500</v>
      </c>
      <c r="BD1117">
        <v>56992</v>
      </c>
    </row>
    <row r="1118" spans="3:56" x14ac:dyDescent="0.25">
      <c r="C1118" s="1">
        <v>46738</v>
      </c>
      <c r="D1118" s="36">
        <v>235895.33709677399</v>
      </c>
      <c r="E1118" s="33">
        <v>4.1709677419354803</v>
      </c>
      <c r="F1118" s="33">
        <v>3.3860843010752699</v>
      </c>
      <c r="G1118" s="2">
        <v>0.811822222222222</v>
      </c>
      <c r="H1118" s="2">
        <v>0.99</v>
      </c>
      <c r="I1118" s="3"/>
      <c r="J1118" s="3"/>
      <c r="K1118" s="3"/>
      <c r="L1118" s="3"/>
      <c r="M1118" s="3"/>
      <c r="N1118" s="3">
        <v>0</v>
      </c>
      <c r="O1118" s="3"/>
      <c r="P1118" s="3">
        <v>0</v>
      </c>
      <c r="Q1118" s="3">
        <v>0</v>
      </c>
      <c r="R1118" s="3">
        <v>0</v>
      </c>
      <c r="S1118" s="3">
        <v>0</v>
      </c>
      <c r="T1118" s="3">
        <v>0</v>
      </c>
      <c r="U1118" s="3"/>
      <c r="V1118" s="3"/>
      <c r="W1118" s="3"/>
      <c r="X1118" s="3"/>
      <c r="Y1118" s="3"/>
      <c r="Z1118" s="3"/>
      <c r="AA1118" s="3"/>
      <c r="AB1118" s="3"/>
      <c r="AC1118" s="3"/>
      <c r="AD1118" s="3"/>
      <c r="AE1118" s="3">
        <v>0</v>
      </c>
      <c r="AF1118" s="3">
        <v>0</v>
      </c>
      <c r="AG1118" s="3"/>
      <c r="AH1118" s="40"/>
      <c r="AI1118" s="40"/>
      <c r="AJ1118" s="40"/>
      <c r="AK1118" s="40"/>
      <c r="AL1118" s="40"/>
      <c r="AM1118" s="40"/>
      <c r="AN1118" s="40"/>
      <c r="AO1118" s="40"/>
      <c r="AP1118" s="40"/>
      <c r="AQ1118" s="40"/>
      <c r="AR1118" s="31"/>
      <c r="AS1118" s="36">
        <v>0</v>
      </c>
      <c r="AY1118" s="6"/>
      <c r="AZ1118" s="2"/>
      <c r="BA1118" s="2"/>
      <c r="BB1118" s="2"/>
      <c r="BC1118">
        <v>71500</v>
      </c>
      <c r="BD1118">
        <v>56992</v>
      </c>
    </row>
    <row r="1119" spans="3:56" x14ac:dyDescent="0.25">
      <c r="C1119" s="1">
        <v>46739</v>
      </c>
      <c r="D1119" s="36">
        <v>235895.33709677399</v>
      </c>
      <c r="E1119" s="33">
        <v>4.1709677419354803</v>
      </c>
      <c r="F1119" s="33">
        <v>3.38603795698925</v>
      </c>
      <c r="G1119" s="2">
        <v>0.81181111111111104</v>
      </c>
      <c r="H1119" s="2">
        <v>0.99</v>
      </c>
      <c r="I1119" s="3"/>
      <c r="J1119" s="3"/>
      <c r="K1119" s="3"/>
      <c r="L1119" s="3"/>
      <c r="M1119" s="3"/>
      <c r="N1119" s="3">
        <v>0</v>
      </c>
      <c r="O1119" s="3"/>
      <c r="P1119" s="3">
        <v>0</v>
      </c>
      <c r="Q1119" s="3">
        <v>0</v>
      </c>
      <c r="R1119" s="3">
        <v>0</v>
      </c>
      <c r="S1119" s="3">
        <v>0</v>
      </c>
      <c r="T1119" s="3">
        <v>0</v>
      </c>
      <c r="U1119" s="3"/>
      <c r="V1119" s="3"/>
      <c r="W1119" s="3"/>
      <c r="X1119" s="3"/>
      <c r="Y1119" s="3"/>
      <c r="Z1119" s="3"/>
      <c r="AA1119" s="3"/>
      <c r="AB1119" s="3"/>
      <c r="AC1119" s="3"/>
      <c r="AD1119" s="3"/>
      <c r="AE1119" s="3">
        <v>0</v>
      </c>
      <c r="AF1119" s="3">
        <v>0</v>
      </c>
      <c r="AG1119" s="3"/>
      <c r="AH1119" s="40"/>
      <c r="AI1119" s="40"/>
      <c r="AJ1119" s="40"/>
      <c r="AK1119" s="40"/>
      <c r="AL1119" s="40"/>
      <c r="AM1119" s="40"/>
      <c r="AN1119" s="40"/>
      <c r="AO1119" s="40"/>
      <c r="AP1119" s="40"/>
      <c r="AQ1119" s="40"/>
      <c r="AR1119" s="31"/>
      <c r="AS1119" s="36">
        <v>0</v>
      </c>
      <c r="AY1119" s="6"/>
      <c r="AZ1119" s="2"/>
      <c r="BA1119" s="2"/>
      <c r="BB1119" s="2"/>
      <c r="BC1119">
        <v>71500</v>
      </c>
      <c r="BD1119">
        <v>56992</v>
      </c>
    </row>
    <row r="1120" spans="3:56" x14ac:dyDescent="0.25">
      <c r="C1120" s="1">
        <v>46740</v>
      </c>
      <c r="D1120" s="36">
        <v>235895.33709677399</v>
      </c>
      <c r="E1120" s="33">
        <v>4.1709677419354803</v>
      </c>
      <c r="F1120" s="33">
        <v>3.3859916129032301</v>
      </c>
      <c r="G1120" s="2">
        <v>0.81179999999999997</v>
      </c>
      <c r="H1120" s="2">
        <v>0.99</v>
      </c>
      <c r="I1120" s="3"/>
      <c r="J1120" s="3"/>
      <c r="K1120" s="3"/>
      <c r="L1120" s="3"/>
      <c r="M1120" s="3"/>
      <c r="N1120" s="3">
        <v>0</v>
      </c>
      <c r="O1120" s="3"/>
      <c r="P1120" s="3">
        <v>0</v>
      </c>
      <c r="Q1120" s="3">
        <v>0</v>
      </c>
      <c r="R1120" s="3">
        <v>0</v>
      </c>
      <c r="S1120" s="3">
        <v>0</v>
      </c>
      <c r="T1120" s="3">
        <v>0</v>
      </c>
      <c r="U1120" s="3"/>
      <c r="V1120" s="3"/>
      <c r="W1120" s="3"/>
      <c r="X1120" s="3"/>
      <c r="Y1120" s="3"/>
      <c r="Z1120" s="3"/>
      <c r="AA1120" s="3"/>
      <c r="AB1120" s="3"/>
      <c r="AC1120" s="3"/>
      <c r="AD1120" s="3"/>
      <c r="AE1120" s="3">
        <v>0</v>
      </c>
      <c r="AF1120" s="3">
        <v>0</v>
      </c>
      <c r="AG1120" s="3"/>
      <c r="AH1120" s="40"/>
      <c r="AI1120" s="40"/>
      <c r="AJ1120" s="40"/>
      <c r="AK1120" s="40"/>
      <c r="AL1120" s="40"/>
      <c r="AM1120" s="40"/>
      <c r="AN1120" s="40"/>
      <c r="AO1120" s="40"/>
      <c r="AP1120" s="40"/>
      <c r="AQ1120" s="40"/>
      <c r="AR1120" s="31"/>
      <c r="AS1120" s="36">
        <v>0</v>
      </c>
      <c r="AY1120" s="6"/>
      <c r="AZ1120" s="2"/>
      <c r="BA1120" s="2"/>
      <c r="BB1120" s="2"/>
      <c r="BC1120">
        <v>71500</v>
      </c>
      <c r="BD1120">
        <v>56992</v>
      </c>
    </row>
    <row r="1121" spans="3:56" x14ac:dyDescent="0.25">
      <c r="C1121" s="1">
        <v>46741</v>
      </c>
      <c r="D1121" s="36">
        <v>235895.33709677399</v>
      </c>
      <c r="E1121" s="33">
        <v>4.1709677419354803</v>
      </c>
      <c r="F1121" s="33">
        <v>3.3859452688172</v>
      </c>
      <c r="G1121" s="2">
        <v>0.811788888888889</v>
      </c>
      <c r="H1121" s="2">
        <v>0.99</v>
      </c>
      <c r="I1121" s="3"/>
      <c r="J1121" s="3"/>
      <c r="K1121" s="3"/>
      <c r="L1121" s="3"/>
      <c r="M1121" s="3"/>
      <c r="N1121" s="3">
        <v>0</v>
      </c>
      <c r="O1121" s="3"/>
      <c r="P1121" s="3">
        <v>0</v>
      </c>
      <c r="Q1121" s="3">
        <v>0</v>
      </c>
      <c r="R1121" s="3">
        <v>0</v>
      </c>
      <c r="S1121" s="3">
        <v>0</v>
      </c>
      <c r="T1121" s="3">
        <v>0</v>
      </c>
      <c r="U1121" s="3"/>
      <c r="V1121" s="3"/>
      <c r="W1121" s="3"/>
      <c r="X1121" s="3"/>
      <c r="Y1121" s="3"/>
      <c r="Z1121" s="3"/>
      <c r="AA1121" s="3"/>
      <c r="AB1121" s="3"/>
      <c r="AC1121" s="3"/>
      <c r="AD1121" s="3"/>
      <c r="AE1121" s="3">
        <v>0</v>
      </c>
      <c r="AF1121" s="3">
        <v>0</v>
      </c>
      <c r="AG1121" s="3"/>
      <c r="AH1121" s="40"/>
      <c r="AI1121" s="40"/>
      <c r="AJ1121" s="40"/>
      <c r="AK1121" s="40"/>
      <c r="AL1121" s="40"/>
      <c r="AM1121" s="40"/>
      <c r="AN1121" s="40"/>
      <c r="AO1121" s="40"/>
      <c r="AP1121" s="40"/>
      <c r="AQ1121" s="40"/>
      <c r="AR1121" s="31"/>
      <c r="AS1121" s="36">
        <v>0</v>
      </c>
      <c r="AY1121" s="6"/>
      <c r="AZ1121" s="2"/>
      <c r="BA1121" s="2"/>
      <c r="BB1121" s="2"/>
      <c r="BC1121">
        <v>71500</v>
      </c>
      <c r="BD1121">
        <v>56992</v>
      </c>
    </row>
    <row r="1122" spans="3:56" x14ac:dyDescent="0.25">
      <c r="C1122" s="1">
        <v>46742</v>
      </c>
      <c r="D1122" s="36">
        <v>235895.33709677399</v>
      </c>
      <c r="E1122" s="33">
        <v>4.1709677419354803</v>
      </c>
      <c r="F1122" s="33">
        <v>3.3858989247311801</v>
      </c>
      <c r="G1122" s="2">
        <v>0.81177777777777804</v>
      </c>
      <c r="H1122" s="2">
        <v>0.99</v>
      </c>
      <c r="I1122" s="3"/>
      <c r="J1122" s="3"/>
      <c r="K1122" s="3"/>
      <c r="L1122" s="3"/>
      <c r="M1122" s="3"/>
      <c r="N1122" s="3">
        <v>0</v>
      </c>
      <c r="O1122" s="3"/>
      <c r="P1122" s="3">
        <v>0</v>
      </c>
      <c r="Q1122" s="3">
        <v>0</v>
      </c>
      <c r="R1122" s="3">
        <v>0</v>
      </c>
      <c r="S1122" s="3">
        <v>0</v>
      </c>
      <c r="T1122" s="3">
        <v>0</v>
      </c>
      <c r="U1122" s="3"/>
      <c r="V1122" s="3"/>
      <c r="W1122" s="3"/>
      <c r="X1122" s="3"/>
      <c r="Y1122" s="3"/>
      <c r="Z1122" s="3"/>
      <c r="AA1122" s="3"/>
      <c r="AB1122" s="3"/>
      <c r="AC1122" s="3"/>
      <c r="AD1122" s="3"/>
      <c r="AE1122" s="3">
        <v>0</v>
      </c>
      <c r="AF1122" s="3">
        <v>0</v>
      </c>
      <c r="AG1122" s="3"/>
      <c r="AH1122" s="40"/>
      <c r="AI1122" s="40"/>
      <c r="AJ1122" s="40"/>
      <c r="AK1122" s="40"/>
      <c r="AL1122" s="40"/>
      <c r="AM1122" s="40"/>
      <c r="AN1122" s="40"/>
      <c r="AO1122" s="40"/>
      <c r="AP1122" s="40"/>
      <c r="AQ1122" s="40"/>
      <c r="AR1122" s="31"/>
      <c r="AS1122" s="36">
        <v>0</v>
      </c>
      <c r="AY1122" s="6"/>
      <c r="AZ1122" s="2"/>
      <c r="BA1122" s="2"/>
      <c r="BB1122" s="2"/>
      <c r="BC1122">
        <v>71500</v>
      </c>
      <c r="BD1122">
        <v>56992</v>
      </c>
    </row>
    <row r="1123" spans="3:56" x14ac:dyDescent="0.25">
      <c r="C1123" s="1">
        <v>46743</v>
      </c>
      <c r="D1123" s="36">
        <v>235895.33709677399</v>
      </c>
      <c r="E1123" s="33">
        <v>4.1709677419354803</v>
      </c>
      <c r="F1123" s="33">
        <v>3.3858525806451598</v>
      </c>
      <c r="G1123" s="2">
        <v>0.81176666666666697</v>
      </c>
      <c r="H1123" s="2">
        <v>0.99</v>
      </c>
      <c r="I1123" s="3"/>
      <c r="J1123" s="3"/>
      <c r="K1123" s="3"/>
      <c r="L1123" s="3"/>
      <c r="M1123" s="3"/>
      <c r="N1123" s="3">
        <v>0</v>
      </c>
      <c r="O1123" s="3"/>
      <c r="P1123" s="3">
        <v>0</v>
      </c>
      <c r="Q1123" s="3">
        <v>0</v>
      </c>
      <c r="R1123" s="3">
        <v>0</v>
      </c>
      <c r="S1123" s="3">
        <v>0</v>
      </c>
      <c r="T1123" s="3">
        <v>0</v>
      </c>
      <c r="U1123" s="3"/>
      <c r="V1123" s="3"/>
      <c r="W1123" s="3"/>
      <c r="X1123" s="3"/>
      <c r="Y1123" s="3"/>
      <c r="Z1123" s="3"/>
      <c r="AA1123" s="3"/>
      <c r="AB1123" s="3"/>
      <c r="AC1123" s="3"/>
      <c r="AD1123" s="3"/>
      <c r="AE1123" s="3">
        <v>0</v>
      </c>
      <c r="AF1123" s="3">
        <v>0</v>
      </c>
      <c r="AG1123" s="3"/>
      <c r="AH1123" s="40"/>
      <c r="AI1123" s="40"/>
      <c r="AJ1123" s="40"/>
      <c r="AK1123" s="40"/>
      <c r="AL1123" s="40"/>
      <c r="AM1123" s="40"/>
      <c r="AN1123" s="40"/>
      <c r="AO1123" s="40"/>
      <c r="AP1123" s="40"/>
      <c r="AQ1123" s="40"/>
      <c r="AR1123" s="31"/>
      <c r="AS1123" s="36">
        <v>0</v>
      </c>
      <c r="AY1123" s="6"/>
      <c r="AZ1123" s="2"/>
      <c r="BA1123" s="2"/>
      <c r="BB1123" s="2"/>
      <c r="BC1123">
        <v>71500</v>
      </c>
      <c r="BD1123">
        <v>56992</v>
      </c>
    </row>
    <row r="1124" spans="3:56" x14ac:dyDescent="0.25">
      <c r="C1124" s="1">
        <v>46744</v>
      </c>
      <c r="D1124" s="36">
        <v>235895.33709677399</v>
      </c>
      <c r="E1124" s="33">
        <v>4.1709677419354803</v>
      </c>
      <c r="F1124" s="33">
        <v>3.3858062365591399</v>
      </c>
      <c r="G1124" s="2">
        <v>0.81175555555555601</v>
      </c>
      <c r="H1124" s="2">
        <v>0.99</v>
      </c>
      <c r="I1124" s="3"/>
      <c r="J1124" s="3"/>
      <c r="K1124" s="3"/>
      <c r="L1124" s="3"/>
      <c r="M1124" s="3"/>
      <c r="N1124" s="3">
        <v>0</v>
      </c>
      <c r="O1124" s="3"/>
      <c r="P1124" s="3">
        <v>0</v>
      </c>
      <c r="Q1124" s="3">
        <v>0</v>
      </c>
      <c r="R1124" s="3">
        <v>0</v>
      </c>
      <c r="S1124" s="3">
        <v>0</v>
      </c>
      <c r="T1124" s="3">
        <v>0</v>
      </c>
      <c r="U1124" s="3"/>
      <c r="V1124" s="3"/>
      <c r="W1124" s="3"/>
      <c r="X1124" s="3"/>
      <c r="Y1124" s="3"/>
      <c r="Z1124" s="3"/>
      <c r="AA1124" s="3"/>
      <c r="AB1124" s="3"/>
      <c r="AC1124" s="3"/>
      <c r="AD1124" s="3"/>
      <c r="AE1124" s="3">
        <v>0</v>
      </c>
      <c r="AF1124" s="3">
        <v>0</v>
      </c>
      <c r="AG1124" s="3"/>
      <c r="AH1124" s="40"/>
      <c r="AI1124" s="40"/>
      <c r="AJ1124" s="40"/>
      <c r="AK1124" s="40"/>
      <c r="AL1124" s="40"/>
      <c r="AM1124" s="40"/>
      <c r="AN1124" s="40"/>
      <c r="AO1124" s="40"/>
      <c r="AP1124" s="40"/>
      <c r="AQ1124" s="40"/>
      <c r="AR1124" s="31"/>
      <c r="AS1124" s="36">
        <v>0</v>
      </c>
      <c r="AY1124" s="6"/>
      <c r="AZ1124" s="2"/>
      <c r="BA1124" s="2"/>
      <c r="BB1124" s="2"/>
      <c r="BC1124">
        <v>71500</v>
      </c>
      <c r="BD1124">
        <v>56992</v>
      </c>
    </row>
    <row r="1125" spans="3:56" x14ac:dyDescent="0.25">
      <c r="C1125" s="1">
        <v>46745</v>
      </c>
      <c r="D1125" s="36">
        <v>235895.33709677399</v>
      </c>
      <c r="E1125" s="33">
        <v>4.1709677419354803</v>
      </c>
      <c r="F1125" s="33">
        <v>3.38575989247312</v>
      </c>
      <c r="G1125" s="2">
        <v>0.81174444444444405</v>
      </c>
      <c r="H1125" s="2">
        <v>0.99</v>
      </c>
      <c r="I1125" s="3"/>
      <c r="J1125" s="3"/>
      <c r="K1125" s="3"/>
      <c r="L1125" s="3"/>
      <c r="M1125" s="3"/>
      <c r="N1125" s="3">
        <v>0</v>
      </c>
      <c r="O1125" s="3"/>
      <c r="P1125" s="3">
        <v>0</v>
      </c>
      <c r="Q1125" s="3">
        <v>0</v>
      </c>
      <c r="R1125" s="3">
        <v>0</v>
      </c>
      <c r="S1125" s="3">
        <v>0</v>
      </c>
      <c r="T1125" s="3">
        <v>0</v>
      </c>
      <c r="U1125" s="3"/>
      <c r="V1125" s="3"/>
      <c r="W1125" s="3"/>
      <c r="X1125" s="3"/>
      <c r="Y1125" s="3"/>
      <c r="Z1125" s="3"/>
      <c r="AA1125" s="3"/>
      <c r="AB1125" s="3"/>
      <c r="AC1125" s="3"/>
      <c r="AD1125" s="3"/>
      <c r="AE1125" s="3">
        <v>0</v>
      </c>
      <c r="AF1125" s="3">
        <v>0</v>
      </c>
      <c r="AG1125" s="3"/>
      <c r="AH1125" s="40"/>
      <c r="AI1125" s="40"/>
      <c r="AJ1125" s="40"/>
      <c r="AK1125" s="40"/>
      <c r="AL1125" s="40"/>
      <c r="AM1125" s="40"/>
      <c r="AN1125" s="40"/>
      <c r="AO1125" s="40"/>
      <c r="AP1125" s="40"/>
      <c r="AQ1125" s="40"/>
      <c r="AR1125" s="31"/>
      <c r="AS1125" s="36">
        <v>0</v>
      </c>
      <c r="AY1125" s="6"/>
      <c r="AZ1125" s="2"/>
      <c r="BA1125" s="2"/>
      <c r="BB1125" s="2"/>
      <c r="BC1125">
        <v>71500</v>
      </c>
      <c r="BD1125">
        <v>56992</v>
      </c>
    </row>
    <row r="1126" spans="3:56" x14ac:dyDescent="0.25">
      <c r="C1126" s="1">
        <v>46746</v>
      </c>
      <c r="D1126" s="36">
        <v>235895.33709677399</v>
      </c>
      <c r="E1126" s="33">
        <v>4.1709677419354803</v>
      </c>
      <c r="F1126" s="33">
        <v>3.3857135483871001</v>
      </c>
      <c r="G1126" s="2">
        <v>0.81173333333333297</v>
      </c>
      <c r="H1126" s="2">
        <v>0.99</v>
      </c>
      <c r="I1126" s="3"/>
      <c r="J1126" s="3"/>
      <c r="K1126" s="3"/>
      <c r="L1126" s="3"/>
      <c r="M1126" s="3"/>
      <c r="N1126" s="3">
        <v>0</v>
      </c>
      <c r="O1126" s="3"/>
      <c r="P1126" s="3">
        <v>0</v>
      </c>
      <c r="Q1126" s="3">
        <v>0</v>
      </c>
      <c r="R1126" s="3">
        <v>0</v>
      </c>
      <c r="S1126" s="3">
        <v>0</v>
      </c>
      <c r="T1126" s="3">
        <v>0</v>
      </c>
      <c r="U1126" s="3"/>
      <c r="V1126" s="3"/>
      <c r="W1126" s="3"/>
      <c r="X1126" s="3"/>
      <c r="Y1126" s="3"/>
      <c r="Z1126" s="3"/>
      <c r="AA1126" s="3"/>
      <c r="AB1126" s="3"/>
      <c r="AC1126" s="3"/>
      <c r="AD1126" s="3"/>
      <c r="AE1126" s="3">
        <v>0</v>
      </c>
      <c r="AF1126" s="3">
        <v>0</v>
      </c>
      <c r="AG1126" s="3"/>
      <c r="AH1126" s="40"/>
      <c r="AI1126" s="40"/>
      <c r="AJ1126" s="40"/>
      <c r="AK1126" s="40"/>
      <c r="AL1126" s="40"/>
      <c r="AM1126" s="40"/>
      <c r="AN1126" s="40"/>
      <c r="AO1126" s="40"/>
      <c r="AP1126" s="40"/>
      <c r="AQ1126" s="40"/>
      <c r="AR1126" s="31"/>
      <c r="AS1126" s="36">
        <v>0</v>
      </c>
      <c r="AY1126" s="6"/>
      <c r="AZ1126" s="2"/>
      <c r="BA1126" s="2"/>
      <c r="BB1126" s="2"/>
      <c r="BC1126">
        <v>71500</v>
      </c>
      <c r="BD1126">
        <v>56992</v>
      </c>
    </row>
    <row r="1127" spans="3:56" x14ac:dyDescent="0.25">
      <c r="C1127" s="1">
        <v>46747</v>
      </c>
      <c r="D1127" s="36">
        <v>235895.33709677399</v>
      </c>
      <c r="E1127" s="33">
        <v>4.1709677419354803</v>
      </c>
      <c r="F1127" s="33">
        <v>3.3856672043010798</v>
      </c>
      <c r="G1127" s="2">
        <v>0.81172222222222201</v>
      </c>
      <c r="H1127" s="2">
        <v>0.99</v>
      </c>
      <c r="I1127" s="3"/>
      <c r="J1127" s="3"/>
      <c r="K1127" s="3"/>
      <c r="L1127" s="3"/>
      <c r="M1127" s="3"/>
      <c r="N1127" s="3">
        <v>0</v>
      </c>
      <c r="O1127" s="3"/>
      <c r="P1127" s="3">
        <v>0</v>
      </c>
      <c r="Q1127" s="3">
        <v>0</v>
      </c>
      <c r="R1127" s="3">
        <v>0</v>
      </c>
      <c r="S1127" s="3">
        <v>0</v>
      </c>
      <c r="T1127" s="3">
        <v>0</v>
      </c>
      <c r="U1127" s="3"/>
      <c r="V1127" s="3"/>
      <c r="W1127" s="3"/>
      <c r="X1127" s="3"/>
      <c r="Y1127" s="3"/>
      <c r="Z1127" s="3"/>
      <c r="AA1127" s="3"/>
      <c r="AB1127" s="3"/>
      <c r="AC1127" s="3"/>
      <c r="AD1127" s="3"/>
      <c r="AE1127" s="3">
        <v>0</v>
      </c>
      <c r="AF1127" s="3">
        <v>0</v>
      </c>
      <c r="AG1127" s="3"/>
      <c r="AH1127" s="40"/>
      <c r="AI1127" s="40"/>
      <c r="AJ1127" s="40"/>
      <c r="AK1127" s="40"/>
      <c r="AL1127" s="40"/>
      <c r="AM1127" s="40"/>
      <c r="AN1127" s="40"/>
      <c r="AO1127" s="40"/>
      <c r="AP1127" s="40"/>
      <c r="AQ1127" s="40"/>
      <c r="AR1127" s="31"/>
      <c r="AS1127" s="36">
        <v>0</v>
      </c>
      <c r="AY1127" s="6"/>
      <c r="AZ1127" s="2"/>
      <c r="BA1127" s="2"/>
      <c r="BB1127" s="2"/>
      <c r="BC1127">
        <v>71500</v>
      </c>
      <c r="BD1127">
        <v>56992</v>
      </c>
    </row>
    <row r="1128" spans="3:56" x14ac:dyDescent="0.25">
      <c r="C1128" s="1">
        <v>46748</v>
      </c>
      <c r="D1128" s="36">
        <v>235895.33709677399</v>
      </c>
      <c r="E1128" s="33">
        <v>4.1709677419354803</v>
      </c>
      <c r="F1128" s="33">
        <v>3.3856208602150502</v>
      </c>
      <c r="G1128" s="2">
        <v>0.81171111111111105</v>
      </c>
      <c r="H1128" s="2">
        <v>0.99</v>
      </c>
      <c r="I1128" s="3"/>
      <c r="J1128" s="3"/>
      <c r="K1128" s="3"/>
      <c r="L1128" s="3"/>
      <c r="M1128" s="3"/>
      <c r="N1128" s="3">
        <v>0</v>
      </c>
      <c r="O1128" s="3"/>
      <c r="P1128" s="3">
        <v>0</v>
      </c>
      <c r="Q1128" s="3">
        <v>0</v>
      </c>
      <c r="R1128" s="3">
        <v>0</v>
      </c>
      <c r="S1128" s="3">
        <v>0</v>
      </c>
      <c r="T1128" s="3">
        <v>0</v>
      </c>
      <c r="U1128" s="3"/>
      <c r="V1128" s="3"/>
      <c r="W1128" s="3"/>
      <c r="X1128" s="3"/>
      <c r="Y1128" s="3"/>
      <c r="Z1128" s="3"/>
      <c r="AA1128" s="3"/>
      <c r="AB1128" s="3"/>
      <c r="AC1128" s="3"/>
      <c r="AD1128" s="3"/>
      <c r="AE1128" s="3">
        <v>0</v>
      </c>
      <c r="AF1128" s="3">
        <v>0</v>
      </c>
      <c r="AG1128" s="3"/>
      <c r="AH1128" s="40"/>
      <c r="AI1128" s="40"/>
      <c r="AJ1128" s="40"/>
      <c r="AK1128" s="40"/>
      <c r="AL1128" s="40"/>
      <c r="AM1128" s="40"/>
      <c r="AN1128" s="40"/>
      <c r="AO1128" s="40"/>
      <c r="AP1128" s="40"/>
      <c r="AQ1128" s="40"/>
      <c r="AR1128" s="31"/>
      <c r="AS1128" s="36">
        <v>0</v>
      </c>
      <c r="AY1128" s="6"/>
      <c r="AZ1128" s="2"/>
      <c r="BA1128" s="2"/>
      <c r="BB1128" s="2"/>
      <c r="BC1128">
        <v>71500</v>
      </c>
      <c r="BD1128">
        <v>56992</v>
      </c>
    </row>
    <row r="1129" spans="3:56" x14ac:dyDescent="0.25">
      <c r="C1129" s="1">
        <v>46749</v>
      </c>
      <c r="D1129" s="36">
        <v>235895.33709677399</v>
      </c>
      <c r="E1129" s="33">
        <v>4.1709677419354803</v>
      </c>
      <c r="F1129" s="33">
        <v>3.3855745161290298</v>
      </c>
      <c r="G1129" s="2">
        <v>0.81169999999999998</v>
      </c>
      <c r="H1129" s="2">
        <v>0.99</v>
      </c>
      <c r="I1129" s="3"/>
      <c r="J1129" s="3"/>
      <c r="K1129" s="3"/>
      <c r="L1129" s="3"/>
      <c r="M1129" s="3"/>
      <c r="N1129" s="3">
        <v>0</v>
      </c>
      <c r="O1129" s="3"/>
      <c r="P1129" s="3">
        <v>0</v>
      </c>
      <c r="Q1129" s="3">
        <v>0</v>
      </c>
      <c r="R1129" s="3">
        <v>0</v>
      </c>
      <c r="S1129" s="3">
        <v>0</v>
      </c>
      <c r="T1129" s="3">
        <v>0</v>
      </c>
      <c r="U1129" s="3"/>
      <c r="V1129" s="3"/>
      <c r="W1129" s="3"/>
      <c r="X1129" s="3"/>
      <c r="Y1129" s="3"/>
      <c r="Z1129" s="3"/>
      <c r="AA1129" s="3"/>
      <c r="AB1129" s="3"/>
      <c r="AC1129" s="3"/>
      <c r="AD1129" s="3"/>
      <c r="AE1129" s="3">
        <v>0</v>
      </c>
      <c r="AF1129" s="3">
        <v>0</v>
      </c>
      <c r="AG1129" s="3"/>
      <c r="AH1129" s="40"/>
      <c r="AI1129" s="40"/>
      <c r="AJ1129" s="40"/>
      <c r="AK1129" s="40"/>
      <c r="AL1129" s="40"/>
      <c r="AM1129" s="40"/>
      <c r="AN1129" s="40"/>
      <c r="AO1129" s="40"/>
      <c r="AP1129" s="40"/>
      <c r="AQ1129" s="40"/>
      <c r="AR1129" s="31"/>
      <c r="AS1129" s="36">
        <v>0</v>
      </c>
      <c r="AY1129" s="6"/>
      <c r="AZ1129" s="2"/>
      <c r="BA1129" s="2"/>
      <c r="BB1129" s="2"/>
      <c r="BC1129">
        <v>71500</v>
      </c>
      <c r="BD1129">
        <v>56992</v>
      </c>
    </row>
    <row r="1130" spans="3:56" x14ac:dyDescent="0.25">
      <c r="C1130" s="1">
        <v>46750</v>
      </c>
      <c r="D1130" s="36">
        <v>235895.33709677399</v>
      </c>
      <c r="E1130" s="33">
        <v>4.1709677419354803</v>
      </c>
      <c r="F1130" s="33">
        <v>3.3855281720430099</v>
      </c>
      <c r="G1130" s="2">
        <v>0.81168888888888902</v>
      </c>
      <c r="H1130" s="2">
        <v>0.99</v>
      </c>
      <c r="I1130" s="3"/>
      <c r="J1130" s="3"/>
      <c r="K1130" s="3"/>
      <c r="L1130" s="3"/>
      <c r="M1130" s="3"/>
      <c r="N1130" s="3">
        <v>0</v>
      </c>
      <c r="O1130" s="3"/>
      <c r="P1130" s="3">
        <v>0</v>
      </c>
      <c r="Q1130" s="3">
        <v>0</v>
      </c>
      <c r="R1130" s="3">
        <v>0</v>
      </c>
      <c r="S1130" s="3">
        <v>0</v>
      </c>
      <c r="T1130" s="3">
        <v>0</v>
      </c>
      <c r="U1130" s="3"/>
      <c r="V1130" s="3"/>
      <c r="W1130" s="3"/>
      <c r="X1130" s="3"/>
      <c r="Y1130" s="3"/>
      <c r="Z1130" s="3"/>
      <c r="AA1130" s="3"/>
      <c r="AB1130" s="3"/>
      <c r="AC1130" s="3"/>
      <c r="AD1130" s="3"/>
      <c r="AE1130" s="3">
        <v>0</v>
      </c>
      <c r="AF1130" s="3">
        <v>0</v>
      </c>
      <c r="AG1130" s="3"/>
      <c r="AH1130" s="40"/>
      <c r="AI1130" s="40"/>
      <c r="AJ1130" s="40"/>
      <c r="AK1130" s="40"/>
      <c r="AL1130" s="40"/>
      <c r="AM1130" s="40"/>
      <c r="AN1130" s="40"/>
      <c r="AO1130" s="40"/>
      <c r="AP1130" s="40"/>
      <c r="AQ1130" s="40"/>
      <c r="AR1130" s="31"/>
      <c r="AS1130" s="36">
        <v>0</v>
      </c>
      <c r="AY1130" s="6"/>
      <c r="AZ1130" s="2"/>
      <c r="BA1130" s="2"/>
      <c r="BB1130" s="2"/>
      <c r="BC1130">
        <v>71500</v>
      </c>
      <c r="BD1130">
        <v>56992</v>
      </c>
    </row>
    <row r="1131" spans="3:56" x14ac:dyDescent="0.25">
      <c r="C1131" s="1">
        <v>46751</v>
      </c>
      <c r="D1131" s="36">
        <v>235895.33709677399</v>
      </c>
      <c r="E1131" s="33">
        <v>4.1709677419354803</v>
      </c>
      <c r="F1131" s="33">
        <v>3.38548182795699</v>
      </c>
      <c r="G1131" s="2">
        <v>0.81167777777777805</v>
      </c>
      <c r="H1131" s="2">
        <v>0.99</v>
      </c>
      <c r="I1131" s="3"/>
      <c r="J1131" s="3"/>
      <c r="K1131" s="3"/>
      <c r="L1131" s="3"/>
      <c r="M1131" s="3"/>
      <c r="N1131" s="3">
        <v>0</v>
      </c>
      <c r="O1131" s="3"/>
      <c r="P1131" s="3">
        <v>0</v>
      </c>
      <c r="Q1131" s="3">
        <v>0</v>
      </c>
      <c r="R1131" s="3">
        <v>0</v>
      </c>
      <c r="S1131" s="3">
        <v>0</v>
      </c>
      <c r="T1131" s="3">
        <v>0</v>
      </c>
      <c r="U1131" s="3"/>
      <c r="V1131" s="3"/>
      <c r="W1131" s="3"/>
      <c r="X1131" s="3"/>
      <c r="Y1131" s="3"/>
      <c r="Z1131" s="3"/>
      <c r="AA1131" s="3"/>
      <c r="AB1131" s="3"/>
      <c r="AC1131" s="3"/>
      <c r="AD1131" s="3"/>
      <c r="AE1131" s="3">
        <v>0</v>
      </c>
      <c r="AF1131" s="3">
        <v>0</v>
      </c>
      <c r="AG1131" s="3"/>
      <c r="AH1131" s="40"/>
      <c r="AI1131" s="40"/>
      <c r="AJ1131" s="40"/>
      <c r="AK1131" s="40"/>
      <c r="AL1131" s="40"/>
      <c r="AM1131" s="40"/>
      <c r="AN1131" s="40"/>
      <c r="AO1131" s="40"/>
      <c r="AP1131" s="40"/>
      <c r="AQ1131" s="40"/>
      <c r="AR1131" s="31"/>
      <c r="AS1131" s="36">
        <v>0</v>
      </c>
      <c r="AY1131" s="6"/>
      <c r="AZ1131" s="2"/>
      <c r="BA1131" s="2"/>
      <c r="BB1131" s="2"/>
      <c r="BC1131">
        <v>71500</v>
      </c>
      <c r="BD1131">
        <v>56992</v>
      </c>
    </row>
    <row r="1132" spans="3:56" x14ac:dyDescent="0.25">
      <c r="C1132" s="1">
        <v>46752</v>
      </c>
      <c r="D1132" s="36">
        <v>235895.33709677399</v>
      </c>
      <c r="E1132" s="33">
        <v>4.1709677419354803</v>
      </c>
      <c r="F1132" s="33">
        <v>3.3854354838709702</v>
      </c>
      <c r="G1132" s="2">
        <v>0.81166666666666698</v>
      </c>
      <c r="H1132" s="2">
        <v>0.99</v>
      </c>
      <c r="I1132" s="3"/>
      <c r="J1132" s="3"/>
      <c r="K1132" s="3"/>
      <c r="L1132" s="3"/>
      <c r="M1132" s="3"/>
      <c r="N1132" s="3">
        <v>0</v>
      </c>
      <c r="O1132" s="3"/>
      <c r="P1132" s="3">
        <v>0</v>
      </c>
      <c r="Q1132" s="3">
        <v>0</v>
      </c>
      <c r="R1132" s="3">
        <v>0</v>
      </c>
      <c r="S1132" s="3">
        <v>0</v>
      </c>
      <c r="T1132" s="3">
        <v>0</v>
      </c>
      <c r="U1132" s="3"/>
      <c r="V1132" s="3"/>
      <c r="W1132" s="3"/>
      <c r="X1132" s="3"/>
      <c r="Y1132" s="3"/>
      <c r="Z1132" s="3"/>
      <c r="AA1132" s="3"/>
      <c r="AB1132" s="3"/>
      <c r="AC1132" s="3"/>
      <c r="AD1132" s="3"/>
      <c r="AE1132" s="3">
        <v>0</v>
      </c>
      <c r="AF1132" s="3">
        <v>0</v>
      </c>
      <c r="AG1132" s="3"/>
      <c r="AH1132" s="40"/>
      <c r="AI1132" s="40"/>
      <c r="AJ1132" s="40"/>
      <c r="AK1132" s="40"/>
      <c r="AL1132" s="40"/>
      <c r="AM1132" s="40"/>
      <c r="AN1132" s="40"/>
      <c r="AO1132" s="40"/>
      <c r="AP1132" s="40"/>
      <c r="AQ1132" s="40"/>
      <c r="AR1132" s="31"/>
      <c r="AS1132" s="36">
        <v>0</v>
      </c>
      <c r="AY1132" s="6"/>
      <c r="AZ1132" s="2"/>
      <c r="BA1132" s="2"/>
      <c r="BB1132" s="2"/>
      <c r="BC1132">
        <v>71500</v>
      </c>
      <c r="BD1132">
        <v>56992</v>
      </c>
    </row>
    <row r="1133" spans="3:56" x14ac:dyDescent="0.25">
      <c r="C1133" s="1">
        <v>46753</v>
      </c>
      <c r="D1133" s="36">
        <v>249932.632258064</v>
      </c>
      <c r="E1133" s="33">
        <v>4.2064516129032299</v>
      </c>
      <c r="F1133" s="33">
        <v>3.4142365591397899</v>
      </c>
      <c r="G1133" s="2">
        <v>0.81166666666666698</v>
      </c>
      <c r="H1133" s="2">
        <v>0.99</v>
      </c>
      <c r="I1133" s="3"/>
      <c r="J1133" s="3"/>
      <c r="K1133" s="3"/>
      <c r="L1133" s="3"/>
      <c r="M1133" s="3"/>
      <c r="N1133" s="3">
        <v>0</v>
      </c>
      <c r="O1133" s="3"/>
      <c r="P1133" s="3">
        <v>0</v>
      </c>
      <c r="Q1133" s="3">
        <v>0</v>
      </c>
      <c r="R1133" s="3">
        <v>0</v>
      </c>
      <c r="S1133" s="3">
        <v>0</v>
      </c>
      <c r="T1133" s="3">
        <v>0</v>
      </c>
      <c r="U1133" s="3"/>
      <c r="V1133" s="3"/>
      <c r="W1133" s="3"/>
      <c r="X1133" s="3"/>
      <c r="Y1133" s="3"/>
      <c r="Z1133" s="3"/>
      <c r="AA1133" s="3"/>
      <c r="AB1133" s="3"/>
      <c r="AC1133" s="3"/>
      <c r="AD1133" s="3"/>
      <c r="AE1133" s="3">
        <v>0</v>
      </c>
      <c r="AF1133" s="3">
        <v>0</v>
      </c>
      <c r="AG1133" s="3"/>
      <c r="AH1133" s="40"/>
      <c r="AI1133" s="40"/>
      <c r="AJ1133" s="40"/>
      <c r="AK1133" s="40"/>
      <c r="AL1133" s="40"/>
      <c r="AM1133" s="40"/>
      <c r="AN1133" s="40"/>
      <c r="AO1133" s="40"/>
      <c r="AP1133" s="40"/>
      <c r="AQ1133" s="40"/>
      <c r="AR1133" s="31"/>
      <c r="AS1133" s="36">
        <v>0</v>
      </c>
      <c r="AY1133" s="6"/>
      <c r="AZ1133" s="2"/>
      <c r="BA1133" s="2"/>
      <c r="BB1133" s="2"/>
      <c r="BC1133">
        <v>71500</v>
      </c>
      <c r="BD1133">
        <v>56992</v>
      </c>
    </row>
    <row r="1134" spans="3:56" x14ac:dyDescent="0.25">
      <c r="C1134" s="1">
        <v>46754</v>
      </c>
      <c r="D1134" s="36">
        <v>249932.632258064</v>
      </c>
      <c r="E1134" s="33">
        <v>4.2064516129032299</v>
      </c>
      <c r="F1134" s="33">
        <v>3.4141898207885299</v>
      </c>
      <c r="G1134" s="2">
        <v>0.81165555555555602</v>
      </c>
      <c r="H1134" s="2">
        <v>0.99</v>
      </c>
      <c r="I1134" s="3"/>
      <c r="J1134" s="3"/>
      <c r="K1134" s="3"/>
      <c r="L1134" s="3"/>
      <c r="M1134" s="3"/>
      <c r="N1134" s="3">
        <v>0</v>
      </c>
      <c r="O1134" s="3"/>
      <c r="P1134" s="3">
        <v>0</v>
      </c>
      <c r="Q1134" s="3">
        <v>0</v>
      </c>
      <c r="R1134" s="3">
        <v>0</v>
      </c>
      <c r="S1134" s="3">
        <v>0</v>
      </c>
      <c r="T1134" s="3">
        <v>0</v>
      </c>
      <c r="U1134" s="3"/>
      <c r="V1134" s="3"/>
      <c r="W1134" s="3"/>
      <c r="X1134" s="3"/>
      <c r="Y1134" s="3"/>
      <c r="Z1134" s="3"/>
      <c r="AA1134" s="3"/>
      <c r="AB1134" s="3"/>
      <c r="AC1134" s="3"/>
      <c r="AD1134" s="3"/>
      <c r="AE1134" s="3">
        <v>0</v>
      </c>
      <c r="AF1134" s="3">
        <v>0</v>
      </c>
      <c r="AG1134" s="3"/>
      <c r="AH1134" s="40"/>
      <c r="AI1134" s="40"/>
      <c r="AJ1134" s="40"/>
      <c r="AK1134" s="40"/>
      <c r="AL1134" s="40"/>
      <c r="AM1134" s="40"/>
      <c r="AN1134" s="40"/>
      <c r="AO1134" s="40"/>
      <c r="AP1134" s="40"/>
      <c r="AQ1134" s="40"/>
      <c r="AR1134" s="31"/>
      <c r="AS1134" s="36">
        <v>0</v>
      </c>
      <c r="AY1134" s="6"/>
      <c r="AZ1134" s="2"/>
      <c r="BA1134" s="2"/>
      <c r="BB1134" s="2"/>
      <c r="BC1134">
        <v>71500</v>
      </c>
      <c r="BD1134">
        <v>56992</v>
      </c>
    </row>
    <row r="1135" spans="3:56" x14ac:dyDescent="0.25">
      <c r="C1135" s="1">
        <v>46755</v>
      </c>
      <c r="D1135" s="36">
        <v>249932.632258064</v>
      </c>
      <c r="E1135" s="33">
        <v>4.2064516129032299</v>
      </c>
      <c r="F1135" s="33">
        <v>3.4141430824372798</v>
      </c>
      <c r="G1135" s="2">
        <v>0.81164444444444395</v>
      </c>
      <c r="H1135" s="2">
        <v>0.99</v>
      </c>
      <c r="I1135" s="3"/>
      <c r="J1135" s="3"/>
      <c r="K1135" s="3"/>
      <c r="L1135" s="3"/>
      <c r="M1135" s="3"/>
      <c r="N1135" s="3">
        <v>0</v>
      </c>
      <c r="O1135" s="3"/>
      <c r="P1135" s="3">
        <v>0</v>
      </c>
      <c r="Q1135" s="3">
        <v>0</v>
      </c>
      <c r="R1135" s="3">
        <v>0</v>
      </c>
      <c r="S1135" s="3">
        <v>0</v>
      </c>
      <c r="T1135" s="3">
        <v>0</v>
      </c>
      <c r="U1135" s="3"/>
      <c r="V1135" s="3"/>
      <c r="W1135" s="3"/>
      <c r="X1135" s="3"/>
      <c r="Y1135" s="3"/>
      <c r="Z1135" s="3"/>
      <c r="AA1135" s="3"/>
      <c r="AB1135" s="3"/>
      <c r="AC1135" s="3"/>
      <c r="AD1135" s="3"/>
      <c r="AE1135" s="3">
        <v>0</v>
      </c>
      <c r="AF1135" s="3">
        <v>0</v>
      </c>
      <c r="AG1135" s="3"/>
      <c r="AH1135" s="40"/>
      <c r="AI1135" s="40"/>
      <c r="AJ1135" s="40"/>
      <c r="AK1135" s="40"/>
      <c r="AL1135" s="40"/>
      <c r="AM1135" s="40"/>
      <c r="AN1135" s="40"/>
      <c r="AO1135" s="40"/>
      <c r="AP1135" s="40"/>
      <c r="AQ1135" s="40"/>
      <c r="AR1135" s="31"/>
      <c r="AS1135" s="36">
        <v>0</v>
      </c>
      <c r="AY1135" s="6"/>
      <c r="AZ1135" s="2"/>
      <c r="BA1135" s="2"/>
      <c r="BB1135" s="2"/>
      <c r="BC1135">
        <v>71500</v>
      </c>
      <c r="BD1135">
        <v>56992</v>
      </c>
    </row>
    <row r="1136" spans="3:56" x14ac:dyDescent="0.25">
      <c r="C1136" s="1">
        <v>46756</v>
      </c>
      <c r="D1136" s="36">
        <v>249932.632258064</v>
      </c>
      <c r="E1136" s="33">
        <v>4.2064516129032299</v>
      </c>
      <c r="F1136" s="33">
        <v>3.4140963440860199</v>
      </c>
      <c r="G1136" s="2">
        <v>0.81163333333333298</v>
      </c>
      <c r="H1136" s="2">
        <v>0.99</v>
      </c>
      <c r="I1136" s="3"/>
      <c r="J1136" s="3"/>
      <c r="K1136" s="3"/>
      <c r="L1136" s="3"/>
      <c r="M1136" s="3"/>
      <c r="N1136" s="3">
        <v>0</v>
      </c>
      <c r="O1136" s="3"/>
      <c r="P1136" s="3">
        <v>0</v>
      </c>
      <c r="Q1136" s="3">
        <v>0</v>
      </c>
      <c r="R1136" s="3">
        <v>0</v>
      </c>
      <c r="S1136" s="3">
        <v>0</v>
      </c>
      <c r="T1136" s="3">
        <v>0</v>
      </c>
      <c r="U1136" s="3"/>
      <c r="V1136" s="3"/>
      <c r="W1136" s="3"/>
      <c r="X1136" s="3"/>
      <c r="Y1136" s="3"/>
      <c r="Z1136" s="3"/>
      <c r="AA1136" s="3"/>
      <c r="AB1136" s="3"/>
      <c r="AC1136" s="3"/>
      <c r="AD1136" s="3"/>
      <c r="AE1136" s="3">
        <v>0</v>
      </c>
      <c r="AF1136" s="3">
        <v>0</v>
      </c>
      <c r="AG1136" s="3"/>
      <c r="AH1136" s="40"/>
      <c r="AI1136" s="40"/>
      <c r="AJ1136" s="40"/>
      <c r="AK1136" s="40"/>
      <c r="AL1136" s="40"/>
      <c r="AM1136" s="40"/>
      <c r="AN1136" s="40"/>
      <c r="AO1136" s="40"/>
      <c r="AP1136" s="40"/>
      <c r="AQ1136" s="40"/>
      <c r="AR1136" s="31"/>
      <c r="AS1136" s="36">
        <v>0</v>
      </c>
      <c r="AY1136" s="6"/>
      <c r="AZ1136" s="2"/>
      <c r="BA1136" s="2"/>
      <c r="BB1136" s="2"/>
      <c r="BC1136">
        <v>71500</v>
      </c>
      <c r="BD1136">
        <v>56992</v>
      </c>
    </row>
    <row r="1137" spans="3:56" x14ac:dyDescent="0.25">
      <c r="C1137" s="1">
        <v>46757</v>
      </c>
      <c r="D1137" s="36">
        <v>249932.632258064</v>
      </c>
      <c r="E1137" s="33">
        <v>4.2064516129032299</v>
      </c>
      <c r="F1137" s="33">
        <v>3.4140496057347698</v>
      </c>
      <c r="G1137" s="2">
        <v>0.81162222222222202</v>
      </c>
      <c r="H1137" s="2">
        <v>0.99</v>
      </c>
      <c r="I1137" s="3"/>
      <c r="J1137" s="3"/>
      <c r="K1137" s="3"/>
      <c r="L1137" s="3"/>
      <c r="M1137" s="3"/>
      <c r="N1137" s="3">
        <v>0</v>
      </c>
      <c r="O1137" s="3"/>
      <c r="P1137" s="3">
        <v>0</v>
      </c>
      <c r="Q1137" s="3">
        <v>0</v>
      </c>
      <c r="R1137" s="3">
        <v>0</v>
      </c>
      <c r="S1137" s="3">
        <v>0</v>
      </c>
      <c r="T1137" s="3">
        <v>0</v>
      </c>
      <c r="U1137" s="3"/>
      <c r="V1137" s="3"/>
      <c r="W1137" s="3"/>
      <c r="X1137" s="3"/>
      <c r="Y1137" s="3"/>
      <c r="Z1137" s="3"/>
      <c r="AA1137" s="3"/>
      <c r="AB1137" s="3"/>
      <c r="AC1137" s="3"/>
      <c r="AD1137" s="3"/>
      <c r="AE1137" s="3">
        <v>0</v>
      </c>
      <c r="AF1137" s="3">
        <v>0</v>
      </c>
      <c r="AG1137" s="3"/>
      <c r="AH1137" s="40"/>
      <c r="AI1137" s="40"/>
      <c r="AJ1137" s="40"/>
      <c r="AK1137" s="40"/>
      <c r="AL1137" s="40"/>
      <c r="AM1137" s="40"/>
      <c r="AN1137" s="40"/>
      <c r="AO1137" s="40"/>
      <c r="AP1137" s="40"/>
      <c r="AQ1137" s="40"/>
      <c r="AR1137" s="31"/>
      <c r="AS1137" s="36">
        <v>0</v>
      </c>
      <c r="AY1137" s="6"/>
      <c r="AZ1137" s="2"/>
      <c r="BA1137" s="2"/>
      <c r="BB1137" s="2"/>
      <c r="BC1137">
        <v>71500</v>
      </c>
      <c r="BD1137">
        <v>56992</v>
      </c>
    </row>
    <row r="1138" spans="3:56" x14ac:dyDescent="0.25">
      <c r="C1138" s="1">
        <v>46758</v>
      </c>
      <c r="D1138" s="36">
        <v>249932.632258064</v>
      </c>
      <c r="E1138" s="33">
        <v>4.2064516129032299</v>
      </c>
      <c r="F1138" s="33">
        <v>3.4140028673835099</v>
      </c>
      <c r="G1138" s="2">
        <v>0.81161111111111095</v>
      </c>
      <c r="H1138" s="2">
        <v>0.99</v>
      </c>
      <c r="I1138" s="3"/>
      <c r="J1138" s="3"/>
      <c r="K1138" s="3"/>
      <c r="L1138" s="3"/>
      <c r="M1138" s="3"/>
      <c r="N1138" s="3">
        <v>0</v>
      </c>
      <c r="O1138" s="3"/>
      <c r="P1138" s="3">
        <v>0</v>
      </c>
      <c r="Q1138" s="3">
        <v>0</v>
      </c>
      <c r="R1138" s="3">
        <v>0</v>
      </c>
      <c r="S1138" s="3">
        <v>0</v>
      </c>
      <c r="T1138" s="3">
        <v>0</v>
      </c>
      <c r="U1138" s="3"/>
      <c r="V1138" s="3"/>
      <c r="W1138" s="3"/>
      <c r="X1138" s="3"/>
      <c r="Y1138" s="3"/>
      <c r="Z1138" s="3"/>
      <c r="AA1138" s="3"/>
      <c r="AB1138" s="3"/>
      <c r="AC1138" s="3"/>
      <c r="AD1138" s="3"/>
      <c r="AE1138" s="3">
        <v>0</v>
      </c>
      <c r="AF1138" s="3">
        <v>0</v>
      </c>
      <c r="AG1138" s="3"/>
      <c r="AH1138" s="40"/>
      <c r="AI1138" s="40"/>
      <c r="AJ1138" s="40"/>
      <c r="AK1138" s="40"/>
      <c r="AL1138" s="40"/>
      <c r="AM1138" s="40"/>
      <c r="AN1138" s="40"/>
      <c r="AO1138" s="40"/>
      <c r="AP1138" s="40"/>
      <c r="AQ1138" s="40"/>
      <c r="AR1138" s="31"/>
      <c r="AS1138" s="36">
        <v>0</v>
      </c>
      <c r="AY1138" s="6"/>
      <c r="AZ1138" s="2"/>
      <c r="BA1138" s="2"/>
      <c r="BB1138" s="2"/>
      <c r="BC1138">
        <v>71500</v>
      </c>
      <c r="BD1138">
        <v>56992</v>
      </c>
    </row>
    <row r="1139" spans="3:56" x14ac:dyDescent="0.25">
      <c r="C1139" s="1">
        <v>46759</v>
      </c>
      <c r="D1139" s="36">
        <v>249932.632258064</v>
      </c>
      <c r="E1139" s="33">
        <v>4.2064516129032299</v>
      </c>
      <c r="F1139" s="33">
        <v>3.4139561290322602</v>
      </c>
      <c r="G1139" s="2">
        <v>0.81159999999999999</v>
      </c>
      <c r="H1139" s="2">
        <v>0.99</v>
      </c>
      <c r="I1139" s="3"/>
      <c r="J1139" s="3"/>
      <c r="K1139" s="3"/>
      <c r="L1139" s="3"/>
      <c r="M1139" s="3"/>
      <c r="N1139" s="3">
        <v>0</v>
      </c>
      <c r="O1139" s="3"/>
      <c r="P1139" s="3">
        <v>0</v>
      </c>
      <c r="Q1139" s="3">
        <v>0</v>
      </c>
      <c r="R1139" s="3">
        <v>0</v>
      </c>
      <c r="S1139" s="3">
        <v>0</v>
      </c>
      <c r="T1139" s="3">
        <v>0</v>
      </c>
      <c r="U1139" s="3"/>
      <c r="V1139" s="3"/>
      <c r="W1139" s="3"/>
      <c r="X1139" s="3"/>
      <c r="Y1139" s="3"/>
      <c r="Z1139" s="3"/>
      <c r="AA1139" s="3"/>
      <c r="AB1139" s="3"/>
      <c r="AC1139" s="3"/>
      <c r="AD1139" s="3"/>
      <c r="AE1139" s="3">
        <v>0</v>
      </c>
      <c r="AF1139" s="3">
        <v>0</v>
      </c>
      <c r="AG1139" s="3"/>
      <c r="AH1139" s="40"/>
      <c r="AI1139" s="40"/>
      <c r="AJ1139" s="40"/>
      <c r="AK1139" s="40"/>
      <c r="AL1139" s="40"/>
      <c r="AM1139" s="40"/>
      <c r="AN1139" s="40"/>
      <c r="AO1139" s="40"/>
      <c r="AP1139" s="40"/>
      <c r="AQ1139" s="40"/>
      <c r="AR1139" s="31"/>
      <c r="AS1139" s="36">
        <v>0</v>
      </c>
      <c r="AY1139" s="6"/>
      <c r="AZ1139" s="2"/>
      <c r="BA1139" s="2"/>
      <c r="BB1139" s="2"/>
      <c r="BC1139">
        <v>71500</v>
      </c>
      <c r="BD1139">
        <v>56992</v>
      </c>
    </row>
    <row r="1140" spans="3:56" x14ac:dyDescent="0.25">
      <c r="C1140" s="1">
        <v>46760</v>
      </c>
      <c r="D1140" s="36">
        <v>249932.632258064</v>
      </c>
      <c r="E1140" s="33">
        <v>4.2064516129032299</v>
      </c>
      <c r="F1140" s="33">
        <v>3.4139093906809999</v>
      </c>
      <c r="G1140" s="2">
        <v>0.81158888888888903</v>
      </c>
      <c r="H1140" s="2">
        <v>0.99</v>
      </c>
      <c r="I1140" s="3"/>
      <c r="J1140" s="3"/>
      <c r="K1140" s="3"/>
      <c r="L1140" s="3"/>
      <c r="M1140" s="3"/>
      <c r="N1140" s="3">
        <v>0</v>
      </c>
      <c r="O1140" s="3"/>
      <c r="P1140" s="3">
        <v>0</v>
      </c>
      <c r="Q1140" s="3">
        <v>0</v>
      </c>
      <c r="R1140" s="3">
        <v>0</v>
      </c>
      <c r="S1140" s="3">
        <v>0</v>
      </c>
      <c r="T1140" s="3">
        <v>0</v>
      </c>
      <c r="U1140" s="3"/>
      <c r="V1140" s="3"/>
      <c r="W1140" s="3"/>
      <c r="X1140" s="3"/>
      <c r="Y1140" s="3"/>
      <c r="Z1140" s="3"/>
      <c r="AA1140" s="3"/>
      <c r="AB1140" s="3"/>
      <c r="AC1140" s="3"/>
      <c r="AD1140" s="3"/>
      <c r="AE1140" s="3">
        <v>0</v>
      </c>
      <c r="AF1140" s="3">
        <v>0</v>
      </c>
      <c r="AG1140" s="3"/>
      <c r="AH1140" s="40"/>
      <c r="AI1140" s="40"/>
      <c r="AJ1140" s="40"/>
      <c r="AK1140" s="40"/>
      <c r="AL1140" s="40"/>
      <c r="AM1140" s="40"/>
      <c r="AN1140" s="40"/>
      <c r="AO1140" s="40"/>
      <c r="AP1140" s="40"/>
      <c r="AQ1140" s="40"/>
      <c r="AR1140" s="31"/>
      <c r="AS1140" s="36">
        <v>0</v>
      </c>
      <c r="AY1140" s="6"/>
      <c r="AZ1140" s="2"/>
      <c r="BA1140" s="2"/>
      <c r="BB1140" s="2"/>
      <c r="BC1140">
        <v>71500</v>
      </c>
      <c r="BD1140">
        <v>56992</v>
      </c>
    </row>
    <row r="1141" spans="3:56" x14ac:dyDescent="0.25">
      <c r="C1141" s="1">
        <v>46761</v>
      </c>
      <c r="D1141" s="36">
        <v>249932.632258064</v>
      </c>
      <c r="E1141" s="33">
        <v>4.2064516129032299</v>
      </c>
      <c r="F1141" s="33">
        <v>3.4138626523297502</v>
      </c>
      <c r="G1141" s="2">
        <v>0.81157777777777795</v>
      </c>
      <c r="H1141" s="2">
        <v>0.99</v>
      </c>
      <c r="I1141" s="3"/>
      <c r="J1141" s="3"/>
      <c r="K1141" s="3"/>
      <c r="L1141" s="3"/>
      <c r="M1141" s="3"/>
      <c r="N1141" s="3">
        <v>0</v>
      </c>
      <c r="O1141" s="3"/>
      <c r="P1141" s="3">
        <v>0</v>
      </c>
      <c r="Q1141" s="3">
        <v>0</v>
      </c>
      <c r="R1141" s="3">
        <v>0</v>
      </c>
      <c r="S1141" s="3">
        <v>0</v>
      </c>
      <c r="T1141" s="3">
        <v>0</v>
      </c>
      <c r="U1141" s="3"/>
      <c r="V1141" s="3"/>
      <c r="W1141" s="3"/>
      <c r="X1141" s="3"/>
      <c r="Y1141" s="3"/>
      <c r="Z1141" s="3"/>
      <c r="AA1141" s="3"/>
      <c r="AB1141" s="3"/>
      <c r="AC1141" s="3"/>
      <c r="AD1141" s="3"/>
      <c r="AE1141" s="3">
        <v>0</v>
      </c>
      <c r="AF1141" s="3">
        <v>0</v>
      </c>
      <c r="AG1141" s="3"/>
      <c r="AH1141" s="40"/>
      <c r="AI1141" s="40"/>
      <c r="AJ1141" s="40"/>
      <c r="AK1141" s="40"/>
      <c r="AL1141" s="40"/>
      <c r="AM1141" s="40"/>
      <c r="AN1141" s="40"/>
      <c r="AO1141" s="40"/>
      <c r="AP1141" s="40"/>
      <c r="AQ1141" s="40"/>
      <c r="AR1141" s="31"/>
      <c r="AS1141" s="36">
        <v>0</v>
      </c>
      <c r="AY1141" s="6"/>
      <c r="AZ1141" s="2"/>
      <c r="BA1141" s="2"/>
      <c r="BB1141" s="2"/>
      <c r="BC1141">
        <v>71500</v>
      </c>
      <c r="BD1141">
        <v>56992</v>
      </c>
    </row>
    <row r="1142" spans="3:56" x14ac:dyDescent="0.25">
      <c r="C1142" s="1">
        <v>46762</v>
      </c>
      <c r="D1142" s="36">
        <v>249932.632258064</v>
      </c>
      <c r="E1142" s="33">
        <v>4.2064516129032299</v>
      </c>
      <c r="F1142" s="33">
        <v>3.4138159139785</v>
      </c>
      <c r="G1142" s="2">
        <v>0.81156666666666699</v>
      </c>
      <c r="H1142" s="2">
        <v>0.99</v>
      </c>
      <c r="I1142" s="3"/>
      <c r="J1142" s="3"/>
      <c r="K1142" s="3"/>
      <c r="L1142" s="3"/>
      <c r="M1142" s="3"/>
      <c r="N1142" s="3">
        <v>0</v>
      </c>
      <c r="O1142" s="3"/>
      <c r="P1142" s="3">
        <v>0</v>
      </c>
      <c r="Q1142" s="3">
        <v>0</v>
      </c>
      <c r="R1142" s="3">
        <v>0</v>
      </c>
      <c r="S1142" s="3">
        <v>0</v>
      </c>
      <c r="T1142" s="3">
        <v>0</v>
      </c>
      <c r="U1142" s="3"/>
      <c r="V1142" s="3"/>
      <c r="W1142" s="3"/>
      <c r="X1142" s="3"/>
      <c r="Y1142" s="3"/>
      <c r="Z1142" s="3"/>
      <c r="AA1142" s="3"/>
      <c r="AB1142" s="3"/>
      <c r="AC1142" s="3"/>
      <c r="AD1142" s="3"/>
      <c r="AE1142" s="3">
        <v>0</v>
      </c>
      <c r="AF1142" s="3">
        <v>0</v>
      </c>
      <c r="AG1142" s="3"/>
      <c r="AH1142" s="40"/>
      <c r="AI1142" s="40"/>
      <c r="AJ1142" s="40"/>
      <c r="AK1142" s="40"/>
      <c r="AL1142" s="40"/>
      <c r="AM1142" s="40"/>
      <c r="AN1142" s="40"/>
      <c r="AO1142" s="40"/>
      <c r="AP1142" s="40"/>
      <c r="AQ1142" s="40"/>
      <c r="AR1142" s="31"/>
      <c r="AS1142" s="36">
        <v>0</v>
      </c>
      <c r="AY1142" s="6"/>
      <c r="AZ1142" s="2"/>
      <c r="BA1142" s="2"/>
      <c r="BB1142" s="2"/>
      <c r="BC1142">
        <v>71500</v>
      </c>
      <c r="BD1142">
        <v>56992</v>
      </c>
    </row>
    <row r="1143" spans="3:56" x14ac:dyDescent="0.25">
      <c r="C1143" s="1">
        <v>46763</v>
      </c>
      <c r="D1143" s="36">
        <v>249932.632258064</v>
      </c>
      <c r="E1143" s="33">
        <v>4.2064516129032299</v>
      </c>
      <c r="F1143" s="33">
        <v>3.4137691756272401</v>
      </c>
      <c r="G1143" s="2">
        <v>0.81155555555555603</v>
      </c>
      <c r="H1143" s="2">
        <v>0.99</v>
      </c>
      <c r="I1143" s="3"/>
      <c r="J1143" s="3"/>
      <c r="K1143" s="3"/>
      <c r="L1143" s="3"/>
      <c r="M1143" s="3"/>
      <c r="N1143" s="3">
        <v>0</v>
      </c>
      <c r="O1143" s="3"/>
      <c r="P1143" s="3">
        <v>0</v>
      </c>
      <c r="Q1143" s="3">
        <v>0</v>
      </c>
      <c r="R1143" s="3">
        <v>0</v>
      </c>
      <c r="S1143" s="3">
        <v>0</v>
      </c>
      <c r="T1143" s="3">
        <v>0</v>
      </c>
      <c r="U1143" s="3"/>
      <c r="V1143" s="3"/>
      <c r="W1143" s="3"/>
      <c r="X1143" s="3"/>
      <c r="Y1143" s="3"/>
      <c r="Z1143" s="3"/>
      <c r="AA1143" s="3"/>
      <c r="AB1143" s="3"/>
      <c r="AC1143" s="3"/>
      <c r="AD1143" s="3"/>
      <c r="AE1143" s="3">
        <v>0</v>
      </c>
      <c r="AF1143" s="3">
        <v>0</v>
      </c>
      <c r="AG1143" s="3"/>
      <c r="AH1143" s="40"/>
      <c r="AI1143" s="40"/>
      <c r="AJ1143" s="40"/>
      <c r="AK1143" s="40"/>
      <c r="AL1143" s="40"/>
      <c r="AM1143" s="40"/>
      <c r="AN1143" s="40"/>
      <c r="AO1143" s="40"/>
      <c r="AP1143" s="40"/>
      <c r="AQ1143" s="40"/>
      <c r="AR1143" s="31"/>
      <c r="AS1143" s="36">
        <v>0</v>
      </c>
      <c r="AY1143" s="6"/>
      <c r="AZ1143" s="2"/>
      <c r="BA1143" s="2"/>
      <c r="BB1143" s="2"/>
      <c r="BC1143">
        <v>71500</v>
      </c>
      <c r="BD1143">
        <v>56992</v>
      </c>
    </row>
    <row r="1144" spans="3:56" x14ac:dyDescent="0.25">
      <c r="C1144" s="1">
        <v>46764</v>
      </c>
      <c r="D1144" s="36">
        <v>249932.632258064</v>
      </c>
      <c r="E1144" s="33">
        <v>4.2064516129032299</v>
      </c>
      <c r="F1144" s="33">
        <v>3.41372243727599</v>
      </c>
      <c r="G1144" s="2">
        <v>0.81154444444444396</v>
      </c>
      <c r="H1144" s="2">
        <v>0.99</v>
      </c>
      <c r="I1144" s="3"/>
      <c r="J1144" s="3"/>
      <c r="K1144" s="3"/>
      <c r="L1144" s="3"/>
      <c r="M1144" s="3"/>
      <c r="N1144" s="3">
        <v>0</v>
      </c>
      <c r="O1144" s="3"/>
      <c r="P1144" s="3">
        <v>0</v>
      </c>
      <c r="Q1144" s="3">
        <v>0</v>
      </c>
      <c r="R1144" s="3">
        <v>0</v>
      </c>
      <c r="S1144" s="3">
        <v>0</v>
      </c>
      <c r="T1144" s="3">
        <v>0</v>
      </c>
      <c r="U1144" s="3"/>
      <c r="V1144" s="3"/>
      <c r="W1144" s="3"/>
      <c r="X1144" s="3"/>
      <c r="Y1144" s="3"/>
      <c r="Z1144" s="3"/>
      <c r="AA1144" s="3"/>
      <c r="AB1144" s="3"/>
      <c r="AC1144" s="3"/>
      <c r="AD1144" s="3"/>
      <c r="AE1144" s="3">
        <v>0</v>
      </c>
      <c r="AF1144" s="3">
        <v>0</v>
      </c>
      <c r="AG1144" s="3"/>
      <c r="AH1144" s="40"/>
      <c r="AI1144" s="40"/>
      <c r="AJ1144" s="40"/>
      <c r="AK1144" s="40"/>
      <c r="AL1144" s="40"/>
      <c r="AM1144" s="40"/>
      <c r="AN1144" s="40"/>
      <c r="AO1144" s="40"/>
      <c r="AP1144" s="40"/>
      <c r="AQ1144" s="40"/>
      <c r="AR1144" s="31"/>
      <c r="AS1144" s="36">
        <v>0</v>
      </c>
      <c r="AY1144" s="6"/>
      <c r="AZ1144" s="2"/>
      <c r="BA1144" s="2"/>
      <c r="BB1144" s="2"/>
      <c r="BC1144">
        <v>71500</v>
      </c>
      <c r="BD1144">
        <v>56992</v>
      </c>
    </row>
    <row r="1145" spans="3:56" x14ac:dyDescent="0.25">
      <c r="C1145" s="1">
        <v>46765</v>
      </c>
      <c r="D1145" s="36">
        <v>249932.632258064</v>
      </c>
      <c r="E1145" s="33">
        <v>4.2064516129032299</v>
      </c>
      <c r="F1145" s="33">
        <v>3.4136756989247301</v>
      </c>
      <c r="G1145" s="2">
        <v>0.811533333333333</v>
      </c>
      <c r="H1145" s="2">
        <v>0.99</v>
      </c>
      <c r="I1145" s="3"/>
      <c r="J1145" s="3"/>
      <c r="K1145" s="3"/>
      <c r="L1145" s="3"/>
      <c r="M1145" s="3"/>
      <c r="N1145" s="3">
        <v>0</v>
      </c>
      <c r="O1145" s="3"/>
      <c r="P1145" s="3">
        <v>0</v>
      </c>
      <c r="Q1145" s="3">
        <v>0</v>
      </c>
      <c r="R1145" s="3">
        <v>0</v>
      </c>
      <c r="S1145" s="3">
        <v>0</v>
      </c>
      <c r="T1145" s="3">
        <v>0</v>
      </c>
      <c r="U1145" s="3"/>
      <c r="V1145" s="3"/>
      <c r="W1145" s="3"/>
      <c r="X1145" s="3"/>
      <c r="Y1145" s="3"/>
      <c r="Z1145" s="3"/>
      <c r="AA1145" s="3"/>
      <c r="AB1145" s="3"/>
      <c r="AC1145" s="3"/>
      <c r="AD1145" s="3"/>
      <c r="AE1145" s="3">
        <v>0</v>
      </c>
      <c r="AF1145" s="3">
        <v>0</v>
      </c>
      <c r="AG1145" s="3"/>
      <c r="AH1145" s="40"/>
      <c r="AI1145" s="40"/>
      <c r="AJ1145" s="40"/>
      <c r="AK1145" s="40"/>
      <c r="AL1145" s="40"/>
      <c r="AM1145" s="40"/>
      <c r="AN1145" s="40"/>
      <c r="AO1145" s="40"/>
      <c r="AP1145" s="40"/>
      <c r="AQ1145" s="40"/>
      <c r="AR1145" s="31"/>
      <c r="AS1145" s="36">
        <v>0</v>
      </c>
      <c r="AY1145" s="6"/>
      <c r="AZ1145" s="2"/>
      <c r="BA1145" s="2"/>
      <c r="BB1145" s="2"/>
      <c r="BC1145">
        <v>71500</v>
      </c>
      <c r="BD1145">
        <v>56992</v>
      </c>
    </row>
    <row r="1146" spans="3:56" x14ac:dyDescent="0.25">
      <c r="C1146" s="1">
        <v>46766</v>
      </c>
      <c r="D1146" s="36">
        <v>249932.632258064</v>
      </c>
      <c r="E1146" s="33">
        <v>4.2064516129032299</v>
      </c>
      <c r="F1146" s="33">
        <v>3.41362896057348</v>
      </c>
      <c r="G1146" s="2">
        <v>0.81152222222222203</v>
      </c>
      <c r="H1146" s="2">
        <v>0.99</v>
      </c>
      <c r="I1146" s="3"/>
      <c r="J1146" s="3"/>
      <c r="K1146" s="3"/>
      <c r="L1146" s="3"/>
      <c r="M1146" s="3"/>
      <c r="N1146" s="3">
        <v>0</v>
      </c>
      <c r="O1146" s="3"/>
      <c r="P1146" s="3">
        <v>0</v>
      </c>
      <c r="Q1146" s="3">
        <v>0</v>
      </c>
      <c r="R1146" s="3">
        <v>0</v>
      </c>
      <c r="S1146" s="3">
        <v>0</v>
      </c>
      <c r="T1146" s="3">
        <v>0</v>
      </c>
      <c r="U1146" s="3"/>
      <c r="V1146" s="3"/>
      <c r="W1146" s="3"/>
      <c r="X1146" s="3"/>
      <c r="Y1146" s="3"/>
      <c r="Z1146" s="3"/>
      <c r="AA1146" s="3"/>
      <c r="AB1146" s="3"/>
      <c r="AC1146" s="3"/>
      <c r="AD1146" s="3"/>
      <c r="AE1146" s="3">
        <v>0</v>
      </c>
      <c r="AF1146" s="3">
        <v>0</v>
      </c>
      <c r="AG1146" s="3"/>
      <c r="AH1146" s="40"/>
      <c r="AI1146" s="40"/>
      <c r="AJ1146" s="40"/>
      <c r="AK1146" s="40"/>
      <c r="AL1146" s="40"/>
      <c r="AM1146" s="40"/>
      <c r="AN1146" s="40"/>
      <c r="AO1146" s="40"/>
      <c r="AP1146" s="40"/>
      <c r="AQ1146" s="40"/>
      <c r="AR1146" s="31"/>
      <c r="AS1146" s="36">
        <v>0</v>
      </c>
      <c r="AY1146" s="6"/>
      <c r="AZ1146" s="2"/>
      <c r="BA1146" s="2"/>
      <c r="BB1146" s="2"/>
      <c r="BC1146">
        <v>71500</v>
      </c>
      <c r="BD1146">
        <v>56992</v>
      </c>
    </row>
    <row r="1147" spans="3:56" x14ac:dyDescent="0.25">
      <c r="C1147" s="1">
        <v>46767</v>
      </c>
      <c r="D1147" s="36">
        <v>249932.632258064</v>
      </c>
      <c r="E1147" s="33">
        <v>4.2064516129032299</v>
      </c>
      <c r="F1147" s="33">
        <v>3.4135822222222201</v>
      </c>
      <c r="G1147" s="2">
        <v>0.81151111111111096</v>
      </c>
      <c r="H1147" s="2">
        <v>0.99</v>
      </c>
      <c r="I1147" s="3"/>
      <c r="J1147" s="3"/>
      <c r="K1147" s="3"/>
      <c r="L1147" s="3"/>
      <c r="M1147" s="3"/>
      <c r="N1147" s="3">
        <v>0</v>
      </c>
      <c r="O1147" s="3"/>
      <c r="P1147" s="3">
        <v>0</v>
      </c>
      <c r="Q1147" s="3">
        <v>0</v>
      </c>
      <c r="R1147" s="3">
        <v>0</v>
      </c>
      <c r="S1147" s="3">
        <v>0</v>
      </c>
      <c r="T1147" s="3">
        <v>0</v>
      </c>
      <c r="U1147" s="3"/>
      <c r="V1147" s="3"/>
      <c r="W1147" s="3"/>
      <c r="X1147" s="3"/>
      <c r="Y1147" s="3"/>
      <c r="Z1147" s="3"/>
      <c r="AA1147" s="3"/>
      <c r="AB1147" s="3"/>
      <c r="AC1147" s="3"/>
      <c r="AD1147" s="3"/>
      <c r="AE1147" s="3">
        <v>0</v>
      </c>
      <c r="AF1147" s="3">
        <v>0</v>
      </c>
      <c r="AG1147" s="3"/>
      <c r="AH1147" s="40"/>
      <c r="AI1147" s="40"/>
      <c r="AJ1147" s="40"/>
      <c r="AK1147" s="40"/>
      <c r="AL1147" s="40"/>
      <c r="AM1147" s="40"/>
      <c r="AN1147" s="40"/>
      <c r="AO1147" s="40"/>
      <c r="AP1147" s="40"/>
      <c r="AQ1147" s="40"/>
      <c r="AR1147" s="31"/>
      <c r="AS1147" s="36">
        <v>0</v>
      </c>
      <c r="AY1147" s="6"/>
      <c r="AZ1147" s="2"/>
      <c r="BA1147" s="2"/>
      <c r="BB1147" s="2"/>
      <c r="BC1147">
        <v>71500</v>
      </c>
      <c r="BD1147">
        <v>56992</v>
      </c>
    </row>
    <row r="1148" spans="3:56" x14ac:dyDescent="0.25">
      <c r="C1148" s="1">
        <v>46768</v>
      </c>
      <c r="D1148" s="36">
        <v>249932.632258064</v>
      </c>
      <c r="E1148" s="33">
        <v>4.2064516129032299</v>
      </c>
      <c r="F1148" s="33">
        <v>3.4135354838709699</v>
      </c>
      <c r="G1148" s="2">
        <v>0.8115</v>
      </c>
      <c r="H1148" s="2">
        <v>0.99</v>
      </c>
      <c r="I1148" s="3"/>
      <c r="J1148" s="3"/>
      <c r="K1148" s="3"/>
      <c r="L1148" s="3"/>
      <c r="M1148" s="3"/>
      <c r="N1148" s="3">
        <v>0</v>
      </c>
      <c r="O1148" s="3"/>
      <c r="P1148" s="3">
        <v>0</v>
      </c>
      <c r="Q1148" s="3">
        <v>0</v>
      </c>
      <c r="R1148" s="3">
        <v>0</v>
      </c>
      <c r="S1148" s="3">
        <v>0</v>
      </c>
      <c r="T1148" s="3">
        <v>0</v>
      </c>
      <c r="U1148" s="3"/>
      <c r="V1148" s="3"/>
      <c r="W1148" s="3"/>
      <c r="X1148" s="3"/>
      <c r="Y1148" s="3"/>
      <c r="Z1148" s="3"/>
      <c r="AA1148" s="3"/>
      <c r="AB1148" s="3"/>
      <c r="AC1148" s="3"/>
      <c r="AD1148" s="3"/>
      <c r="AE1148" s="3">
        <v>0</v>
      </c>
      <c r="AF1148" s="3">
        <v>0</v>
      </c>
      <c r="AG1148" s="3"/>
      <c r="AH1148" s="40"/>
      <c r="AI1148" s="40"/>
      <c r="AJ1148" s="40"/>
      <c r="AK1148" s="40"/>
      <c r="AL1148" s="40"/>
      <c r="AM1148" s="40"/>
      <c r="AN1148" s="40"/>
      <c r="AO1148" s="40"/>
      <c r="AP1148" s="40"/>
      <c r="AQ1148" s="40"/>
      <c r="AR1148" s="31"/>
      <c r="AS1148" s="36">
        <v>0</v>
      </c>
      <c r="AY1148" s="6"/>
      <c r="AZ1148" s="2"/>
      <c r="BA1148" s="2"/>
      <c r="BB1148" s="2"/>
      <c r="BC1148">
        <v>71500</v>
      </c>
      <c r="BD1148">
        <v>56992</v>
      </c>
    </row>
    <row r="1149" spans="3:56" x14ac:dyDescent="0.25">
      <c r="C1149" s="1">
        <v>46769</v>
      </c>
      <c r="D1149" s="36">
        <v>249932.632258064</v>
      </c>
      <c r="E1149" s="33">
        <v>4.2064516129032299</v>
      </c>
      <c r="F1149" s="33">
        <v>3.41348874551971</v>
      </c>
      <c r="G1149" s="2">
        <v>0.81148888888888904</v>
      </c>
      <c r="H1149" s="2">
        <v>0.99</v>
      </c>
      <c r="I1149" s="3"/>
      <c r="J1149" s="3"/>
      <c r="K1149" s="3"/>
      <c r="L1149" s="3"/>
      <c r="M1149" s="3"/>
      <c r="N1149" s="3">
        <v>0</v>
      </c>
      <c r="O1149" s="3"/>
      <c r="P1149" s="3">
        <v>0</v>
      </c>
      <c r="Q1149" s="3">
        <v>0</v>
      </c>
      <c r="R1149" s="3">
        <v>0</v>
      </c>
      <c r="S1149" s="3">
        <v>0</v>
      </c>
      <c r="T1149" s="3">
        <v>0</v>
      </c>
      <c r="U1149" s="3"/>
      <c r="V1149" s="3"/>
      <c r="W1149" s="3"/>
      <c r="X1149" s="3"/>
      <c r="Y1149" s="3"/>
      <c r="Z1149" s="3"/>
      <c r="AA1149" s="3"/>
      <c r="AB1149" s="3"/>
      <c r="AC1149" s="3"/>
      <c r="AD1149" s="3"/>
      <c r="AE1149" s="3">
        <v>0</v>
      </c>
      <c r="AF1149" s="3">
        <v>0</v>
      </c>
      <c r="AG1149" s="3"/>
      <c r="AH1149" s="40"/>
      <c r="AI1149" s="40"/>
      <c r="AJ1149" s="40"/>
      <c r="AK1149" s="40"/>
      <c r="AL1149" s="40"/>
      <c r="AM1149" s="40"/>
      <c r="AN1149" s="40"/>
      <c r="AO1149" s="40"/>
      <c r="AP1149" s="40"/>
      <c r="AQ1149" s="40"/>
      <c r="AR1149" s="31"/>
      <c r="AS1149" s="36">
        <v>0</v>
      </c>
      <c r="AY1149" s="6"/>
      <c r="AZ1149" s="2"/>
      <c r="BA1149" s="2"/>
      <c r="BB1149" s="2"/>
      <c r="BC1149">
        <v>71500</v>
      </c>
      <c r="BD1149">
        <v>56992</v>
      </c>
    </row>
    <row r="1150" spans="3:56" x14ac:dyDescent="0.25">
      <c r="C1150" s="1">
        <v>46770</v>
      </c>
      <c r="D1150" s="36">
        <v>249932.632258064</v>
      </c>
      <c r="E1150" s="33">
        <v>4.2064516129032299</v>
      </c>
      <c r="F1150" s="33">
        <v>3.4134420071684599</v>
      </c>
      <c r="G1150" s="2">
        <v>0.81147777777777796</v>
      </c>
      <c r="H1150" s="2">
        <v>0.99</v>
      </c>
      <c r="I1150" s="3"/>
      <c r="J1150" s="3"/>
      <c r="K1150" s="3"/>
      <c r="L1150" s="3"/>
      <c r="M1150" s="3"/>
      <c r="N1150" s="3">
        <v>0</v>
      </c>
      <c r="O1150" s="3"/>
      <c r="P1150" s="3">
        <v>0</v>
      </c>
      <c r="Q1150" s="3">
        <v>0</v>
      </c>
      <c r="R1150" s="3">
        <v>0</v>
      </c>
      <c r="S1150" s="3">
        <v>0</v>
      </c>
      <c r="T1150" s="3">
        <v>0</v>
      </c>
      <c r="U1150" s="3"/>
      <c r="V1150" s="3"/>
      <c r="W1150" s="3"/>
      <c r="X1150" s="3"/>
      <c r="Y1150" s="3"/>
      <c r="Z1150" s="3"/>
      <c r="AA1150" s="3"/>
      <c r="AB1150" s="3"/>
      <c r="AC1150" s="3"/>
      <c r="AD1150" s="3"/>
      <c r="AE1150" s="3">
        <v>0</v>
      </c>
      <c r="AF1150" s="3">
        <v>0</v>
      </c>
      <c r="AG1150" s="3"/>
      <c r="AH1150" s="40"/>
      <c r="AI1150" s="40"/>
      <c r="AJ1150" s="40"/>
      <c r="AK1150" s="40"/>
      <c r="AL1150" s="40"/>
      <c r="AM1150" s="40"/>
      <c r="AN1150" s="40"/>
      <c r="AO1150" s="40"/>
      <c r="AP1150" s="40"/>
      <c r="AQ1150" s="40"/>
      <c r="AR1150" s="31"/>
      <c r="AS1150" s="36">
        <v>0</v>
      </c>
      <c r="AY1150" s="6"/>
      <c r="AZ1150" s="2"/>
      <c r="BA1150" s="2"/>
      <c r="BB1150" s="2"/>
      <c r="BC1150">
        <v>71500</v>
      </c>
      <c r="BD1150">
        <v>56992</v>
      </c>
    </row>
    <row r="1151" spans="3:56" x14ac:dyDescent="0.25">
      <c r="C1151" s="1">
        <v>46771</v>
      </c>
      <c r="D1151" s="36">
        <v>249932.632258064</v>
      </c>
      <c r="E1151" s="33">
        <v>4.2064516129032299</v>
      </c>
      <c r="F1151" s="33">
        <v>3.4133952688172</v>
      </c>
      <c r="G1151" s="2">
        <v>0.811466666666667</v>
      </c>
      <c r="H1151" s="2">
        <v>0.99</v>
      </c>
      <c r="I1151" s="3"/>
      <c r="J1151" s="3"/>
      <c r="K1151" s="3"/>
      <c r="L1151" s="3"/>
      <c r="M1151" s="3"/>
      <c r="N1151" s="3">
        <v>0</v>
      </c>
      <c r="O1151" s="3"/>
      <c r="P1151" s="3">
        <v>0</v>
      </c>
      <c r="Q1151" s="3">
        <v>0</v>
      </c>
      <c r="R1151" s="3">
        <v>0</v>
      </c>
      <c r="S1151" s="3">
        <v>0</v>
      </c>
      <c r="T1151" s="3">
        <v>0</v>
      </c>
      <c r="U1151" s="3"/>
      <c r="V1151" s="3"/>
      <c r="W1151" s="3"/>
      <c r="X1151" s="3"/>
      <c r="Y1151" s="3"/>
      <c r="Z1151" s="3"/>
      <c r="AA1151" s="3"/>
      <c r="AB1151" s="3"/>
      <c r="AC1151" s="3"/>
      <c r="AD1151" s="3"/>
      <c r="AE1151" s="3">
        <v>0</v>
      </c>
      <c r="AF1151" s="3">
        <v>0</v>
      </c>
      <c r="AG1151" s="3"/>
      <c r="AH1151" s="40"/>
      <c r="AI1151" s="40"/>
      <c r="AJ1151" s="40"/>
      <c r="AK1151" s="40"/>
      <c r="AL1151" s="40"/>
      <c r="AM1151" s="40"/>
      <c r="AN1151" s="40"/>
      <c r="AO1151" s="40"/>
      <c r="AP1151" s="40"/>
      <c r="AQ1151" s="40"/>
      <c r="AR1151" s="31"/>
      <c r="AS1151" s="36">
        <v>0</v>
      </c>
      <c r="AY1151" s="6"/>
      <c r="AZ1151" s="2"/>
      <c r="BA1151" s="2"/>
      <c r="BB1151" s="2"/>
      <c r="BC1151">
        <v>71500</v>
      </c>
      <c r="BD1151">
        <v>56992</v>
      </c>
    </row>
    <row r="1152" spans="3:56" x14ac:dyDescent="0.25">
      <c r="C1152" s="1">
        <v>46772</v>
      </c>
      <c r="D1152" s="36">
        <v>249932.632258064</v>
      </c>
      <c r="E1152" s="33">
        <v>4.2064516129032299</v>
      </c>
      <c r="F1152" s="33">
        <v>3.4133485304659499</v>
      </c>
      <c r="G1152" s="2">
        <v>0.81145555555555604</v>
      </c>
      <c r="H1152" s="2">
        <v>0.99</v>
      </c>
      <c r="I1152" s="3"/>
      <c r="J1152" s="3"/>
      <c r="K1152" s="3"/>
      <c r="L1152" s="3"/>
      <c r="M1152" s="3"/>
      <c r="N1152" s="3">
        <v>0</v>
      </c>
      <c r="O1152" s="3"/>
      <c r="P1152" s="3">
        <v>0</v>
      </c>
      <c r="Q1152" s="3">
        <v>0</v>
      </c>
      <c r="R1152" s="3">
        <v>0</v>
      </c>
      <c r="S1152" s="3">
        <v>0</v>
      </c>
      <c r="T1152" s="3">
        <v>0</v>
      </c>
      <c r="U1152" s="3"/>
      <c r="V1152" s="3"/>
      <c r="W1152" s="3"/>
      <c r="X1152" s="3"/>
      <c r="Y1152" s="3"/>
      <c r="Z1152" s="3"/>
      <c r="AA1152" s="3"/>
      <c r="AB1152" s="3"/>
      <c r="AC1152" s="3"/>
      <c r="AD1152" s="3"/>
      <c r="AE1152" s="3">
        <v>0</v>
      </c>
      <c r="AF1152" s="3">
        <v>0</v>
      </c>
      <c r="AG1152" s="3"/>
      <c r="AH1152" s="40"/>
      <c r="AI1152" s="40"/>
      <c r="AJ1152" s="40"/>
      <c r="AK1152" s="40"/>
      <c r="AL1152" s="40"/>
      <c r="AM1152" s="40"/>
      <c r="AN1152" s="40"/>
      <c r="AO1152" s="40"/>
      <c r="AP1152" s="40"/>
      <c r="AQ1152" s="40"/>
      <c r="AR1152" s="31"/>
      <c r="AS1152" s="36">
        <v>0</v>
      </c>
      <c r="AY1152" s="6"/>
      <c r="AZ1152" s="2"/>
      <c r="BA1152" s="2"/>
      <c r="BB1152" s="2"/>
      <c r="BC1152">
        <v>71500</v>
      </c>
      <c r="BD1152">
        <v>56992</v>
      </c>
    </row>
    <row r="1153" spans="3:56" x14ac:dyDescent="0.25">
      <c r="C1153" s="1">
        <v>46773</v>
      </c>
      <c r="D1153" s="36">
        <v>249932.632258064</v>
      </c>
      <c r="E1153" s="33">
        <v>4.2064516129032299</v>
      </c>
      <c r="F1153" s="33">
        <v>3.4133017921147002</v>
      </c>
      <c r="G1153" s="2">
        <v>0.81144444444444397</v>
      </c>
      <c r="H1153" s="2">
        <v>0.99</v>
      </c>
      <c r="I1153" s="3"/>
      <c r="J1153" s="3"/>
      <c r="K1153" s="3"/>
      <c r="L1153" s="3"/>
      <c r="M1153" s="3"/>
      <c r="N1153" s="3">
        <v>0</v>
      </c>
      <c r="O1153" s="3"/>
      <c r="P1153" s="3">
        <v>0</v>
      </c>
      <c r="Q1153" s="3">
        <v>0</v>
      </c>
      <c r="R1153" s="3">
        <v>0</v>
      </c>
      <c r="S1153" s="3">
        <v>0</v>
      </c>
      <c r="T1153" s="3">
        <v>0</v>
      </c>
      <c r="U1153" s="3"/>
      <c r="V1153" s="3"/>
      <c r="W1153" s="3"/>
      <c r="X1153" s="3"/>
      <c r="Y1153" s="3"/>
      <c r="Z1153" s="3"/>
      <c r="AA1153" s="3"/>
      <c r="AB1153" s="3"/>
      <c r="AC1153" s="3"/>
      <c r="AD1153" s="3"/>
      <c r="AE1153" s="3">
        <v>0</v>
      </c>
      <c r="AF1153" s="3">
        <v>0</v>
      </c>
      <c r="AG1153" s="3"/>
      <c r="AH1153" s="40"/>
      <c r="AI1153" s="40"/>
      <c r="AJ1153" s="40"/>
      <c r="AK1153" s="40"/>
      <c r="AL1153" s="40"/>
      <c r="AM1153" s="40"/>
      <c r="AN1153" s="40"/>
      <c r="AO1153" s="40"/>
      <c r="AP1153" s="40"/>
      <c r="AQ1153" s="40"/>
      <c r="AR1153" s="31"/>
      <c r="AS1153" s="36">
        <v>0</v>
      </c>
      <c r="AY1153" s="6"/>
      <c r="AZ1153" s="2"/>
      <c r="BA1153" s="2"/>
      <c r="BB1153" s="2"/>
      <c r="BC1153">
        <v>71500</v>
      </c>
      <c r="BD1153">
        <v>56992</v>
      </c>
    </row>
    <row r="1154" spans="3:56" x14ac:dyDescent="0.25">
      <c r="C1154" s="1">
        <v>46774</v>
      </c>
      <c r="D1154" s="36">
        <v>249932.632258064</v>
      </c>
      <c r="E1154" s="33">
        <v>4.2064516129032299</v>
      </c>
      <c r="F1154" s="33">
        <v>3.4132550537634399</v>
      </c>
      <c r="G1154" s="2">
        <v>0.81143333333333301</v>
      </c>
      <c r="H1154" s="2">
        <v>0.99</v>
      </c>
      <c r="I1154" s="3"/>
      <c r="J1154" s="3"/>
      <c r="K1154" s="3"/>
      <c r="L1154" s="3"/>
      <c r="M1154" s="3"/>
      <c r="N1154" s="3">
        <v>0</v>
      </c>
      <c r="O1154" s="3"/>
      <c r="P1154" s="3">
        <v>0</v>
      </c>
      <c r="Q1154" s="3">
        <v>0</v>
      </c>
      <c r="R1154" s="3">
        <v>0</v>
      </c>
      <c r="S1154" s="3">
        <v>0</v>
      </c>
      <c r="T1154" s="3">
        <v>0</v>
      </c>
      <c r="U1154" s="3"/>
      <c r="V1154" s="3"/>
      <c r="W1154" s="3"/>
      <c r="X1154" s="3"/>
      <c r="Y1154" s="3"/>
      <c r="Z1154" s="3"/>
      <c r="AA1154" s="3"/>
      <c r="AB1154" s="3"/>
      <c r="AC1154" s="3"/>
      <c r="AD1154" s="3"/>
      <c r="AE1154" s="3">
        <v>0</v>
      </c>
      <c r="AF1154" s="3">
        <v>0</v>
      </c>
      <c r="AG1154" s="3"/>
      <c r="AH1154" s="40"/>
      <c r="AI1154" s="40"/>
      <c r="AJ1154" s="40"/>
      <c r="AK1154" s="40"/>
      <c r="AL1154" s="40"/>
      <c r="AM1154" s="40"/>
      <c r="AN1154" s="40"/>
      <c r="AO1154" s="40"/>
      <c r="AP1154" s="40"/>
      <c r="AQ1154" s="40"/>
      <c r="AR1154" s="31"/>
      <c r="AS1154" s="36">
        <v>0</v>
      </c>
      <c r="AY1154" s="6"/>
      <c r="AZ1154" s="2"/>
      <c r="BA1154" s="2"/>
      <c r="BB1154" s="2"/>
      <c r="BC1154">
        <v>71500</v>
      </c>
      <c r="BD1154">
        <v>56992</v>
      </c>
    </row>
    <row r="1155" spans="3:56" x14ac:dyDescent="0.25">
      <c r="C1155" s="1">
        <v>46775</v>
      </c>
      <c r="D1155" s="36">
        <v>249932.632258064</v>
      </c>
      <c r="E1155" s="33">
        <v>4.2064516129032299</v>
      </c>
      <c r="F1155" s="33">
        <v>3.4132083154121902</v>
      </c>
      <c r="G1155" s="2">
        <v>0.81142222222222204</v>
      </c>
      <c r="H1155" s="2">
        <v>0.99</v>
      </c>
      <c r="I1155" s="3"/>
      <c r="J1155" s="3"/>
      <c r="K1155" s="3"/>
      <c r="L1155" s="3"/>
      <c r="M1155" s="3"/>
      <c r="N1155" s="3">
        <v>0</v>
      </c>
      <c r="O1155" s="3"/>
      <c r="P1155" s="3">
        <v>0</v>
      </c>
      <c r="Q1155" s="3">
        <v>0</v>
      </c>
      <c r="R1155" s="3">
        <v>0</v>
      </c>
      <c r="S1155" s="3">
        <v>0</v>
      </c>
      <c r="T1155" s="3">
        <v>0</v>
      </c>
      <c r="U1155" s="3"/>
      <c r="V1155" s="3"/>
      <c r="W1155" s="3"/>
      <c r="X1155" s="3"/>
      <c r="Y1155" s="3"/>
      <c r="Z1155" s="3"/>
      <c r="AA1155" s="3"/>
      <c r="AB1155" s="3"/>
      <c r="AC1155" s="3"/>
      <c r="AD1155" s="3"/>
      <c r="AE1155" s="3">
        <v>0</v>
      </c>
      <c r="AF1155" s="3">
        <v>0</v>
      </c>
      <c r="AG1155" s="3"/>
      <c r="AH1155" s="40"/>
      <c r="AI1155" s="40"/>
      <c r="AJ1155" s="40"/>
      <c r="AK1155" s="40"/>
      <c r="AL1155" s="40"/>
      <c r="AM1155" s="40"/>
      <c r="AN1155" s="40"/>
      <c r="AO1155" s="40"/>
      <c r="AP1155" s="40"/>
      <c r="AQ1155" s="40"/>
      <c r="AR1155" s="31"/>
      <c r="AS1155" s="36">
        <v>0</v>
      </c>
      <c r="AY1155" s="6"/>
      <c r="AZ1155" s="2"/>
      <c r="BA1155" s="2"/>
      <c r="BB1155" s="2"/>
      <c r="BC1155">
        <v>71500</v>
      </c>
      <c r="BD1155">
        <v>56992</v>
      </c>
    </row>
    <row r="1156" spans="3:56" x14ac:dyDescent="0.25">
      <c r="C1156" s="1">
        <v>46776</v>
      </c>
      <c r="D1156" s="36">
        <v>249932.632258064</v>
      </c>
      <c r="E1156" s="33">
        <v>4.2064516129032299</v>
      </c>
      <c r="F1156" s="33">
        <v>3.4131615770609298</v>
      </c>
      <c r="G1156" s="2">
        <v>0.81141111111111097</v>
      </c>
      <c r="H1156" s="2">
        <v>0.99</v>
      </c>
      <c r="I1156" s="3"/>
      <c r="J1156" s="3"/>
      <c r="K1156" s="3"/>
      <c r="L1156" s="3"/>
      <c r="M1156" s="3"/>
      <c r="N1156" s="3">
        <v>0</v>
      </c>
      <c r="O1156" s="3"/>
      <c r="P1156" s="3">
        <v>0</v>
      </c>
      <c r="Q1156" s="3">
        <v>0</v>
      </c>
      <c r="R1156" s="3">
        <v>0</v>
      </c>
      <c r="S1156" s="3">
        <v>0</v>
      </c>
      <c r="T1156" s="3">
        <v>0</v>
      </c>
      <c r="U1156" s="3"/>
      <c r="V1156" s="3"/>
      <c r="W1156" s="3"/>
      <c r="X1156" s="3"/>
      <c r="Y1156" s="3"/>
      <c r="Z1156" s="3"/>
      <c r="AA1156" s="3"/>
      <c r="AB1156" s="3"/>
      <c r="AC1156" s="3"/>
      <c r="AD1156" s="3"/>
      <c r="AE1156" s="3">
        <v>0</v>
      </c>
      <c r="AF1156" s="3">
        <v>0</v>
      </c>
      <c r="AG1156" s="3"/>
      <c r="AH1156" s="40"/>
      <c r="AI1156" s="40"/>
      <c r="AJ1156" s="40"/>
      <c r="AK1156" s="40"/>
      <c r="AL1156" s="40"/>
      <c r="AM1156" s="40"/>
      <c r="AN1156" s="40"/>
      <c r="AO1156" s="40"/>
      <c r="AP1156" s="40"/>
      <c r="AQ1156" s="40"/>
      <c r="AR1156" s="31"/>
      <c r="AS1156" s="36">
        <v>0</v>
      </c>
      <c r="AY1156" s="6"/>
      <c r="AZ1156" s="2"/>
      <c r="BA1156" s="2"/>
      <c r="BB1156" s="2"/>
      <c r="BC1156">
        <v>71500</v>
      </c>
      <c r="BD1156">
        <v>56992</v>
      </c>
    </row>
    <row r="1157" spans="3:56" x14ac:dyDescent="0.25">
      <c r="C1157" s="1">
        <v>46777</v>
      </c>
      <c r="D1157" s="36">
        <v>249932.632258064</v>
      </c>
      <c r="E1157" s="33">
        <v>4.2064516129032299</v>
      </c>
      <c r="F1157" s="33">
        <v>3.4131148387096801</v>
      </c>
      <c r="G1157" s="2">
        <v>0.81140000000000001</v>
      </c>
      <c r="H1157" s="2">
        <v>0.99</v>
      </c>
      <c r="I1157" s="3"/>
      <c r="J1157" s="3"/>
      <c r="K1157" s="3"/>
      <c r="L1157" s="3"/>
      <c r="M1157" s="3"/>
      <c r="N1157" s="3">
        <v>0</v>
      </c>
      <c r="O1157" s="3"/>
      <c r="P1157" s="3">
        <v>0</v>
      </c>
      <c r="Q1157" s="3">
        <v>0</v>
      </c>
      <c r="R1157" s="3">
        <v>0</v>
      </c>
      <c r="S1157" s="3">
        <v>0</v>
      </c>
      <c r="T1157" s="3">
        <v>0</v>
      </c>
      <c r="U1157" s="3"/>
      <c r="V1157" s="3"/>
      <c r="W1157" s="3"/>
      <c r="X1157" s="3"/>
      <c r="Y1157" s="3"/>
      <c r="Z1157" s="3"/>
      <c r="AA1157" s="3"/>
      <c r="AB1157" s="3"/>
      <c r="AC1157" s="3"/>
      <c r="AD1157" s="3"/>
      <c r="AE1157" s="3">
        <v>0</v>
      </c>
      <c r="AF1157" s="3">
        <v>0</v>
      </c>
      <c r="AG1157" s="3"/>
      <c r="AH1157" s="40"/>
      <c r="AI1157" s="40"/>
      <c r="AJ1157" s="40"/>
      <c r="AK1157" s="40"/>
      <c r="AL1157" s="40"/>
      <c r="AM1157" s="40"/>
      <c r="AN1157" s="40"/>
      <c r="AO1157" s="40"/>
      <c r="AP1157" s="40"/>
      <c r="AQ1157" s="40"/>
      <c r="AR1157" s="31"/>
      <c r="AS1157" s="36">
        <v>0</v>
      </c>
      <c r="AY1157" s="6"/>
      <c r="AZ1157" s="2"/>
      <c r="BA1157" s="2"/>
      <c r="BB1157" s="2"/>
      <c r="BC1157">
        <v>71500</v>
      </c>
      <c r="BD1157">
        <v>56992</v>
      </c>
    </row>
    <row r="1158" spans="3:56" x14ac:dyDescent="0.25">
      <c r="C1158" s="1">
        <v>46778</v>
      </c>
      <c r="D1158" s="36">
        <v>249932.632258064</v>
      </c>
      <c r="E1158" s="33">
        <v>4.2064516129032299</v>
      </c>
      <c r="F1158" s="33">
        <v>3.4130681003584198</v>
      </c>
      <c r="G1158" s="2">
        <v>0.81138888888888905</v>
      </c>
      <c r="H1158" s="2">
        <v>0.99</v>
      </c>
      <c r="I1158" s="3"/>
      <c r="J1158" s="3"/>
      <c r="K1158" s="3"/>
      <c r="L1158" s="3"/>
      <c r="M1158" s="3"/>
      <c r="N1158" s="3">
        <v>0</v>
      </c>
      <c r="O1158" s="3"/>
      <c r="P1158" s="3">
        <v>0</v>
      </c>
      <c r="Q1158" s="3">
        <v>0</v>
      </c>
      <c r="R1158" s="3">
        <v>0</v>
      </c>
      <c r="S1158" s="3">
        <v>0</v>
      </c>
      <c r="T1158" s="3">
        <v>0</v>
      </c>
      <c r="U1158" s="3"/>
      <c r="V1158" s="3"/>
      <c r="W1158" s="3"/>
      <c r="X1158" s="3"/>
      <c r="Y1158" s="3"/>
      <c r="Z1158" s="3"/>
      <c r="AA1158" s="3"/>
      <c r="AB1158" s="3"/>
      <c r="AC1158" s="3"/>
      <c r="AD1158" s="3"/>
      <c r="AE1158" s="3">
        <v>0</v>
      </c>
      <c r="AF1158" s="3">
        <v>0</v>
      </c>
      <c r="AG1158" s="3"/>
      <c r="AH1158" s="40"/>
      <c r="AI1158" s="40"/>
      <c r="AJ1158" s="40"/>
      <c r="AK1158" s="40"/>
      <c r="AL1158" s="40"/>
      <c r="AM1158" s="40"/>
      <c r="AN1158" s="40"/>
      <c r="AO1158" s="40"/>
      <c r="AP1158" s="40"/>
      <c r="AQ1158" s="40"/>
      <c r="AR1158" s="31"/>
      <c r="AS1158" s="36">
        <v>0</v>
      </c>
      <c r="AY1158" s="6"/>
      <c r="AZ1158" s="2"/>
      <c r="BA1158" s="2"/>
      <c r="BB1158" s="2"/>
      <c r="BC1158">
        <v>71500</v>
      </c>
      <c r="BD1158">
        <v>56992</v>
      </c>
    </row>
    <row r="1159" spans="3:56" x14ac:dyDescent="0.25">
      <c r="C1159" s="1">
        <v>46779</v>
      </c>
      <c r="D1159" s="36">
        <v>249932.632258064</v>
      </c>
      <c r="E1159" s="33">
        <v>4.2064516129032299</v>
      </c>
      <c r="F1159" s="33">
        <v>3.4130213620071701</v>
      </c>
      <c r="G1159" s="2">
        <v>0.81137777777777798</v>
      </c>
      <c r="H1159" s="2">
        <v>0.99</v>
      </c>
      <c r="I1159" s="3"/>
      <c r="J1159" s="3"/>
      <c r="K1159" s="3"/>
      <c r="L1159" s="3"/>
      <c r="M1159" s="3"/>
      <c r="N1159" s="3">
        <v>0</v>
      </c>
      <c r="O1159" s="3"/>
      <c r="P1159" s="3">
        <v>0</v>
      </c>
      <c r="Q1159" s="3">
        <v>0</v>
      </c>
      <c r="R1159" s="3">
        <v>0</v>
      </c>
      <c r="S1159" s="3">
        <v>0</v>
      </c>
      <c r="T1159" s="3">
        <v>0</v>
      </c>
      <c r="U1159" s="3"/>
      <c r="V1159" s="3"/>
      <c r="W1159" s="3"/>
      <c r="X1159" s="3"/>
      <c r="Y1159" s="3"/>
      <c r="Z1159" s="3"/>
      <c r="AA1159" s="3"/>
      <c r="AB1159" s="3"/>
      <c r="AC1159" s="3"/>
      <c r="AD1159" s="3"/>
      <c r="AE1159" s="3">
        <v>0</v>
      </c>
      <c r="AF1159" s="3">
        <v>0</v>
      </c>
      <c r="AG1159" s="3"/>
      <c r="AH1159" s="40"/>
      <c r="AI1159" s="40"/>
      <c r="AJ1159" s="40"/>
      <c r="AK1159" s="40"/>
      <c r="AL1159" s="40"/>
      <c r="AM1159" s="40"/>
      <c r="AN1159" s="40"/>
      <c r="AO1159" s="40"/>
      <c r="AP1159" s="40"/>
      <c r="AQ1159" s="40"/>
      <c r="AR1159" s="31"/>
      <c r="AS1159" s="36">
        <v>0</v>
      </c>
      <c r="AY1159" s="6"/>
      <c r="AZ1159" s="2"/>
      <c r="BA1159" s="2"/>
      <c r="BB1159" s="2"/>
      <c r="BC1159">
        <v>71500</v>
      </c>
      <c r="BD1159">
        <v>56992</v>
      </c>
    </row>
    <row r="1160" spans="3:56" x14ac:dyDescent="0.25">
      <c r="C1160" s="1">
        <v>46780</v>
      </c>
      <c r="D1160" s="36">
        <v>249932.632258064</v>
      </c>
      <c r="E1160" s="33">
        <v>4.2064516129032299</v>
      </c>
      <c r="F1160" s="33">
        <v>3.4129746236559102</v>
      </c>
      <c r="G1160" s="2">
        <v>0.81136666666666701</v>
      </c>
      <c r="H1160" s="2">
        <v>0.99</v>
      </c>
      <c r="I1160" s="3"/>
      <c r="J1160" s="3"/>
      <c r="K1160" s="3"/>
      <c r="L1160" s="3"/>
      <c r="M1160" s="3"/>
      <c r="N1160" s="3">
        <v>0</v>
      </c>
      <c r="O1160" s="3"/>
      <c r="P1160" s="3">
        <v>0</v>
      </c>
      <c r="Q1160" s="3">
        <v>0</v>
      </c>
      <c r="R1160" s="3">
        <v>0</v>
      </c>
      <c r="S1160" s="3">
        <v>0</v>
      </c>
      <c r="T1160" s="3">
        <v>0</v>
      </c>
      <c r="U1160" s="3"/>
      <c r="V1160" s="3"/>
      <c r="W1160" s="3"/>
      <c r="X1160" s="3"/>
      <c r="Y1160" s="3"/>
      <c r="Z1160" s="3"/>
      <c r="AA1160" s="3"/>
      <c r="AB1160" s="3"/>
      <c r="AC1160" s="3"/>
      <c r="AD1160" s="3"/>
      <c r="AE1160" s="3">
        <v>0</v>
      </c>
      <c r="AF1160" s="3">
        <v>0</v>
      </c>
      <c r="AG1160" s="3"/>
      <c r="AH1160" s="40"/>
      <c r="AI1160" s="40"/>
      <c r="AJ1160" s="40"/>
      <c r="AK1160" s="40"/>
      <c r="AL1160" s="40"/>
      <c r="AM1160" s="40"/>
      <c r="AN1160" s="40"/>
      <c r="AO1160" s="40"/>
      <c r="AP1160" s="40"/>
      <c r="AQ1160" s="40"/>
      <c r="AR1160" s="31"/>
      <c r="AS1160" s="36">
        <v>0</v>
      </c>
      <c r="AY1160" s="6"/>
      <c r="AZ1160" s="2"/>
      <c r="BA1160" s="2"/>
      <c r="BB1160" s="2"/>
      <c r="BC1160">
        <v>71500</v>
      </c>
      <c r="BD1160">
        <v>56992</v>
      </c>
    </row>
    <row r="1161" spans="3:56" x14ac:dyDescent="0.25">
      <c r="C1161" s="1">
        <v>46781</v>
      </c>
      <c r="D1161" s="36">
        <v>249932.632258064</v>
      </c>
      <c r="E1161" s="33">
        <v>4.2064516129032299</v>
      </c>
      <c r="F1161" s="33">
        <v>3.4129278853046601</v>
      </c>
      <c r="G1161" s="2">
        <v>0.81135555555555505</v>
      </c>
      <c r="H1161" s="2">
        <v>0.99</v>
      </c>
      <c r="I1161" s="3"/>
      <c r="J1161" s="3"/>
      <c r="K1161" s="3"/>
      <c r="L1161" s="3"/>
      <c r="M1161" s="3"/>
      <c r="N1161" s="3">
        <v>0</v>
      </c>
      <c r="O1161" s="3"/>
      <c r="P1161" s="3">
        <v>0</v>
      </c>
      <c r="Q1161" s="3">
        <v>0</v>
      </c>
      <c r="R1161" s="3">
        <v>0</v>
      </c>
      <c r="S1161" s="3">
        <v>0</v>
      </c>
      <c r="T1161" s="3">
        <v>0</v>
      </c>
      <c r="U1161" s="3"/>
      <c r="V1161" s="3"/>
      <c r="W1161" s="3"/>
      <c r="X1161" s="3"/>
      <c r="Y1161" s="3"/>
      <c r="Z1161" s="3"/>
      <c r="AA1161" s="3"/>
      <c r="AB1161" s="3"/>
      <c r="AC1161" s="3"/>
      <c r="AD1161" s="3"/>
      <c r="AE1161" s="3">
        <v>0</v>
      </c>
      <c r="AF1161" s="3">
        <v>0</v>
      </c>
      <c r="AG1161" s="3"/>
      <c r="AH1161" s="40"/>
      <c r="AI1161" s="40"/>
      <c r="AJ1161" s="40"/>
      <c r="AK1161" s="40"/>
      <c r="AL1161" s="40"/>
      <c r="AM1161" s="40"/>
      <c r="AN1161" s="40"/>
      <c r="AO1161" s="40"/>
      <c r="AP1161" s="40"/>
      <c r="AQ1161" s="40"/>
      <c r="AR1161" s="31"/>
      <c r="AS1161" s="36">
        <v>0</v>
      </c>
      <c r="AY1161" s="6"/>
      <c r="AZ1161" s="2"/>
      <c r="BA1161" s="2"/>
      <c r="BB1161" s="2"/>
      <c r="BC1161">
        <v>71500</v>
      </c>
      <c r="BD1161">
        <v>56992</v>
      </c>
    </row>
    <row r="1162" spans="3:56" x14ac:dyDescent="0.25">
      <c r="C1162" s="1">
        <v>46782</v>
      </c>
      <c r="D1162" s="36">
        <v>249932.632258064</v>
      </c>
      <c r="E1162" s="33">
        <v>4.2064516129032299</v>
      </c>
      <c r="F1162" s="33">
        <v>3.4128811469534099</v>
      </c>
      <c r="G1162" s="2">
        <v>0.81134444444444398</v>
      </c>
      <c r="H1162" s="2">
        <v>0.99</v>
      </c>
      <c r="I1162" s="3"/>
      <c r="J1162" s="3"/>
      <c r="K1162" s="3"/>
      <c r="L1162" s="3"/>
      <c r="M1162" s="3"/>
      <c r="N1162" s="3">
        <v>0</v>
      </c>
      <c r="O1162" s="3"/>
      <c r="P1162" s="3">
        <v>0</v>
      </c>
      <c r="Q1162" s="3">
        <v>0</v>
      </c>
      <c r="R1162" s="3">
        <v>0</v>
      </c>
      <c r="S1162" s="3">
        <v>0</v>
      </c>
      <c r="T1162" s="3">
        <v>0</v>
      </c>
      <c r="U1162" s="3"/>
      <c r="V1162" s="3"/>
      <c r="W1162" s="3"/>
      <c r="X1162" s="3"/>
      <c r="Y1162" s="3"/>
      <c r="Z1162" s="3"/>
      <c r="AA1162" s="3"/>
      <c r="AB1162" s="3"/>
      <c r="AC1162" s="3"/>
      <c r="AD1162" s="3"/>
      <c r="AE1162" s="3">
        <v>0</v>
      </c>
      <c r="AF1162" s="3">
        <v>0</v>
      </c>
      <c r="AG1162" s="3"/>
      <c r="AH1162" s="40"/>
      <c r="AI1162" s="40"/>
      <c r="AJ1162" s="40"/>
      <c r="AK1162" s="40"/>
      <c r="AL1162" s="40"/>
      <c r="AM1162" s="40"/>
      <c r="AN1162" s="40"/>
      <c r="AO1162" s="40"/>
      <c r="AP1162" s="40"/>
      <c r="AQ1162" s="40"/>
      <c r="AR1162" s="31"/>
      <c r="AS1162" s="36">
        <v>0</v>
      </c>
      <c r="AY1162" s="6"/>
      <c r="AZ1162" s="2"/>
      <c r="BA1162" s="2"/>
      <c r="BB1162" s="2"/>
      <c r="BC1162">
        <v>71500</v>
      </c>
      <c r="BD1162">
        <v>56992</v>
      </c>
    </row>
    <row r="1163" spans="3:56" x14ac:dyDescent="0.25">
      <c r="C1163" s="1">
        <v>46783</v>
      </c>
      <c r="D1163" s="36">
        <v>249932.632258064</v>
      </c>
      <c r="E1163" s="33">
        <v>4.2064516129032299</v>
      </c>
      <c r="F1163" s="33">
        <v>3.41283440860215</v>
      </c>
      <c r="G1163" s="2">
        <v>0.81133333333333302</v>
      </c>
      <c r="H1163" s="2">
        <v>0.99</v>
      </c>
      <c r="I1163" s="3"/>
      <c r="J1163" s="3"/>
      <c r="K1163" s="3"/>
      <c r="L1163" s="3"/>
      <c r="M1163" s="3"/>
      <c r="N1163" s="3">
        <v>0</v>
      </c>
      <c r="O1163" s="3"/>
      <c r="P1163" s="3">
        <v>0</v>
      </c>
      <c r="Q1163" s="3">
        <v>0</v>
      </c>
      <c r="R1163" s="3">
        <v>0</v>
      </c>
      <c r="S1163" s="3">
        <v>0</v>
      </c>
      <c r="T1163" s="3">
        <v>0</v>
      </c>
      <c r="U1163" s="3"/>
      <c r="V1163" s="3"/>
      <c r="W1163" s="3"/>
      <c r="X1163" s="3"/>
      <c r="Y1163" s="3"/>
      <c r="Z1163" s="3"/>
      <c r="AA1163" s="3"/>
      <c r="AB1163" s="3"/>
      <c r="AC1163" s="3"/>
      <c r="AD1163" s="3"/>
      <c r="AE1163" s="3">
        <v>0</v>
      </c>
      <c r="AF1163" s="3">
        <v>0</v>
      </c>
      <c r="AG1163" s="3"/>
      <c r="AH1163" s="40"/>
      <c r="AI1163" s="40"/>
      <c r="AJ1163" s="40"/>
      <c r="AK1163" s="40"/>
      <c r="AL1163" s="40"/>
      <c r="AM1163" s="40"/>
      <c r="AN1163" s="40"/>
      <c r="AO1163" s="40"/>
      <c r="AP1163" s="40"/>
      <c r="AQ1163" s="40"/>
      <c r="AR1163" s="31"/>
      <c r="AS1163" s="36">
        <v>0</v>
      </c>
      <c r="AY1163" s="6"/>
      <c r="AZ1163" s="2"/>
      <c r="BA1163" s="2"/>
      <c r="BB1163" s="2"/>
      <c r="BC1163">
        <v>71500</v>
      </c>
      <c r="BD1163">
        <v>56992</v>
      </c>
    </row>
    <row r="1164" spans="3:56" x14ac:dyDescent="0.25">
      <c r="C1164" s="1">
        <v>46784</v>
      </c>
      <c r="D1164" s="36">
        <v>257373.372413793</v>
      </c>
      <c r="E1164" s="33">
        <v>4.4275862068965504</v>
      </c>
      <c r="F1164" s="33">
        <v>3.5922482758620702</v>
      </c>
      <c r="G1164" s="2">
        <v>0.81133333333333302</v>
      </c>
      <c r="H1164" s="2">
        <v>0.99</v>
      </c>
      <c r="I1164" s="3"/>
      <c r="J1164" s="3"/>
      <c r="K1164" s="3"/>
      <c r="L1164" s="3"/>
      <c r="M1164" s="3"/>
      <c r="N1164" s="3">
        <v>0</v>
      </c>
      <c r="O1164" s="3"/>
      <c r="P1164" s="3">
        <v>0</v>
      </c>
      <c r="Q1164" s="3">
        <v>0</v>
      </c>
      <c r="R1164" s="3">
        <v>0</v>
      </c>
      <c r="S1164" s="3">
        <v>0</v>
      </c>
      <c r="T1164" s="3">
        <v>0</v>
      </c>
      <c r="U1164" s="3"/>
      <c r="V1164" s="3"/>
      <c r="W1164" s="3"/>
      <c r="X1164" s="3"/>
      <c r="Y1164" s="3"/>
      <c r="Z1164" s="3"/>
      <c r="AA1164" s="3"/>
      <c r="AB1164" s="3"/>
      <c r="AC1164" s="3"/>
      <c r="AD1164" s="3"/>
      <c r="AE1164" s="3">
        <v>0</v>
      </c>
      <c r="AF1164" s="3">
        <v>0</v>
      </c>
      <c r="AG1164" s="3"/>
      <c r="AH1164" s="40"/>
      <c r="AI1164" s="40"/>
      <c r="AJ1164" s="40"/>
      <c r="AK1164" s="40"/>
      <c r="AL1164" s="40"/>
      <c r="AM1164" s="40"/>
      <c r="AN1164" s="40"/>
      <c r="AO1164" s="40"/>
      <c r="AP1164" s="40"/>
      <c r="AQ1164" s="40"/>
      <c r="AR1164" s="31"/>
      <c r="AS1164" s="36">
        <v>0</v>
      </c>
      <c r="AY1164" s="6"/>
      <c r="AZ1164" s="2"/>
      <c r="BA1164" s="2"/>
      <c r="BB1164" s="2"/>
      <c r="BC1164">
        <v>71500</v>
      </c>
      <c r="BD1164">
        <v>56992</v>
      </c>
    </row>
    <row r="1165" spans="3:56" x14ac:dyDescent="0.25">
      <c r="C1165" s="1">
        <v>46785</v>
      </c>
      <c r="D1165" s="36">
        <v>257373.372413793</v>
      </c>
      <c r="E1165" s="33">
        <v>4.4275862068965504</v>
      </c>
      <c r="F1165" s="33">
        <v>3.5921990804597699</v>
      </c>
      <c r="G1165" s="2">
        <v>0.81132222222222194</v>
      </c>
      <c r="H1165" s="2">
        <v>0.99</v>
      </c>
      <c r="I1165" s="3"/>
      <c r="J1165" s="3"/>
      <c r="K1165" s="3"/>
      <c r="L1165" s="3"/>
      <c r="M1165" s="3"/>
      <c r="N1165" s="3">
        <v>0</v>
      </c>
      <c r="O1165" s="3"/>
      <c r="P1165" s="3">
        <v>0</v>
      </c>
      <c r="Q1165" s="3">
        <v>0</v>
      </c>
      <c r="R1165" s="3">
        <v>0</v>
      </c>
      <c r="S1165" s="3">
        <v>0</v>
      </c>
      <c r="T1165" s="3">
        <v>0</v>
      </c>
      <c r="U1165" s="3"/>
      <c r="V1165" s="3"/>
      <c r="W1165" s="3"/>
      <c r="X1165" s="3"/>
      <c r="Y1165" s="3"/>
      <c r="Z1165" s="3"/>
      <c r="AA1165" s="3"/>
      <c r="AB1165" s="3"/>
      <c r="AC1165" s="3"/>
      <c r="AD1165" s="3"/>
      <c r="AE1165" s="3">
        <v>0</v>
      </c>
      <c r="AF1165" s="3">
        <v>0</v>
      </c>
      <c r="AG1165" s="3"/>
      <c r="AH1165" s="40"/>
      <c r="AI1165" s="40"/>
      <c r="AJ1165" s="40"/>
      <c r="AK1165" s="40"/>
      <c r="AL1165" s="40"/>
      <c r="AM1165" s="40"/>
      <c r="AN1165" s="40"/>
      <c r="AO1165" s="40"/>
      <c r="AP1165" s="40"/>
      <c r="AQ1165" s="40"/>
      <c r="AR1165" s="31"/>
      <c r="AS1165" s="36">
        <v>0</v>
      </c>
      <c r="AY1165" s="6"/>
      <c r="AZ1165" s="2"/>
      <c r="BA1165" s="2"/>
      <c r="BB1165" s="2"/>
      <c r="BC1165">
        <v>71500</v>
      </c>
      <c r="BD1165">
        <v>56992</v>
      </c>
    </row>
    <row r="1166" spans="3:56" x14ac:dyDescent="0.25">
      <c r="C1166" s="1">
        <v>46786</v>
      </c>
      <c r="D1166" s="36">
        <v>257373.372413793</v>
      </c>
      <c r="E1166" s="33">
        <v>4.4275862068965504</v>
      </c>
      <c r="F1166" s="33">
        <v>3.59214988505747</v>
      </c>
      <c r="G1166" s="2">
        <v>0.81131111111111098</v>
      </c>
      <c r="H1166" s="2">
        <v>0.99</v>
      </c>
      <c r="I1166" s="3"/>
      <c r="J1166" s="3"/>
      <c r="K1166" s="3"/>
      <c r="L1166" s="3"/>
      <c r="M1166" s="3"/>
      <c r="N1166" s="3">
        <v>0</v>
      </c>
      <c r="O1166" s="3"/>
      <c r="P1166" s="3">
        <v>0</v>
      </c>
      <c r="Q1166" s="3">
        <v>0</v>
      </c>
      <c r="R1166" s="3">
        <v>0</v>
      </c>
      <c r="S1166" s="3">
        <v>0</v>
      </c>
      <c r="T1166" s="3">
        <v>0</v>
      </c>
      <c r="U1166" s="3"/>
      <c r="V1166" s="3"/>
      <c r="W1166" s="3"/>
      <c r="X1166" s="3"/>
      <c r="Y1166" s="3"/>
      <c r="Z1166" s="3"/>
      <c r="AA1166" s="3"/>
      <c r="AB1166" s="3"/>
      <c r="AC1166" s="3"/>
      <c r="AD1166" s="3"/>
      <c r="AE1166" s="3">
        <v>0</v>
      </c>
      <c r="AF1166" s="3">
        <v>0</v>
      </c>
      <c r="AG1166" s="3"/>
      <c r="AH1166" s="40"/>
      <c r="AI1166" s="40"/>
      <c r="AJ1166" s="40"/>
      <c r="AK1166" s="40"/>
      <c r="AL1166" s="40"/>
      <c r="AM1166" s="40"/>
      <c r="AN1166" s="40"/>
      <c r="AO1166" s="40"/>
      <c r="AP1166" s="40"/>
      <c r="AQ1166" s="40"/>
      <c r="AR1166" s="31"/>
      <c r="AS1166" s="36">
        <v>0</v>
      </c>
      <c r="AY1166" s="6"/>
      <c r="AZ1166" s="2"/>
      <c r="BA1166" s="2"/>
      <c r="BB1166" s="2"/>
      <c r="BC1166">
        <v>71500</v>
      </c>
      <c r="BD1166">
        <v>56992</v>
      </c>
    </row>
    <row r="1167" spans="3:56" x14ac:dyDescent="0.25">
      <c r="C1167" s="1">
        <v>46787</v>
      </c>
      <c r="D1167" s="36">
        <v>257373.372413793</v>
      </c>
      <c r="E1167" s="33">
        <v>4.4275862068965504</v>
      </c>
      <c r="F1167" s="33">
        <v>3.5921006896551702</v>
      </c>
      <c r="G1167" s="2">
        <v>0.81130000000000002</v>
      </c>
      <c r="H1167" s="2">
        <v>0.99</v>
      </c>
      <c r="I1167" s="3"/>
      <c r="J1167" s="3"/>
      <c r="K1167" s="3"/>
      <c r="L1167" s="3"/>
      <c r="M1167" s="3"/>
      <c r="N1167" s="3">
        <v>0</v>
      </c>
      <c r="O1167" s="3"/>
      <c r="P1167" s="3">
        <v>0</v>
      </c>
      <c r="Q1167" s="3">
        <v>0</v>
      </c>
      <c r="R1167" s="3">
        <v>0</v>
      </c>
      <c r="S1167" s="3">
        <v>0</v>
      </c>
      <c r="T1167" s="3">
        <v>0</v>
      </c>
      <c r="U1167" s="3"/>
      <c r="V1167" s="3"/>
      <c r="W1167" s="3"/>
      <c r="X1167" s="3"/>
      <c r="Y1167" s="3"/>
      <c r="Z1167" s="3"/>
      <c r="AA1167" s="3"/>
      <c r="AB1167" s="3"/>
      <c r="AC1167" s="3"/>
      <c r="AD1167" s="3"/>
      <c r="AE1167" s="3">
        <v>0</v>
      </c>
      <c r="AF1167" s="3">
        <v>0</v>
      </c>
      <c r="AG1167" s="3"/>
      <c r="AH1167" s="40"/>
      <c r="AI1167" s="40"/>
      <c r="AJ1167" s="40"/>
      <c r="AK1167" s="40"/>
      <c r="AL1167" s="40"/>
      <c r="AM1167" s="40"/>
      <c r="AN1167" s="40"/>
      <c r="AO1167" s="40"/>
      <c r="AP1167" s="40"/>
      <c r="AQ1167" s="40"/>
      <c r="AR1167" s="31"/>
      <c r="AS1167" s="36">
        <v>0</v>
      </c>
      <c r="AY1167" s="6"/>
      <c r="AZ1167" s="2"/>
      <c r="BA1167" s="2"/>
      <c r="BB1167" s="2"/>
      <c r="BC1167">
        <v>71500</v>
      </c>
      <c r="BD1167">
        <v>56992</v>
      </c>
    </row>
    <row r="1168" spans="3:56" x14ac:dyDescent="0.25">
      <c r="C1168" s="1">
        <v>46788</v>
      </c>
      <c r="D1168" s="36">
        <v>257373.372413793</v>
      </c>
      <c r="E1168" s="33">
        <v>4.4275862068965504</v>
      </c>
      <c r="F1168" s="33">
        <v>3.5920514942528698</v>
      </c>
      <c r="G1168" s="2">
        <v>0.81128888888888895</v>
      </c>
      <c r="H1168" s="2">
        <v>0.99</v>
      </c>
      <c r="I1168" s="3"/>
      <c r="J1168" s="3"/>
      <c r="K1168" s="3"/>
      <c r="L1168" s="3"/>
      <c r="M1168" s="3"/>
      <c r="N1168" s="3">
        <v>0</v>
      </c>
      <c r="O1168" s="3"/>
      <c r="P1168" s="3">
        <v>0</v>
      </c>
      <c r="Q1168" s="3">
        <v>0</v>
      </c>
      <c r="R1168" s="3">
        <v>0</v>
      </c>
      <c r="S1168" s="3">
        <v>0</v>
      </c>
      <c r="T1168" s="3">
        <v>0</v>
      </c>
      <c r="U1168" s="3"/>
      <c r="V1168" s="3"/>
      <c r="W1168" s="3"/>
      <c r="X1168" s="3"/>
      <c r="Y1168" s="3"/>
      <c r="Z1168" s="3"/>
      <c r="AA1168" s="3"/>
      <c r="AB1168" s="3"/>
      <c r="AC1168" s="3"/>
      <c r="AD1168" s="3"/>
      <c r="AE1168" s="3">
        <v>0</v>
      </c>
      <c r="AF1168" s="3">
        <v>0</v>
      </c>
      <c r="AG1168" s="3"/>
      <c r="AH1168" s="40"/>
      <c r="AI1168" s="40"/>
      <c r="AJ1168" s="40"/>
      <c r="AK1168" s="40"/>
      <c r="AL1168" s="40"/>
      <c r="AM1168" s="40"/>
      <c r="AN1168" s="40"/>
      <c r="AO1168" s="40"/>
      <c r="AP1168" s="40"/>
      <c r="AQ1168" s="40"/>
      <c r="AR1168" s="31"/>
      <c r="AS1168" s="36">
        <v>0</v>
      </c>
      <c r="AY1168" s="6"/>
      <c r="AZ1168" s="2"/>
      <c r="BA1168" s="2"/>
      <c r="BB1168" s="2"/>
      <c r="BC1168">
        <v>71500</v>
      </c>
      <c r="BD1168">
        <v>56992</v>
      </c>
    </row>
    <row r="1169" spans="3:56" x14ac:dyDescent="0.25">
      <c r="C1169" s="1">
        <v>46789</v>
      </c>
      <c r="D1169" s="36">
        <v>257373.372413793</v>
      </c>
      <c r="E1169" s="33">
        <v>4.4275862068965504</v>
      </c>
      <c r="F1169" s="33">
        <v>3.59200229885057</v>
      </c>
      <c r="G1169" s="2">
        <v>0.81127777777777799</v>
      </c>
      <c r="H1169" s="2">
        <v>0.99</v>
      </c>
      <c r="I1169" s="3"/>
      <c r="J1169" s="3"/>
      <c r="K1169" s="3"/>
      <c r="L1169" s="3"/>
      <c r="M1169" s="3"/>
      <c r="N1169" s="3">
        <v>0</v>
      </c>
      <c r="O1169" s="3"/>
      <c r="P1169" s="3">
        <v>0</v>
      </c>
      <c r="Q1169" s="3">
        <v>0</v>
      </c>
      <c r="R1169" s="3">
        <v>0</v>
      </c>
      <c r="S1169" s="3">
        <v>0</v>
      </c>
      <c r="T1169" s="3">
        <v>0</v>
      </c>
      <c r="U1169" s="3"/>
      <c r="V1169" s="3"/>
      <c r="W1169" s="3"/>
      <c r="X1169" s="3"/>
      <c r="Y1169" s="3"/>
      <c r="Z1169" s="3"/>
      <c r="AA1169" s="3"/>
      <c r="AB1169" s="3"/>
      <c r="AC1169" s="3"/>
      <c r="AD1169" s="3"/>
      <c r="AE1169" s="3">
        <v>0</v>
      </c>
      <c r="AF1169" s="3">
        <v>0</v>
      </c>
      <c r="AG1169" s="3"/>
      <c r="AH1169" s="40"/>
      <c r="AI1169" s="40"/>
      <c r="AJ1169" s="40"/>
      <c r="AK1169" s="40"/>
      <c r="AL1169" s="40"/>
      <c r="AM1169" s="40"/>
      <c r="AN1169" s="40"/>
      <c r="AO1169" s="40"/>
      <c r="AP1169" s="40"/>
      <c r="AQ1169" s="40"/>
      <c r="AR1169" s="31"/>
      <c r="AS1169" s="36">
        <v>0</v>
      </c>
      <c r="AY1169" s="6"/>
      <c r="AZ1169" s="2"/>
      <c r="BA1169" s="2"/>
      <c r="BB1169" s="2"/>
      <c r="BC1169">
        <v>71500</v>
      </c>
      <c r="BD1169">
        <v>56992</v>
      </c>
    </row>
    <row r="1170" spans="3:56" x14ac:dyDescent="0.25">
      <c r="C1170" s="1">
        <v>46790</v>
      </c>
      <c r="D1170" s="36">
        <v>257373.372413793</v>
      </c>
      <c r="E1170" s="33">
        <v>4.4275862068965504</v>
      </c>
      <c r="F1170" s="33">
        <v>3.5919531034482799</v>
      </c>
      <c r="G1170" s="2">
        <v>0.81126666666666702</v>
      </c>
      <c r="H1170" s="2">
        <v>0.99</v>
      </c>
      <c r="I1170" s="3"/>
      <c r="J1170" s="3"/>
      <c r="K1170" s="3"/>
      <c r="L1170" s="3"/>
      <c r="M1170" s="3"/>
      <c r="N1170" s="3">
        <v>0</v>
      </c>
      <c r="O1170" s="3"/>
      <c r="P1170" s="3">
        <v>0</v>
      </c>
      <c r="Q1170" s="3">
        <v>0</v>
      </c>
      <c r="R1170" s="3">
        <v>0</v>
      </c>
      <c r="S1170" s="3">
        <v>0</v>
      </c>
      <c r="T1170" s="3">
        <v>0</v>
      </c>
      <c r="U1170" s="3"/>
      <c r="V1170" s="3"/>
      <c r="W1170" s="3"/>
      <c r="X1170" s="3"/>
      <c r="Y1170" s="3"/>
      <c r="Z1170" s="3"/>
      <c r="AA1170" s="3"/>
      <c r="AB1170" s="3"/>
      <c r="AC1170" s="3"/>
      <c r="AD1170" s="3"/>
      <c r="AE1170" s="3">
        <v>0</v>
      </c>
      <c r="AF1170" s="3">
        <v>0</v>
      </c>
      <c r="AG1170" s="3"/>
      <c r="AH1170" s="40"/>
      <c r="AI1170" s="40"/>
      <c r="AJ1170" s="40"/>
      <c r="AK1170" s="40"/>
      <c r="AL1170" s="40"/>
      <c r="AM1170" s="40"/>
      <c r="AN1170" s="40"/>
      <c r="AO1170" s="40"/>
      <c r="AP1170" s="40"/>
      <c r="AQ1170" s="40"/>
      <c r="AR1170" s="31"/>
      <c r="AS1170" s="36">
        <v>0</v>
      </c>
      <c r="AY1170" s="6"/>
      <c r="AZ1170" s="2"/>
      <c r="BA1170" s="2"/>
      <c r="BB1170" s="2"/>
      <c r="BC1170">
        <v>71500</v>
      </c>
      <c r="BD1170">
        <v>56992</v>
      </c>
    </row>
    <row r="1171" spans="3:56" x14ac:dyDescent="0.25">
      <c r="C1171" s="1">
        <v>46791</v>
      </c>
      <c r="D1171" s="36">
        <v>257373.372413793</v>
      </c>
      <c r="E1171" s="33">
        <v>4.4275862068965504</v>
      </c>
      <c r="F1171" s="33">
        <v>3.59190390804598</v>
      </c>
      <c r="G1171" s="2">
        <v>0.81125555555555595</v>
      </c>
      <c r="H1171" s="2">
        <v>0.99</v>
      </c>
      <c r="I1171" s="3"/>
      <c r="J1171" s="3"/>
      <c r="K1171" s="3"/>
      <c r="L1171" s="3"/>
      <c r="M1171" s="3"/>
      <c r="N1171" s="3">
        <v>0</v>
      </c>
      <c r="O1171" s="3"/>
      <c r="P1171" s="3">
        <v>0</v>
      </c>
      <c r="Q1171" s="3">
        <v>0</v>
      </c>
      <c r="R1171" s="3">
        <v>0</v>
      </c>
      <c r="S1171" s="3">
        <v>0</v>
      </c>
      <c r="T1171" s="3">
        <v>0</v>
      </c>
      <c r="U1171" s="3"/>
      <c r="V1171" s="3"/>
      <c r="W1171" s="3"/>
      <c r="X1171" s="3"/>
      <c r="Y1171" s="3"/>
      <c r="Z1171" s="3"/>
      <c r="AA1171" s="3"/>
      <c r="AB1171" s="3"/>
      <c r="AC1171" s="3"/>
      <c r="AD1171" s="3"/>
      <c r="AE1171" s="3">
        <v>0</v>
      </c>
      <c r="AF1171" s="3">
        <v>0</v>
      </c>
      <c r="AG1171" s="3"/>
      <c r="AH1171" s="40"/>
      <c r="AI1171" s="40"/>
      <c r="AJ1171" s="40"/>
      <c r="AK1171" s="40"/>
      <c r="AL1171" s="40"/>
      <c r="AM1171" s="40"/>
      <c r="AN1171" s="40"/>
      <c r="AO1171" s="40"/>
      <c r="AP1171" s="40"/>
      <c r="AQ1171" s="40"/>
      <c r="AR1171" s="31"/>
      <c r="AS1171" s="36">
        <v>0</v>
      </c>
      <c r="AY1171" s="6"/>
      <c r="AZ1171" s="2"/>
      <c r="BA1171" s="2"/>
      <c r="BB1171" s="2"/>
      <c r="BC1171">
        <v>71500</v>
      </c>
      <c r="BD1171">
        <v>56992</v>
      </c>
    </row>
    <row r="1172" spans="3:56" x14ac:dyDescent="0.25">
      <c r="C1172" s="1">
        <v>46792</v>
      </c>
      <c r="D1172" s="36">
        <v>257373.372413793</v>
      </c>
      <c r="E1172" s="33">
        <v>4.4275862068965504</v>
      </c>
      <c r="F1172" s="33">
        <v>3.5918547126436802</v>
      </c>
      <c r="G1172" s="2">
        <v>0.81124444444444399</v>
      </c>
      <c r="H1172" s="2">
        <v>0.99</v>
      </c>
      <c r="I1172" s="3"/>
      <c r="J1172" s="3"/>
      <c r="K1172" s="3"/>
      <c r="L1172" s="3"/>
      <c r="M1172" s="3"/>
      <c r="N1172" s="3">
        <v>0</v>
      </c>
      <c r="O1172" s="3"/>
      <c r="P1172" s="3">
        <v>0</v>
      </c>
      <c r="Q1172" s="3">
        <v>0</v>
      </c>
      <c r="R1172" s="3">
        <v>0</v>
      </c>
      <c r="S1172" s="3">
        <v>0</v>
      </c>
      <c r="T1172" s="3">
        <v>0</v>
      </c>
      <c r="U1172" s="3"/>
      <c r="V1172" s="3"/>
      <c r="W1172" s="3"/>
      <c r="X1172" s="3"/>
      <c r="Y1172" s="3"/>
      <c r="Z1172" s="3"/>
      <c r="AA1172" s="3"/>
      <c r="AB1172" s="3"/>
      <c r="AC1172" s="3"/>
      <c r="AD1172" s="3"/>
      <c r="AE1172" s="3">
        <v>0</v>
      </c>
      <c r="AF1172" s="3">
        <v>0</v>
      </c>
      <c r="AG1172" s="3"/>
      <c r="AH1172" s="40"/>
      <c r="AI1172" s="40"/>
      <c r="AJ1172" s="40"/>
      <c r="AK1172" s="40"/>
      <c r="AL1172" s="40"/>
      <c r="AM1172" s="40"/>
      <c r="AN1172" s="40"/>
      <c r="AO1172" s="40"/>
      <c r="AP1172" s="40"/>
      <c r="AQ1172" s="40"/>
      <c r="AR1172" s="31"/>
      <c r="AS1172" s="36">
        <v>0</v>
      </c>
      <c r="AY1172" s="6"/>
      <c r="AZ1172" s="2"/>
      <c r="BA1172" s="2"/>
      <c r="BB1172" s="2"/>
      <c r="BC1172">
        <v>71500</v>
      </c>
      <c r="BD1172">
        <v>56992</v>
      </c>
    </row>
    <row r="1173" spans="3:56" x14ac:dyDescent="0.25">
      <c r="C1173" s="1">
        <v>46793</v>
      </c>
      <c r="D1173" s="36">
        <v>257373.372413793</v>
      </c>
      <c r="E1173" s="33">
        <v>4.4275862068965504</v>
      </c>
      <c r="F1173" s="33">
        <v>3.5918055172413799</v>
      </c>
      <c r="G1173" s="2">
        <v>0.81123333333333303</v>
      </c>
      <c r="H1173" s="2">
        <v>0.99</v>
      </c>
      <c r="I1173" s="3"/>
      <c r="J1173" s="3"/>
      <c r="K1173" s="3"/>
      <c r="L1173" s="3"/>
      <c r="M1173" s="3"/>
      <c r="N1173" s="3">
        <v>0</v>
      </c>
      <c r="O1173" s="3"/>
      <c r="P1173" s="3">
        <v>0</v>
      </c>
      <c r="Q1173" s="3">
        <v>0</v>
      </c>
      <c r="R1173" s="3">
        <v>0</v>
      </c>
      <c r="S1173" s="3">
        <v>0</v>
      </c>
      <c r="T1173" s="3">
        <v>0</v>
      </c>
      <c r="U1173" s="3"/>
      <c r="V1173" s="3"/>
      <c r="W1173" s="3"/>
      <c r="X1173" s="3"/>
      <c r="Y1173" s="3"/>
      <c r="Z1173" s="3"/>
      <c r="AA1173" s="3"/>
      <c r="AB1173" s="3"/>
      <c r="AC1173" s="3"/>
      <c r="AD1173" s="3"/>
      <c r="AE1173" s="3">
        <v>0</v>
      </c>
      <c r="AF1173" s="3">
        <v>0</v>
      </c>
      <c r="AG1173" s="3"/>
      <c r="AH1173" s="40"/>
      <c r="AI1173" s="40"/>
      <c r="AJ1173" s="40"/>
      <c r="AK1173" s="40"/>
      <c r="AL1173" s="40"/>
      <c r="AM1173" s="40"/>
      <c r="AN1173" s="40"/>
      <c r="AO1173" s="40"/>
      <c r="AP1173" s="40"/>
      <c r="AQ1173" s="40"/>
      <c r="AR1173" s="31"/>
      <c r="AS1173" s="36">
        <v>0</v>
      </c>
      <c r="AY1173" s="6"/>
      <c r="AZ1173" s="2"/>
      <c r="BA1173" s="2"/>
      <c r="BB1173" s="2"/>
      <c r="BC1173">
        <v>71500</v>
      </c>
      <c r="BD1173">
        <v>56992</v>
      </c>
    </row>
    <row r="1174" spans="3:56" x14ac:dyDescent="0.25">
      <c r="C1174" s="1">
        <v>46794</v>
      </c>
      <c r="D1174" s="36">
        <v>257373.372413793</v>
      </c>
      <c r="E1174" s="33">
        <v>4.4275862068965504</v>
      </c>
      <c r="F1174" s="33">
        <v>3.59175632183908</v>
      </c>
      <c r="G1174" s="2">
        <v>0.81122222222222196</v>
      </c>
      <c r="H1174" s="2">
        <v>0.99</v>
      </c>
      <c r="I1174" s="3"/>
      <c r="J1174" s="3"/>
      <c r="K1174" s="3"/>
      <c r="L1174" s="3"/>
      <c r="M1174" s="3"/>
      <c r="N1174" s="3">
        <v>0</v>
      </c>
      <c r="O1174" s="3"/>
      <c r="P1174" s="3">
        <v>0</v>
      </c>
      <c r="Q1174" s="3">
        <v>0</v>
      </c>
      <c r="R1174" s="3">
        <v>0</v>
      </c>
      <c r="S1174" s="3">
        <v>0</v>
      </c>
      <c r="T1174" s="3">
        <v>0</v>
      </c>
      <c r="U1174" s="3"/>
      <c r="V1174" s="3"/>
      <c r="W1174" s="3"/>
      <c r="X1174" s="3"/>
      <c r="Y1174" s="3"/>
      <c r="Z1174" s="3"/>
      <c r="AA1174" s="3"/>
      <c r="AB1174" s="3"/>
      <c r="AC1174" s="3"/>
      <c r="AD1174" s="3"/>
      <c r="AE1174" s="3">
        <v>0</v>
      </c>
      <c r="AF1174" s="3">
        <v>0</v>
      </c>
      <c r="AG1174" s="3"/>
      <c r="AH1174" s="40"/>
      <c r="AI1174" s="40"/>
      <c r="AJ1174" s="40"/>
      <c r="AK1174" s="40"/>
      <c r="AL1174" s="40"/>
      <c r="AM1174" s="40"/>
      <c r="AN1174" s="40"/>
      <c r="AO1174" s="40"/>
      <c r="AP1174" s="40"/>
      <c r="AQ1174" s="40"/>
      <c r="AR1174" s="31"/>
      <c r="AS1174" s="36">
        <v>0</v>
      </c>
      <c r="AY1174" s="6"/>
      <c r="AZ1174" s="2"/>
      <c r="BA1174" s="2"/>
      <c r="BB1174" s="2"/>
      <c r="BC1174">
        <v>71500</v>
      </c>
      <c r="BD1174">
        <v>56992</v>
      </c>
    </row>
    <row r="1175" spans="3:56" x14ac:dyDescent="0.25">
      <c r="C1175" s="1">
        <v>46795</v>
      </c>
      <c r="D1175" s="36">
        <v>257373.372413793</v>
      </c>
      <c r="E1175" s="33">
        <v>4.4275862068965504</v>
      </c>
      <c r="F1175" s="33">
        <v>3.5917071264367801</v>
      </c>
      <c r="G1175" s="2">
        <v>0.81121111111111099</v>
      </c>
      <c r="H1175" s="2">
        <v>0.99</v>
      </c>
      <c r="I1175" s="3"/>
      <c r="J1175" s="3"/>
      <c r="K1175" s="3"/>
      <c r="L1175" s="3"/>
      <c r="M1175" s="3"/>
      <c r="N1175" s="3">
        <v>0</v>
      </c>
      <c r="O1175" s="3"/>
      <c r="P1175" s="3">
        <v>0</v>
      </c>
      <c r="Q1175" s="3">
        <v>0</v>
      </c>
      <c r="R1175" s="3">
        <v>0</v>
      </c>
      <c r="S1175" s="3">
        <v>0</v>
      </c>
      <c r="T1175" s="3">
        <v>0</v>
      </c>
      <c r="U1175" s="3"/>
      <c r="V1175" s="3"/>
      <c r="W1175" s="3"/>
      <c r="X1175" s="3"/>
      <c r="Y1175" s="3"/>
      <c r="Z1175" s="3"/>
      <c r="AA1175" s="3"/>
      <c r="AB1175" s="3"/>
      <c r="AC1175" s="3"/>
      <c r="AD1175" s="3"/>
      <c r="AE1175" s="3">
        <v>0</v>
      </c>
      <c r="AF1175" s="3">
        <v>0</v>
      </c>
      <c r="AG1175" s="3"/>
      <c r="AH1175" s="40"/>
      <c r="AI1175" s="40"/>
      <c r="AJ1175" s="40"/>
      <c r="AK1175" s="40"/>
      <c r="AL1175" s="40"/>
      <c r="AM1175" s="40"/>
      <c r="AN1175" s="40"/>
      <c r="AO1175" s="40"/>
      <c r="AP1175" s="40"/>
      <c r="AQ1175" s="40"/>
      <c r="AR1175" s="31"/>
      <c r="AS1175" s="36">
        <v>0</v>
      </c>
      <c r="AY1175" s="6"/>
      <c r="AZ1175" s="2"/>
      <c r="BA1175" s="2"/>
      <c r="BB1175" s="2"/>
      <c r="BC1175">
        <v>71500</v>
      </c>
      <c r="BD1175">
        <v>56992</v>
      </c>
    </row>
    <row r="1176" spans="3:56" x14ac:dyDescent="0.25">
      <c r="C1176" s="1">
        <v>46796</v>
      </c>
      <c r="D1176" s="36">
        <v>257373.372413793</v>
      </c>
      <c r="E1176" s="33">
        <v>4.4275862068965504</v>
      </c>
      <c r="F1176" s="33">
        <v>3.5916579310344798</v>
      </c>
      <c r="G1176" s="2">
        <v>0.81120000000000003</v>
      </c>
      <c r="H1176" s="2">
        <v>0.99</v>
      </c>
      <c r="I1176" s="3"/>
      <c r="J1176" s="3"/>
      <c r="K1176" s="3"/>
      <c r="L1176" s="3"/>
      <c r="M1176" s="3"/>
      <c r="N1176" s="3">
        <v>0</v>
      </c>
      <c r="O1176" s="3"/>
      <c r="P1176" s="3">
        <v>0</v>
      </c>
      <c r="Q1176" s="3">
        <v>0</v>
      </c>
      <c r="R1176" s="3">
        <v>0</v>
      </c>
      <c r="S1176" s="3">
        <v>0</v>
      </c>
      <c r="T1176" s="3">
        <v>0</v>
      </c>
      <c r="U1176" s="3"/>
      <c r="V1176" s="3"/>
      <c r="W1176" s="3"/>
      <c r="X1176" s="3"/>
      <c r="Y1176" s="3"/>
      <c r="Z1176" s="3"/>
      <c r="AA1176" s="3"/>
      <c r="AB1176" s="3"/>
      <c r="AC1176" s="3"/>
      <c r="AD1176" s="3"/>
      <c r="AE1176" s="3">
        <v>0</v>
      </c>
      <c r="AF1176" s="3">
        <v>0</v>
      </c>
      <c r="AG1176" s="3"/>
      <c r="AH1176" s="40"/>
      <c r="AI1176" s="40"/>
      <c r="AJ1176" s="40"/>
      <c r="AK1176" s="40"/>
      <c r="AL1176" s="40"/>
      <c r="AM1176" s="40"/>
      <c r="AN1176" s="40"/>
      <c r="AO1176" s="40"/>
      <c r="AP1176" s="40"/>
      <c r="AQ1176" s="40"/>
      <c r="AR1176" s="31"/>
      <c r="AS1176" s="36">
        <v>0</v>
      </c>
      <c r="AY1176" s="6"/>
      <c r="AZ1176" s="2"/>
      <c r="BA1176" s="2"/>
      <c r="BB1176" s="2"/>
      <c r="BC1176">
        <v>71500</v>
      </c>
      <c r="BD1176">
        <v>56992</v>
      </c>
    </row>
    <row r="1177" spans="3:56" x14ac:dyDescent="0.25">
      <c r="C1177" s="1">
        <v>46797</v>
      </c>
      <c r="D1177" s="36">
        <v>257373.372413793</v>
      </c>
      <c r="E1177" s="33">
        <v>4.4275862068965504</v>
      </c>
      <c r="F1177" s="33">
        <v>3.59160873563218</v>
      </c>
      <c r="G1177" s="2">
        <v>0.81118888888888896</v>
      </c>
      <c r="H1177" s="2">
        <v>0.99</v>
      </c>
      <c r="I1177" s="3"/>
      <c r="J1177" s="3"/>
      <c r="K1177" s="3"/>
      <c r="L1177" s="3"/>
      <c r="M1177" s="3"/>
      <c r="N1177" s="3">
        <v>0</v>
      </c>
      <c r="O1177" s="3"/>
      <c r="P1177" s="3">
        <v>0</v>
      </c>
      <c r="Q1177" s="3">
        <v>0</v>
      </c>
      <c r="R1177" s="3">
        <v>0</v>
      </c>
      <c r="S1177" s="3">
        <v>0</v>
      </c>
      <c r="T1177" s="3">
        <v>0</v>
      </c>
      <c r="U1177" s="3"/>
      <c r="V1177" s="3"/>
      <c r="W1177" s="3"/>
      <c r="X1177" s="3"/>
      <c r="Y1177" s="3"/>
      <c r="Z1177" s="3"/>
      <c r="AA1177" s="3"/>
      <c r="AB1177" s="3"/>
      <c r="AC1177" s="3"/>
      <c r="AD1177" s="3"/>
      <c r="AE1177" s="3">
        <v>0</v>
      </c>
      <c r="AF1177" s="3">
        <v>0</v>
      </c>
      <c r="AG1177" s="3"/>
      <c r="AH1177" s="40"/>
      <c r="AI1177" s="40"/>
      <c r="AJ1177" s="40"/>
      <c r="AK1177" s="40"/>
      <c r="AL1177" s="40"/>
      <c r="AM1177" s="40"/>
      <c r="AN1177" s="40"/>
      <c r="AO1177" s="40"/>
      <c r="AP1177" s="40"/>
      <c r="AQ1177" s="40"/>
      <c r="AR1177" s="31"/>
      <c r="AS1177" s="36">
        <v>0</v>
      </c>
      <c r="AY1177" s="6"/>
      <c r="AZ1177" s="2"/>
      <c r="BA1177" s="2"/>
      <c r="BB1177" s="2"/>
      <c r="BC1177">
        <v>71500</v>
      </c>
      <c r="BD1177">
        <v>56992</v>
      </c>
    </row>
    <row r="1178" spans="3:56" x14ac:dyDescent="0.25">
      <c r="C1178" s="1">
        <v>46798</v>
      </c>
      <c r="D1178" s="36">
        <v>257373.372413793</v>
      </c>
      <c r="E1178" s="33">
        <v>4.4275862068965504</v>
      </c>
      <c r="F1178" s="33">
        <v>3.5915595402298899</v>
      </c>
      <c r="G1178" s="2">
        <v>0.811177777777778</v>
      </c>
      <c r="H1178" s="2">
        <v>0.99</v>
      </c>
      <c r="I1178" s="3"/>
      <c r="J1178" s="3"/>
      <c r="K1178" s="3"/>
      <c r="L1178" s="3"/>
      <c r="M1178" s="3"/>
      <c r="N1178" s="3">
        <v>0</v>
      </c>
      <c r="O1178" s="3"/>
      <c r="P1178" s="3">
        <v>0</v>
      </c>
      <c r="Q1178" s="3">
        <v>0</v>
      </c>
      <c r="R1178" s="3">
        <v>0</v>
      </c>
      <c r="S1178" s="3">
        <v>0</v>
      </c>
      <c r="T1178" s="3">
        <v>0</v>
      </c>
      <c r="U1178" s="3"/>
      <c r="V1178" s="3"/>
      <c r="W1178" s="3"/>
      <c r="X1178" s="3"/>
      <c r="Y1178" s="3"/>
      <c r="Z1178" s="3"/>
      <c r="AA1178" s="3"/>
      <c r="AB1178" s="3"/>
      <c r="AC1178" s="3"/>
      <c r="AD1178" s="3"/>
      <c r="AE1178" s="3">
        <v>0</v>
      </c>
      <c r="AF1178" s="3">
        <v>0</v>
      </c>
      <c r="AG1178" s="3"/>
      <c r="AH1178" s="40"/>
      <c r="AI1178" s="40"/>
      <c r="AJ1178" s="40"/>
      <c r="AK1178" s="40"/>
      <c r="AL1178" s="40"/>
      <c r="AM1178" s="40"/>
      <c r="AN1178" s="40"/>
      <c r="AO1178" s="40"/>
      <c r="AP1178" s="40"/>
      <c r="AQ1178" s="40"/>
      <c r="AR1178" s="31"/>
      <c r="AS1178" s="36">
        <v>0</v>
      </c>
      <c r="AY1178" s="6"/>
      <c r="AZ1178" s="2"/>
      <c r="BA1178" s="2"/>
      <c r="BB1178" s="2"/>
      <c r="BC1178">
        <v>71500</v>
      </c>
      <c r="BD1178">
        <v>56992</v>
      </c>
    </row>
    <row r="1179" spans="3:56" x14ac:dyDescent="0.25">
      <c r="C1179" s="1">
        <v>46799</v>
      </c>
      <c r="D1179" s="36">
        <v>257373.372413793</v>
      </c>
      <c r="E1179" s="33">
        <v>4.4275862068965504</v>
      </c>
      <c r="F1179" s="33">
        <v>3.59151034482759</v>
      </c>
      <c r="G1179" s="2">
        <v>0.81116666666666704</v>
      </c>
      <c r="H1179" s="2">
        <v>0.99</v>
      </c>
      <c r="I1179" s="3"/>
      <c r="J1179" s="3"/>
      <c r="K1179" s="3"/>
      <c r="L1179" s="3"/>
      <c r="M1179" s="3"/>
      <c r="N1179" s="3">
        <v>0</v>
      </c>
      <c r="O1179" s="3"/>
      <c r="P1179" s="3">
        <v>0</v>
      </c>
      <c r="Q1179" s="3">
        <v>0</v>
      </c>
      <c r="R1179" s="3">
        <v>0</v>
      </c>
      <c r="S1179" s="3">
        <v>0</v>
      </c>
      <c r="T1179" s="3">
        <v>0</v>
      </c>
      <c r="U1179" s="3"/>
      <c r="V1179" s="3"/>
      <c r="W1179" s="3"/>
      <c r="X1179" s="3"/>
      <c r="Y1179" s="3"/>
      <c r="Z1179" s="3"/>
      <c r="AA1179" s="3"/>
      <c r="AB1179" s="3"/>
      <c r="AC1179" s="3"/>
      <c r="AD1179" s="3"/>
      <c r="AE1179" s="3">
        <v>0</v>
      </c>
      <c r="AF1179" s="3">
        <v>0</v>
      </c>
      <c r="AG1179" s="3"/>
      <c r="AH1179" s="40"/>
      <c r="AI1179" s="40"/>
      <c r="AJ1179" s="40"/>
      <c r="AK1179" s="40"/>
      <c r="AL1179" s="40"/>
      <c r="AM1179" s="40"/>
      <c r="AN1179" s="40"/>
      <c r="AO1179" s="40"/>
      <c r="AP1179" s="40"/>
      <c r="AQ1179" s="40"/>
      <c r="AR1179" s="31"/>
      <c r="AS1179" s="36">
        <v>0</v>
      </c>
      <c r="AY1179" s="6"/>
      <c r="AZ1179" s="2"/>
      <c r="BA1179" s="2"/>
      <c r="BB1179" s="2"/>
      <c r="BC1179">
        <v>71500</v>
      </c>
      <c r="BD1179">
        <v>56992</v>
      </c>
    </row>
    <row r="1180" spans="3:56" x14ac:dyDescent="0.25">
      <c r="C1180" s="1">
        <v>46800</v>
      </c>
      <c r="D1180" s="36">
        <v>257373.372413793</v>
      </c>
      <c r="E1180" s="33">
        <v>4.4275862068965504</v>
      </c>
      <c r="F1180" s="33">
        <v>3.5914611494252902</v>
      </c>
      <c r="G1180" s="2">
        <v>0.81115555555555596</v>
      </c>
      <c r="H1180" s="2">
        <v>0.99</v>
      </c>
      <c r="I1180" s="3"/>
      <c r="J1180" s="3"/>
      <c r="K1180" s="3"/>
      <c r="L1180" s="3"/>
      <c r="M1180" s="3"/>
      <c r="N1180" s="3">
        <v>0</v>
      </c>
      <c r="O1180" s="3"/>
      <c r="P1180" s="3">
        <v>0</v>
      </c>
      <c r="Q1180" s="3">
        <v>0</v>
      </c>
      <c r="R1180" s="3">
        <v>0</v>
      </c>
      <c r="S1180" s="3">
        <v>0</v>
      </c>
      <c r="T1180" s="3">
        <v>0</v>
      </c>
      <c r="U1180" s="3"/>
      <c r="V1180" s="3"/>
      <c r="W1180" s="3"/>
      <c r="X1180" s="3"/>
      <c r="Y1180" s="3"/>
      <c r="Z1180" s="3"/>
      <c r="AA1180" s="3"/>
      <c r="AB1180" s="3"/>
      <c r="AC1180" s="3"/>
      <c r="AD1180" s="3"/>
      <c r="AE1180" s="3">
        <v>0</v>
      </c>
      <c r="AF1180" s="3">
        <v>0</v>
      </c>
      <c r="AG1180" s="3"/>
      <c r="AH1180" s="40"/>
      <c r="AI1180" s="40"/>
      <c r="AJ1180" s="40"/>
      <c r="AK1180" s="40"/>
      <c r="AL1180" s="40"/>
      <c r="AM1180" s="40"/>
      <c r="AN1180" s="40"/>
      <c r="AO1180" s="40"/>
      <c r="AP1180" s="40"/>
      <c r="AQ1180" s="40"/>
      <c r="AR1180" s="31"/>
      <c r="AS1180" s="36">
        <v>0</v>
      </c>
      <c r="AY1180" s="6"/>
      <c r="AZ1180" s="2"/>
      <c r="BA1180" s="2"/>
      <c r="BB1180" s="2"/>
      <c r="BC1180">
        <v>71500</v>
      </c>
      <c r="BD1180">
        <v>56992</v>
      </c>
    </row>
    <row r="1181" spans="3:56" x14ac:dyDescent="0.25">
      <c r="C1181" s="1">
        <v>46801</v>
      </c>
      <c r="D1181" s="36">
        <v>257373.372413793</v>
      </c>
      <c r="E1181" s="33">
        <v>4.4275862068965504</v>
      </c>
      <c r="F1181" s="33">
        <v>3.5914119540229898</v>
      </c>
      <c r="G1181" s="2">
        <v>0.811144444444444</v>
      </c>
      <c r="H1181" s="2">
        <v>0.99</v>
      </c>
      <c r="I1181" s="3"/>
      <c r="J1181" s="3"/>
      <c r="K1181" s="3"/>
      <c r="L1181" s="3"/>
      <c r="M1181" s="3"/>
      <c r="N1181" s="3">
        <v>0</v>
      </c>
      <c r="O1181" s="3"/>
      <c r="P1181" s="3">
        <v>0</v>
      </c>
      <c r="Q1181" s="3">
        <v>0</v>
      </c>
      <c r="R1181" s="3">
        <v>0</v>
      </c>
      <c r="S1181" s="3">
        <v>0</v>
      </c>
      <c r="T1181" s="3">
        <v>0</v>
      </c>
      <c r="U1181" s="3"/>
      <c r="V1181" s="3"/>
      <c r="W1181" s="3"/>
      <c r="X1181" s="3"/>
      <c r="Y1181" s="3"/>
      <c r="Z1181" s="3"/>
      <c r="AA1181" s="3"/>
      <c r="AB1181" s="3"/>
      <c r="AC1181" s="3"/>
      <c r="AD1181" s="3"/>
      <c r="AE1181" s="3">
        <v>0</v>
      </c>
      <c r="AF1181" s="3">
        <v>0</v>
      </c>
      <c r="AG1181" s="3"/>
      <c r="AH1181" s="40"/>
      <c r="AI1181" s="40"/>
      <c r="AJ1181" s="40"/>
      <c r="AK1181" s="40"/>
      <c r="AL1181" s="40"/>
      <c r="AM1181" s="40"/>
      <c r="AN1181" s="40"/>
      <c r="AO1181" s="40"/>
      <c r="AP1181" s="40"/>
      <c r="AQ1181" s="40"/>
      <c r="AR1181" s="31"/>
      <c r="AS1181" s="36">
        <v>0</v>
      </c>
      <c r="AY1181" s="6"/>
      <c r="AZ1181" s="2"/>
      <c r="BA1181" s="2"/>
      <c r="BB1181" s="2"/>
      <c r="BC1181">
        <v>71500</v>
      </c>
      <c r="BD1181">
        <v>56992</v>
      </c>
    </row>
    <row r="1182" spans="3:56" x14ac:dyDescent="0.25">
      <c r="C1182" s="1">
        <v>46802</v>
      </c>
      <c r="D1182" s="36">
        <v>257373.372413793</v>
      </c>
      <c r="E1182" s="33">
        <v>4.4275862068965504</v>
      </c>
      <c r="F1182" s="33">
        <v>3.59136275862069</v>
      </c>
      <c r="G1182" s="2">
        <v>0.81113333333333304</v>
      </c>
      <c r="H1182" s="2">
        <v>0.99</v>
      </c>
      <c r="I1182" s="3"/>
      <c r="J1182" s="3"/>
      <c r="K1182" s="3"/>
      <c r="L1182" s="3"/>
      <c r="M1182" s="3"/>
      <c r="N1182" s="3">
        <v>0</v>
      </c>
      <c r="O1182" s="3"/>
      <c r="P1182" s="3">
        <v>0</v>
      </c>
      <c r="Q1182" s="3">
        <v>0</v>
      </c>
      <c r="R1182" s="3">
        <v>0</v>
      </c>
      <c r="S1182" s="3">
        <v>0</v>
      </c>
      <c r="T1182" s="3">
        <v>0</v>
      </c>
      <c r="U1182" s="3"/>
      <c r="V1182" s="3"/>
      <c r="W1182" s="3"/>
      <c r="X1182" s="3"/>
      <c r="Y1182" s="3"/>
      <c r="Z1182" s="3"/>
      <c r="AA1182" s="3"/>
      <c r="AB1182" s="3"/>
      <c r="AC1182" s="3"/>
      <c r="AD1182" s="3"/>
      <c r="AE1182" s="3">
        <v>0</v>
      </c>
      <c r="AF1182" s="3">
        <v>0</v>
      </c>
      <c r="AG1182" s="3"/>
      <c r="AH1182" s="40"/>
      <c r="AI1182" s="40"/>
      <c r="AJ1182" s="40"/>
      <c r="AK1182" s="40"/>
      <c r="AL1182" s="40"/>
      <c r="AM1182" s="40"/>
      <c r="AN1182" s="40"/>
      <c r="AO1182" s="40"/>
      <c r="AP1182" s="40"/>
      <c r="AQ1182" s="40"/>
      <c r="AR1182" s="31"/>
      <c r="AS1182" s="36">
        <v>0</v>
      </c>
      <c r="AY1182" s="6"/>
      <c r="AZ1182" s="2"/>
      <c r="BA1182" s="2"/>
      <c r="BB1182" s="2"/>
      <c r="BC1182">
        <v>71500</v>
      </c>
      <c r="BD1182">
        <v>56992</v>
      </c>
    </row>
    <row r="1183" spans="3:56" x14ac:dyDescent="0.25">
      <c r="C1183" s="1">
        <v>46803</v>
      </c>
      <c r="D1183" s="36">
        <v>257373.372413793</v>
      </c>
      <c r="E1183" s="33">
        <v>4.4275862068965504</v>
      </c>
      <c r="F1183" s="33">
        <v>3.5913135632183901</v>
      </c>
      <c r="G1183" s="2">
        <v>0.81112222222222197</v>
      </c>
      <c r="H1183" s="2">
        <v>0.99</v>
      </c>
      <c r="I1183" s="3"/>
      <c r="J1183" s="3"/>
      <c r="K1183" s="3"/>
      <c r="L1183" s="3"/>
      <c r="M1183" s="3"/>
      <c r="N1183" s="3">
        <v>0</v>
      </c>
      <c r="O1183" s="3"/>
      <c r="P1183" s="3">
        <v>0</v>
      </c>
      <c r="Q1183" s="3">
        <v>0</v>
      </c>
      <c r="R1183" s="3">
        <v>0</v>
      </c>
      <c r="S1183" s="3">
        <v>0</v>
      </c>
      <c r="T1183" s="3">
        <v>0</v>
      </c>
      <c r="U1183" s="3"/>
      <c r="V1183" s="3"/>
      <c r="W1183" s="3"/>
      <c r="X1183" s="3"/>
      <c r="Y1183" s="3"/>
      <c r="Z1183" s="3"/>
      <c r="AA1183" s="3"/>
      <c r="AB1183" s="3"/>
      <c r="AC1183" s="3"/>
      <c r="AD1183" s="3"/>
      <c r="AE1183" s="3">
        <v>0</v>
      </c>
      <c r="AF1183" s="3">
        <v>0</v>
      </c>
      <c r="AG1183" s="3"/>
      <c r="AH1183" s="40"/>
      <c r="AI1183" s="40"/>
      <c r="AJ1183" s="40"/>
      <c r="AK1183" s="40"/>
      <c r="AL1183" s="40"/>
      <c r="AM1183" s="40"/>
      <c r="AN1183" s="40"/>
      <c r="AO1183" s="40"/>
      <c r="AP1183" s="40"/>
      <c r="AQ1183" s="40"/>
      <c r="AR1183" s="31"/>
      <c r="AS1183" s="36">
        <v>0</v>
      </c>
      <c r="AY1183" s="6"/>
      <c r="AZ1183" s="2"/>
      <c r="BA1183" s="2"/>
      <c r="BB1183" s="2"/>
      <c r="BC1183">
        <v>71500</v>
      </c>
      <c r="BD1183">
        <v>56992</v>
      </c>
    </row>
    <row r="1184" spans="3:56" x14ac:dyDescent="0.25">
      <c r="C1184" s="1">
        <v>46804</v>
      </c>
      <c r="D1184" s="36">
        <v>257373.372413793</v>
      </c>
      <c r="E1184" s="33">
        <v>4.4275862068965504</v>
      </c>
      <c r="F1184" s="33">
        <v>3.5912643678160898</v>
      </c>
      <c r="G1184" s="2">
        <v>0.81111111111111101</v>
      </c>
      <c r="H1184" s="2">
        <v>0.99</v>
      </c>
      <c r="I1184" s="3"/>
      <c r="J1184" s="3"/>
      <c r="K1184" s="3"/>
      <c r="L1184" s="3"/>
      <c r="M1184" s="3"/>
      <c r="N1184" s="3">
        <v>0</v>
      </c>
      <c r="O1184" s="3"/>
      <c r="P1184" s="3">
        <v>0</v>
      </c>
      <c r="Q1184" s="3">
        <v>0</v>
      </c>
      <c r="R1184" s="3">
        <v>0</v>
      </c>
      <c r="S1184" s="3">
        <v>0</v>
      </c>
      <c r="T1184" s="3">
        <v>0</v>
      </c>
      <c r="U1184" s="3"/>
      <c r="V1184" s="3"/>
      <c r="W1184" s="3"/>
      <c r="X1184" s="3"/>
      <c r="Y1184" s="3"/>
      <c r="Z1184" s="3"/>
      <c r="AA1184" s="3"/>
      <c r="AB1184" s="3"/>
      <c r="AC1184" s="3"/>
      <c r="AD1184" s="3"/>
      <c r="AE1184" s="3">
        <v>0</v>
      </c>
      <c r="AF1184" s="3">
        <v>0</v>
      </c>
      <c r="AG1184" s="3"/>
      <c r="AH1184" s="40"/>
      <c r="AI1184" s="40"/>
      <c r="AJ1184" s="40"/>
      <c r="AK1184" s="40"/>
      <c r="AL1184" s="40"/>
      <c r="AM1184" s="40"/>
      <c r="AN1184" s="40"/>
      <c r="AO1184" s="40"/>
      <c r="AP1184" s="40"/>
      <c r="AQ1184" s="40"/>
      <c r="AR1184" s="31"/>
      <c r="AS1184" s="36">
        <v>0</v>
      </c>
      <c r="AY1184" s="6"/>
      <c r="AZ1184" s="2"/>
      <c r="BA1184" s="2"/>
      <c r="BB1184" s="2"/>
      <c r="BC1184">
        <v>71500</v>
      </c>
      <c r="BD1184">
        <v>56992</v>
      </c>
    </row>
    <row r="1185" spans="3:56" x14ac:dyDescent="0.25">
      <c r="C1185" s="1">
        <v>46805</v>
      </c>
      <c r="D1185" s="36">
        <v>257373.372413793</v>
      </c>
      <c r="E1185" s="33">
        <v>4.4275862068965504</v>
      </c>
      <c r="F1185" s="33">
        <v>3.59121517241379</v>
      </c>
      <c r="G1185" s="2">
        <v>0.81110000000000004</v>
      </c>
      <c r="H1185" s="2">
        <v>0.99</v>
      </c>
      <c r="I1185" s="3"/>
      <c r="J1185" s="3"/>
      <c r="K1185" s="3"/>
      <c r="L1185" s="3"/>
      <c r="M1185" s="3"/>
      <c r="N1185" s="3">
        <v>0</v>
      </c>
      <c r="O1185" s="3"/>
      <c r="P1185" s="3">
        <v>0</v>
      </c>
      <c r="Q1185" s="3">
        <v>0</v>
      </c>
      <c r="R1185" s="3">
        <v>0</v>
      </c>
      <c r="S1185" s="3">
        <v>0</v>
      </c>
      <c r="T1185" s="3">
        <v>0</v>
      </c>
      <c r="U1185" s="3"/>
      <c r="V1185" s="3"/>
      <c r="W1185" s="3"/>
      <c r="X1185" s="3"/>
      <c r="Y1185" s="3"/>
      <c r="Z1185" s="3"/>
      <c r="AA1185" s="3"/>
      <c r="AB1185" s="3"/>
      <c r="AC1185" s="3"/>
      <c r="AD1185" s="3"/>
      <c r="AE1185" s="3">
        <v>0</v>
      </c>
      <c r="AF1185" s="3">
        <v>0</v>
      </c>
      <c r="AG1185" s="3"/>
      <c r="AH1185" s="40"/>
      <c r="AI1185" s="40"/>
      <c r="AJ1185" s="40"/>
      <c r="AK1185" s="40"/>
      <c r="AL1185" s="40"/>
      <c r="AM1185" s="40"/>
      <c r="AN1185" s="40"/>
      <c r="AO1185" s="40"/>
      <c r="AP1185" s="40"/>
      <c r="AQ1185" s="40"/>
      <c r="AR1185" s="31"/>
      <c r="AS1185" s="36">
        <v>0</v>
      </c>
      <c r="AY1185" s="6"/>
      <c r="AZ1185" s="2"/>
      <c r="BA1185" s="2"/>
      <c r="BB1185" s="2"/>
      <c r="BC1185">
        <v>71500</v>
      </c>
      <c r="BD1185">
        <v>56992</v>
      </c>
    </row>
    <row r="1186" spans="3:56" x14ac:dyDescent="0.25">
      <c r="C1186" s="1">
        <v>46806</v>
      </c>
      <c r="D1186" s="36">
        <v>257373.372413793</v>
      </c>
      <c r="E1186" s="33">
        <v>4.4275862068965504</v>
      </c>
      <c r="F1186" s="33">
        <v>3.5911659770114901</v>
      </c>
      <c r="G1186" s="2">
        <v>0.81108888888888897</v>
      </c>
      <c r="H1186" s="2">
        <v>0.99</v>
      </c>
      <c r="I1186" s="3"/>
      <c r="J1186" s="3"/>
      <c r="K1186" s="3"/>
      <c r="L1186" s="3"/>
      <c r="M1186" s="3"/>
      <c r="N1186" s="3">
        <v>0</v>
      </c>
      <c r="O1186" s="3"/>
      <c r="P1186" s="3">
        <v>0</v>
      </c>
      <c r="Q1186" s="3">
        <v>0</v>
      </c>
      <c r="R1186" s="3">
        <v>0</v>
      </c>
      <c r="S1186" s="3">
        <v>0</v>
      </c>
      <c r="T1186" s="3">
        <v>0</v>
      </c>
      <c r="U1186" s="3"/>
      <c r="V1186" s="3"/>
      <c r="W1186" s="3"/>
      <c r="X1186" s="3"/>
      <c r="Y1186" s="3"/>
      <c r="Z1186" s="3"/>
      <c r="AA1186" s="3"/>
      <c r="AB1186" s="3"/>
      <c r="AC1186" s="3"/>
      <c r="AD1186" s="3"/>
      <c r="AE1186" s="3">
        <v>0</v>
      </c>
      <c r="AF1186" s="3">
        <v>0</v>
      </c>
      <c r="AG1186" s="3"/>
      <c r="AH1186" s="40"/>
      <c r="AI1186" s="40"/>
      <c r="AJ1186" s="40"/>
      <c r="AK1186" s="40"/>
      <c r="AL1186" s="40"/>
      <c r="AM1186" s="40"/>
      <c r="AN1186" s="40"/>
      <c r="AO1186" s="40"/>
      <c r="AP1186" s="40"/>
      <c r="AQ1186" s="40"/>
      <c r="AR1186" s="31"/>
      <c r="AS1186" s="36">
        <v>0</v>
      </c>
      <c r="AY1186" s="6"/>
      <c r="AZ1186" s="2"/>
      <c r="BA1186" s="2"/>
      <c r="BB1186" s="2"/>
      <c r="BC1186">
        <v>71500</v>
      </c>
      <c r="BD1186">
        <v>56992</v>
      </c>
    </row>
    <row r="1187" spans="3:56" x14ac:dyDescent="0.25">
      <c r="C1187" s="1">
        <v>46807</v>
      </c>
      <c r="D1187" s="36">
        <v>257373.372413793</v>
      </c>
      <c r="E1187" s="33">
        <v>4.4275862068965504</v>
      </c>
      <c r="F1187" s="33">
        <v>3.5911167816092</v>
      </c>
      <c r="G1187" s="2">
        <v>0.81107777777777801</v>
      </c>
      <c r="H1187" s="2">
        <v>0.99</v>
      </c>
      <c r="I1187" s="3"/>
      <c r="J1187" s="3"/>
      <c r="K1187" s="3"/>
      <c r="L1187" s="3"/>
      <c r="M1187" s="3"/>
      <c r="N1187" s="3">
        <v>0</v>
      </c>
      <c r="O1187" s="3"/>
      <c r="P1187" s="3">
        <v>0</v>
      </c>
      <c r="Q1187" s="3">
        <v>0</v>
      </c>
      <c r="R1187" s="3">
        <v>0</v>
      </c>
      <c r="S1187" s="3">
        <v>0</v>
      </c>
      <c r="T1187" s="3">
        <v>0</v>
      </c>
      <c r="U1187" s="3"/>
      <c r="V1187" s="3"/>
      <c r="W1187" s="3"/>
      <c r="X1187" s="3"/>
      <c r="Y1187" s="3"/>
      <c r="Z1187" s="3"/>
      <c r="AA1187" s="3"/>
      <c r="AB1187" s="3"/>
      <c r="AC1187" s="3"/>
      <c r="AD1187" s="3"/>
      <c r="AE1187" s="3">
        <v>0</v>
      </c>
      <c r="AF1187" s="3">
        <v>0</v>
      </c>
      <c r="AG1187" s="3"/>
      <c r="AH1187" s="40"/>
      <c r="AI1187" s="40"/>
      <c r="AJ1187" s="40"/>
      <c r="AK1187" s="40"/>
      <c r="AL1187" s="40"/>
      <c r="AM1187" s="40"/>
      <c r="AN1187" s="40"/>
      <c r="AO1187" s="40"/>
      <c r="AP1187" s="40"/>
      <c r="AQ1187" s="40"/>
      <c r="AR1187" s="31"/>
      <c r="AS1187" s="36">
        <v>0</v>
      </c>
      <c r="AY1187" s="6"/>
      <c r="AZ1187" s="2"/>
      <c r="BA1187" s="2"/>
      <c r="BB1187" s="2"/>
      <c r="BC1187">
        <v>71500</v>
      </c>
      <c r="BD1187">
        <v>56992</v>
      </c>
    </row>
    <row r="1188" spans="3:56" x14ac:dyDescent="0.25">
      <c r="C1188" s="1">
        <v>46808</v>
      </c>
      <c r="D1188" s="36">
        <v>257373.372413793</v>
      </c>
      <c r="E1188" s="33">
        <v>4.4275862068965504</v>
      </c>
      <c r="F1188" s="33">
        <v>3.5910675862069001</v>
      </c>
      <c r="G1188" s="2">
        <v>0.81106666666666705</v>
      </c>
      <c r="H1188" s="2">
        <v>0.99</v>
      </c>
      <c r="I1188" s="3"/>
      <c r="J1188" s="3"/>
      <c r="K1188" s="3"/>
      <c r="L1188" s="3"/>
      <c r="M1188" s="3"/>
      <c r="N1188" s="3">
        <v>0</v>
      </c>
      <c r="O1188" s="3"/>
      <c r="P1188" s="3">
        <v>0</v>
      </c>
      <c r="Q1188" s="3">
        <v>0</v>
      </c>
      <c r="R1188" s="3">
        <v>0</v>
      </c>
      <c r="S1188" s="3">
        <v>0</v>
      </c>
      <c r="T1188" s="3">
        <v>0</v>
      </c>
      <c r="U1188" s="3"/>
      <c r="V1188" s="3"/>
      <c r="W1188" s="3"/>
      <c r="X1188" s="3"/>
      <c r="Y1188" s="3"/>
      <c r="Z1188" s="3"/>
      <c r="AA1188" s="3"/>
      <c r="AB1188" s="3"/>
      <c r="AC1188" s="3"/>
      <c r="AD1188" s="3"/>
      <c r="AE1188" s="3">
        <v>0</v>
      </c>
      <c r="AF1188" s="3">
        <v>0</v>
      </c>
      <c r="AG1188" s="3"/>
      <c r="AH1188" s="40"/>
      <c r="AI1188" s="40"/>
      <c r="AJ1188" s="40"/>
      <c r="AK1188" s="40"/>
      <c r="AL1188" s="40"/>
      <c r="AM1188" s="40"/>
      <c r="AN1188" s="40"/>
      <c r="AO1188" s="40"/>
      <c r="AP1188" s="40"/>
      <c r="AQ1188" s="40"/>
      <c r="AR1188" s="31"/>
      <c r="AS1188" s="36">
        <v>0</v>
      </c>
      <c r="AY1188" s="6"/>
      <c r="AZ1188" s="2"/>
      <c r="BA1188" s="2"/>
      <c r="BB1188" s="2"/>
      <c r="BC1188">
        <v>71500</v>
      </c>
      <c r="BD1188">
        <v>56992</v>
      </c>
    </row>
    <row r="1189" spans="3:56" x14ac:dyDescent="0.25">
      <c r="C1189" s="1">
        <v>46809</v>
      </c>
      <c r="D1189" s="36">
        <v>257373.372413793</v>
      </c>
      <c r="E1189" s="33">
        <v>4.4275862068965504</v>
      </c>
      <c r="F1189" s="33">
        <v>3.5910183908045998</v>
      </c>
      <c r="G1189" s="2">
        <v>0.81105555555555597</v>
      </c>
      <c r="H1189" s="2">
        <v>0.99</v>
      </c>
      <c r="I1189" s="3"/>
      <c r="J1189" s="3"/>
      <c r="K1189" s="3"/>
      <c r="L1189" s="3"/>
      <c r="M1189" s="3"/>
      <c r="N1189" s="3">
        <v>0</v>
      </c>
      <c r="O1189" s="3"/>
      <c r="P1189" s="3">
        <v>0</v>
      </c>
      <c r="Q1189" s="3">
        <v>0</v>
      </c>
      <c r="R1189" s="3">
        <v>0</v>
      </c>
      <c r="S1189" s="3">
        <v>0</v>
      </c>
      <c r="T1189" s="3">
        <v>0</v>
      </c>
      <c r="U1189" s="3"/>
      <c r="V1189" s="3"/>
      <c r="W1189" s="3"/>
      <c r="X1189" s="3"/>
      <c r="Y1189" s="3"/>
      <c r="Z1189" s="3"/>
      <c r="AA1189" s="3"/>
      <c r="AB1189" s="3"/>
      <c r="AC1189" s="3"/>
      <c r="AD1189" s="3"/>
      <c r="AE1189" s="3">
        <v>0</v>
      </c>
      <c r="AF1189" s="3">
        <v>0</v>
      </c>
      <c r="AG1189" s="3"/>
      <c r="AH1189" s="40"/>
      <c r="AI1189" s="40"/>
      <c r="AJ1189" s="40"/>
      <c r="AK1189" s="40"/>
      <c r="AL1189" s="40"/>
      <c r="AM1189" s="40"/>
      <c r="AN1189" s="40"/>
      <c r="AO1189" s="40"/>
      <c r="AP1189" s="40"/>
      <c r="AQ1189" s="40"/>
      <c r="AR1189" s="31"/>
      <c r="AS1189" s="36">
        <v>0</v>
      </c>
      <c r="AY1189" s="6"/>
      <c r="AZ1189" s="2"/>
      <c r="BA1189" s="2"/>
      <c r="BB1189" s="2"/>
      <c r="BC1189">
        <v>71500</v>
      </c>
      <c r="BD1189">
        <v>56992</v>
      </c>
    </row>
    <row r="1190" spans="3:56" x14ac:dyDescent="0.25">
      <c r="C1190" s="1">
        <v>46810</v>
      </c>
      <c r="D1190" s="36">
        <v>257373.372413793</v>
      </c>
      <c r="E1190" s="33">
        <v>4.4275862068965504</v>
      </c>
      <c r="F1190" s="33">
        <v>3.5909691954023</v>
      </c>
      <c r="G1190" s="2">
        <v>0.81104444444444401</v>
      </c>
      <c r="H1190" s="2">
        <v>0.99</v>
      </c>
      <c r="I1190" s="3"/>
      <c r="J1190" s="3"/>
      <c r="K1190" s="3"/>
      <c r="L1190" s="3"/>
      <c r="M1190" s="3"/>
      <c r="N1190" s="3">
        <v>0</v>
      </c>
      <c r="O1190" s="3"/>
      <c r="P1190" s="3">
        <v>0</v>
      </c>
      <c r="Q1190" s="3">
        <v>0</v>
      </c>
      <c r="R1190" s="3">
        <v>0</v>
      </c>
      <c r="S1190" s="3">
        <v>0</v>
      </c>
      <c r="T1190" s="3">
        <v>0</v>
      </c>
      <c r="U1190" s="3"/>
      <c r="V1190" s="3"/>
      <c r="W1190" s="3"/>
      <c r="X1190" s="3"/>
      <c r="Y1190" s="3"/>
      <c r="Z1190" s="3"/>
      <c r="AA1190" s="3"/>
      <c r="AB1190" s="3"/>
      <c r="AC1190" s="3"/>
      <c r="AD1190" s="3"/>
      <c r="AE1190" s="3">
        <v>0</v>
      </c>
      <c r="AF1190" s="3">
        <v>0</v>
      </c>
      <c r="AG1190" s="3"/>
      <c r="AH1190" s="40"/>
      <c r="AI1190" s="40"/>
      <c r="AJ1190" s="40"/>
      <c r="AK1190" s="40"/>
      <c r="AL1190" s="40"/>
      <c r="AM1190" s="40"/>
      <c r="AN1190" s="40"/>
      <c r="AO1190" s="40"/>
      <c r="AP1190" s="40"/>
      <c r="AQ1190" s="40"/>
      <c r="AR1190" s="31"/>
      <c r="AS1190" s="36">
        <v>0</v>
      </c>
      <c r="AY1190" s="6"/>
      <c r="AZ1190" s="2"/>
      <c r="BA1190" s="2"/>
      <c r="BB1190" s="2"/>
      <c r="BC1190">
        <v>71500</v>
      </c>
      <c r="BD1190">
        <v>56992</v>
      </c>
    </row>
    <row r="1191" spans="3:56" x14ac:dyDescent="0.25">
      <c r="C1191" s="1">
        <v>46811</v>
      </c>
      <c r="D1191" s="36">
        <v>257373.372413793</v>
      </c>
      <c r="E1191" s="33">
        <v>4.4275862068965504</v>
      </c>
      <c r="F1191" s="33">
        <v>3.5909200000000001</v>
      </c>
      <c r="G1191" s="2">
        <v>0.81103333333333305</v>
      </c>
      <c r="H1191" s="2">
        <v>0.99</v>
      </c>
      <c r="I1191" s="3"/>
      <c r="J1191" s="3"/>
      <c r="K1191" s="3"/>
      <c r="L1191" s="3"/>
      <c r="M1191" s="3"/>
      <c r="N1191" s="3">
        <v>0</v>
      </c>
      <c r="O1191" s="3"/>
      <c r="P1191" s="3">
        <v>0</v>
      </c>
      <c r="Q1191" s="3">
        <v>0</v>
      </c>
      <c r="R1191" s="3">
        <v>0</v>
      </c>
      <c r="S1191" s="3">
        <v>0</v>
      </c>
      <c r="T1191" s="3">
        <v>0</v>
      </c>
      <c r="U1191" s="3"/>
      <c r="V1191" s="3"/>
      <c r="W1191" s="3"/>
      <c r="X1191" s="3"/>
      <c r="Y1191" s="3"/>
      <c r="Z1191" s="3"/>
      <c r="AA1191" s="3"/>
      <c r="AB1191" s="3"/>
      <c r="AC1191" s="3"/>
      <c r="AD1191" s="3"/>
      <c r="AE1191" s="3">
        <v>0</v>
      </c>
      <c r="AF1191" s="3">
        <v>0</v>
      </c>
      <c r="AG1191" s="3"/>
      <c r="AH1191" s="40"/>
      <c r="AI1191" s="40"/>
      <c r="AJ1191" s="40"/>
      <c r="AK1191" s="40"/>
      <c r="AL1191" s="40"/>
      <c r="AM1191" s="40"/>
      <c r="AN1191" s="40"/>
      <c r="AO1191" s="40"/>
      <c r="AP1191" s="40"/>
      <c r="AQ1191" s="40"/>
      <c r="AR1191" s="31"/>
      <c r="AS1191" s="36">
        <v>0</v>
      </c>
      <c r="AY1191" s="6"/>
      <c r="AZ1191" s="2"/>
      <c r="BA1191" s="2"/>
      <c r="BB1191" s="2"/>
      <c r="BC1191">
        <v>71500</v>
      </c>
      <c r="BD1191">
        <v>56992</v>
      </c>
    </row>
    <row r="1192" spans="3:56" x14ac:dyDescent="0.25">
      <c r="C1192" s="1">
        <v>46812</v>
      </c>
      <c r="D1192" s="36">
        <v>257373.372413793</v>
      </c>
      <c r="E1192" s="33">
        <v>4.4275862068965504</v>
      </c>
      <c r="F1192" s="33">
        <v>3.5908708045976998</v>
      </c>
      <c r="G1192" s="2">
        <v>0.81102222222222198</v>
      </c>
      <c r="H1192" s="2">
        <v>0.99</v>
      </c>
      <c r="I1192" s="3"/>
      <c r="J1192" s="3"/>
      <c r="K1192" s="3"/>
      <c r="L1192" s="3"/>
      <c r="M1192" s="3"/>
      <c r="N1192" s="3">
        <v>0</v>
      </c>
      <c r="O1192" s="3"/>
      <c r="P1192" s="3">
        <v>0</v>
      </c>
      <c r="Q1192" s="3">
        <v>0</v>
      </c>
      <c r="R1192" s="3">
        <v>0</v>
      </c>
      <c r="S1192" s="3">
        <v>0</v>
      </c>
      <c r="T1192" s="3">
        <v>0</v>
      </c>
      <c r="U1192" s="3"/>
      <c r="V1192" s="3"/>
      <c r="W1192" s="3"/>
      <c r="X1192" s="3"/>
      <c r="Y1192" s="3"/>
      <c r="Z1192" s="3"/>
      <c r="AA1192" s="3"/>
      <c r="AB1192" s="3"/>
      <c r="AC1192" s="3"/>
      <c r="AD1192" s="3"/>
      <c r="AE1192" s="3">
        <v>0</v>
      </c>
      <c r="AF1192" s="3">
        <v>0</v>
      </c>
      <c r="AG1192" s="3"/>
      <c r="AH1192" s="40"/>
      <c r="AI1192" s="40"/>
      <c r="AJ1192" s="40"/>
      <c r="AK1192" s="40"/>
      <c r="AL1192" s="40"/>
      <c r="AM1192" s="40"/>
      <c r="AN1192" s="40"/>
      <c r="AO1192" s="40"/>
      <c r="AP1192" s="40"/>
      <c r="AQ1192" s="40"/>
      <c r="AR1192" s="31"/>
      <c r="AS1192" s="36">
        <v>0</v>
      </c>
      <c r="AY1192" s="6"/>
      <c r="AZ1192" s="2"/>
      <c r="BA1192" s="2"/>
      <c r="BB1192" s="2"/>
      <c r="BC1192">
        <v>71500</v>
      </c>
      <c r="BD1192">
        <v>56992</v>
      </c>
    </row>
    <row r="1193" spans="3:56" x14ac:dyDescent="0.25">
      <c r="C1193" s="1">
        <v>46813</v>
      </c>
      <c r="D1193" s="36">
        <v>269369.09999999998</v>
      </c>
      <c r="E1193" s="33">
        <v>4.5999999999999996</v>
      </c>
      <c r="F1193" s="33">
        <v>3.7305999999999999</v>
      </c>
      <c r="G1193" s="2">
        <v>0.81100000000000005</v>
      </c>
      <c r="H1193" s="2">
        <v>0.99</v>
      </c>
      <c r="I1193" s="3"/>
      <c r="J1193" s="3"/>
      <c r="K1193" s="3"/>
      <c r="L1193" s="3"/>
      <c r="M1193" s="3"/>
      <c r="N1193" s="3">
        <v>0</v>
      </c>
      <c r="O1193" s="3"/>
      <c r="P1193" s="3">
        <v>0</v>
      </c>
      <c r="Q1193" s="3">
        <v>0</v>
      </c>
      <c r="R1193" s="3">
        <v>0</v>
      </c>
      <c r="S1193" s="3">
        <v>0</v>
      </c>
      <c r="T1193" s="3">
        <v>0</v>
      </c>
      <c r="U1193" s="3"/>
      <c r="V1193" s="3"/>
      <c r="W1193" s="3"/>
      <c r="X1193" s="3"/>
      <c r="Y1193" s="3"/>
      <c r="Z1193" s="3"/>
      <c r="AA1193" s="3"/>
      <c r="AB1193" s="3"/>
      <c r="AC1193" s="3"/>
      <c r="AD1193" s="3"/>
      <c r="AE1193" s="3">
        <v>0</v>
      </c>
      <c r="AF1193" s="3">
        <v>0</v>
      </c>
      <c r="AG1193" s="3"/>
      <c r="AH1193" s="40"/>
      <c r="AI1193" s="40"/>
      <c r="AJ1193" s="40"/>
      <c r="AK1193" s="40"/>
      <c r="AL1193" s="40"/>
      <c r="AM1193" s="40"/>
      <c r="AN1193" s="40"/>
      <c r="AO1193" s="40"/>
      <c r="AP1193" s="40"/>
      <c r="AQ1193" s="40"/>
      <c r="AR1193" s="31"/>
      <c r="AS1193" s="36">
        <v>0</v>
      </c>
      <c r="AY1193" s="6"/>
      <c r="AZ1193" s="2"/>
      <c r="BA1193" s="2"/>
      <c r="BB1193" s="2"/>
      <c r="BC1193">
        <v>71500</v>
      </c>
      <c r="BD1193">
        <v>56992</v>
      </c>
    </row>
    <row r="1194" spans="3:56" x14ac:dyDescent="0.25">
      <c r="C1194" s="1">
        <v>46814</v>
      </c>
      <c r="D1194" s="36">
        <v>269369.09999999998</v>
      </c>
      <c r="E1194" s="33">
        <v>4.5999999999999996</v>
      </c>
      <c r="F1194" s="33">
        <v>3.7305488888888898</v>
      </c>
      <c r="G1194" s="2">
        <v>0.81098888888888898</v>
      </c>
      <c r="H1194" s="2">
        <v>0.99</v>
      </c>
      <c r="I1194" s="3"/>
      <c r="J1194" s="3"/>
      <c r="K1194" s="3"/>
      <c r="L1194" s="3"/>
      <c r="M1194" s="3"/>
      <c r="N1194" s="3">
        <v>0</v>
      </c>
      <c r="O1194" s="3"/>
      <c r="P1194" s="3">
        <v>0</v>
      </c>
      <c r="Q1194" s="3">
        <v>0</v>
      </c>
      <c r="R1194" s="3">
        <v>0</v>
      </c>
      <c r="S1194" s="3">
        <v>0</v>
      </c>
      <c r="T1194" s="3">
        <v>0</v>
      </c>
      <c r="U1194" s="3"/>
      <c r="V1194" s="3"/>
      <c r="W1194" s="3"/>
      <c r="X1194" s="3"/>
      <c r="Y1194" s="3"/>
      <c r="Z1194" s="3"/>
      <c r="AA1194" s="3"/>
      <c r="AB1194" s="3"/>
      <c r="AC1194" s="3"/>
      <c r="AD1194" s="3"/>
      <c r="AE1194" s="3">
        <v>0</v>
      </c>
      <c r="AF1194" s="3">
        <v>0</v>
      </c>
      <c r="AG1194" s="3"/>
      <c r="AH1194" s="40"/>
      <c r="AI1194" s="40"/>
      <c r="AJ1194" s="40"/>
      <c r="AK1194" s="40"/>
      <c r="AL1194" s="40"/>
      <c r="AM1194" s="40"/>
      <c r="AN1194" s="40"/>
      <c r="AO1194" s="40"/>
      <c r="AP1194" s="40"/>
      <c r="AQ1194" s="40"/>
      <c r="AR1194" s="31"/>
      <c r="AS1194" s="36">
        <v>0</v>
      </c>
      <c r="AY1194" s="6"/>
      <c r="AZ1194" s="2"/>
      <c r="BA1194" s="2"/>
      <c r="BB1194" s="2"/>
      <c r="BC1194">
        <v>71500</v>
      </c>
      <c r="BD1194">
        <v>56992</v>
      </c>
    </row>
    <row r="1195" spans="3:56" x14ac:dyDescent="0.25">
      <c r="C1195" s="1">
        <v>46815</v>
      </c>
      <c r="D1195" s="36">
        <v>269369.09999999998</v>
      </c>
      <c r="E1195" s="33">
        <v>4.5999999999999996</v>
      </c>
      <c r="F1195" s="33">
        <v>3.7304977777777801</v>
      </c>
      <c r="G1195" s="2">
        <v>0.81097777777777802</v>
      </c>
      <c r="H1195" s="2">
        <v>0.99</v>
      </c>
      <c r="I1195" s="3"/>
      <c r="J1195" s="3"/>
      <c r="K1195" s="3"/>
      <c r="L1195" s="3"/>
      <c r="M1195" s="3"/>
      <c r="N1195" s="3">
        <v>0</v>
      </c>
      <c r="O1195" s="3"/>
      <c r="P1195" s="3">
        <v>0</v>
      </c>
      <c r="Q1195" s="3">
        <v>0</v>
      </c>
      <c r="R1195" s="3">
        <v>0</v>
      </c>
      <c r="S1195" s="3">
        <v>0</v>
      </c>
      <c r="T1195" s="3">
        <v>0</v>
      </c>
      <c r="U1195" s="3"/>
      <c r="V1195" s="3"/>
      <c r="W1195" s="3"/>
      <c r="X1195" s="3"/>
      <c r="Y1195" s="3"/>
      <c r="Z1195" s="3"/>
      <c r="AA1195" s="3"/>
      <c r="AB1195" s="3"/>
      <c r="AC1195" s="3"/>
      <c r="AD1195" s="3"/>
      <c r="AE1195" s="3">
        <v>0</v>
      </c>
      <c r="AF1195" s="3">
        <v>0</v>
      </c>
      <c r="AG1195" s="3"/>
      <c r="AH1195" s="40"/>
      <c r="AI1195" s="40"/>
      <c r="AJ1195" s="40"/>
      <c r="AK1195" s="40"/>
      <c r="AL1195" s="40"/>
      <c r="AM1195" s="40"/>
      <c r="AN1195" s="40"/>
      <c r="AO1195" s="40"/>
      <c r="AP1195" s="40"/>
      <c r="AQ1195" s="40"/>
      <c r="AR1195" s="31"/>
      <c r="AS1195" s="36">
        <v>0</v>
      </c>
      <c r="AY1195" s="6"/>
      <c r="AZ1195" s="2"/>
      <c r="BA1195" s="2"/>
      <c r="BB1195" s="2"/>
      <c r="BC1195">
        <v>71500</v>
      </c>
      <c r="BD1195">
        <v>56992</v>
      </c>
    </row>
    <row r="1196" spans="3:56" x14ac:dyDescent="0.25">
      <c r="C1196" s="1">
        <v>46816</v>
      </c>
      <c r="D1196" s="36">
        <v>269369.09999999998</v>
      </c>
      <c r="E1196" s="33">
        <v>4.5999999999999996</v>
      </c>
      <c r="F1196" s="33">
        <v>3.73044666666667</v>
      </c>
      <c r="G1196" s="2">
        <v>0.81096666666666695</v>
      </c>
      <c r="H1196" s="2">
        <v>0.99</v>
      </c>
      <c r="I1196" s="3"/>
      <c r="J1196" s="3"/>
      <c r="K1196" s="3"/>
      <c r="L1196" s="3"/>
      <c r="M1196" s="3"/>
      <c r="N1196" s="3">
        <v>0</v>
      </c>
      <c r="O1196" s="3"/>
      <c r="P1196" s="3">
        <v>0</v>
      </c>
      <c r="Q1196" s="3">
        <v>0</v>
      </c>
      <c r="R1196" s="3">
        <v>0</v>
      </c>
      <c r="S1196" s="3">
        <v>0</v>
      </c>
      <c r="T1196" s="3">
        <v>0</v>
      </c>
      <c r="U1196" s="3"/>
      <c r="V1196" s="3"/>
      <c r="W1196" s="3"/>
      <c r="X1196" s="3"/>
      <c r="Y1196" s="3"/>
      <c r="Z1196" s="3"/>
      <c r="AA1196" s="3"/>
      <c r="AB1196" s="3"/>
      <c r="AC1196" s="3"/>
      <c r="AD1196" s="3"/>
      <c r="AE1196" s="3">
        <v>0</v>
      </c>
      <c r="AF1196" s="3">
        <v>0</v>
      </c>
      <c r="AG1196" s="3"/>
      <c r="AH1196" s="40"/>
      <c r="AI1196" s="40"/>
      <c r="AJ1196" s="40"/>
      <c r="AK1196" s="40"/>
      <c r="AL1196" s="40"/>
      <c r="AM1196" s="40"/>
      <c r="AN1196" s="40"/>
      <c r="AO1196" s="40"/>
      <c r="AP1196" s="40"/>
      <c r="AQ1196" s="40"/>
      <c r="AR1196" s="31"/>
      <c r="AS1196" s="36">
        <v>0</v>
      </c>
      <c r="AY1196" s="6"/>
      <c r="AZ1196" s="2"/>
      <c r="BA1196" s="2"/>
      <c r="BB1196" s="2"/>
      <c r="BC1196">
        <v>71500</v>
      </c>
      <c r="BD1196">
        <v>56992</v>
      </c>
    </row>
    <row r="1197" spans="3:56" x14ac:dyDescent="0.25">
      <c r="C1197" s="1">
        <v>46817</v>
      </c>
      <c r="D1197" s="36">
        <v>269369.09999999998</v>
      </c>
      <c r="E1197" s="33">
        <v>4.5999999999999996</v>
      </c>
      <c r="F1197" s="33">
        <v>3.7303955555555599</v>
      </c>
      <c r="G1197" s="2">
        <v>0.81095555555555598</v>
      </c>
      <c r="H1197" s="2">
        <v>0.99</v>
      </c>
      <c r="I1197" s="3"/>
      <c r="J1197" s="3"/>
      <c r="K1197" s="3"/>
      <c r="L1197" s="3"/>
      <c r="M1197" s="3"/>
      <c r="N1197" s="3">
        <v>0</v>
      </c>
      <c r="O1197" s="3"/>
      <c r="P1197" s="3">
        <v>0</v>
      </c>
      <c r="Q1197" s="3">
        <v>0</v>
      </c>
      <c r="R1197" s="3">
        <v>0</v>
      </c>
      <c r="S1197" s="3">
        <v>0</v>
      </c>
      <c r="T1197" s="3">
        <v>0</v>
      </c>
      <c r="U1197" s="3"/>
      <c r="V1197" s="3"/>
      <c r="W1197" s="3"/>
      <c r="X1197" s="3"/>
      <c r="Y1197" s="3"/>
      <c r="Z1197" s="3"/>
      <c r="AA1197" s="3"/>
      <c r="AB1197" s="3"/>
      <c r="AC1197" s="3"/>
      <c r="AD1197" s="3"/>
      <c r="AE1197" s="3">
        <v>0</v>
      </c>
      <c r="AF1197" s="3">
        <v>0</v>
      </c>
      <c r="AG1197" s="3"/>
      <c r="AH1197" s="40"/>
      <c r="AI1197" s="40"/>
      <c r="AJ1197" s="40"/>
      <c r="AK1197" s="40"/>
      <c r="AL1197" s="40"/>
      <c r="AM1197" s="40"/>
      <c r="AN1197" s="40"/>
      <c r="AO1197" s="40"/>
      <c r="AP1197" s="40"/>
      <c r="AQ1197" s="40"/>
      <c r="AR1197" s="31"/>
      <c r="AS1197" s="36">
        <v>0</v>
      </c>
      <c r="AY1197" s="6"/>
      <c r="AZ1197" s="2"/>
      <c r="BA1197" s="2"/>
      <c r="BB1197" s="2"/>
      <c r="BC1197">
        <v>71500</v>
      </c>
      <c r="BD1197">
        <v>56992</v>
      </c>
    </row>
    <row r="1198" spans="3:56" x14ac:dyDescent="0.25">
      <c r="C1198" s="1">
        <v>46818</v>
      </c>
      <c r="D1198" s="36">
        <v>269369.09999999998</v>
      </c>
      <c r="E1198" s="33">
        <v>4.5999999999999996</v>
      </c>
      <c r="F1198" s="33">
        <v>3.73034444444444</v>
      </c>
      <c r="G1198" s="2">
        <v>0.81094444444444402</v>
      </c>
      <c r="H1198" s="2">
        <v>0.99</v>
      </c>
      <c r="I1198" s="3"/>
      <c r="J1198" s="3"/>
      <c r="K1198" s="3"/>
      <c r="L1198" s="3"/>
      <c r="M1198" s="3"/>
      <c r="N1198" s="3">
        <v>0</v>
      </c>
      <c r="O1198" s="3"/>
      <c r="P1198" s="3">
        <v>0</v>
      </c>
      <c r="Q1198" s="3">
        <v>0</v>
      </c>
      <c r="R1198" s="3">
        <v>0</v>
      </c>
      <c r="S1198" s="3">
        <v>0</v>
      </c>
      <c r="T1198" s="3">
        <v>0</v>
      </c>
      <c r="U1198" s="3"/>
      <c r="V1198" s="3"/>
      <c r="W1198" s="3"/>
      <c r="X1198" s="3"/>
      <c r="Y1198" s="3"/>
      <c r="Z1198" s="3"/>
      <c r="AA1198" s="3"/>
      <c r="AB1198" s="3"/>
      <c r="AC1198" s="3"/>
      <c r="AD1198" s="3"/>
      <c r="AE1198" s="3">
        <v>0</v>
      </c>
      <c r="AF1198" s="3">
        <v>0</v>
      </c>
      <c r="AG1198" s="3"/>
      <c r="AH1198" s="40"/>
      <c r="AI1198" s="40"/>
      <c r="AJ1198" s="40"/>
      <c r="AK1198" s="40"/>
      <c r="AL1198" s="40"/>
      <c r="AM1198" s="40"/>
      <c r="AN1198" s="40"/>
      <c r="AO1198" s="40"/>
      <c r="AP1198" s="40"/>
      <c r="AQ1198" s="40"/>
      <c r="AR1198" s="31"/>
      <c r="AS1198" s="36">
        <v>0</v>
      </c>
      <c r="AY1198" s="6"/>
      <c r="AZ1198" s="2"/>
      <c r="BA1198" s="2"/>
      <c r="BB1198" s="2"/>
      <c r="BC1198">
        <v>71500</v>
      </c>
      <c r="BD1198">
        <v>56992</v>
      </c>
    </row>
    <row r="1199" spans="3:56" x14ac:dyDescent="0.25">
      <c r="C1199" s="1">
        <v>46819</v>
      </c>
      <c r="D1199" s="36">
        <v>269369.09999999998</v>
      </c>
      <c r="E1199" s="33">
        <v>4.5999999999999996</v>
      </c>
      <c r="F1199" s="33">
        <v>3.7302933333333299</v>
      </c>
      <c r="G1199" s="2">
        <v>0.81093333333333295</v>
      </c>
      <c r="H1199" s="2">
        <v>0.99</v>
      </c>
      <c r="I1199" s="3"/>
      <c r="J1199" s="3"/>
      <c r="K1199" s="3"/>
      <c r="L1199" s="3"/>
      <c r="M1199" s="3"/>
      <c r="N1199" s="3">
        <v>0</v>
      </c>
      <c r="O1199" s="3"/>
      <c r="P1199" s="3">
        <v>0</v>
      </c>
      <c r="Q1199" s="3">
        <v>0</v>
      </c>
      <c r="R1199" s="3">
        <v>0</v>
      </c>
      <c r="S1199" s="3">
        <v>0</v>
      </c>
      <c r="T1199" s="3">
        <v>0</v>
      </c>
      <c r="U1199" s="3"/>
      <c r="V1199" s="3"/>
      <c r="W1199" s="3"/>
      <c r="X1199" s="3"/>
      <c r="Y1199" s="3"/>
      <c r="Z1199" s="3"/>
      <c r="AA1199" s="3"/>
      <c r="AB1199" s="3"/>
      <c r="AC1199" s="3"/>
      <c r="AD1199" s="3"/>
      <c r="AE1199" s="3">
        <v>0</v>
      </c>
      <c r="AF1199" s="3">
        <v>0</v>
      </c>
      <c r="AG1199" s="3"/>
      <c r="AH1199" s="40"/>
      <c r="AI1199" s="40"/>
      <c r="AJ1199" s="40"/>
      <c r="AK1199" s="40"/>
      <c r="AL1199" s="40"/>
      <c r="AM1199" s="40"/>
      <c r="AN1199" s="40"/>
      <c r="AO1199" s="40"/>
      <c r="AP1199" s="40"/>
      <c r="AQ1199" s="40"/>
      <c r="AR1199" s="31"/>
      <c r="AS1199" s="36">
        <v>0</v>
      </c>
      <c r="AY1199" s="6"/>
      <c r="AZ1199" s="2"/>
      <c r="BA1199" s="2"/>
      <c r="BB1199" s="2"/>
      <c r="BC1199">
        <v>71500</v>
      </c>
      <c r="BD1199">
        <v>56992</v>
      </c>
    </row>
    <row r="1200" spans="3:56" x14ac:dyDescent="0.25">
      <c r="C1200" s="1">
        <v>46820</v>
      </c>
      <c r="D1200" s="36">
        <v>269369.09999999998</v>
      </c>
      <c r="E1200" s="33">
        <v>4.5999999999999996</v>
      </c>
      <c r="F1200" s="33">
        <v>3.7302422222222198</v>
      </c>
      <c r="G1200" s="2">
        <v>0.81092222222222199</v>
      </c>
      <c r="H1200" s="2">
        <v>0.99</v>
      </c>
      <c r="I1200" s="3"/>
      <c r="J1200" s="3"/>
      <c r="K1200" s="3"/>
      <c r="L1200" s="3"/>
      <c r="M1200" s="3"/>
      <c r="N1200" s="3">
        <v>0</v>
      </c>
      <c r="O1200" s="3"/>
      <c r="P1200" s="3">
        <v>0</v>
      </c>
      <c r="Q1200" s="3">
        <v>0</v>
      </c>
      <c r="R1200" s="3">
        <v>0</v>
      </c>
      <c r="S1200" s="3">
        <v>0</v>
      </c>
      <c r="T1200" s="3">
        <v>0</v>
      </c>
      <c r="U1200" s="3"/>
      <c r="V1200" s="3"/>
      <c r="W1200" s="3"/>
      <c r="X1200" s="3"/>
      <c r="Y1200" s="3"/>
      <c r="Z1200" s="3"/>
      <c r="AA1200" s="3"/>
      <c r="AB1200" s="3"/>
      <c r="AC1200" s="3"/>
      <c r="AD1200" s="3"/>
      <c r="AE1200" s="3">
        <v>0</v>
      </c>
      <c r="AF1200" s="3">
        <v>0</v>
      </c>
      <c r="AG1200" s="3"/>
      <c r="AH1200" s="40"/>
      <c r="AI1200" s="40"/>
      <c r="AJ1200" s="40"/>
      <c r="AK1200" s="40"/>
      <c r="AL1200" s="40"/>
      <c r="AM1200" s="40"/>
      <c r="AN1200" s="40"/>
      <c r="AO1200" s="40"/>
      <c r="AP1200" s="40"/>
      <c r="AQ1200" s="40"/>
      <c r="AR1200" s="31"/>
      <c r="AS1200" s="36">
        <v>0</v>
      </c>
      <c r="AY1200" s="6"/>
      <c r="AZ1200" s="2"/>
      <c r="BA1200" s="2"/>
      <c r="BB1200" s="2"/>
      <c r="BC1200">
        <v>71500</v>
      </c>
      <c r="BD1200">
        <v>56992</v>
      </c>
    </row>
    <row r="1201" spans="3:56" x14ac:dyDescent="0.25">
      <c r="C1201" s="1">
        <v>46821</v>
      </c>
      <c r="D1201" s="36">
        <v>269369.09999999998</v>
      </c>
      <c r="E1201" s="33">
        <v>4.5999999999999996</v>
      </c>
      <c r="F1201" s="33">
        <v>3.7301911111111101</v>
      </c>
      <c r="G1201" s="2">
        <v>0.81091111111111103</v>
      </c>
      <c r="H1201" s="2">
        <v>0.99</v>
      </c>
      <c r="I1201" s="3"/>
      <c r="J1201" s="3"/>
      <c r="K1201" s="3"/>
      <c r="L1201" s="3"/>
      <c r="M1201" s="3"/>
      <c r="N1201" s="3">
        <v>0</v>
      </c>
      <c r="O1201" s="3"/>
      <c r="P1201" s="3">
        <v>0</v>
      </c>
      <c r="Q1201" s="3">
        <v>0</v>
      </c>
      <c r="R1201" s="3">
        <v>0</v>
      </c>
      <c r="S1201" s="3">
        <v>0</v>
      </c>
      <c r="T1201" s="3">
        <v>0</v>
      </c>
      <c r="U1201" s="3"/>
      <c r="V1201" s="3"/>
      <c r="W1201" s="3"/>
      <c r="X1201" s="3"/>
      <c r="Y1201" s="3"/>
      <c r="Z1201" s="3"/>
      <c r="AA1201" s="3"/>
      <c r="AB1201" s="3"/>
      <c r="AC1201" s="3"/>
      <c r="AD1201" s="3"/>
      <c r="AE1201" s="3">
        <v>0</v>
      </c>
      <c r="AF1201" s="3">
        <v>0</v>
      </c>
      <c r="AG1201" s="3"/>
      <c r="AH1201" s="40"/>
      <c r="AI1201" s="40"/>
      <c r="AJ1201" s="40"/>
      <c r="AK1201" s="40"/>
      <c r="AL1201" s="40"/>
      <c r="AM1201" s="40"/>
      <c r="AN1201" s="40"/>
      <c r="AO1201" s="40"/>
      <c r="AP1201" s="40"/>
      <c r="AQ1201" s="40"/>
      <c r="AR1201" s="31"/>
      <c r="AS1201" s="36">
        <v>0</v>
      </c>
      <c r="AY1201" s="6"/>
      <c r="AZ1201" s="2"/>
      <c r="BA1201" s="2"/>
      <c r="BB1201" s="2"/>
      <c r="BC1201">
        <v>71500</v>
      </c>
      <c r="BD1201">
        <v>56992</v>
      </c>
    </row>
    <row r="1202" spans="3:56" x14ac:dyDescent="0.25">
      <c r="C1202" s="1">
        <v>46822</v>
      </c>
      <c r="D1202" s="36">
        <v>269369.09999999998</v>
      </c>
      <c r="E1202" s="33">
        <v>4.5999999999999996</v>
      </c>
      <c r="F1202" s="33">
        <v>3.73014</v>
      </c>
      <c r="G1202" s="2">
        <v>0.81089999999999995</v>
      </c>
      <c r="H1202" s="2">
        <v>0.99</v>
      </c>
      <c r="I1202" s="3"/>
      <c r="J1202" s="3"/>
      <c r="K1202" s="3"/>
      <c r="L1202" s="3"/>
      <c r="M1202" s="3"/>
      <c r="N1202" s="3">
        <v>0</v>
      </c>
      <c r="O1202" s="3"/>
      <c r="P1202" s="3">
        <v>0</v>
      </c>
      <c r="Q1202" s="3">
        <v>0</v>
      </c>
      <c r="R1202" s="3">
        <v>0</v>
      </c>
      <c r="S1202" s="3">
        <v>0</v>
      </c>
      <c r="T1202" s="3">
        <v>0</v>
      </c>
      <c r="U1202" s="3"/>
      <c r="V1202" s="3"/>
      <c r="W1202" s="3"/>
      <c r="X1202" s="3"/>
      <c r="Y1202" s="3"/>
      <c r="Z1202" s="3"/>
      <c r="AA1202" s="3"/>
      <c r="AB1202" s="3"/>
      <c r="AC1202" s="3"/>
      <c r="AD1202" s="3"/>
      <c r="AE1202" s="3">
        <v>0</v>
      </c>
      <c r="AF1202" s="3">
        <v>0</v>
      </c>
      <c r="AG1202" s="3"/>
      <c r="AH1202" s="40"/>
      <c r="AI1202" s="40"/>
      <c r="AJ1202" s="40"/>
      <c r="AK1202" s="40"/>
      <c r="AL1202" s="40"/>
      <c r="AM1202" s="40"/>
      <c r="AN1202" s="40"/>
      <c r="AO1202" s="40"/>
      <c r="AP1202" s="40"/>
      <c r="AQ1202" s="40"/>
      <c r="AR1202" s="31"/>
      <c r="AS1202" s="36">
        <v>0</v>
      </c>
      <c r="AY1202" s="6"/>
      <c r="AZ1202" s="2"/>
      <c r="BA1202" s="2"/>
      <c r="BB1202" s="2"/>
      <c r="BC1202">
        <v>71500</v>
      </c>
      <c r="BD1202">
        <v>56992</v>
      </c>
    </row>
    <row r="1203" spans="3:56" x14ac:dyDescent="0.25">
      <c r="C1203" s="1">
        <v>46823</v>
      </c>
      <c r="D1203" s="36">
        <v>269369.09999999998</v>
      </c>
      <c r="E1203" s="33">
        <v>4.5999999999999996</v>
      </c>
      <c r="F1203" s="33">
        <v>3.7300888888888899</v>
      </c>
      <c r="G1203" s="2">
        <v>0.81088888888888899</v>
      </c>
      <c r="H1203" s="2">
        <v>0.99</v>
      </c>
      <c r="I1203" s="3"/>
      <c r="J1203" s="3"/>
      <c r="K1203" s="3"/>
      <c r="L1203" s="3"/>
      <c r="M1203" s="3"/>
      <c r="N1203" s="3">
        <v>0</v>
      </c>
      <c r="O1203" s="3"/>
      <c r="P1203" s="3">
        <v>0</v>
      </c>
      <c r="Q1203" s="3">
        <v>0</v>
      </c>
      <c r="R1203" s="3">
        <v>0</v>
      </c>
      <c r="S1203" s="3">
        <v>0</v>
      </c>
      <c r="T1203" s="3">
        <v>0</v>
      </c>
      <c r="U1203" s="3"/>
      <c r="V1203" s="3"/>
      <c r="W1203" s="3"/>
      <c r="X1203" s="3"/>
      <c r="Y1203" s="3"/>
      <c r="Z1203" s="3"/>
      <c r="AA1203" s="3"/>
      <c r="AB1203" s="3"/>
      <c r="AC1203" s="3"/>
      <c r="AD1203" s="3"/>
      <c r="AE1203" s="3">
        <v>0</v>
      </c>
      <c r="AF1203" s="3">
        <v>0</v>
      </c>
      <c r="AG1203" s="3"/>
      <c r="AH1203" s="40"/>
      <c r="AI1203" s="40"/>
      <c r="AJ1203" s="40"/>
      <c r="AK1203" s="40"/>
      <c r="AL1203" s="40"/>
      <c r="AM1203" s="40"/>
      <c r="AN1203" s="40"/>
      <c r="AO1203" s="40"/>
      <c r="AP1203" s="40"/>
      <c r="AQ1203" s="40"/>
      <c r="AR1203" s="31"/>
      <c r="AS1203" s="36">
        <v>0</v>
      </c>
      <c r="AY1203" s="6"/>
      <c r="AZ1203" s="2"/>
      <c r="BA1203" s="2"/>
      <c r="BB1203" s="2"/>
      <c r="BC1203">
        <v>71500</v>
      </c>
      <c r="BD1203">
        <v>56992</v>
      </c>
    </row>
    <row r="1204" spans="3:56" x14ac:dyDescent="0.25">
      <c r="C1204" s="1">
        <v>46824</v>
      </c>
      <c r="D1204" s="36">
        <v>269369.09999999998</v>
      </c>
      <c r="E1204" s="33">
        <v>4.5999999999999996</v>
      </c>
      <c r="F1204" s="33">
        <v>3.7300377777777798</v>
      </c>
      <c r="G1204" s="2">
        <v>0.81087777777777803</v>
      </c>
      <c r="H1204" s="2">
        <v>0.99</v>
      </c>
      <c r="I1204" s="3"/>
      <c r="J1204" s="3"/>
      <c r="K1204" s="3"/>
      <c r="L1204" s="3"/>
      <c r="M1204" s="3"/>
      <c r="N1204" s="3">
        <v>0</v>
      </c>
      <c r="O1204" s="3"/>
      <c r="P1204" s="3">
        <v>0</v>
      </c>
      <c r="Q1204" s="3">
        <v>0</v>
      </c>
      <c r="R1204" s="3">
        <v>0</v>
      </c>
      <c r="S1204" s="3">
        <v>0</v>
      </c>
      <c r="T1204" s="3">
        <v>0</v>
      </c>
      <c r="U1204" s="3"/>
      <c r="V1204" s="3"/>
      <c r="W1204" s="3"/>
      <c r="X1204" s="3"/>
      <c r="Y1204" s="3"/>
      <c r="Z1204" s="3"/>
      <c r="AA1204" s="3"/>
      <c r="AB1204" s="3"/>
      <c r="AC1204" s="3"/>
      <c r="AD1204" s="3"/>
      <c r="AE1204" s="3">
        <v>0</v>
      </c>
      <c r="AF1204" s="3">
        <v>0</v>
      </c>
      <c r="AG1204" s="3"/>
      <c r="AH1204" s="40"/>
      <c r="AI1204" s="40"/>
      <c r="AJ1204" s="40"/>
      <c r="AK1204" s="40"/>
      <c r="AL1204" s="40"/>
      <c r="AM1204" s="40"/>
      <c r="AN1204" s="40"/>
      <c r="AO1204" s="40"/>
      <c r="AP1204" s="40"/>
      <c r="AQ1204" s="40"/>
      <c r="AR1204" s="31"/>
      <c r="AS1204" s="36">
        <v>0</v>
      </c>
      <c r="AY1204" s="6"/>
      <c r="AZ1204" s="2"/>
      <c r="BA1204" s="2"/>
      <c r="BB1204" s="2"/>
      <c r="BC1204">
        <v>71500</v>
      </c>
      <c r="BD1204">
        <v>56992</v>
      </c>
    </row>
    <row r="1205" spans="3:56" x14ac:dyDescent="0.25">
      <c r="C1205" s="1">
        <v>46825</v>
      </c>
      <c r="D1205" s="36">
        <v>269369.09999999998</v>
      </c>
      <c r="E1205" s="33">
        <v>4.5999999999999996</v>
      </c>
      <c r="F1205" s="33">
        <v>3.7299866666666701</v>
      </c>
      <c r="G1205" s="2">
        <v>0.81086666666666696</v>
      </c>
      <c r="H1205" s="2">
        <v>0.99</v>
      </c>
      <c r="I1205" s="3"/>
      <c r="J1205" s="3"/>
      <c r="K1205" s="3"/>
      <c r="L1205" s="3"/>
      <c r="M1205" s="3"/>
      <c r="N1205" s="3">
        <v>0</v>
      </c>
      <c r="O1205" s="3"/>
      <c r="P1205" s="3">
        <v>0</v>
      </c>
      <c r="Q1205" s="3">
        <v>0</v>
      </c>
      <c r="R1205" s="3">
        <v>0</v>
      </c>
      <c r="S1205" s="3">
        <v>0</v>
      </c>
      <c r="T1205" s="3">
        <v>0</v>
      </c>
      <c r="U1205" s="3"/>
      <c r="V1205" s="3"/>
      <c r="W1205" s="3"/>
      <c r="X1205" s="3"/>
      <c r="Y1205" s="3"/>
      <c r="Z1205" s="3"/>
      <c r="AA1205" s="3"/>
      <c r="AB1205" s="3"/>
      <c r="AC1205" s="3"/>
      <c r="AD1205" s="3"/>
      <c r="AE1205" s="3">
        <v>0</v>
      </c>
      <c r="AF1205" s="3">
        <v>0</v>
      </c>
      <c r="AG1205" s="3"/>
      <c r="AH1205" s="40"/>
      <c r="AI1205" s="40"/>
      <c r="AJ1205" s="40"/>
      <c r="AK1205" s="40"/>
      <c r="AL1205" s="40"/>
      <c r="AM1205" s="40"/>
      <c r="AN1205" s="40"/>
      <c r="AO1205" s="40"/>
      <c r="AP1205" s="40"/>
      <c r="AQ1205" s="40"/>
      <c r="AR1205" s="31"/>
      <c r="AS1205" s="36">
        <v>0</v>
      </c>
      <c r="AY1205" s="6"/>
      <c r="AZ1205" s="2"/>
      <c r="BA1205" s="2"/>
      <c r="BB1205" s="2"/>
      <c r="BC1205">
        <v>71500</v>
      </c>
      <c r="BD1205">
        <v>56992</v>
      </c>
    </row>
    <row r="1206" spans="3:56" x14ac:dyDescent="0.25">
      <c r="C1206" s="1">
        <v>46826</v>
      </c>
      <c r="D1206" s="36">
        <v>269369.09999999998</v>
      </c>
      <c r="E1206" s="33">
        <v>4.5999999999999996</v>
      </c>
      <c r="F1206" s="33">
        <v>3.72993555555556</v>
      </c>
      <c r="G1206" s="2">
        <v>0.810855555555556</v>
      </c>
      <c r="H1206" s="2">
        <v>0.99</v>
      </c>
      <c r="I1206" s="3"/>
      <c r="J1206" s="3"/>
      <c r="K1206" s="3"/>
      <c r="L1206" s="3"/>
      <c r="M1206" s="3"/>
      <c r="N1206" s="3">
        <v>0</v>
      </c>
      <c r="O1206" s="3"/>
      <c r="P1206" s="3">
        <v>0</v>
      </c>
      <c r="Q1206" s="3">
        <v>0</v>
      </c>
      <c r="R1206" s="3">
        <v>0</v>
      </c>
      <c r="S1206" s="3">
        <v>0</v>
      </c>
      <c r="T1206" s="3">
        <v>0</v>
      </c>
      <c r="U1206" s="3"/>
      <c r="V1206" s="3"/>
      <c r="W1206" s="3"/>
      <c r="X1206" s="3"/>
      <c r="Y1206" s="3"/>
      <c r="Z1206" s="3"/>
      <c r="AA1206" s="3"/>
      <c r="AB1206" s="3"/>
      <c r="AC1206" s="3"/>
      <c r="AD1206" s="3"/>
      <c r="AE1206" s="3">
        <v>0</v>
      </c>
      <c r="AF1206" s="3">
        <v>0</v>
      </c>
      <c r="AG1206" s="3"/>
      <c r="AH1206" s="40"/>
      <c r="AI1206" s="40"/>
      <c r="AJ1206" s="40"/>
      <c r="AK1206" s="40"/>
      <c r="AL1206" s="40"/>
      <c r="AM1206" s="40"/>
      <c r="AN1206" s="40"/>
      <c r="AO1206" s="40"/>
      <c r="AP1206" s="40"/>
      <c r="AQ1206" s="40"/>
      <c r="AR1206" s="31"/>
      <c r="AS1206" s="36">
        <v>0</v>
      </c>
      <c r="AY1206" s="6"/>
      <c r="AZ1206" s="2"/>
      <c r="BA1206" s="2"/>
      <c r="BB1206" s="2"/>
      <c r="BC1206">
        <v>71500</v>
      </c>
      <c r="BD1206">
        <v>56992</v>
      </c>
    </row>
    <row r="1207" spans="3:56" x14ac:dyDescent="0.25">
      <c r="C1207" s="1">
        <v>46827</v>
      </c>
      <c r="D1207" s="36">
        <v>269369.09999999998</v>
      </c>
      <c r="E1207" s="33">
        <v>4.5999999999999996</v>
      </c>
      <c r="F1207" s="33">
        <v>3.7298844444444401</v>
      </c>
      <c r="G1207" s="2">
        <v>0.81084444444444403</v>
      </c>
      <c r="H1207" s="2">
        <v>0.99</v>
      </c>
      <c r="I1207" s="3"/>
      <c r="J1207" s="3"/>
      <c r="K1207" s="3"/>
      <c r="L1207" s="3"/>
      <c r="M1207" s="3"/>
      <c r="N1207" s="3">
        <v>0</v>
      </c>
      <c r="O1207" s="3"/>
      <c r="P1207" s="3">
        <v>0</v>
      </c>
      <c r="Q1207" s="3">
        <v>0</v>
      </c>
      <c r="R1207" s="3">
        <v>0</v>
      </c>
      <c r="S1207" s="3">
        <v>0</v>
      </c>
      <c r="T1207" s="3">
        <v>0</v>
      </c>
      <c r="U1207" s="3"/>
      <c r="V1207" s="3"/>
      <c r="W1207" s="3"/>
      <c r="X1207" s="3"/>
      <c r="Y1207" s="3"/>
      <c r="Z1207" s="3"/>
      <c r="AA1207" s="3"/>
      <c r="AB1207" s="3"/>
      <c r="AC1207" s="3"/>
      <c r="AD1207" s="3"/>
      <c r="AE1207" s="3">
        <v>0</v>
      </c>
      <c r="AF1207" s="3">
        <v>0</v>
      </c>
      <c r="AG1207" s="3"/>
      <c r="AH1207" s="40"/>
      <c r="AI1207" s="40"/>
      <c r="AJ1207" s="40"/>
      <c r="AK1207" s="40"/>
      <c r="AL1207" s="40"/>
      <c r="AM1207" s="40"/>
      <c r="AN1207" s="40"/>
      <c r="AO1207" s="40"/>
      <c r="AP1207" s="40"/>
      <c r="AQ1207" s="40"/>
      <c r="AR1207" s="31"/>
      <c r="AS1207" s="36">
        <v>0</v>
      </c>
      <c r="AY1207" s="6"/>
      <c r="AZ1207" s="2"/>
      <c r="BA1207" s="2"/>
      <c r="BB1207" s="2"/>
      <c r="BC1207">
        <v>71500</v>
      </c>
      <c r="BD1207">
        <v>56992</v>
      </c>
    </row>
    <row r="1208" spans="3:56" x14ac:dyDescent="0.25">
      <c r="C1208" s="1">
        <v>46828</v>
      </c>
      <c r="D1208" s="36">
        <v>269369.09999999998</v>
      </c>
      <c r="E1208" s="33">
        <v>4.5999999999999996</v>
      </c>
      <c r="F1208" s="33">
        <v>3.72983333333333</v>
      </c>
      <c r="G1208" s="2">
        <v>0.81083333333333296</v>
      </c>
      <c r="H1208" s="2">
        <v>0.99</v>
      </c>
      <c r="I1208" s="3"/>
      <c r="J1208" s="3"/>
      <c r="K1208" s="3"/>
      <c r="L1208" s="3"/>
      <c r="M1208" s="3"/>
      <c r="N1208" s="3">
        <v>0</v>
      </c>
      <c r="O1208" s="3"/>
      <c r="P1208" s="3">
        <v>0</v>
      </c>
      <c r="Q1208" s="3">
        <v>0</v>
      </c>
      <c r="R1208" s="3">
        <v>0</v>
      </c>
      <c r="S1208" s="3">
        <v>0</v>
      </c>
      <c r="T1208" s="3">
        <v>0</v>
      </c>
      <c r="U1208" s="3"/>
      <c r="V1208" s="3"/>
      <c r="W1208" s="3"/>
      <c r="X1208" s="3"/>
      <c r="Y1208" s="3"/>
      <c r="Z1208" s="3"/>
      <c r="AA1208" s="3"/>
      <c r="AB1208" s="3"/>
      <c r="AC1208" s="3"/>
      <c r="AD1208" s="3"/>
      <c r="AE1208" s="3">
        <v>0</v>
      </c>
      <c r="AF1208" s="3">
        <v>0</v>
      </c>
      <c r="AG1208" s="3"/>
      <c r="AH1208" s="40"/>
      <c r="AI1208" s="40"/>
      <c r="AJ1208" s="40"/>
      <c r="AK1208" s="40"/>
      <c r="AL1208" s="40"/>
      <c r="AM1208" s="40"/>
      <c r="AN1208" s="40"/>
      <c r="AO1208" s="40"/>
      <c r="AP1208" s="40"/>
      <c r="AQ1208" s="40"/>
      <c r="AR1208" s="31"/>
      <c r="AS1208" s="36">
        <v>0</v>
      </c>
      <c r="AY1208" s="6"/>
      <c r="AZ1208" s="2"/>
      <c r="BA1208" s="2"/>
      <c r="BB1208" s="2"/>
      <c r="BC1208">
        <v>71500</v>
      </c>
      <c r="BD1208">
        <v>56992</v>
      </c>
    </row>
    <row r="1209" spans="3:56" x14ac:dyDescent="0.25">
      <c r="C1209" s="1">
        <v>46829</v>
      </c>
      <c r="D1209" s="36">
        <v>269369.09999999998</v>
      </c>
      <c r="E1209" s="33">
        <v>4.5999999999999996</v>
      </c>
      <c r="F1209" s="33">
        <v>3.7297822222222199</v>
      </c>
      <c r="G1209" s="2">
        <v>0.810822222222222</v>
      </c>
      <c r="H1209" s="2">
        <v>0.99</v>
      </c>
      <c r="I1209" s="3"/>
      <c r="J1209" s="3"/>
      <c r="K1209" s="3"/>
      <c r="L1209" s="3"/>
      <c r="M1209" s="3"/>
      <c r="N1209" s="3">
        <v>0</v>
      </c>
      <c r="O1209" s="3"/>
      <c r="P1209" s="3">
        <v>0</v>
      </c>
      <c r="Q1209" s="3">
        <v>0</v>
      </c>
      <c r="R1209" s="3">
        <v>0</v>
      </c>
      <c r="S1209" s="3">
        <v>0</v>
      </c>
      <c r="T1209" s="3">
        <v>0</v>
      </c>
      <c r="U1209" s="3"/>
      <c r="V1209" s="3"/>
      <c r="W1209" s="3"/>
      <c r="X1209" s="3"/>
      <c r="Y1209" s="3"/>
      <c r="Z1209" s="3"/>
      <c r="AA1209" s="3"/>
      <c r="AB1209" s="3"/>
      <c r="AC1209" s="3"/>
      <c r="AD1209" s="3"/>
      <c r="AE1209" s="3">
        <v>0</v>
      </c>
      <c r="AF1209" s="3">
        <v>0</v>
      </c>
      <c r="AG1209" s="3"/>
      <c r="AH1209" s="40"/>
      <c r="AI1209" s="40"/>
      <c r="AJ1209" s="40"/>
      <c r="AK1209" s="40"/>
      <c r="AL1209" s="40"/>
      <c r="AM1209" s="40"/>
      <c r="AN1209" s="40"/>
      <c r="AO1209" s="40"/>
      <c r="AP1209" s="40"/>
      <c r="AQ1209" s="40"/>
      <c r="AR1209" s="31"/>
      <c r="AS1209" s="36">
        <v>0</v>
      </c>
      <c r="AY1209" s="6"/>
      <c r="AZ1209" s="2"/>
      <c r="BA1209" s="2"/>
      <c r="BB1209" s="2"/>
      <c r="BC1209">
        <v>71500</v>
      </c>
      <c r="BD1209">
        <v>56992</v>
      </c>
    </row>
    <row r="1210" spans="3:56" x14ac:dyDescent="0.25">
      <c r="C1210" s="1">
        <v>46830</v>
      </c>
      <c r="D1210" s="36">
        <v>269369.09999999998</v>
      </c>
      <c r="E1210" s="33">
        <v>4.5999999999999996</v>
      </c>
      <c r="F1210" s="33">
        <v>3.7297311111111102</v>
      </c>
      <c r="G1210" s="2">
        <v>0.81081111111111104</v>
      </c>
      <c r="H1210" s="2">
        <v>0.99</v>
      </c>
      <c r="I1210" s="3"/>
      <c r="J1210" s="3"/>
      <c r="K1210" s="3"/>
      <c r="L1210" s="3"/>
      <c r="M1210" s="3"/>
      <c r="N1210" s="3">
        <v>0</v>
      </c>
      <c r="O1210" s="3"/>
      <c r="P1210" s="3">
        <v>0</v>
      </c>
      <c r="Q1210" s="3">
        <v>0</v>
      </c>
      <c r="R1210" s="3">
        <v>0</v>
      </c>
      <c r="S1210" s="3">
        <v>0</v>
      </c>
      <c r="T1210" s="3">
        <v>0</v>
      </c>
      <c r="U1210" s="3"/>
      <c r="V1210" s="3"/>
      <c r="W1210" s="3"/>
      <c r="X1210" s="3"/>
      <c r="Y1210" s="3"/>
      <c r="Z1210" s="3"/>
      <c r="AA1210" s="3"/>
      <c r="AB1210" s="3"/>
      <c r="AC1210" s="3"/>
      <c r="AD1210" s="3"/>
      <c r="AE1210" s="3">
        <v>0</v>
      </c>
      <c r="AF1210" s="3">
        <v>0</v>
      </c>
      <c r="AG1210" s="3"/>
      <c r="AH1210" s="40"/>
      <c r="AI1210" s="40"/>
      <c r="AJ1210" s="40"/>
      <c r="AK1210" s="40"/>
      <c r="AL1210" s="40"/>
      <c r="AM1210" s="40"/>
      <c r="AN1210" s="40"/>
      <c r="AO1210" s="40"/>
      <c r="AP1210" s="40"/>
      <c r="AQ1210" s="40"/>
      <c r="AR1210" s="31"/>
      <c r="AS1210" s="36">
        <v>0</v>
      </c>
      <c r="AY1210" s="6"/>
      <c r="AZ1210" s="2"/>
      <c r="BA1210" s="2"/>
      <c r="BB1210" s="2"/>
      <c r="BC1210">
        <v>71500</v>
      </c>
      <c r="BD1210">
        <v>56992</v>
      </c>
    </row>
    <row r="1211" spans="3:56" x14ac:dyDescent="0.25">
      <c r="C1211" s="1">
        <v>46831</v>
      </c>
      <c r="D1211" s="36">
        <v>269369.09999999998</v>
      </c>
      <c r="E1211" s="33">
        <v>4.5999999999999996</v>
      </c>
      <c r="F1211" s="33">
        <v>3.7296800000000001</v>
      </c>
      <c r="G1211" s="2">
        <v>0.81079999999999997</v>
      </c>
      <c r="H1211" s="2">
        <v>0.99</v>
      </c>
      <c r="I1211" s="3"/>
      <c r="J1211" s="3"/>
      <c r="K1211" s="3"/>
      <c r="L1211" s="3"/>
      <c r="M1211" s="3"/>
      <c r="N1211" s="3">
        <v>0</v>
      </c>
      <c r="O1211" s="3"/>
      <c r="P1211" s="3">
        <v>0</v>
      </c>
      <c r="Q1211" s="3">
        <v>0</v>
      </c>
      <c r="R1211" s="3">
        <v>0</v>
      </c>
      <c r="S1211" s="3">
        <v>0</v>
      </c>
      <c r="T1211" s="3">
        <v>0</v>
      </c>
      <c r="U1211" s="3"/>
      <c r="V1211" s="3"/>
      <c r="W1211" s="3"/>
      <c r="X1211" s="3"/>
      <c r="Y1211" s="3"/>
      <c r="Z1211" s="3"/>
      <c r="AA1211" s="3"/>
      <c r="AB1211" s="3"/>
      <c r="AC1211" s="3"/>
      <c r="AD1211" s="3"/>
      <c r="AE1211" s="3">
        <v>0</v>
      </c>
      <c r="AF1211" s="3">
        <v>0</v>
      </c>
      <c r="AG1211" s="3"/>
      <c r="AH1211" s="40"/>
      <c r="AI1211" s="40"/>
      <c r="AJ1211" s="40"/>
      <c r="AK1211" s="40"/>
      <c r="AL1211" s="40"/>
      <c r="AM1211" s="40"/>
      <c r="AN1211" s="40"/>
      <c r="AO1211" s="40"/>
      <c r="AP1211" s="40"/>
      <c r="AQ1211" s="40"/>
      <c r="AR1211" s="31"/>
      <c r="AS1211" s="36">
        <v>0</v>
      </c>
      <c r="AY1211" s="6"/>
      <c r="AZ1211" s="2"/>
      <c r="BA1211" s="2"/>
      <c r="BB1211" s="2"/>
      <c r="BC1211">
        <v>71500</v>
      </c>
      <c r="BD1211">
        <v>56992</v>
      </c>
    </row>
    <row r="1212" spans="3:56" x14ac:dyDescent="0.25">
      <c r="C1212" s="1">
        <v>46832</v>
      </c>
      <c r="D1212" s="36">
        <v>269369.09999999998</v>
      </c>
      <c r="E1212" s="33">
        <v>4.5999999999999996</v>
      </c>
      <c r="F1212" s="33">
        <v>3.72962888888889</v>
      </c>
      <c r="G1212" s="2">
        <v>0.810788888888889</v>
      </c>
      <c r="H1212" s="2">
        <v>0.99</v>
      </c>
      <c r="I1212" s="3"/>
      <c r="J1212" s="3"/>
      <c r="K1212" s="3"/>
      <c r="L1212" s="3"/>
      <c r="M1212" s="3"/>
      <c r="N1212" s="3">
        <v>0</v>
      </c>
      <c r="O1212" s="3"/>
      <c r="P1212" s="3">
        <v>0</v>
      </c>
      <c r="Q1212" s="3">
        <v>0</v>
      </c>
      <c r="R1212" s="3">
        <v>0</v>
      </c>
      <c r="S1212" s="3">
        <v>0</v>
      </c>
      <c r="T1212" s="3">
        <v>0</v>
      </c>
      <c r="U1212" s="3"/>
      <c r="V1212" s="3"/>
      <c r="W1212" s="3"/>
      <c r="X1212" s="3"/>
      <c r="Y1212" s="3"/>
      <c r="Z1212" s="3"/>
      <c r="AA1212" s="3"/>
      <c r="AB1212" s="3"/>
      <c r="AC1212" s="3"/>
      <c r="AD1212" s="3"/>
      <c r="AE1212" s="3">
        <v>0</v>
      </c>
      <c r="AF1212" s="3">
        <v>0</v>
      </c>
      <c r="AG1212" s="3"/>
      <c r="AH1212" s="40"/>
      <c r="AI1212" s="40"/>
      <c r="AJ1212" s="40"/>
      <c r="AK1212" s="40"/>
      <c r="AL1212" s="40"/>
      <c r="AM1212" s="40"/>
      <c r="AN1212" s="40"/>
      <c r="AO1212" s="40"/>
      <c r="AP1212" s="40"/>
      <c r="AQ1212" s="40"/>
      <c r="AR1212" s="31"/>
      <c r="AS1212" s="36">
        <v>0</v>
      </c>
      <c r="AY1212" s="6"/>
      <c r="AZ1212" s="2"/>
      <c r="BA1212" s="2"/>
      <c r="BB1212" s="2"/>
      <c r="BC1212">
        <v>71500</v>
      </c>
      <c r="BD1212">
        <v>56992</v>
      </c>
    </row>
    <row r="1213" spans="3:56" x14ac:dyDescent="0.25">
      <c r="C1213" s="1">
        <v>46833</v>
      </c>
      <c r="D1213" s="36">
        <v>269369.09999999998</v>
      </c>
      <c r="E1213" s="33">
        <v>4.5999999999999996</v>
      </c>
      <c r="F1213" s="33">
        <v>3.7295777777777799</v>
      </c>
      <c r="G1213" s="2">
        <v>0.81077777777777804</v>
      </c>
      <c r="H1213" s="2">
        <v>0.99</v>
      </c>
      <c r="I1213" s="3"/>
      <c r="J1213" s="3"/>
      <c r="K1213" s="3"/>
      <c r="L1213" s="3"/>
      <c r="M1213" s="3"/>
      <c r="N1213" s="3">
        <v>0</v>
      </c>
      <c r="O1213" s="3"/>
      <c r="P1213" s="3">
        <v>0</v>
      </c>
      <c r="Q1213" s="3">
        <v>0</v>
      </c>
      <c r="R1213" s="3">
        <v>0</v>
      </c>
      <c r="S1213" s="3">
        <v>0</v>
      </c>
      <c r="T1213" s="3">
        <v>0</v>
      </c>
      <c r="U1213" s="3"/>
      <c r="V1213" s="3"/>
      <c r="W1213" s="3"/>
      <c r="X1213" s="3"/>
      <c r="Y1213" s="3"/>
      <c r="Z1213" s="3"/>
      <c r="AA1213" s="3"/>
      <c r="AB1213" s="3"/>
      <c r="AC1213" s="3"/>
      <c r="AD1213" s="3"/>
      <c r="AE1213" s="3">
        <v>0</v>
      </c>
      <c r="AF1213" s="3">
        <v>0</v>
      </c>
      <c r="AG1213" s="3"/>
      <c r="AH1213" s="40"/>
      <c r="AI1213" s="40"/>
      <c r="AJ1213" s="40"/>
      <c r="AK1213" s="40"/>
      <c r="AL1213" s="40"/>
      <c r="AM1213" s="40"/>
      <c r="AN1213" s="40"/>
      <c r="AO1213" s="40"/>
      <c r="AP1213" s="40"/>
      <c r="AQ1213" s="40"/>
      <c r="AR1213" s="31"/>
      <c r="AS1213" s="36">
        <v>0</v>
      </c>
      <c r="AY1213" s="6"/>
      <c r="AZ1213" s="2"/>
      <c r="BA1213" s="2"/>
      <c r="BB1213" s="2"/>
      <c r="BC1213">
        <v>71500</v>
      </c>
      <c r="BD1213">
        <v>56992</v>
      </c>
    </row>
    <row r="1214" spans="3:56" x14ac:dyDescent="0.25">
      <c r="C1214" s="1">
        <v>46834</v>
      </c>
      <c r="D1214" s="36">
        <v>269369.09999999998</v>
      </c>
      <c r="E1214" s="33">
        <v>4.5999999999999996</v>
      </c>
      <c r="F1214" s="33">
        <v>3.7295266666666702</v>
      </c>
      <c r="G1214" s="2">
        <v>0.81076666666666697</v>
      </c>
      <c r="H1214" s="2">
        <v>0.99</v>
      </c>
      <c r="I1214" s="3"/>
      <c r="J1214" s="3"/>
      <c r="K1214" s="3"/>
      <c r="L1214" s="3"/>
      <c r="M1214" s="3"/>
      <c r="N1214" s="3">
        <v>0</v>
      </c>
      <c r="O1214" s="3"/>
      <c r="P1214" s="3">
        <v>0</v>
      </c>
      <c r="Q1214" s="3">
        <v>0</v>
      </c>
      <c r="R1214" s="3">
        <v>0</v>
      </c>
      <c r="S1214" s="3">
        <v>0</v>
      </c>
      <c r="T1214" s="3">
        <v>0</v>
      </c>
      <c r="U1214" s="3"/>
      <c r="V1214" s="3"/>
      <c r="W1214" s="3"/>
      <c r="X1214" s="3"/>
      <c r="Y1214" s="3"/>
      <c r="Z1214" s="3"/>
      <c r="AA1214" s="3"/>
      <c r="AB1214" s="3"/>
      <c r="AC1214" s="3"/>
      <c r="AD1214" s="3"/>
      <c r="AE1214" s="3">
        <v>0</v>
      </c>
      <c r="AF1214" s="3">
        <v>0</v>
      </c>
      <c r="AG1214" s="3"/>
      <c r="AH1214" s="40"/>
      <c r="AI1214" s="40"/>
      <c r="AJ1214" s="40"/>
      <c r="AK1214" s="40"/>
      <c r="AL1214" s="40"/>
      <c r="AM1214" s="40"/>
      <c r="AN1214" s="40"/>
      <c r="AO1214" s="40"/>
      <c r="AP1214" s="40"/>
      <c r="AQ1214" s="40"/>
      <c r="AR1214" s="31"/>
      <c r="AS1214" s="36">
        <v>0</v>
      </c>
      <c r="AY1214" s="6"/>
      <c r="AZ1214" s="2"/>
      <c r="BA1214" s="2"/>
      <c r="BB1214" s="2"/>
      <c r="BC1214">
        <v>71500</v>
      </c>
      <c r="BD1214">
        <v>56992</v>
      </c>
    </row>
    <row r="1215" spans="3:56" x14ac:dyDescent="0.25">
      <c r="C1215" s="1">
        <v>46835</v>
      </c>
      <c r="D1215" s="36">
        <v>269369.09999999998</v>
      </c>
      <c r="E1215" s="33">
        <v>4.5999999999999996</v>
      </c>
      <c r="F1215" s="33">
        <v>3.7294755555555601</v>
      </c>
      <c r="G1215" s="2">
        <v>0.81075555555555601</v>
      </c>
      <c r="H1215" s="2">
        <v>0.99</v>
      </c>
      <c r="I1215" s="3"/>
      <c r="J1215" s="3"/>
      <c r="K1215" s="3"/>
      <c r="L1215" s="3"/>
      <c r="M1215" s="3"/>
      <c r="N1215" s="3">
        <v>0</v>
      </c>
      <c r="O1215" s="3"/>
      <c r="P1215" s="3">
        <v>0</v>
      </c>
      <c r="Q1215" s="3">
        <v>0</v>
      </c>
      <c r="R1215" s="3">
        <v>0</v>
      </c>
      <c r="S1215" s="3">
        <v>0</v>
      </c>
      <c r="T1215" s="3">
        <v>0</v>
      </c>
      <c r="U1215" s="3"/>
      <c r="V1215" s="3"/>
      <c r="W1215" s="3"/>
      <c r="X1215" s="3"/>
      <c r="Y1215" s="3"/>
      <c r="Z1215" s="3"/>
      <c r="AA1215" s="3"/>
      <c r="AB1215" s="3"/>
      <c r="AC1215" s="3"/>
      <c r="AD1215" s="3"/>
      <c r="AE1215" s="3">
        <v>0</v>
      </c>
      <c r="AF1215" s="3">
        <v>0</v>
      </c>
      <c r="AG1215" s="3"/>
      <c r="AH1215" s="40"/>
      <c r="AI1215" s="40"/>
      <c r="AJ1215" s="40"/>
      <c r="AK1215" s="40"/>
      <c r="AL1215" s="40"/>
      <c r="AM1215" s="40"/>
      <c r="AN1215" s="40"/>
      <c r="AO1215" s="40"/>
      <c r="AP1215" s="40"/>
      <c r="AQ1215" s="40"/>
      <c r="AR1215" s="31"/>
      <c r="AS1215" s="36">
        <v>0</v>
      </c>
      <c r="AY1215" s="6"/>
      <c r="AZ1215" s="2"/>
      <c r="BA1215" s="2"/>
      <c r="BB1215" s="2"/>
      <c r="BC1215">
        <v>71500</v>
      </c>
      <c r="BD1215">
        <v>56992</v>
      </c>
    </row>
    <row r="1216" spans="3:56" x14ac:dyDescent="0.25">
      <c r="C1216" s="1">
        <v>46836</v>
      </c>
      <c r="D1216" s="36">
        <v>269369.09999999998</v>
      </c>
      <c r="E1216" s="33">
        <v>4.5999999999999996</v>
      </c>
      <c r="F1216" s="33">
        <v>3.7294244444444402</v>
      </c>
      <c r="G1216" s="2">
        <v>0.81074444444444405</v>
      </c>
      <c r="H1216" s="2">
        <v>0.99</v>
      </c>
      <c r="I1216" s="3"/>
      <c r="J1216" s="3"/>
      <c r="K1216" s="3"/>
      <c r="L1216" s="3"/>
      <c r="M1216" s="3"/>
      <c r="N1216" s="3">
        <v>0</v>
      </c>
      <c r="O1216" s="3"/>
      <c r="P1216" s="3">
        <v>0</v>
      </c>
      <c r="Q1216" s="3">
        <v>0</v>
      </c>
      <c r="R1216" s="3">
        <v>0</v>
      </c>
      <c r="S1216" s="3">
        <v>0</v>
      </c>
      <c r="T1216" s="3">
        <v>0</v>
      </c>
      <c r="U1216" s="3"/>
      <c r="V1216" s="3"/>
      <c r="W1216" s="3"/>
      <c r="X1216" s="3"/>
      <c r="Y1216" s="3"/>
      <c r="Z1216" s="3"/>
      <c r="AA1216" s="3"/>
      <c r="AB1216" s="3"/>
      <c r="AC1216" s="3"/>
      <c r="AD1216" s="3"/>
      <c r="AE1216" s="3">
        <v>0</v>
      </c>
      <c r="AF1216" s="3">
        <v>0</v>
      </c>
      <c r="AG1216" s="3"/>
      <c r="AH1216" s="40"/>
      <c r="AI1216" s="40"/>
      <c r="AJ1216" s="40"/>
      <c r="AK1216" s="40"/>
      <c r="AL1216" s="40"/>
      <c r="AM1216" s="40"/>
      <c r="AN1216" s="40"/>
      <c r="AO1216" s="40"/>
      <c r="AP1216" s="40"/>
      <c r="AQ1216" s="40"/>
      <c r="AR1216" s="31"/>
      <c r="AS1216" s="36">
        <v>0</v>
      </c>
      <c r="AY1216" s="6"/>
      <c r="AZ1216" s="2"/>
      <c r="BA1216" s="2"/>
      <c r="BB1216" s="2"/>
      <c r="BC1216">
        <v>71500</v>
      </c>
      <c r="BD1216">
        <v>56992</v>
      </c>
    </row>
    <row r="1217" spans="3:56" x14ac:dyDescent="0.25">
      <c r="C1217" s="1">
        <v>46837</v>
      </c>
      <c r="D1217" s="36">
        <v>269369.09999999998</v>
      </c>
      <c r="E1217" s="33">
        <v>4.5999999999999996</v>
      </c>
      <c r="F1217" s="33">
        <v>3.7293733333333301</v>
      </c>
      <c r="G1217" s="2">
        <v>0.81073333333333297</v>
      </c>
      <c r="H1217" s="2">
        <v>0.99</v>
      </c>
      <c r="I1217" s="3"/>
      <c r="J1217" s="3"/>
      <c r="K1217" s="3"/>
      <c r="L1217" s="3"/>
      <c r="M1217" s="3"/>
      <c r="N1217" s="3">
        <v>0</v>
      </c>
      <c r="O1217" s="3"/>
      <c r="P1217" s="3">
        <v>0</v>
      </c>
      <c r="Q1217" s="3">
        <v>0</v>
      </c>
      <c r="R1217" s="3">
        <v>0</v>
      </c>
      <c r="S1217" s="3">
        <v>0</v>
      </c>
      <c r="T1217" s="3">
        <v>0</v>
      </c>
      <c r="U1217" s="3"/>
      <c r="V1217" s="3"/>
      <c r="W1217" s="3"/>
      <c r="X1217" s="3"/>
      <c r="Y1217" s="3"/>
      <c r="Z1217" s="3"/>
      <c r="AA1217" s="3"/>
      <c r="AB1217" s="3"/>
      <c r="AC1217" s="3"/>
      <c r="AD1217" s="3"/>
      <c r="AE1217" s="3">
        <v>0</v>
      </c>
      <c r="AF1217" s="3">
        <v>0</v>
      </c>
      <c r="AG1217" s="3"/>
      <c r="AH1217" s="40"/>
      <c r="AI1217" s="40"/>
      <c r="AJ1217" s="40"/>
      <c r="AK1217" s="40"/>
      <c r="AL1217" s="40"/>
      <c r="AM1217" s="40"/>
      <c r="AN1217" s="40"/>
      <c r="AO1217" s="40"/>
      <c r="AP1217" s="40"/>
      <c r="AQ1217" s="40"/>
      <c r="AR1217" s="31"/>
      <c r="AS1217" s="36">
        <v>0</v>
      </c>
      <c r="AY1217" s="6"/>
      <c r="AZ1217" s="2"/>
      <c r="BA1217" s="2"/>
      <c r="BB1217" s="2"/>
      <c r="BC1217">
        <v>71500</v>
      </c>
      <c r="BD1217">
        <v>56992</v>
      </c>
    </row>
    <row r="1218" spans="3:56" x14ac:dyDescent="0.25">
      <c r="C1218" s="1">
        <v>46838</v>
      </c>
      <c r="D1218" s="36">
        <v>269369.09999999998</v>
      </c>
      <c r="E1218" s="33">
        <v>4.5999999999999996</v>
      </c>
      <c r="F1218" s="33">
        <v>3.72932222222222</v>
      </c>
      <c r="G1218" s="2">
        <v>0.81072222222222201</v>
      </c>
      <c r="H1218" s="2">
        <v>0.99</v>
      </c>
      <c r="I1218" s="3"/>
      <c r="J1218" s="3"/>
      <c r="K1218" s="3"/>
      <c r="L1218" s="3"/>
      <c r="M1218" s="3"/>
      <c r="N1218" s="3">
        <v>0</v>
      </c>
      <c r="O1218" s="3"/>
      <c r="P1218" s="3">
        <v>0</v>
      </c>
      <c r="Q1218" s="3">
        <v>0</v>
      </c>
      <c r="R1218" s="3">
        <v>0</v>
      </c>
      <c r="S1218" s="3">
        <v>0</v>
      </c>
      <c r="T1218" s="3">
        <v>0</v>
      </c>
      <c r="U1218" s="3"/>
      <c r="V1218" s="3"/>
      <c r="W1218" s="3"/>
      <c r="X1218" s="3"/>
      <c r="Y1218" s="3"/>
      <c r="Z1218" s="3"/>
      <c r="AA1218" s="3"/>
      <c r="AB1218" s="3"/>
      <c r="AC1218" s="3"/>
      <c r="AD1218" s="3"/>
      <c r="AE1218" s="3">
        <v>0</v>
      </c>
      <c r="AF1218" s="3">
        <v>0</v>
      </c>
      <c r="AG1218" s="3"/>
      <c r="AH1218" s="40"/>
      <c r="AI1218" s="40"/>
      <c r="AJ1218" s="40"/>
      <c r="AK1218" s="40"/>
      <c r="AL1218" s="40"/>
      <c r="AM1218" s="40"/>
      <c r="AN1218" s="40"/>
      <c r="AO1218" s="40"/>
      <c r="AP1218" s="40"/>
      <c r="AQ1218" s="40"/>
      <c r="AR1218" s="31"/>
      <c r="AS1218" s="36">
        <v>0</v>
      </c>
      <c r="AY1218" s="6"/>
      <c r="AZ1218" s="2"/>
      <c r="BA1218" s="2"/>
      <c r="BB1218" s="2"/>
      <c r="BC1218">
        <v>71500</v>
      </c>
      <c r="BD1218">
        <v>56992</v>
      </c>
    </row>
    <row r="1219" spans="3:56" x14ac:dyDescent="0.25">
      <c r="C1219" s="1">
        <v>46839</v>
      </c>
      <c r="D1219" s="36">
        <v>269369.09999999998</v>
      </c>
      <c r="E1219" s="33">
        <v>4.5999999999999996</v>
      </c>
      <c r="F1219" s="33">
        <v>3.7292711111111099</v>
      </c>
      <c r="G1219" s="2">
        <v>0.81071111111111105</v>
      </c>
      <c r="H1219" s="2">
        <v>0.99</v>
      </c>
      <c r="I1219" s="3"/>
      <c r="J1219" s="3"/>
      <c r="K1219" s="3"/>
      <c r="L1219" s="3"/>
      <c r="M1219" s="3"/>
      <c r="N1219" s="3">
        <v>0</v>
      </c>
      <c r="O1219" s="3"/>
      <c r="P1219" s="3">
        <v>0</v>
      </c>
      <c r="Q1219" s="3">
        <v>0</v>
      </c>
      <c r="R1219" s="3">
        <v>0</v>
      </c>
      <c r="S1219" s="3">
        <v>0</v>
      </c>
      <c r="T1219" s="3">
        <v>0</v>
      </c>
      <c r="U1219" s="3"/>
      <c r="V1219" s="3"/>
      <c r="W1219" s="3"/>
      <c r="X1219" s="3"/>
      <c r="Y1219" s="3"/>
      <c r="Z1219" s="3"/>
      <c r="AA1219" s="3"/>
      <c r="AB1219" s="3"/>
      <c r="AC1219" s="3"/>
      <c r="AD1219" s="3"/>
      <c r="AE1219" s="3">
        <v>0</v>
      </c>
      <c r="AF1219" s="3">
        <v>0</v>
      </c>
      <c r="AG1219" s="3"/>
      <c r="AH1219" s="40"/>
      <c r="AI1219" s="40"/>
      <c r="AJ1219" s="40"/>
      <c r="AK1219" s="40"/>
      <c r="AL1219" s="40"/>
      <c r="AM1219" s="40"/>
      <c r="AN1219" s="40"/>
      <c r="AO1219" s="40"/>
      <c r="AP1219" s="40"/>
      <c r="AQ1219" s="40"/>
      <c r="AR1219" s="31"/>
      <c r="AS1219" s="36">
        <v>0</v>
      </c>
      <c r="AY1219" s="6"/>
      <c r="AZ1219" s="2"/>
      <c r="BA1219" s="2"/>
      <c r="BB1219" s="2"/>
      <c r="BC1219">
        <v>71500</v>
      </c>
      <c r="BD1219">
        <v>56992</v>
      </c>
    </row>
    <row r="1220" spans="3:56" x14ac:dyDescent="0.25">
      <c r="C1220" s="1">
        <v>46840</v>
      </c>
      <c r="D1220" s="36">
        <v>269369.09999999998</v>
      </c>
      <c r="E1220" s="33">
        <v>4.5999999999999996</v>
      </c>
      <c r="F1220" s="33">
        <v>3.7292200000000002</v>
      </c>
      <c r="G1220" s="2">
        <v>0.81069999999999998</v>
      </c>
      <c r="H1220" s="2">
        <v>0.99</v>
      </c>
      <c r="I1220" s="3"/>
      <c r="J1220" s="3"/>
      <c r="K1220" s="3"/>
      <c r="L1220" s="3"/>
      <c r="M1220" s="3"/>
      <c r="N1220" s="3">
        <v>0</v>
      </c>
      <c r="O1220" s="3"/>
      <c r="P1220" s="3">
        <v>0</v>
      </c>
      <c r="Q1220" s="3">
        <v>0</v>
      </c>
      <c r="R1220" s="3">
        <v>0</v>
      </c>
      <c r="S1220" s="3">
        <v>0</v>
      </c>
      <c r="T1220" s="3">
        <v>0</v>
      </c>
      <c r="U1220" s="3"/>
      <c r="V1220" s="3"/>
      <c r="W1220" s="3"/>
      <c r="X1220" s="3"/>
      <c r="Y1220" s="3"/>
      <c r="Z1220" s="3"/>
      <c r="AA1220" s="3"/>
      <c r="AB1220" s="3"/>
      <c r="AC1220" s="3"/>
      <c r="AD1220" s="3"/>
      <c r="AE1220" s="3">
        <v>0</v>
      </c>
      <c r="AF1220" s="3">
        <v>0</v>
      </c>
      <c r="AG1220" s="3"/>
      <c r="AH1220" s="40"/>
      <c r="AI1220" s="40"/>
      <c r="AJ1220" s="40"/>
      <c r="AK1220" s="40"/>
      <c r="AL1220" s="40"/>
      <c r="AM1220" s="40"/>
      <c r="AN1220" s="40"/>
      <c r="AO1220" s="40"/>
      <c r="AP1220" s="40"/>
      <c r="AQ1220" s="40"/>
      <c r="AR1220" s="31"/>
      <c r="AS1220" s="36">
        <v>0</v>
      </c>
      <c r="AY1220" s="6"/>
      <c r="AZ1220" s="2"/>
      <c r="BA1220" s="2"/>
      <c r="BB1220" s="2"/>
      <c r="BC1220">
        <v>71500</v>
      </c>
      <c r="BD1220">
        <v>56992</v>
      </c>
    </row>
    <row r="1221" spans="3:56" x14ac:dyDescent="0.25">
      <c r="C1221" s="1">
        <v>46841</v>
      </c>
      <c r="D1221" s="36">
        <v>269369.09999999998</v>
      </c>
      <c r="E1221" s="33">
        <v>4.5999999999999996</v>
      </c>
      <c r="F1221" s="33">
        <v>3.7291688888888901</v>
      </c>
      <c r="G1221" s="2">
        <v>0.81068888888888901</v>
      </c>
      <c r="H1221" s="2">
        <v>0.99</v>
      </c>
      <c r="I1221" s="3"/>
      <c r="J1221" s="3"/>
      <c r="K1221" s="3"/>
      <c r="L1221" s="3"/>
      <c r="M1221" s="3"/>
      <c r="N1221" s="3">
        <v>0</v>
      </c>
      <c r="O1221" s="3"/>
      <c r="P1221" s="3">
        <v>0</v>
      </c>
      <c r="Q1221" s="3">
        <v>0</v>
      </c>
      <c r="R1221" s="3">
        <v>0</v>
      </c>
      <c r="S1221" s="3">
        <v>0</v>
      </c>
      <c r="T1221" s="3">
        <v>0</v>
      </c>
      <c r="U1221" s="3"/>
      <c r="V1221" s="3"/>
      <c r="W1221" s="3"/>
      <c r="X1221" s="3"/>
      <c r="Y1221" s="3"/>
      <c r="Z1221" s="3"/>
      <c r="AA1221" s="3"/>
      <c r="AB1221" s="3"/>
      <c r="AC1221" s="3"/>
      <c r="AD1221" s="3"/>
      <c r="AE1221" s="3">
        <v>0</v>
      </c>
      <c r="AF1221" s="3">
        <v>0</v>
      </c>
      <c r="AG1221" s="3"/>
      <c r="AH1221" s="40"/>
      <c r="AI1221" s="40"/>
      <c r="AJ1221" s="40"/>
      <c r="AK1221" s="40"/>
      <c r="AL1221" s="40"/>
      <c r="AM1221" s="40"/>
      <c r="AN1221" s="40"/>
      <c r="AO1221" s="40"/>
      <c r="AP1221" s="40"/>
      <c r="AQ1221" s="40"/>
      <c r="AR1221" s="31"/>
      <c r="AS1221" s="36">
        <v>0</v>
      </c>
      <c r="AY1221" s="6"/>
      <c r="AZ1221" s="2"/>
      <c r="BA1221" s="2"/>
      <c r="BB1221" s="2"/>
      <c r="BC1221">
        <v>71500</v>
      </c>
      <c r="BD1221">
        <v>56992</v>
      </c>
    </row>
    <row r="1222" spans="3:56" x14ac:dyDescent="0.25">
      <c r="C1222" s="1">
        <v>46842</v>
      </c>
      <c r="D1222" s="36">
        <v>269369.09999999998</v>
      </c>
      <c r="E1222" s="33">
        <v>4.5999999999999996</v>
      </c>
      <c r="F1222" s="33">
        <v>3.72911777777778</v>
      </c>
      <c r="G1222" s="2">
        <v>0.81067777777777805</v>
      </c>
      <c r="H1222" s="2">
        <v>0.99</v>
      </c>
      <c r="I1222" s="3"/>
      <c r="J1222" s="3"/>
      <c r="K1222" s="3"/>
      <c r="L1222" s="3"/>
      <c r="M1222" s="3"/>
      <c r="N1222" s="3">
        <v>0</v>
      </c>
      <c r="O1222" s="3"/>
      <c r="P1222" s="3">
        <v>0</v>
      </c>
      <c r="Q1222" s="3">
        <v>0</v>
      </c>
      <c r="R1222" s="3">
        <v>0</v>
      </c>
      <c r="S1222" s="3">
        <v>0</v>
      </c>
      <c r="T1222" s="3">
        <v>0</v>
      </c>
      <c r="U1222" s="3"/>
      <c r="V1222" s="3"/>
      <c r="W1222" s="3"/>
      <c r="X1222" s="3"/>
      <c r="Y1222" s="3"/>
      <c r="Z1222" s="3"/>
      <c r="AA1222" s="3"/>
      <c r="AB1222" s="3"/>
      <c r="AC1222" s="3"/>
      <c r="AD1222" s="3"/>
      <c r="AE1222" s="3">
        <v>0</v>
      </c>
      <c r="AF1222" s="3">
        <v>0</v>
      </c>
      <c r="AG1222" s="3"/>
      <c r="AH1222" s="40"/>
      <c r="AI1222" s="40"/>
      <c r="AJ1222" s="40"/>
      <c r="AK1222" s="40"/>
      <c r="AL1222" s="40"/>
      <c r="AM1222" s="40"/>
      <c r="AN1222" s="40"/>
      <c r="AO1222" s="40"/>
      <c r="AP1222" s="40"/>
      <c r="AQ1222" s="40"/>
      <c r="AR1222" s="31"/>
      <c r="AS1222" s="36">
        <v>0</v>
      </c>
      <c r="AY1222" s="6"/>
      <c r="AZ1222" s="2"/>
      <c r="BA1222" s="2"/>
      <c r="BB1222" s="2"/>
      <c r="BC1222">
        <v>71500</v>
      </c>
      <c r="BD1222">
        <v>56992</v>
      </c>
    </row>
    <row r="1223" spans="3:56" x14ac:dyDescent="0.25">
      <c r="C1223" s="1">
        <v>46843</v>
      </c>
      <c r="D1223" s="36">
        <v>269369.09999999998</v>
      </c>
      <c r="E1223" s="33">
        <v>4.5999999999999996</v>
      </c>
      <c r="F1223" s="33">
        <v>3.7290666666666699</v>
      </c>
      <c r="G1223" s="2">
        <v>0.81066666666666698</v>
      </c>
      <c r="H1223" s="2">
        <v>0.99</v>
      </c>
      <c r="I1223" s="3"/>
      <c r="J1223" s="3"/>
      <c r="K1223" s="3"/>
      <c r="L1223" s="3"/>
      <c r="M1223" s="3"/>
      <c r="N1223" s="3">
        <v>0</v>
      </c>
      <c r="O1223" s="3"/>
      <c r="P1223" s="3">
        <v>0</v>
      </c>
      <c r="Q1223" s="3">
        <v>0</v>
      </c>
      <c r="R1223" s="3">
        <v>0</v>
      </c>
      <c r="S1223" s="3">
        <v>0</v>
      </c>
      <c r="T1223" s="3">
        <v>0</v>
      </c>
      <c r="U1223" s="3"/>
      <c r="V1223" s="3"/>
      <c r="W1223" s="3"/>
      <c r="X1223" s="3"/>
      <c r="Y1223" s="3"/>
      <c r="Z1223" s="3"/>
      <c r="AA1223" s="3"/>
      <c r="AB1223" s="3"/>
      <c r="AC1223" s="3"/>
      <c r="AD1223" s="3"/>
      <c r="AE1223" s="3">
        <v>0</v>
      </c>
      <c r="AF1223" s="3">
        <v>0</v>
      </c>
      <c r="AG1223" s="3"/>
      <c r="AH1223" s="40"/>
      <c r="AI1223" s="40"/>
      <c r="AJ1223" s="40"/>
      <c r="AK1223" s="40"/>
      <c r="AL1223" s="40"/>
      <c r="AM1223" s="40"/>
      <c r="AN1223" s="40"/>
      <c r="AO1223" s="40"/>
      <c r="AP1223" s="40"/>
      <c r="AQ1223" s="40"/>
      <c r="AR1223" s="31"/>
      <c r="AS1223" s="36">
        <v>0</v>
      </c>
      <c r="AY1223" s="6"/>
      <c r="AZ1223" s="2"/>
      <c r="BA1223" s="2"/>
      <c r="BB1223" s="2"/>
      <c r="BC1223">
        <v>71500</v>
      </c>
      <c r="BD1223">
        <v>56992</v>
      </c>
    </row>
    <row r="1224" spans="3:56" x14ac:dyDescent="0.25">
      <c r="C1224" s="1">
        <v>46844</v>
      </c>
      <c r="D1224" s="36">
        <v>260352.47333333301</v>
      </c>
      <c r="E1224" s="33">
        <v>4.4733333333333301</v>
      </c>
      <c r="F1224" s="33">
        <v>3.6263822222222202</v>
      </c>
      <c r="G1224" s="2">
        <v>0.81066666666666698</v>
      </c>
      <c r="H1224" s="2">
        <v>0.99</v>
      </c>
      <c r="I1224" s="3"/>
      <c r="J1224" s="3"/>
      <c r="K1224" s="3"/>
      <c r="L1224" s="3"/>
      <c r="M1224" s="3"/>
      <c r="N1224" s="3">
        <v>0</v>
      </c>
      <c r="O1224" s="3"/>
      <c r="P1224" s="3">
        <v>0</v>
      </c>
      <c r="Q1224" s="3">
        <v>0</v>
      </c>
      <c r="R1224" s="3">
        <v>0</v>
      </c>
      <c r="S1224" s="3">
        <v>0</v>
      </c>
      <c r="T1224" s="3">
        <v>0</v>
      </c>
      <c r="U1224" s="3"/>
      <c r="V1224" s="3"/>
      <c r="W1224" s="3"/>
      <c r="X1224" s="3"/>
      <c r="Y1224" s="3"/>
      <c r="Z1224" s="3"/>
      <c r="AA1224" s="3"/>
      <c r="AB1224" s="3"/>
      <c r="AC1224" s="3"/>
      <c r="AD1224" s="3"/>
      <c r="AE1224" s="3">
        <v>0</v>
      </c>
      <c r="AF1224" s="3">
        <v>0</v>
      </c>
      <c r="AG1224" s="3"/>
      <c r="AH1224" s="40"/>
      <c r="AI1224" s="40"/>
      <c r="AJ1224" s="40"/>
      <c r="AK1224" s="40"/>
      <c r="AL1224" s="40"/>
      <c r="AM1224" s="40"/>
      <c r="AN1224" s="40"/>
      <c r="AO1224" s="40"/>
      <c r="AP1224" s="40"/>
      <c r="AQ1224" s="40"/>
      <c r="AR1224" s="31"/>
      <c r="AS1224" s="36">
        <v>0</v>
      </c>
      <c r="AY1224" s="6"/>
      <c r="AZ1224" s="2"/>
      <c r="BA1224" s="2"/>
      <c r="BB1224" s="2"/>
      <c r="BC1224">
        <v>71500</v>
      </c>
      <c r="BD1224">
        <v>56992</v>
      </c>
    </row>
    <row r="1225" spans="3:56" x14ac:dyDescent="0.25">
      <c r="C1225" s="1">
        <v>46845</v>
      </c>
      <c r="D1225" s="36">
        <v>260352.47333333301</v>
      </c>
      <c r="E1225" s="33">
        <v>4.4733333333333301</v>
      </c>
      <c r="F1225" s="33">
        <v>3.6263325185185198</v>
      </c>
      <c r="G1225" s="2">
        <v>0.81065555555555602</v>
      </c>
      <c r="H1225" s="2">
        <v>0.99</v>
      </c>
      <c r="I1225" s="3"/>
      <c r="J1225" s="3"/>
      <c r="K1225" s="3"/>
      <c r="L1225" s="3"/>
      <c r="M1225" s="3"/>
      <c r="N1225" s="3">
        <v>0</v>
      </c>
      <c r="O1225" s="3"/>
      <c r="P1225" s="3">
        <v>0</v>
      </c>
      <c r="Q1225" s="3">
        <v>0</v>
      </c>
      <c r="R1225" s="3">
        <v>0</v>
      </c>
      <c r="S1225" s="3">
        <v>0</v>
      </c>
      <c r="T1225" s="3">
        <v>0</v>
      </c>
      <c r="U1225" s="3"/>
      <c r="V1225" s="3"/>
      <c r="W1225" s="3"/>
      <c r="X1225" s="3"/>
      <c r="Y1225" s="3"/>
      <c r="Z1225" s="3"/>
      <c r="AA1225" s="3"/>
      <c r="AB1225" s="3"/>
      <c r="AC1225" s="3"/>
      <c r="AD1225" s="3"/>
      <c r="AE1225" s="3">
        <v>0</v>
      </c>
      <c r="AF1225" s="3">
        <v>0</v>
      </c>
      <c r="AG1225" s="3"/>
      <c r="AH1225" s="40"/>
      <c r="AI1225" s="40"/>
      <c r="AJ1225" s="40"/>
      <c r="AK1225" s="40"/>
      <c r="AL1225" s="40"/>
      <c r="AM1225" s="40"/>
      <c r="AN1225" s="40"/>
      <c r="AO1225" s="40"/>
      <c r="AP1225" s="40"/>
      <c r="AQ1225" s="40"/>
      <c r="AR1225" s="31"/>
      <c r="AS1225" s="36">
        <v>0</v>
      </c>
      <c r="AY1225" s="6"/>
      <c r="AZ1225" s="2"/>
      <c r="BA1225" s="2"/>
      <c r="BB1225" s="2"/>
      <c r="BC1225">
        <v>71500</v>
      </c>
      <c r="BD1225">
        <v>56992</v>
      </c>
    </row>
    <row r="1226" spans="3:56" x14ac:dyDescent="0.25">
      <c r="C1226" s="1">
        <v>46846</v>
      </c>
      <c r="D1226" s="36">
        <v>260352.47333333301</v>
      </c>
      <c r="E1226" s="33">
        <v>4.4733333333333301</v>
      </c>
      <c r="F1226" s="33">
        <v>3.6262828148148101</v>
      </c>
      <c r="G1226" s="2">
        <v>0.81064444444444395</v>
      </c>
      <c r="H1226" s="2">
        <v>0.99</v>
      </c>
      <c r="I1226" s="3"/>
      <c r="J1226" s="3"/>
      <c r="K1226" s="3"/>
      <c r="L1226" s="3"/>
      <c r="M1226" s="3"/>
      <c r="N1226" s="3">
        <v>0</v>
      </c>
      <c r="O1226" s="3"/>
      <c r="P1226" s="3">
        <v>0</v>
      </c>
      <c r="Q1226" s="3">
        <v>0</v>
      </c>
      <c r="R1226" s="3">
        <v>0</v>
      </c>
      <c r="S1226" s="3">
        <v>0</v>
      </c>
      <c r="T1226" s="3">
        <v>0</v>
      </c>
      <c r="U1226" s="3"/>
      <c r="V1226" s="3"/>
      <c r="W1226" s="3"/>
      <c r="X1226" s="3"/>
      <c r="Y1226" s="3"/>
      <c r="Z1226" s="3"/>
      <c r="AA1226" s="3"/>
      <c r="AB1226" s="3"/>
      <c r="AC1226" s="3"/>
      <c r="AD1226" s="3"/>
      <c r="AE1226" s="3">
        <v>0</v>
      </c>
      <c r="AF1226" s="3">
        <v>0</v>
      </c>
      <c r="AG1226" s="3"/>
      <c r="AH1226" s="40"/>
      <c r="AI1226" s="40"/>
      <c r="AJ1226" s="40"/>
      <c r="AK1226" s="40"/>
      <c r="AL1226" s="40"/>
      <c r="AM1226" s="40"/>
      <c r="AN1226" s="40"/>
      <c r="AO1226" s="40"/>
      <c r="AP1226" s="40"/>
      <c r="AQ1226" s="40"/>
      <c r="AR1226" s="31"/>
      <c r="AS1226" s="36">
        <v>0</v>
      </c>
      <c r="AY1226" s="6"/>
      <c r="AZ1226" s="2"/>
      <c r="BA1226" s="2"/>
      <c r="BB1226" s="2"/>
      <c r="BC1226">
        <v>71500</v>
      </c>
      <c r="BD1226">
        <v>56992</v>
      </c>
    </row>
    <row r="1227" spans="3:56" x14ac:dyDescent="0.25">
      <c r="C1227" s="1">
        <v>46847</v>
      </c>
      <c r="D1227" s="36">
        <v>260352.47333333301</v>
      </c>
      <c r="E1227" s="33">
        <v>4.4733333333333301</v>
      </c>
      <c r="F1227" s="33">
        <v>3.6262331111111101</v>
      </c>
      <c r="G1227" s="2">
        <v>0.81063333333333298</v>
      </c>
      <c r="H1227" s="2">
        <v>0.99</v>
      </c>
      <c r="I1227" s="3"/>
      <c r="J1227" s="3"/>
      <c r="K1227" s="3"/>
      <c r="L1227" s="3"/>
      <c r="M1227" s="3"/>
      <c r="N1227" s="3">
        <v>0</v>
      </c>
      <c r="O1227" s="3"/>
      <c r="P1227" s="3">
        <v>0</v>
      </c>
      <c r="Q1227" s="3">
        <v>0</v>
      </c>
      <c r="R1227" s="3">
        <v>0</v>
      </c>
      <c r="S1227" s="3">
        <v>0</v>
      </c>
      <c r="T1227" s="3">
        <v>0</v>
      </c>
      <c r="U1227" s="3"/>
      <c r="V1227" s="3"/>
      <c r="W1227" s="3"/>
      <c r="X1227" s="3"/>
      <c r="Y1227" s="3"/>
      <c r="Z1227" s="3"/>
      <c r="AA1227" s="3"/>
      <c r="AB1227" s="3"/>
      <c r="AC1227" s="3"/>
      <c r="AD1227" s="3"/>
      <c r="AE1227" s="3">
        <v>0</v>
      </c>
      <c r="AF1227" s="3">
        <v>0</v>
      </c>
      <c r="AG1227" s="3"/>
      <c r="AH1227" s="40"/>
      <c r="AI1227" s="40"/>
      <c r="AJ1227" s="40"/>
      <c r="AK1227" s="40"/>
      <c r="AL1227" s="40"/>
      <c r="AM1227" s="40"/>
      <c r="AN1227" s="40"/>
      <c r="AO1227" s="40"/>
      <c r="AP1227" s="40"/>
      <c r="AQ1227" s="40"/>
      <c r="AR1227" s="31"/>
      <c r="AS1227" s="36">
        <v>0</v>
      </c>
      <c r="AY1227" s="6"/>
      <c r="AZ1227" s="2"/>
      <c r="BA1227" s="2"/>
      <c r="BB1227" s="2"/>
      <c r="BC1227">
        <v>71500</v>
      </c>
      <c r="BD1227">
        <v>56992</v>
      </c>
    </row>
    <row r="1228" spans="3:56" x14ac:dyDescent="0.25">
      <c r="C1228" s="1">
        <v>46848</v>
      </c>
      <c r="D1228" s="36">
        <v>260352.47333333301</v>
      </c>
      <c r="E1228" s="33">
        <v>4.4733333333333301</v>
      </c>
      <c r="F1228" s="33">
        <v>3.6261834074074102</v>
      </c>
      <c r="G1228" s="2">
        <v>0.81062222222222202</v>
      </c>
      <c r="H1228" s="2">
        <v>0.99</v>
      </c>
      <c r="I1228" s="3"/>
      <c r="J1228" s="3"/>
      <c r="K1228" s="3"/>
      <c r="L1228" s="3"/>
      <c r="M1228" s="3"/>
      <c r="N1228" s="3">
        <v>0</v>
      </c>
      <c r="O1228" s="3"/>
      <c r="P1228" s="3">
        <v>0</v>
      </c>
      <c r="Q1228" s="3">
        <v>0</v>
      </c>
      <c r="R1228" s="3">
        <v>0</v>
      </c>
      <c r="S1228" s="3">
        <v>0</v>
      </c>
      <c r="T1228" s="3">
        <v>0</v>
      </c>
      <c r="U1228" s="3"/>
      <c r="V1228" s="3"/>
      <c r="W1228" s="3"/>
      <c r="X1228" s="3"/>
      <c r="Y1228" s="3"/>
      <c r="Z1228" s="3"/>
      <c r="AA1228" s="3"/>
      <c r="AB1228" s="3"/>
      <c r="AC1228" s="3"/>
      <c r="AD1228" s="3"/>
      <c r="AE1228" s="3">
        <v>0</v>
      </c>
      <c r="AF1228" s="3">
        <v>0</v>
      </c>
      <c r="AG1228" s="3"/>
      <c r="AH1228" s="40"/>
      <c r="AI1228" s="40"/>
      <c r="AJ1228" s="40"/>
      <c r="AK1228" s="40"/>
      <c r="AL1228" s="40"/>
      <c r="AM1228" s="40"/>
      <c r="AN1228" s="40"/>
      <c r="AO1228" s="40"/>
      <c r="AP1228" s="40"/>
      <c r="AQ1228" s="40"/>
      <c r="AR1228" s="31"/>
      <c r="AS1228" s="36">
        <v>0</v>
      </c>
      <c r="AY1228" s="6"/>
      <c r="AZ1228" s="2"/>
      <c r="BA1228" s="2"/>
      <c r="BB1228" s="2"/>
      <c r="BC1228">
        <v>71500</v>
      </c>
      <c r="BD1228">
        <v>56992</v>
      </c>
    </row>
    <row r="1229" spans="3:56" x14ac:dyDescent="0.25">
      <c r="C1229" s="1">
        <v>46849</v>
      </c>
      <c r="D1229" s="36">
        <v>260352.47333333301</v>
      </c>
      <c r="E1229" s="33">
        <v>4.4733333333333301</v>
      </c>
      <c r="F1229" s="33">
        <v>3.6261337037037</v>
      </c>
      <c r="G1229" s="2">
        <v>0.81061111111111095</v>
      </c>
      <c r="H1229" s="2">
        <v>0.99</v>
      </c>
      <c r="I1229" s="3"/>
      <c r="J1229" s="3"/>
      <c r="K1229" s="3"/>
      <c r="L1229" s="3"/>
      <c r="M1229" s="3"/>
      <c r="N1229" s="3">
        <v>0</v>
      </c>
      <c r="O1229" s="3"/>
      <c r="P1229" s="3">
        <v>0</v>
      </c>
      <c r="Q1229" s="3">
        <v>0</v>
      </c>
      <c r="R1229" s="3">
        <v>0</v>
      </c>
      <c r="S1229" s="3">
        <v>0</v>
      </c>
      <c r="T1229" s="3">
        <v>0</v>
      </c>
      <c r="U1229" s="3"/>
      <c r="V1229" s="3"/>
      <c r="W1229" s="3"/>
      <c r="X1229" s="3"/>
      <c r="Y1229" s="3"/>
      <c r="Z1229" s="3"/>
      <c r="AA1229" s="3"/>
      <c r="AB1229" s="3"/>
      <c r="AC1229" s="3"/>
      <c r="AD1229" s="3"/>
      <c r="AE1229" s="3">
        <v>0</v>
      </c>
      <c r="AF1229" s="3">
        <v>0</v>
      </c>
      <c r="AG1229" s="3"/>
      <c r="AH1229" s="40"/>
      <c r="AI1229" s="40"/>
      <c r="AJ1229" s="40"/>
      <c r="AK1229" s="40"/>
      <c r="AL1229" s="40"/>
      <c r="AM1229" s="40"/>
      <c r="AN1229" s="40"/>
      <c r="AO1229" s="40"/>
      <c r="AP1229" s="40"/>
      <c r="AQ1229" s="40"/>
      <c r="AR1229" s="31"/>
      <c r="AS1229" s="36">
        <v>0</v>
      </c>
      <c r="AY1229" s="6"/>
      <c r="AZ1229" s="2"/>
      <c r="BA1229" s="2"/>
      <c r="BB1229" s="2"/>
      <c r="BC1229">
        <v>71500</v>
      </c>
      <c r="BD1229">
        <v>56992</v>
      </c>
    </row>
    <row r="1230" spans="3:56" x14ac:dyDescent="0.25">
      <c r="C1230" s="1">
        <v>46850</v>
      </c>
      <c r="D1230" s="36">
        <v>260352.47333333301</v>
      </c>
      <c r="E1230" s="33">
        <v>4.4733333333333301</v>
      </c>
      <c r="F1230" s="33">
        <v>3.6260840000000001</v>
      </c>
      <c r="G1230" s="2">
        <v>0.81059999999999999</v>
      </c>
      <c r="H1230" s="2">
        <v>0.99</v>
      </c>
      <c r="I1230" s="3"/>
      <c r="J1230" s="3"/>
      <c r="K1230" s="3"/>
      <c r="L1230" s="3"/>
      <c r="M1230" s="3"/>
      <c r="N1230" s="3">
        <v>0</v>
      </c>
      <c r="O1230" s="3"/>
      <c r="P1230" s="3">
        <v>0</v>
      </c>
      <c r="Q1230" s="3">
        <v>0</v>
      </c>
      <c r="R1230" s="3">
        <v>0</v>
      </c>
      <c r="S1230" s="3">
        <v>0</v>
      </c>
      <c r="T1230" s="3">
        <v>0</v>
      </c>
      <c r="U1230" s="3"/>
      <c r="V1230" s="3"/>
      <c r="W1230" s="3"/>
      <c r="X1230" s="3"/>
      <c r="Y1230" s="3"/>
      <c r="Z1230" s="3"/>
      <c r="AA1230" s="3"/>
      <c r="AB1230" s="3"/>
      <c r="AC1230" s="3"/>
      <c r="AD1230" s="3"/>
      <c r="AE1230" s="3">
        <v>0</v>
      </c>
      <c r="AF1230" s="3">
        <v>0</v>
      </c>
      <c r="AG1230" s="3"/>
      <c r="AH1230" s="40"/>
      <c r="AI1230" s="40"/>
      <c r="AJ1230" s="40"/>
      <c r="AK1230" s="40"/>
      <c r="AL1230" s="40"/>
      <c r="AM1230" s="40"/>
      <c r="AN1230" s="40"/>
      <c r="AO1230" s="40"/>
      <c r="AP1230" s="40"/>
      <c r="AQ1230" s="40"/>
      <c r="AR1230" s="31"/>
      <c r="AS1230" s="36">
        <v>0</v>
      </c>
      <c r="AY1230" s="6"/>
      <c r="AZ1230" s="2"/>
      <c r="BA1230" s="2"/>
      <c r="BB1230" s="2"/>
      <c r="BC1230">
        <v>71500</v>
      </c>
      <c r="BD1230">
        <v>56992</v>
      </c>
    </row>
    <row r="1231" spans="3:56" x14ac:dyDescent="0.25">
      <c r="C1231" s="1">
        <v>46851</v>
      </c>
      <c r="D1231" s="36">
        <v>260352.47333333301</v>
      </c>
      <c r="E1231" s="33">
        <v>4.4733333333333301</v>
      </c>
      <c r="F1231" s="33">
        <v>3.6260342962963001</v>
      </c>
      <c r="G1231" s="2">
        <v>0.81058888888888903</v>
      </c>
      <c r="H1231" s="2">
        <v>0.99</v>
      </c>
      <c r="I1231" s="3"/>
      <c r="J1231" s="3"/>
      <c r="K1231" s="3"/>
      <c r="L1231" s="3"/>
      <c r="M1231" s="3"/>
      <c r="N1231" s="3">
        <v>0</v>
      </c>
      <c r="O1231" s="3"/>
      <c r="P1231" s="3">
        <v>0</v>
      </c>
      <c r="Q1231" s="3">
        <v>0</v>
      </c>
      <c r="R1231" s="3">
        <v>0</v>
      </c>
      <c r="S1231" s="3">
        <v>0</v>
      </c>
      <c r="T1231" s="3">
        <v>0</v>
      </c>
      <c r="U1231" s="3"/>
      <c r="V1231" s="3"/>
      <c r="W1231" s="3"/>
      <c r="X1231" s="3"/>
      <c r="Y1231" s="3"/>
      <c r="Z1231" s="3"/>
      <c r="AA1231" s="3"/>
      <c r="AB1231" s="3"/>
      <c r="AC1231" s="3"/>
      <c r="AD1231" s="3"/>
      <c r="AE1231" s="3">
        <v>0</v>
      </c>
      <c r="AF1231" s="3">
        <v>0</v>
      </c>
      <c r="AG1231" s="3"/>
      <c r="AH1231" s="40"/>
      <c r="AI1231" s="40"/>
      <c r="AJ1231" s="40"/>
      <c r="AK1231" s="40"/>
      <c r="AL1231" s="40"/>
      <c r="AM1231" s="40"/>
      <c r="AN1231" s="40"/>
      <c r="AO1231" s="40"/>
      <c r="AP1231" s="40"/>
      <c r="AQ1231" s="40"/>
      <c r="AR1231" s="31"/>
      <c r="AS1231" s="36">
        <v>0</v>
      </c>
      <c r="AY1231" s="6"/>
      <c r="AZ1231" s="2"/>
      <c r="BA1231" s="2"/>
      <c r="BB1231" s="2"/>
      <c r="BC1231">
        <v>71500</v>
      </c>
      <c r="BD1231">
        <v>56992</v>
      </c>
    </row>
    <row r="1232" spans="3:56" x14ac:dyDescent="0.25">
      <c r="C1232" s="1">
        <v>46852</v>
      </c>
      <c r="D1232" s="36">
        <v>260352.47333333301</v>
      </c>
      <c r="E1232" s="33">
        <v>4.4733333333333301</v>
      </c>
      <c r="F1232" s="33">
        <v>3.62598459259259</v>
      </c>
      <c r="G1232" s="2">
        <v>0.81057777777777795</v>
      </c>
      <c r="H1232" s="2">
        <v>0.99</v>
      </c>
      <c r="I1232" s="3"/>
      <c r="J1232" s="3"/>
      <c r="K1232" s="3"/>
      <c r="L1232" s="3"/>
      <c r="M1232" s="3"/>
      <c r="N1232" s="3">
        <v>0</v>
      </c>
      <c r="O1232" s="3"/>
      <c r="P1232" s="3">
        <v>0</v>
      </c>
      <c r="Q1232" s="3">
        <v>0</v>
      </c>
      <c r="R1232" s="3">
        <v>0</v>
      </c>
      <c r="S1232" s="3">
        <v>0</v>
      </c>
      <c r="T1232" s="3">
        <v>0</v>
      </c>
      <c r="U1232" s="3"/>
      <c r="V1232" s="3"/>
      <c r="W1232" s="3"/>
      <c r="X1232" s="3"/>
      <c r="Y1232" s="3"/>
      <c r="Z1232" s="3"/>
      <c r="AA1232" s="3"/>
      <c r="AB1232" s="3"/>
      <c r="AC1232" s="3"/>
      <c r="AD1232" s="3"/>
      <c r="AE1232" s="3">
        <v>0</v>
      </c>
      <c r="AF1232" s="3">
        <v>0</v>
      </c>
      <c r="AG1232" s="3"/>
      <c r="AH1232" s="40"/>
      <c r="AI1232" s="40"/>
      <c r="AJ1232" s="40"/>
      <c r="AK1232" s="40"/>
      <c r="AL1232" s="40"/>
      <c r="AM1232" s="40"/>
      <c r="AN1232" s="40"/>
      <c r="AO1232" s="40"/>
      <c r="AP1232" s="40"/>
      <c r="AQ1232" s="40"/>
      <c r="AR1232" s="31"/>
      <c r="AS1232" s="36">
        <v>0</v>
      </c>
      <c r="AY1232" s="6"/>
      <c r="AZ1232" s="2"/>
      <c r="BA1232" s="2"/>
      <c r="BB1232" s="2"/>
      <c r="BC1232">
        <v>71500</v>
      </c>
      <c r="BD1232">
        <v>56992</v>
      </c>
    </row>
    <row r="1233" spans="3:56" x14ac:dyDescent="0.25">
      <c r="C1233" s="1">
        <v>46853</v>
      </c>
      <c r="D1233" s="36">
        <v>260352.47333333301</v>
      </c>
      <c r="E1233" s="33">
        <v>4.4733333333333301</v>
      </c>
      <c r="F1233" s="33">
        <v>3.62593488888889</v>
      </c>
      <c r="G1233" s="2">
        <v>0.81056666666666699</v>
      </c>
      <c r="H1233" s="2">
        <v>0.99</v>
      </c>
      <c r="I1233" s="3"/>
      <c r="J1233" s="3"/>
      <c r="K1233" s="3"/>
      <c r="L1233" s="3"/>
      <c r="M1233" s="3"/>
      <c r="N1233" s="3">
        <v>0</v>
      </c>
      <c r="O1233" s="3"/>
      <c r="P1233" s="3">
        <v>0</v>
      </c>
      <c r="Q1233" s="3">
        <v>0</v>
      </c>
      <c r="R1233" s="3">
        <v>0</v>
      </c>
      <c r="S1233" s="3">
        <v>0</v>
      </c>
      <c r="T1233" s="3">
        <v>0</v>
      </c>
      <c r="U1233" s="3"/>
      <c r="V1233" s="3"/>
      <c r="W1233" s="3"/>
      <c r="X1233" s="3"/>
      <c r="Y1233" s="3"/>
      <c r="Z1233" s="3"/>
      <c r="AA1233" s="3"/>
      <c r="AB1233" s="3"/>
      <c r="AC1233" s="3"/>
      <c r="AD1233" s="3"/>
      <c r="AE1233" s="3">
        <v>0</v>
      </c>
      <c r="AF1233" s="3">
        <v>0</v>
      </c>
      <c r="AG1233" s="3"/>
      <c r="AH1233" s="40"/>
      <c r="AI1233" s="40"/>
      <c r="AJ1233" s="40"/>
      <c r="AK1233" s="40"/>
      <c r="AL1233" s="40"/>
      <c r="AM1233" s="40"/>
      <c r="AN1233" s="40"/>
      <c r="AO1233" s="40"/>
      <c r="AP1233" s="40"/>
      <c r="AQ1233" s="40"/>
      <c r="AR1233" s="31"/>
      <c r="AS1233" s="36">
        <v>0</v>
      </c>
      <c r="AY1233" s="6"/>
      <c r="AZ1233" s="2"/>
      <c r="BA1233" s="2"/>
      <c r="BB1233" s="2"/>
      <c r="BC1233">
        <v>71500</v>
      </c>
      <c r="BD1233">
        <v>56992</v>
      </c>
    </row>
    <row r="1234" spans="3:56" x14ac:dyDescent="0.25">
      <c r="C1234" s="1">
        <v>46854</v>
      </c>
      <c r="D1234" s="36">
        <v>260352.47333333301</v>
      </c>
      <c r="E1234" s="33">
        <v>4.4733333333333301</v>
      </c>
      <c r="F1234" s="33">
        <v>3.6258851851851799</v>
      </c>
      <c r="G1234" s="2">
        <v>0.81055555555555603</v>
      </c>
      <c r="H1234" s="2">
        <v>0.99</v>
      </c>
      <c r="I1234" s="3"/>
      <c r="J1234" s="3"/>
      <c r="K1234" s="3"/>
      <c r="L1234" s="3"/>
      <c r="M1234" s="3"/>
      <c r="N1234" s="3">
        <v>0</v>
      </c>
      <c r="O1234" s="3"/>
      <c r="P1234" s="3">
        <v>0</v>
      </c>
      <c r="Q1234" s="3">
        <v>0</v>
      </c>
      <c r="R1234" s="3">
        <v>0</v>
      </c>
      <c r="S1234" s="3">
        <v>0</v>
      </c>
      <c r="T1234" s="3">
        <v>0</v>
      </c>
      <c r="U1234" s="3"/>
      <c r="V1234" s="3"/>
      <c r="W1234" s="3"/>
      <c r="X1234" s="3"/>
      <c r="Y1234" s="3"/>
      <c r="Z1234" s="3"/>
      <c r="AA1234" s="3"/>
      <c r="AB1234" s="3"/>
      <c r="AC1234" s="3"/>
      <c r="AD1234" s="3"/>
      <c r="AE1234" s="3">
        <v>0</v>
      </c>
      <c r="AF1234" s="3">
        <v>0</v>
      </c>
      <c r="AG1234" s="3"/>
      <c r="AH1234" s="40"/>
      <c r="AI1234" s="40"/>
      <c r="AJ1234" s="40"/>
      <c r="AK1234" s="40"/>
      <c r="AL1234" s="40"/>
      <c r="AM1234" s="40"/>
      <c r="AN1234" s="40"/>
      <c r="AO1234" s="40"/>
      <c r="AP1234" s="40"/>
      <c r="AQ1234" s="40"/>
      <c r="AR1234" s="31"/>
      <c r="AS1234" s="36">
        <v>0</v>
      </c>
      <c r="AY1234" s="6"/>
      <c r="AZ1234" s="2"/>
      <c r="BA1234" s="2"/>
      <c r="BB1234" s="2"/>
      <c r="BC1234">
        <v>71500</v>
      </c>
      <c r="BD1234">
        <v>56992</v>
      </c>
    </row>
    <row r="1235" spans="3:56" x14ac:dyDescent="0.25">
      <c r="C1235" s="1">
        <v>46855</v>
      </c>
      <c r="D1235" s="36">
        <v>260352.47333333301</v>
      </c>
      <c r="E1235" s="33">
        <v>4.4733333333333301</v>
      </c>
      <c r="F1235" s="33">
        <v>3.6258354814814799</v>
      </c>
      <c r="G1235" s="2">
        <v>0.81054444444444396</v>
      </c>
      <c r="H1235" s="2">
        <v>0.99</v>
      </c>
      <c r="I1235" s="3"/>
      <c r="J1235" s="3"/>
      <c r="K1235" s="3"/>
      <c r="L1235" s="3"/>
      <c r="M1235" s="3"/>
      <c r="N1235" s="3">
        <v>0</v>
      </c>
      <c r="O1235" s="3"/>
      <c r="P1235" s="3">
        <v>0</v>
      </c>
      <c r="Q1235" s="3">
        <v>0</v>
      </c>
      <c r="R1235" s="3">
        <v>0</v>
      </c>
      <c r="S1235" s="3">
        <v>0</v>
      </c>
      <c r="T1235" s="3">
        <v>0</v>
      </c>
      <c r="U1235" s="3"/>
      <c r="V1235" s="3"/>
      <c r="W1235" s="3"/>
      <c r="X1235" s="3"/>
      <c r="Y1235" s="3"/>
      <c r="Z1235" s="3"/>
      <c r="AA1235" s="3"/>
      <c r="AB1235" s="3"/>
      <c r="AC1235" s="3"/>
      <c r="AD1235" s="3"/>
      <c r="AE1235" s="3">
        <v>0</v>
      </c>
      <c r="AF1235" s="3">
        <v>0</v>
      </c>
      <c r="AG1235" s="3"/>
      <c r="AH1235" s="40"/>
      <c r="AI1235" s="40"/>
      <c r="AJ1235" s="40"/>
      <c r="AK1235" s="40"/>
      <c r="AL1235" s="40"/>
      <c r="AM1235" s="40"/>
      <c r="AN1235" s="40"/>
      <c r="AO1235" s="40"/>
      <c r="AP1235" s="40"/>
      <c r="AQ1235" s="40"/>
      <c r="AR1235" s="31"/>
      <c r="AS1235" s="36">
        <v>0</v>
      </c>
      <c r="AY1235" s="6"/>
      <c r="AZ1235" s="2"/>
      <c r="BA1235" s="2"/>
      <c r="BB1235" s="2"/>
      <c r="BC1235">
        <v>71500</v>
      </c>
      <c r="BD1235">
        <v>56992</v>
      </c>
    </row>
    <row r="1236" spans="3:56" x14ac:dyDescent="0.25">
      <c r="C1236" s="1">
        <v>46856</v>
      </c>
      <c r="D1236" s="36">
        <v>260352.47333333301</v>
      </c>
      <c r="E1236" s="33">
        <v>4.4733333333333301</v>
      </c>
      <c r="F1236" s="33">
        <v>3.62578577777778</v>
      </c>
      <c r="G1236" s="2">
        <v>0.81053333333333299</v>
      </c>
      <c r="H1236" s="2">
        <v>0.99</v>
      </c>
      <c r="I1236" s="3"/>
      <c r="J1236" s="3"/>
      <c r="K1236" s="3"/>
      <c r="L1236" s="3"/>
      <c r="M1236" s="3"/>
      <c r="N1236" s="3">
        <v>0</v>
      </c>
      <c r="O1236" s="3"/>
      <c r="P1236" s="3">
        <v>0</v>
      </c>
      <c r="Q1236" s="3">
        <v>0</v>
      </c>
      <c r="R1236" s="3">
        <v>0</v>
      </c>
      <c r="S1236" s="3">
        <v>0</v>
      </c>
      <c r="T1236" s="3">
        <v>0</v>
      </c>
      <c r="U1236" s="3"/>
      <c r="V1236" s="3"/>
      <c r="W1236" s="3"/>
      <c r="X1236" s="3"/>
      <c r="Y1236" s="3"/>
      <c r="Z1236" s="3"/>
      <c r="AA1236" s="3"/>
      <c r="AB1236" s="3"/>
      <c r="AC1236" s="3"/>
      <c r="AD1236" s="3"/>
      <c r="AE1236" s="3">
        <v>0</v>
      </c>
      <c r="AF1236" s="3">
        <v>0</v>
      </c>
      <c r="AG1236" s="3"/>
      <c r="AH1236" s="40"/>
      <c r="AI1236" s="40"/>
      <c r="AJ1236" s="40"/>
      <c r="AK1236" s="40"/>
      <c r="AL1236" s="40"/>
      <c r="AM1236" s="40"/>
      <c r="AN1236" s="40"/>
      <c r="AO1236" s="40"/>
      <c r="AP1236" s="40"/>
      <c r="AQ1236" s="40"/>
      <c r="AR1236" s="31"/>
      <c r="AS1236" s="36">
        <v>0</v>
      </c>
      <c r="AY1236" s="6"/>
      <c r="AZ1236" s="2"/>
      <c r="BA1236" s="2"/>
      <c r="BB1236" s="2"/>
      <c r="BC1236">
        <v>71500</v>
      </c>
      <c r="BD1236">
        <v>56992</v>
      </c>
    </row>
    <row r="1237" spans="3:56" x14ac:dyDescent="0.25">
      <c r="C1237" s="1">
        <v>46857</v>
      </c>
      <c r="D1237" s="36">
        <v>260352.47333333301</v>
      </c>
      <c r="E1237" s="33">
        <v>4.4733333333333301</v>
      </c>
      <c r="F1237" s="33">
        <v>3.6257360740740698</v>
      </c>
      <c r="G1237" s="2">
        <v>0.81052222222222203</v>
      </c>
      <c r="H1237" s="2">
        <v>0.99</v>
      </c>
      <c r="I1237" s="3"/>
      <c r="J1237" s="3"/>
      <c r="K1237" s="3"/>
      <c r="L1237" s="3"/>
      <c r="M1237" s="3"/>
      <c r="N1237" s="3">
        <v>0</v>
      </c>
      <c r="O1237" s="3"/>
      <c r="P1237" s="3">
        <v>0</v>
      </c>
      <c r="Q1237" s="3">
        <v>0</v>
      </c>
      <c r="R1237" s="3">
        <v>0</v>
      </c>
      <c r="S1237" s="3">
        <v>0</v>
      </c>
      <c r="T1237" s="3">
        <v>0</v>
      </c>
      <c r="U1237" s="3"/>
      <c r="V1237" s="3"/>
      <c r="W1237" s="3"/>
      <c r="X1237" s="3"/>
      <c r="Y1237" s="3"/>
      <c r="Z1237" s="3"/>
      <c r="AA1237" s="3"/>
      <c r="AB1237" s="3"/>
      <c r="AC1237" s="3"/>
      <c r="AD1237" s="3"/>
      <c r="AE1237" s="3">
        <v>0</v>
      </c>
      <c r="AF1237" s="3">
        <v>0</v>
      </c>
      <c r="AG1237" s="3"/>
      <c r="AH1237" s="40"/>
      <c r="AI1237" s="40"/>
      <c r="AJ1237" s="40"/>
      <c r="AK1237" s="40"/>
      <c r="AL1237" s="40"/>
      <c r="AM1237" s="40"/>
      <c r="AN1237" s="40"/>
      <c r="AO1237" s="40"/>
      <c r="AP1237" s="40"/>
      <c r="AQ1237" s="40"/>
      <c r="AR1237" s="31"/>
      <c r="AS1237" s="36">
        <v>0</v>
      </c>
      <c r="AY1237" s="6"/>
      <c r="AZ1237" s="2"/>
      <c r="BA1237" s="2"/>
      <c r="BB1237" s="2"/>
      <c r="BC1237">
        <v>71500</v>
      </c>
      <c r="BD1237">
        <v>56992</v>
      </c>
    </row>
    <row r="1238" spans="3:56" x14ac:dyDescent="0.25">
      <c r="C1238" s="1">
        <v>46858</v>
      </c>
      <c r="D1238" s="36">
        <v>260352.47333333301</v>
      </c>
      <c r="E1238" s="33">
        <v>4.4733333333333301</v>
      </c>
      <c r="F1238" s="33">
        <v>3.6256863703703699</v>
      </c>
      <c r="G1238" s="2">
        <v>0.81051111111111096</v>
      </c>
      <c r="H1238" s="2">
        <v>0.99</v>
      </c>
      <c r="I1238" s="3"/>
      <c r="J1238" s="3"/>
      <c r="K1238" s="3"/>
      <c r="L1238" s="3"/>
      <c r="M1238" s="3"/>
      <c r="N1238" s="3">
        <v>0</v>
      </c>
      <c r="O1238" s="3"/>
      <c r="P1238" s="3">
        <v>0</v>
      </c>
      <c r="Q1238" s="3">
        <v>0</v>
      </c>
      <c r="R1238" s="3">
        <v>0</v>
      </c>
      <c r="S1238" s="3">
        <v>0</v>
      </c>
      <c r="T1238" s="3">
        <v>0</v>
      </c>
      <c r="U1238" s="3"/>
      <c r="V1238" s="3"/>
      <c r="W1238" s="3"/>
      <c r="X1238" s="3"/>
      <c r="Y1238" s="3"/>
      <c r="Z1238" s="3"/>
      <c r="AA1238" s="3"/>
      <c r="AB1238" s="3"/>
      <c r="AC1238" s="3"/>
      <c r="AD1238" s="3"/>
      <c r="AE1238" s="3">
        <v>0</v>
      </c>
      <c r="AF1238" s="3">
        <v>0</v>
      </c>
      <c r="AG1238" s="3"/>
      <c r="AH1238" s="40"/>
      <c r="AI1238" s="40"/>
      <c r="AJ1238" s="40"/>
      <c r="AK1238" s="40"/>
      <c r="AL1238" s="40"/>
      <c r="AM1238" s="40"/>
      <c r="AN1238" s="40"/>
      <c r="AO1238" s="40"/>
      <c r="AP1238" s="40"/>
      <c r="AQ1238" s="40"/>
      <c r="AR1238" s="31"/>
      <c r="AS1238" s="36">
        <v>0</v>
      </c>
      <c r="AY1238" s="6"/>
      <c r="AZ1238" s="2"/>
      <c r="BA1238" s="2"/>
      <c r="BB1238" s="2"/>
      <c r="BC1238">
        <v>71500</v>
      </c>
      <c r="BD1238">
        <v>56992</v>
      </c>
    </row>
    <row r="1239" spans="3:56" x14ac:dyDescent="0.25">
      <c r="C1239" s="1">
        <v>46859</v>
      </c>
      <c r="D1239" s="36">
        <v>260352.47333333301</v>
      </c>
      <c r="E1239" s="33">
        <v>4.4733333333333301</v>
      </c>
      <c r="F1239" s="33">
        <v>3.6256366666666699</v>
      </c>
      <c r="G1239" s="2">
        <v>0.8105</v>
      </c>
      <c r="H1239" s="2">
        <v>0.99</v>
      </c>
      <c r="I1239" s="3"/>
      <c r="J1239" s="3"/>
      <c r="K1239" s="3"/>
      <c r="L1239" s="3"/>
      <c r="M1239" s="3"/>
      <c r="N1239" s="3">
        <v>0</v>
      </c>
      <c r="O1239" s="3"/>
      <c r="P1239" s="3">
        <v>0</v>
      </c>
      <c r="Q1239" s="3">
        <v>0</v>
      </c>
      <c r="R1239" s="3">
        <v>0</v>
      </c>
      <c r="S1239" s="3">
        <v>0</v>
      </c>
      <c r="T1239" s="3">
        <v>0</v>
      </c>
      <c r="U1239" s="3"/>
      <c r="V1239" s="3"/>
      <c r="W1239" s="3"/>
      <c r="X1239" s="3"/>
      <c r="Y1239" s="3"/>
      <c r="Z1239" s="3"/>
      <c r="AA1239" s="3"/>
      <c r="AB1239" s="3"/>
      <c r="AC1239" s="3"/>
      <c r="AD1239" s="3"/>
      <c r="AE1239" s="3">
        <v>0</v>
      </c>
      <c r="AF1239" s="3">
        <v>0</v>
      </c>
      <c r="AG1239" s="3"/>
      <c r="AH1239" s="40"/>
      <c r="AI1239" s="40"/>
      <c r="AJ1239" s="40"/>
      <c r="AK1239" s="40"/>
      <c r="AL1239" s="40"/>
      <c r="AM1239" s="40"/>
      <c r="AN1239" s="40"/>
      <c r="AO1239" s="40"/>
      <c r="AP1239" s="40"/>
      <c r="AQ1239" s="40"/>
      <c r="AR1239" s="31"/>
      <c r="AS1239" s="36">
        <v>0</v>
      </c>
      <c r="AY1239" s="6"/>
      <c r="AZ1239" s="2"/>
      <c r="BA1239" s="2"/>
      <c r="BB1239" s="2"/>
      <c r="BC1239">
        <v>71500</v>
      </c>
      <c r="BD1239">
        <v>56992</v>
      </c>
    </row>
    <row r="1240" spans="3:56" x14ac:dyDescent="0.25">
      <c r="C1240" s="1">
        <v>46860</v>
      </c>
      <c r="D1240" s="36">
        <v>260352.47333333301</v>
      </c>
      <c r="E1240" s="33">
        <v>4.4733333333333301</v>
      </c>
      <c r="F1240" s="33">
        <v>3.6255869629629598</v>
      </c>
      <c r="G1240" s="2">
        <v>0.81048888888888904</v>
      </c>
      <c r="H1240" s="2">
        <v>0.99</v>
      </c>
      <c r="I1240" s="3"/>
      <c r="J1240" s="3"/>
      <c r="K1240" s="3"/>
      <c r="L1240" s="3"/>
      <c r="M1240" s="3"/>
      <c r="N1240" s="3">
        <v>0</v>
      </c>
      <c r="O1240" s="3"/>
      <c r="P1240" s="3">
        <v>0</v>
      </c>
      <c r="Q1240" s="3">
        <v>0</v>
      </c>
      <c r="R1240" s="3">
        <v>0</v>
      </c>
      <c r="S1240" s="3">
        <v>0</v>
      </c>
      <c r="T1240" s="3">
        <v>0</v>
      </c>
      <c r="U1240" s="3"/>
      <c r="V1240" s="3"/>
      <c r="W1240" s="3"/>
      <c r="X1240" s="3"/>
      <c r="Y1240" s="3"/>
      <c r="Z1240" s="3"/>
      <c r="AA1240" s="3"/>
      <c r="AB1240" s="3"/>
      <c r="AC1240" s="3"/>
      <c r="AD1240" s="3"/>
      <c r="AE1240" s="3">
        <v>0</v>
      </c>
      <c r="AF1240" s="3">
        <v>0</v>
      </c>
      <c r="AG1240" s="3"/>
      <c r="AH1240" s="40"/>
      <c r="AI1240" s="40"/>
      <c r="AJ1240" s="40"/>
      <c r="AK1240" s="40"/>
      <c r="AL1240" s="40"/>
      <c r="AM1240" s="40"/>
      <c r="AN1240" s="40"/>
      <c r="AO1240" s="40"/>
      <c r="AP1240" s="40"/>
      <c r="AQ1240" s="40"/>
      <c r="AR1240" s="31"/>
      <c r="AS1240" s="36">
        <v>0</v>
      </c>
      <c r="AY1240" s="6"/>
      <c r="AZ1240" s="2"/>
      <c r="BA1240" s="2"/>
      <c r="BB1240" s="2"/>
      <c r="BC1240">
        <v>71500</v>
      </c>
      <c r="BD1240">
        <v>56992</v>
      </c>
    </row>
    <row r="1241" spans="3:56" x14ac:dyDescent="0.25">
      <c r="C1241" s="1">
        <v>46861</v>
      </c>
      <c r="D1241" s="36">
        <v>260352.47333333301</v>
      </c>
      <c r="E1241" s="33">
        <v>4.4733333333333301</v>
      </c>
      <c r="F1241" s="33">
        <v>3.6255372592592598</v>
      </c>
      <c r="G1241" s="2">
        <v>0.81047777777777796</v>
      </c>
      <c r="H1241" s="2">
        <v>0.99</v>
      </c>
      <c r="I1241" s="3"/>
      <c r="J1241" s="3"/>
      <c r="K1241" s="3"/>
      <c r="L1241" s="3"/>
      <c r="M1241" s="3"/>
      <c r="N1241" s="3">
        <v>0</v>
      </c>
      <c r="O1241" s="3"/>
      <c r="P1241" s="3">
        <v>0</v>
      </c>
      <c r="Q1241" s="3">
        <v>0</v>
      </c>
      <c r="R1241" s="3">
        <v>0</v>
      </c>
      <c r="S1241" s="3">
        <v>0</v>
      </c>
      <c r="T1241" s="3">
        <v>0</v>
      </c>
      <c r="U1241" s="3"/>
      <c r="V1241" s="3"/>
      <c r="W1241" s="3"/>
      <c r="X1241" s="3"/>
      <c r="Y1241" s="3"/>
      <c r="Z1241" s="3"/>
      <c r="AA1241" s="3"/>
      <c r="AB1241" s="3"/>
      <c r="AC1241" s="3"/>
      <c r="AD1241" s="3"/>
      <c r="AE1241" s="3">
        <v>0</v>
      </c>
      <c r="AF1241" s="3">
        <v>0</v>
      </c>
      <c r="AG1241" s="3"/>
      <c r="AH1241" s="40"/>
      <c r="AI1241" s="40"/>
      <c r="AJ1241" s="40"/>
      <c r="AK1241" s="40"/>
      <c r="AL1241" s="40"/>
      <c r="AM1241" s="40"/>
      <c r="AN1241" s="40"/>
      <c r="AO1241" s="40"/>
      <c r="AP1241" s="40"/>
      <c r="AQ1241" s="40"/>
      <c r="AR1241" s="31"/>
      <c r="AS1241" s="36">
        <v>0</v>
      </c>
      <c r="AY1241" s="6"/>
      <c r="AZ1241" s="2"/>
      <c r="BA1241" s="2"/>
      <c r="BB1241" s="2"/>
      <c r="BC1241">
        <v>71500</v>
      </c>
      <c r="BD1241">
        <v>56992</v>
      </c>
    </row>
    <row r="1242" spans="3:56" x14ac:dyDescent="0.25">
      <c r="C1242" s="1">
        <v>46862</v>
      </c>
      <c r="D1242" s="36">
        <v>260352.47333333301</v>
      </c>
      <c r="E1242" s="33">
        <v>4.4733333333333301</v>
      </c>
      <c r="F1242" s="33">
        <v>3.6254875555555599</v>
      </c>
      <c r="G1242" s="2">
        <v>0.810466666666667</v>
      </c>
      <c r="H1242" s="2">
        <v>0.99</v>
      </c>
      <c r="I1242" s="3"/>
      <c r="J1242" s="3"/>
      <c r="K1242" s="3"/>
      <c r="L1242" s="3"/>
      <c r="M1242" s="3"/>
      <c r="N1242" s="3">
        <v>0</v>
      </c>
      <c r="O1242" s="3"/>
      <c r="P1242" s="3">
        <v>0</v>
      </c>
      <c r="Q1242" s="3">
        <v>0</v>
      </c>
      <c r="R1242" s="3">
        <v>0</v>
      </c>
      <c r="S1242" s="3">
        <v>0</v>
      </c>
      <c r="T1242" s="3">
        <v>0</v>
      </c>
      <c r="U1242" s="3"/>
      <c r="V1242" s="3"/>
      <c r="W1242" s="3"/>
      <c r="X1242" s="3"/>
      <c r="Y1242" s="3"/>
      <c r="Z1242" s="3"/>
      <c r="AA1242" s="3"/>
      <c r="AB1242" s="3"/>
      <c r="AC1242" s="3"/>
      <c r="AD1242" s="3"/>
      <c r="AE1242" s="3">
        <v>0</v>
      </c>
      <c r="AF1242" s="3">
        <v>0</v>
      </c>
      <c r="AG1242" s="3"/>
      <c r="AH1242" s="40"/>
      <c r="AI1242" s="40"/>
      <c r="AJ1242" s="40"/>
      <c r="AK1242" s="40"/>
      <c r="AL1242" s="40"/>
      <c r="AM1242" s="40"/>
      <c r="AN1242" s="40"/>
      <c r="AO1242" s="40"/>
      <c r="AP1242" s="40"/>
      <c r="AQ1242" s="40"/>
      <c r="AR1242" s="31"/>
      <c r="AS1242" s="36">
        <v>0</v>
      </c>
      <c r="AY1242" s="6"/>
      <c r="AZ1242" s="2"/>
      <c r="BA1242" s="2"/>
      <c r="BB1242" s="2"/>
      <c r="BC1242">
        <v>71500</v>
      </c>
      <c r="BD1242">
        <v>56992</v>
      </c>
    </row>
    <row r="1243" spans="3:56" x14ac:dyDescent="0.25">
      <c r="C1243" s="1">
        <v>46863</v>
      </c>
      <c r="D1243" s="36">
        <v>260352.47333333301</v>
      </c>
      <c r="E1243" s="33">
        <v>4.4733333333333301</v>
      </c>
      <c r="F1243" s="33">
        <v>3.6254378518518502</v>
      </c>
      <c r="G1243" s="2">
        <v>0.81045555555555504</v>
      </c>
      <c r="H1243" s="2">
        <v>0.99</v>
      </c>
      <c r="I1243" s="3"/>
      <c r="J1243" s="3"/>
      <c r="K1243" s="3"/>
      <c r="L1243" s="3"/>
      <c r="M1243" s="3"/>
      <c r="N1243" s="3">
        <v>0</v>
      </c>
      <c r="O1243" s="3"/>
      <c r="P1243" s="3">
        <v>0</v>
      </c>
      <c r="Q1243" s="3">
        <v>0</v>
      </c>
      <c r="R1243" s="3">
        <v>0</v>
      </c>
      <c r="S1243" s="3">
        <v>0</v>
      </c>
      <c r="T1243" s="3">
        <v>0</v>
      </c>
      <c r="U1243" s="3"/>
      <c r="V1243" s="3"/>
      <c r="W1243" s="3"/>
      <c r="X1243" s="3"/>
      <c r="Y1243" s="3"/>
      <c r="Z1243" s="3"/>
      <c r="AA1243" s="3"/>
      <c r="AB1243" s="3"/>
      <c r="AC1243" s="3"/>
      <c r="AD1243" s="3"/>
      <c r="AE1243" s="3">
        <v>0</v>
      </c>
      <c r="AF1243" s="3">
        <v>0</v>
      </c>
      <c r="AG1243" s="3"/>
      <c r="AH1243" s="40"/>
      <c r="AI1243" s="40"/>
      <c r="AJ1243" s="40"/>
      <c r="AK1243" s="40"/>
      <c r="AL1243" s="40"/>
      <c r="AM1243" s="40"/>
      <c r="AN1243" s="40"/>
      <c r="AO1243" s="40"/>
      <c r="AP1243" s="40"/>
      <c r="AQ1243" s="40"/>
      <c r="AR1243" s="31"/>
      <c r="AS1243" s="36">
        <v>0</v>
      </c>
      <c r="AY1243" s="6"/>
      <c r="AZ1243" s="2"/>
      <c r="BA1243" s="2"/>
      <c r="BB1243" s="2"/>
      <c r="BC1243">
        <v>71500</v>
      </c>
      <c r="BD1243">
        <v>56992</v>
      </c>
    </row>
    <row r="1244" spans="3:56" x14ac:dyDescent="0.25">
      <c r="C1244" s="1">
        <v>46864</v>
      </c>
      <c r="D1244" s="36">
        <v>260352.47333333301</v>
      </c>
      <c r="E1244" s="33">
        <v>4.4733333333333301</v>
      </c>
      <c r="F1244" s="33">
        <v>3.6253881481481498</v>
      </c>
      <c r="G1244" s="2">
        <v>0.81044444444444397</v>
      </c>
      <c r="H1244" s="2">
        <v>0.99</v>
      </c>
      <c r="I1244" s="3"/>
      <c r="J1244" s="3"/>
      <c r="K1244" s="3"/>
      <c r="L1244" s="3"/>
      <c r="M1244" s="3"/>
      <c r="N1244" s="3">
        <v>0</v>
      </c>
      <c r="O1244" s="3"/>
      <c r="P1244" s="3">
        <v>0</v>
      </c>
      <c r="Q1244" s="3">
        <v>0</v>
      </c>
      <c r="R1244" s="3">
        <v>0</v>
      </c>
      <c r="S1244" s="3">
        <v>0</v>
      </c>
      <c r="T1244" s="3">
        <v>0</v>
      </c>
      <c r="U1244" s="3"/>
      <c r="V1244" s="3"/>
      <c r="W1244" s="3"/>
      <c r="X1244" s="3"/>
      <c r="Y1244" s="3"/>
      <c r="Z1244" s="3"/>
      <c r="AA1244" s="3"/>
      <c r="AB1244" s="3"/>
      <c r="AC1244" s="3"/>
      <c r="AD1244" s="3"/>
      <c r="AE1244" s="3">
        <v>0</v>
      </c>
      <c r="AF1244" s="3">
        <v>0</v>
      </c>
      <c r="AG1244" s="3"/>
      <c r="AH1244" s="40"/>
      <c r="AI1244" s="40"/>
      <c r="AJ1244" s="40"/>
      <c r="AK1244" s="40"/>
      <c r="AL1244" s="40"/>
      <c r="AM1244" s="40"/>
      <c r="AN1244" s="40"/>
      <c r="AO1244" s="40"/>
      <c r="AP1244" s="40"/>
      <c r="AQ1244" s="40"/>
      <c r="AR1244" s="31"/>
      <c r="AS1244" s="36">
        <v>0</v>
      </c>
      <c r="AY1244" s="6"/>
      <c r="AZ1244" s="2"/>
      <c r="BA1244" s="2"/>
      <c r="BB1244" s="2"/>
      <c r="BC1244">
        <v>71500</v>
      </c>
      <c r="BD1244">
        <v>56992</v>
      </c>
    </row>
    <row r="1245" spans="3:56" x14ac:dyDescent="0.25">
      <c r="C1245" s="1">
        <v>46865</v>
      </c>
      <c r="D1245" s="36">
        <v>260352.47333333301</v>
      </c>
      <c r="E1245" s="33">
        <v>4.4733333333333301</v>
      </c>
      <c r="F1245" s="33">
        <v>3.6253384444444401</v>
      </c>
      <c r="G1245" s="2">
        <v>0.81043333333333301</v>
      </c>
      <c r="H1245" s="2">
        <v>0.99</v>
      </c>
      <c r="I1245" s="3"/>
      <c r="J1245" s="3"/>
      <c r="K1245" s="3"/>
      <c r="L1245" s="3"/>
      <c r="M1245" s="3"/>
      <c r="N1245" s="3">
        <v>0</v>
      </c>
      <c r="O1245" s="3"/>
      <c r="P1245" s="3">
        <v>0</v>
      </c>
      <c r="Q1245" s="3">
        <v>0</v>
      </c>
      <c r="R1245" s="3">
        <v>0</v>
      </c>
      <c r="S1245" s="3">
        <v>0</v>
      </c>
      <c r="T1245" s="3">
        <v>0</v>
      </c>
      <c r="U1245" s="3"/>
      <c r="V1245" s="3"/>
      <c r="W1245" s="3"/>
      <c r="X1245" s="3"/>
      <c r="Y1245" s="3"/>
      <c r="Z1245" s="3"/>
      <c r="AA1245" s="3"/>
      <c r="AB1245" s="3"/>
      <c r="AC1245" s="3"/>
      <c r="AD1245" s="3"/>
      <c r="AE1245" s="3">
        <v>0</v>
      </c>
      <c r="AF1245" s="3">
        <v>0</v>
      </c>
      <c r="AG1245" s="3"/>
      <c r="AH1245" s="40"/>
      <c r="AI1245" s="40"/>
      <c r="AJ1245" s="40"/>
      <c r="AK1245" s="40"/>
      <c r="AL1245" s="40"/>
      <c r="AM1245" s="40"/>
      <c r="AN1245" s="40"/>
      <c r="AO1245" s="40"/>
      <c r="AP1245" s="40"/>
      <c r="AQ1245" s="40"/>
      <c r="AR1245" s="31"/>
      <c r="AS1245" s="36">
        <v>0</v>
      </c>
      <c r="AY1245" s="6"/>
      <c r="AZ1245" s="2"/>
      <c r="BA1245" s="2"/>
      <c r="BB1245" s="2"/>
      <c r="BC1245">
        <v>71500</v>
      </c>
      <c r="BD1245">
        <v>56992</v>
      </c>
    </row>
    <row r="1246" spans="3:56" x14ac:dyDescent="0.25">
      <c r="C1246" s="1">
        <v>46866</v>
      </c>
      <c r="D1246" s="36">
        <v>260352.47333333301</v>
      </c>
      <c r="E1246" s="33">
        <v>4.4733333333333301</v>
      </c>
      <c r="F1246" s="33">
        <v>3.6252887407407401</v>
      </c>
      <c r="G1246" s="2">
        <v>0.81042222222222204</v>
      </c>
      <c r="H1246" s="2">
        <v>0.99</v>
      </c>
      <c r="I1246" s="3"/>
      <c r="J1246" s="3"/>
      <c r="K1246" s="3"/>
      <c r="L1246" s="3"/>
      <c r="M1246" s="3"/>
      <c r="N1246" s="3">
        <v>0</v>
      </c>
      <c r="O1246" s="3"/>
      <c r="P1246" s="3">
        <v>0</v>
      </c>
      <c r="Q1246" s="3">
        <v>0</v>
      </c>
      <c r="R1246" s="3">
        <v>0</v>
      </c>
      <c r="S1246" s="3">
        <v>0</v>
      </c>
      <c r="T1246" s="3">
        <v>0</v>
      </c>
      <c r="U1246" s="3"/>
      <c r="V1246" s="3"/>
      <c r="W1246" s="3"/>
      <c r="X1246" s="3"/>
      <c r="Y1246" s="3"/>
      <c r="Z1246" s="3"/>
      <c r="AA1246" s="3"/>
      <c r="AB1246" s="3"/>
      <c r="AC1246" s="3"/>
      <c r="AD1246" s="3"/>
      <c r="AE1246" s="3">
        <v>0</v>
      </c>
      <c r="AF1246" s="3">
        <v>0</v>
      </c>
      <c r="AG1246" s="3"/>
      <c r="AH1246" s="40"/>
      <c r="AI1246" s="40"/>
      <c r="AJ1246" s="40"/>
      <c r="AK1246" s="40"/>
      <c r="AL1246" s="40"/>
      <c r="AM1246" s="40"/>
      <c r="AN1246" s="40"/>
      <c r="AO1246" s="40"/>
      <c r="AP1246" s="40"/>
      <c r="AQ1246" s="40"/>
      <c r="AR1246" s="31"/>
      <c r="AS1246" s="36">
        <v>0</v>
      </c>
      <c r="AY1246" s="6"/>
      <c r="AZ1246" s="2"/>
      <c r="BA1246" s="2"/>
      <c r="BB1246" s="2"/>
      <c r="BC1246">
        <v>71500</v>
      </c>
      <c r="BD1246">
        <v>56992</v>
      </c>
    </row>
    <row r="1247" spans="3:56" x14ac:dyDescent="0.25">
      <c r="C1247" s="1">
        <v>46867</v>
      </c>
      <c r="D1247" s="36">
        <v>260352.47333333301</v>
      </c>
      <c r="E1247" s="33">
        <v>4.4733333333333301</v>
      </c>
      <c r="F1247" s="33">
        <v>3.6252390370370402</v>
      </c>
      <c r="G1247" s="2">
        <v>0.81041111111111097</v>
      </c>
      <c r="H1247" s="2">
        <v>0.99</v>
      </c>
      <c r="I1247" s="3"/>
      <c r="J1247" s="3"/>
      <c r="K1247" s="3"/>
      <c r="L1247" s="3"/>
      <c r="M1247" s="3"/>
      <c r="N1247" s="3">
        <v>0</v>
      </c>
      <c r="O1247" s="3"/>
      <c r="P1247" s="3">
        <v>0</v>
      </c>
      <c r="Q1247" s="3">
        <v>0</v>
      </c>
      <c r="R1247" s="3">
        <v>0</v>
      </c>
      <c r="S1247" s="3">
        <v>0</v>
      </c>
      <c r="T1247" s="3">
        <v>0</v>
      </c>
      <c r="U1247" s="3"/>
      <c r="V1247" s="3"/>
      <c r="W1247" s="3"/>
      <c r="X1247" s="3"/>
      <c r="Y1247" s="3"/>
      <c r="Z1247" s="3"/>
      <c r="AA1247" s="3"/>
      <c r="AB1247" s="3"/>
      <c r="AC1247" s="3"/>
      <c r="AD1247" s="3"/>
      <c r="AE1247" s="3">
        <v>0</v>
      </c>
      <c r="AF1247" s="3">
        <v>0</v>
      </c>
      <c r="AG1247" s="3"/>
      <c r="AH1247" s="40"/>
      <c r="AI1247" s="40"/>
      <c r="AJ1247" s="40"/>
      <c r="AK1247" s="40"/>
      <c r="AL1247" s="40"/>
      <c r="AM1247" s="40"/>
      <c r="AN1247" s="40"/>
      <c r="AO1247" s="40"/>
      <c r="AP1247" s="40"/>
      <c r="AQ1247" s="40"/>
      <c r="AR1247" s="31"/>
      <c r="AS1247" s="36">
        <v>0</v>
      </c>
      <c r="AY1247" s="6"/>
      <c r="AZ1247" s="2"/>
      <c r="BA1247" s="2"/>
      <c r="BB1247" s="2"/>
      <c r="BC1247">
        <v>71500</v>
      </c>
      <c r="BD1247">
        <v>56992</v>
      </c>
    </row>
    <row r="1248" spans="3:56" x14ac:dyDescent="0.25">
      <c r="C1248" s="1">
        <v>46868</v>
      </c>
      <c r="D1248" s="36">
        <v>260352.47333333301</v>
      </c>
      <c r="E1248" s="33">
        <v>4.4733333333333301</v>
      </c>
      <c r="F1248" s="33">
        <v>3.62518933333333</v>
      </c>
      <c r="G1248" s="2">
        <v>0.81040000000000001</v>
      </c>
      <c r="H1248" s="2">
        <v>0.99</v>
      </c>
      <c r="I1248" s="3"/>
      <c r="J1248" s="3"/>
      <c r="K1248" s="3"/>
      <c r="L1248" s="3"/>
      <c r="M1248" s="3"/>
      <c r="N1248" s="3">
        <v>0</v>
      </c>
      <c r="O1248" s="3"/>
      <c r="P1248" s="3">
        <v>0</v>
      </c>
      <c r="Q1248" s="3">
        <v>0</v>
      </c>
      <c r="R1248" s="3">
        <v>0</v>
      </c>
      <c r="S1248" s="3">
        <v>0</v>
      </c>
      <c r="T1248" s="3">
        <v>0</v>
      </c>
      <c r="U1248" s="3"/>
      <c r="V1248" s="3"/>
      <c r="W1248" s="3"/>
      <c r="X1248" s="3"/>
      <c r="Y1248" s="3"/>
      <c r="Z1248" s="3"/>
      <c r="AA1248" s="3"/>
      <c r="AB1248" s="3"/>
      <c r="AC1248" s="3"/>
      <c r="AD1248" s="3"/>
      <c r="AE1248" s="3">
        <v>0</v>
      </c>
      <c r="AF1248" s="3">
        <v>0</v>
      </c>
      <c r="AG1248" s="3"/>
      <c r="AH1248" s="40"/>
      <c r="AI1248" s="40"/>
      <c r="AJ1248" s="40"/>
      <c r="AK1248" s="40"/>
      <c r="AL1248" s="40"/>
      <c r="AM1248" s="40"/>
      <c r="AN1248" s="40"/>
      <c r="AO1248" s="40"/>
      <c r="AP1248" s="40"/>
      <c r="AQ1248" s="40"/>
      <c r="AR1248" s="31"/>
      <c r="AS1248" s="36">
        <v>0</v>
      </c>
      <c r="AY1248" s="6"/>
      <c r="AZ1248" s="2"/>
      <c r="BA1248" s="2"/>
      <c r="BB1248" s="2"/>
      <c r="BC1248">
        <v>71500</v>
      </c>
      <c r="BD1248">
        <v>56992</v>
      </c>
    </row>
    <row r="1249" spans="3:56" x14ac:dyDescent="0.25">
      <c r="C1249" s="1">
        <v>46869</v>
      </c>
      <c r="D1249" s="36">
        <v>260352.47333333301</v>
      </c>
      <c r="E1249" s="33">
        <v>4.4733333333333301</v>
      </c>
      <c r="F1249" s="33">
        <v>3.6251396296296301</v>
      </c>
      <c r="G1249" s="2">
        <v>0.81038888888888905</v>
      </c>
      <c r="H1249" s="2">
        <v>0.99</v>
      </c>
      <c r="I1249" s="3"/>
      <c r="J1249" s="3"/>
      <c r="K1249" s="3"/>
      <c r="L1249" s="3"/>
      <c r="M1249" s="3"/>
      <c r="N1249" s="3">
        <v>0</v>
      </c>
      <c r="O1249" s="3"/>
      <c r="P1249" s="3">
        <v>0</v>
      </c>
      <c r="Q1249" s="3">
        <v>0</v>
      </c>
      <c r="R1249" s="3">
        <v>0</v>
      </c>
      <c r="S1249" s="3">
        <v>0</v>
      </c>
      <c r="T1249" s="3">
        <v>0</v>
      </c>
      <c r="U1249" s="3"/>
      <c r="V1249" s="3"/>
      <c r="W1249" s="3"/>
      <c r="X1249" s="3"/>
      <c r="Y1249" s="3"/>
      <c r="Z1249" s="3"/>
      <c r="AA1249" s="3"/>
      <c r="AB1249" s="3"/>
      <c r="AC1249" s="3"/>
      <c r="AD1249" s="3"/>
      <c r="AE1249" s="3">
        <v>0</v>
      </c>
      <c r="AF1249" s="3">
        <v>0</v>
      </c>
      <c r="AG1249" s="3"/>
      <c r="AH1249" s="40"/>
      <c r="AI1249" s="40"/>
      <c r="AJ1249" s="40"/>
      <c r="AK1249" s="40"/>
      <c r="AL1249" s="40"/>
      <c r="AM1249" s="40"/>
      <c r="AN1249" s="40"/>
      <c r="AO1249" s="40"/>
      <c r="AP1249" s="40"/>
      <c r="AQ1249" s="40"/>
      <c r="AR1249" s="31"/>
      <c r="AS1249" s="36">
        <v>0</v>
      </c>
      <c r="AY1249" s="6"/>
      <c r="AZ1249" s="2"/>
      <c r="BA1249" s="2"/>
      <c r="BB1249" s="2"/>
      <c r="BC1249">
        <v>71500</v>
      </c>
      <c r="BD1249">
        <v>56992</v>
      </c>
    </row>
    <row r="1250" spans="3:56" x14ac:dyDescent="0.25">
      <c r="C1250" s="1">
        <v>46870</v>
      </c>
      <c r="D1250" s="36">
        <v>260352.47333333301</v>
      </c>
      <c r="E1250" s="33">
        <v>4.4733333333333301</v>
      </c>
      <c r="F1250" s="33">
        <v>3.6250899259259302</v>
      </c>
      <c r="G1250" s="2">
        <v>0.81037777777777797</v>
      </c>
      <c r="H1250" s="2">
        <v>0.99</v>
      </c>
      <c r="I1250" s="3"/>
      <c r="J1250" s="3"/>
      <c r="K1250" s="3"/>
      <c r="L1250" s="3"/>
      <c r="M1250" s="3"/>
      <c r="N1250" s="3">
        <v>0</v>
      </c>
      <c r="O1250" s="3"/>
      <c r="P1250" s="3">
        <v>0</v>
      </c>
      <c r="Q1250" s="3">
        <v>0</v>
      </c>
      <c r="R1250" s="3">
        <v>0</v>
      </c>
      <c r="S1250" s="3">
        <v>0</v>
      </c>
      <c r="T1250" s="3">
        <v>0</v>
      </c>
      <c r="U1250" s="3"/>
      <c r="V1250" s="3"/>
      <c r="W1250" s="3"/>
      <c r="X1250" s="3"/>
      <c r="Y1250" s="3"/>
      <c r="Z1250" s="3"/>
      <c r="AA1250" s="3"/>
      <c r="AB1250" s="3"/>
      <c r="AC1250" s="3"/>
      <c r="AD1250" s="3"/>
      <c r="AE1250" s="3">
        <v>0</v>
      </c>
      <c r="AF1250" s="3">
        <v>0</v>
      </c>
      <c r="AG1250" s="3"/>
      <c r="AH1250" s="40"/>
      <c r="AI1250" s="40"/>
      <c r="AJ1250" s="40"/>
      <c r="AK1250" s="40"/>
      <c r="AL1250" s="40"/>
      <c r="AM1250" s="40"/>
      <c r="AN1250" s="40"/>
      <c r="AO1250" s="40"/>
      <c r="AP1250" s="40"/>
      <c r="AQ1250" s="40"/>
      <c r="AR1250" s="31"/>
      <c r="AS1250" s="36">
        <v>0</v>
      </c>
      <c r="AY1250" s="6"/>
      <c r="AZ1250" s="2"/>
      <c r="BA1250" s="2"/>
      <c r="BB1250" s="2"/>
      <c r="BC1250">
        <v>71500</v>
      </c>
      <c r="BD1250">
        <v>56992</v>
      </c>
    </row>
    <row r="1251" spans="3:56" x14ac:dyDescent="0.25">
      <c r="C1251" s="1">
        <v>46871</v>
      </c>
      <c r="D1251" s="36">
        <v>260352.47333333301</v>
      </c>
      <c r="E1251" s="33">
        <v>4.4733333333333301</v>
      </c>
      <c r="F1251" s="33">
        <v>3.62504022222222</v>
      </c>
      <c r="G1251" s="2">
        <v>0.81036666666666701</v>
      </c>
      <c r="H1251" s="2">
        <v>0.99</v>
      </c>
      <c r="I1251" s="3"/>
      <c r="J1251" s="3"/>
      <c r="K1251" s="3"/>
      <c r="L1251" s="3"/>
      <c r="M1251" s="3"/>
      <c r="N1251" s="3">
        <v>0</v>
      </c>
      <c r="O1251" s="3"/>
      <c r="P1251" s="3">
        <v>0</v>
      </c>
      <c r="Q1251" s="3">
        <v>0</v>
      </c>
      <c r="R1251" s="3">
        <v>0</v>
      </c>
      <c r="S1251" s="3">
        <v>0</v>
      </c>
      <c r="T1251" s="3">
        <v>0</v>
      </c>
      <c r="U1251" s="3"/>
      <c r="V1251" s="3"/>
      <c r="W1251" s="3"/>
      <c r="X1251" s="3"/>
      <c r="Y1251" s="3"/>
      <c r="Z1251" s="3"/>
      <c r="AA1251" s="3"/>
      <c r="AB1251" s="3"/>
      <c r="AC1251" s="3"/>
      <c r="AD1251" s="3"/>
      <c r="AE1251" s="3">
        <v>0</v>
      </c>
      <c r="AF1251" s="3">
        <v>0</v>
      </c>
      <c r="AG1251" s="3"/>
      <c r="AH1251" s="40"/>
      <c r="AI1251" s="40"/>
      <c r="AJ1251" s="40"/>
      <c r="AK1251" s="40"/>
      <c r="AL1251" s="40"/>
      <c r="AM1251" s="40"/>
      <c r="AN1251" s="40"/>
      <c r="AO1251" s="40"/>
      <c r="AP1251" s="40"/>
      <c r="AQ1251" s="40"/>
      <c r="AR1251" s="31"/>
      <c r="AS1251" s="36">
        <v>0</v>
      </c>
      <c r="AY1251" s="6"/>
      <c r="AZ1251" s="2"/>
      <c r="BA1251" s="2"/>
      <c r="BB1251" s="2"/>
      <c r="BC1251">
        <v>71500</v>
      </c>
      <c r="BD1251">
        <v>56992</v>
      </c>
    </row>
    <row r="1252" spans="3:56" x14ac:dyDescent="0.25">
      <c r="C1252" s="1">
        <v>46872</v>
      </c>
      <c r="D1252" s="36">
        <v>260352.47333333301</v>
      </c>
      <c r="E1252" s="33">
        <v>4.4733333333333301</v>
      </c>
      <c r="F1252" s="33">
        <v>3.6249905185185201</v>
      </c>
      <c r="G1252" s="2">
        <v>0.81035555555555505</v>
      </c>
      <c r="H1252" s="2">
        <v>0.99</v>
      </c>
      <c r="I1252" s="3"/>
      <c r="J1252" s="3"/>
      <c r="K1252" s="3"/>
      <c r="L1252" s="3"/>
      <c r="M1252" s="3"/>
      <c r="N1252" s="3">
        <v>0</v>
      </c>
      <c r="O1252" s="3"/>
      <c r="P1252" s="3">
        <v>0</v>
      </c>
      <c r="Q1252" s="3">
        <v>0</v>
      </c>
      <c r="R1252" s="3">
        <v>0</v>
      </c>
      <c r="S1252" s="3">
        <v>0</v>
      </c>
      <c r="T1252" s="3">
        <v>0</v>
      </c>
      <c r="U1252" s="3"/>
      <c r="V1252" s="3"/>
      <c r="W1252" s="3"/>
      <c r="X1252" s="3"/>
      <c r="Y1252" s="3"/>
      <c r="Z1252" s="3"/>
      <c r="AA1252" s="3"/>
      <c r="AB1252" s="3"/>
      <c r="AC1252" s="3"/>
      <c r="AD1252" s="3"/>
      <c r="AE1252" s="3">
        <v>0</v>
      </c>
      <c r="AF1252" s="3">
        <v>0</v>
      </c>
      <c r="AG1252" s="3"/>
      <c r="AH1252" s="40"/>
      <c r="AI1252" s="40"/>
      <c r="AJ1252" s="40"/>
      <c r="AK1252" s="40"/>
      <c r="AL1252" s="40"/>
      <c r="AM1252" s="40"/>
      <c r="AN1252" s="40"/>
      <c r="AO1252" s="40"/>
      <c r="AP1252" s="40"/>
      <c r="AQ1252" s="40"/>
      <c r="AR1252" s="31"/>
      <c r="AS1252" s="36">
        <v>0</v>
      </c>
      <c r="AY1252" s="6"/>
      <c r="AZ1252" s="2"/>
      <c r="BA1252" s="2"/>
      <c r="BB1252" s="2"/>
      <c r="BC1252">
        <v>71500</v>
      </c>
      <c r="BD1252">
        <v>56992</v>
      </c>
    </row>
    <row r="1253" spans="3:56" x14ac:dyDescent="0.25">
      <c r="C1253" s="1">
        <v>46873</v>
      </c>
      <c r="D1253" s="36">
        <v>260352.47333333301</v>
      </c>
      <c r="E1253" s="33">
        <v>4.4733333333333301</v>
      </c>
      <c r="F1253" s="33">
        <v>3.6249408148148099</v>
      </c>
      <c r="G1253" s="2">
        <v>0.81034444444444398</v>
      </c>
      <c r="H1253" s="2">
        <v>0.99</v>
      </c>
      <c r="I1253" s="3"/>
      <c r="J1253" s="3"/>
      <c r="K1253" s="3"/>
      <c r="L1253" s="3"/>
      <c r="M1253" s="3"/>
      <c r="N1253" s="3">
        <v>0</v>
      </c>
      <c r="O1253" s="3"/>
      <c r="P1253" s="3">
        <v>0</v>
      </c>
      <c r="Q1253" s="3">
        <v>0</v>
      </c>
      <c r="R1253" s="3">
        <v>0</v>
      </c>
      <c r="S1253" s="3">
        <v>0</v>
      </c>
      <c r="T1253" s="3">
        <v>0</v>
      </c>
      <c r="U1253" s="3"/>
      <c r="V1253" s="3"/>
      <c r="W1253" s="3"/>
      <c r="X1253" s="3"/>
      <c r="Y1253" s="3"/>
      <c r="Z1253" s="3"/>
      <c r="AA1253" s="3"/>
      <c r="AB1253" s="3"/>
      <c r="AC1253" s="3"/>
      <c r="AD1253" s="3"/>
      <c r="AE1253" s="3">
        <v>0</v>
      </c>
      <c r="AF1253" s="3">
        <v>0</v>
      </c>
      <c r="AG1253" s="3"/>
      <c r="AH1253" s="40"/>
      <c r="AI1253" s="40"/>
      <c r="AJ1253" s="40"/>
      <c r="AK1253" s="40"/>
      <c r="AL1253" s="40"/>
      <c r="AM1253" s="40"/>
      <c r="AN1253" s="40"/>
      <c r="AO1253" s="40"/>
      <c r="AP1253" s="40"/>
      <c r="AQ1253" s="40"/>
      <c r="AR1253" s="31"/>
      <c r="AS1253" s="36">
        <v>0</v>
      </c>
      <c r="AY1253" s="6"/>
      <c r="AZ1253" s="2"/>
      <c r="BA1253" s="2"/>
      <c r="BB1253" s="2"/>
      <c r="BC1253">
        <v>71500</v>
      </c>
      <c r="BD1253">
        <v>56992</v>
      </c>
    </row>
    <row r="1254" spans="3:56" x14ac:dyDescent="0.25">
      <c r="C1254" s="1">
        <v>46874</v>
      </c>
      <c r="D1254" s="36">
        <v>255977.841935484</v>
      </c>
      <c r="E1254" s="33">
        <v>4.3290322580645197</v>
      </c>
      <c r="F1254" s="33">
        <v>3.5079591397849499</v>
      </c>
      <c r="G1254" s="2">
        <v>0.81033333333333302</v>
      </c>
      <c r="H1254" s="2">
        <v>0.99</v>
      </c>
      <c r="I1254" s="3"/>
      <c r="J1254" s="3"/>
      <c r="K1254" s="3"/>
      <c r="L1254" s="3"/>
      <c r="M1254" s="3"/>
      <c r="N1254" s="3">
        <v>0</v>
      </c>
      <c r="O1254" s="3"/>
      <c r="P1254" s="3">
        <v>0</v>
      </c>
      <c r="Q1254" s="3">
        <v>0</v>
      </c>
      <c r="R1254" s="3">
        <v>0</v>
      </c>
      <c r="S1254" s="3">
        <v>0</v>
      </c>
      <c r="T1254" s="3">
        <v>0</v>
      </c>
      <c r="U1254" s="3"/>
      <c r="V1254" s="3"/>
      <c r="W1254" s="3"/>
      <c r="X1254" s="3"/>
      <c r="Y1254" s="3"/>
      <c r="Z1254" s="3"/>
      <c r="AA1254" s="3"/>
      <c r="AB1254" s="3"/>
      <c r="AC1254" s="3"/>
      <c r="AD1254" s="3"/>
      <c r="AE1254" s="3">
        <v>0</v>
      </c>
      <c r="AF1254" s="3">
        <v>0</v>
      </c>
      <c r="AG1254" s="3"/>
      <c r="AH1254" s="40"/>
      <c r="AI1254" s="40"/>
      <c r="AJ1254" s="40"/>
      <c r="AK1254" s="40"/>
      <c r="AL1254" s="40"/>
      <c r="AM1254" s="40"/>
      <c r="AN1254" s="40"/>
      <c r="AO1254" s="40"/>
      <c r="AP1254" s="40"/>
      <c r="AQ1254" s="40"/>
      <c r="AR1254" s="31"/>
      <c r="AS1254" s="36">
        <v>0</v>
      </c>
      <c r="AY1254" s="6"/>
      <c r="AZ1254" s="2"/>
      <c r="BA1254" s="2"/>
      <c r="BB1254" s="2"/>
      <c r="BC1254">
        <v>71500</v>
      </c>
      <c r="BD1254">
        <v>56992</v>
      </c>
    </row>
    <row r="1255" spans="3:56" x14ac:dyDescent="0.25">
      <c r="C1255" s="1">
        <v>46875</v>
      </c>
      <c r="D1255" s="36">
        <v>255977.841935484</v>
      </c>
      <c r="E1255" s="33">
        <v>4.3290322580645197</v>
      </c>
      <c r="F1255" s="33">
        <v>3.5079110394265198</v>
      </c>
      <c r="G1255" s="2">
        <v>0.81032222222222205</v>
      </c>
      <c r="H1255" s="2">
        <v>0.99</v>
      </c>
      <c r="I1255" s="3"/>
      <c r="J1255" s="3"/>
      <c r="K1255" s="3"/>
      <c r="L1255" s="3"/>
      <c r="M1255" s="3"/>
      <c r="N1255" s="3">
        <v>0</v>
      </c>
      <c r="O1255" s="3"/>
      <c r="P1255" s="3">
        <v>0</v>
      </c>
      <c r="Q1255" s="3">
        <v>0</v>
      </c>
      <c r="R1255" s="3">
        <v>0</v>
      </c>
      <c r="S1255" s="3">
        <v>0</v>
      </c>
      <c r="T1255" s="3">
        <v>0</v>
      </c>
      <c r="U1255" s="3"/>
      <c r="V1255" s="3"/>
      <c r="W1255" s="3"/>
      <c r="X1255" s="3"/>
      <c r="Y1255" s="3"/>
      <c r="Z1255" s="3"/>
      <c r="AA1255" s="3"/>
      <c r="AB1255" s="3"/>
      <c r="AC1255" s="3"/>
      <c r="AD1255" s="3"/>
      <c r="AE1255" s="3">
        <v>0</v>
      </c>
      <c r="AF1255" s="3">
        <v>0</v>
      </c>
      <c r="AG1255" s="3"/>
      <c r="AH1255" s="40"/>
      <c r="AI1255" s="40"/>
      <c r="AJ1255" s="40"/>
      <c r="AK1255" s="40"/>
      <c r="AL1255" s="40"/>
      <c r="AM1255" s="40"/>
      <c r="AN1255" s="40"/>
      <c r="AO1255" s="40"/>
      <c r="AP1255" s="40"/>
      <c r="AQ1255" s="40"/>
      <c r="AR1255" s="31"/>
      <c r="AS1255" s="36">
        <v>0</v>
      </c>
      <c r="AY1255" s="6"/>
      <c r="AZ1255" s="2"/>
      <c r="BA1255" s="2"/>
      <c r="BB1255" s="2"/>
      <c r="BC1255">
        <v>71500</v>
      </c>
      <c r="BD1255">
        <v>56992</v>
      </c>
    </row>
    <row r="1256" spans="3:56" x14ac:dyDescent="0.25">
      <c r="C1256" s="1">
        <v>46876</v>
      </c>
      <c r="D1256" s="36">
        <v>255977.841935484</v>
      </c>
      <c r="E1256" s="33">
        <v>4.3290322580645197</v>
      </c>
      <c r="F1256" s="33">
        <v>3.5078629390681</v>
      </c>
      <c r="G1256" s="2">
        <v>0.81031111111111098</v>
      </c>
      <c r="H1256" s="2">
        <v>0.99</v>
      </c>
      <c r="I1256" s="3"/>
      <c r="J1256" s="3"/>
      <c r="K1256" s="3"/>
      <c r="L1256" s="3"/>
      <c r="M1256" s="3"/>
      <c r="N1256" s="3">
        <v>0</v>
      </c>
      <c r="O1256" s="3"/>
      <c r="P1256" s="3">
        <v>0</v>
      </c>
      <c r="Q1256" s="3">
        <v>0</v>
      </c>
      <c r="R1256" s="3">
        <v>0</v>
      </c>
      <c r="S1256" s="3">
        <v>0</v>
      </c>
      <c r="T1256" s="3">
        <v>0</v>
      </c>
      <c r="U1256" s="3"/>
      <c r="V1256" s="3"/>
      <c r="W1256" s="3"/>
      <c r="X1256" s="3"/>
      <c r="Y1256" s="3"/>
      <c r="Z1256" s="3"/>
      <c r="AA1256" s="3"/>
      <c r="AB1256" s="3"/>
      <c r="AC1256" s="3"/>
      <c r="AD1256" s="3"/>
      <c r="AE1256" s="3">
        <v>0</v>
      </c>
      <c r="AF1256" s="3">
        <v>0</v>
      </c>
      <c r="AG1256" s="3"/>
      <c r="AH1256" s="40"/>
      <c r="AI1256" s="40"/>
      <c r="AJ1256" s="40"/>
      <c r="AK1256" s="40"/>
      <c r="AL1256" s="40"/>
      <c r="AM1256" s="40"/>
      <c r="AN1256" s="40"/>
      <c r="AO1256" s="40"/>
      <c r="AP1256" s="40"/>
      <c r="AQ1256" s="40"/>
      <c r="AR1256" s="31"/>
      <c r="AS1256" s="36">
        <v>0</v>
      </c>
      <c r="AY1256" s="6"/>
      <c r="AZ1256" s="2"/>
      <c r="BA1256" s="2"/>
      <c r="BB1256" s="2"/>
      <c r="BC1256">
        <v>71500</v>
      </c>
      <c r="BD1256">
        <v>56992</v>
      </c>
    </row>
    <row r="1257" spans="3:56" x14ac:dyDescent="0.25">
      <c r="C1257" s="1">
        <v>46877</v>
      </c>
      <c r="D1257" s="36">
        <v>255977.841935484</v>
      </c>
      <c r="E1257" s="33">
        <v>4.3290322580645197</v>
      </c>
      <c r="F1257" s="33">
        <v>3.5078148387096801</v>
      </c>
      <c r="G1257" s="2">
        <v>0.81030000000000002</v>
      </c>
      <c r="H1257" s="2">
        <v>0.99</v>
      </c>
      <c r="I1257" s="3"/>
      <c r="J1257" s="3"/>
      <c r="K1257" s="3"/>
      <c r="L1257" s="3"/>
      <c r="M1257" s="3"/>
      <c r="N1257" s="3">
        <v>0</v>
      </c>
      <c r="O1257" s="3"/>
      <c r="P1257" s="3">
        <v>0</v>
      </c>
      <c r="Q1257" s="3">
        <v>0</v>
      </c>
      <c r="R1257" s="3">
        <v>0</v>
      </c>
      <c r="S1257" s="3">
        <v>0</v>
      </c>
      <c r="T1257" s="3">
        <v>0</v>
      </c>
      <c r="U1257" s="3"/>
      <c r="V1257" s="3"/>
      <c r="W1257" s="3"/>
      <c r="X1257" s="3"/>
      <c r="Y1257" s="3"/>
      <c r="Z1257" s="3"/>
      <c r="AA1257" s="3"/>
      <c r="AB1257" s="3"/>
      <c r="AC1257" s="3"/>
      <c r="AD1257" s="3"/>
      <c r="AE1257" s="3">
        <v>0</v>
      </c>
      <c r="AF1257" s="3">
        <v>0</v>
      </c>
      <c r="AG1257" s="3"/>
      <c r="AH1257" s="40"/>
      <c r="AI1257" s="40"/>
      <c r="AJ1257" s="40"/>
      <c r="AK1257" s="40"/>
      <c r="AL1257" s="40"/>
      <c r="AM1257" s="40"/>
      <c r="AN1257" s="40"/>
      <c r="AO1257" s="40"/>
      <c r="AP1257" s="40"/>
      <c r="AQ1257" s="40"/>
      <c r="AR1257" s="31"/>
      <c r="AS1257" s="36">
        <v>0</v>
      </c>
      <c r="AY1257" s="6"/>
      <c r="AZ1257" s="2"/>
      <c r="BA1257" s="2"/>
      <c r="BB1257" s="2"/>
      <c r="BC1257">
        <v>71500</v>
      </c>
      <c r="BD1257">
        <v>56992</v>
      </c>
    </row>
    <row r="1258" spans="3:56" x14ac:dyDescent="0.25">
      <c r="C1258" s="1">
        <v>46878</v>
      </c>
      <c r="D1258" s="36">
        <v>255977.841935484</v>
      </c>
      <c r="E1258" s="33">
        <v>4.3290322580645197</v>
      </c>
      <c r="F1258" s="33">
        <v>3.5077667383512501</v>
      </c>
      <c r="G1258" s="2">
        <v>0.81028888888888895</v>
      </c>
      <c r="H1258" s="2">
        <v>0.99</v>
      </c>
      <c r="I1258" s="3"/>
      <c r="J1258" s="3"/>
      <c r="K1258" s="3"/>
      <c r="L1258" s="3"/>
      <c r="M1258" s="3"/>
      <c r="N1258" s="3">
        <v>0</v>
      </c>
      <c r="O1258" s="3"/>
      <c r="P1258" s="3">
        <v>0</v>
      </c>
      <c r="Q1258" s="3">
        <v>0</v>
      </c>
      <c r="R1258" s="3">
        <v>0</v>
      </c>
      <c r="S1258" s="3">
        <v>0</v>
      </c>
      <c r="T1258" s="3">
        <v>0</v>
      </c>
      <c r="U1258" s="3"/>
      <c r="V1258" s="3"/>
      <c r="W1258" s="3"/>
      <c r="X1258" s="3"/>
      <c r="Y1258" s="3"/>
      <c r="Z1258" s="3"/>
      <c r="AA1258" s="3"/>
      <c r="AB1258" s="3"/>
      <c r="AC1258" s="3"/>
      <c r="AD1258" s="3"/>
      <c r="AE1258" s="3">
        <v>0</v>
      </c>
      <c r="AF1258" s="3">
        <v>0</v>
      </c>
      <c r="AG1258" s="3"/>
      <c r="AH1258" s="40"/>
      <c r="AI1258" s="40"/>
      <c r="AJ1258" s="40"/>
      <c r="AK1258" s="40"/>
      <c r="AL1258" s="40"/>
      <c r="AM1258" s="40"/>
      <c r="AN1258" s="40"/>
      <c r="AO1258" s="40"/>
      <c r="AP1258" s="40"/>
      <c r="AQ1258" s="40"/>
      <c r="AR1258" s="31"/>
      <c r="AS1258" s="36">
        <v>0</v>
      </c>
      <c r="AY1258" s="6"/>
      <c r="AZ1258" s="2"/>
      <c r="BA1258" s="2"/>
      <c r="BB1258" s="2"/>
      <c r="BC1258">
        <v>71500</v>
      </c>
      <c r="BD1258">
        <v>56992</v>
      </c>
    </row>
    <row r="1259" spans="3:56" x14ac:dyDescent="0.25">
      <c r="C1259" s="1">
        <v>46879</v>
      </c>
      <c r="D1259" s="36">
        <v>255977.841935484</v>
      </c>
      <c r="E1259" s="33">
        <v>4.3290322580645197</v>
      </c>
      <c r="F1259" s="33">
        <v>3.5077186379928298</v>
      </c>
      <c r="G1259" s="2">
        <v>0.81027777777777799</v>
      </c>
      <c r="H1259" s="2">
        <v>0.99</v>
      </c>
      <c r="I1259" s="3"/>
      <c r="J1259" s="3"/>
      <c r="K1259" s="3"/>
      <c r="L1259" s="3"/>
      <c r="M1259" s="3"/>
      <c r="N1259" s="3">
        <v>0</v>
      </c>
      <c r="O1259" s="3"/>
      <c r="P1259" s="3">
        <v>0</v>
      </c>
      <c r="Q1259" s="3">
        <v>0</v>
      </c>
      <c r="R1259" s="3">
        <v>0</v>
      </c>
      <c r="S1259" s="3">
        <v>0</v>
      </c>
      <c r="T1259" s="3">
        <v>0</v>
      </c>
      <c r="U1259" s="3"/>
      <c r="V1259" s="3"/>
      <c r="W1259" s="3"/>
      <c r="X1259" s="3"/>
      <c r="Y1259" s="3"/>
      <c r="Z1259" s="3"/>
      <c r="AA1259" s="3"/>
      <c r="AB1259" s="3"/>
      <c r="AC1259" s="3"/>
      <c r="AD1259" s="3"/>
      <c r="AE1259" s="3">
        <v>0</v>
      </c>
      <c r="AF1259" s="3">
        <v>0</v>
      </c>
      <c r="AG1259" s="3"/>
      <c r="AH1259" s="40"/>
      <c r="AI1259" s="40"/>
      <c r="AJ1259" s="40"/>
      <c r="AK1259" s="40"/>
      <c r="AL1259" s="40"/>
      <c r="AM1259" s="40"/>
      <c r="AN1259" s="40"/>
      <c r="AO1259" s="40"/>
      <c r="AP1259" s="40"/>
      <c r="AQ1259" s="40"/>
      <c r="AR1259" s="31"/>
      <c r="AS1259" s="36">
        <v>0</v>
      </c>
      <c r="AY1259" s="6"/>
      <c r="AZ1259" s="2"/>
      <c r="BA1259" s="2"/>
      <c r="BB1259" s="2"/>
      <c r="BC1259">
        <v>71500</v>
      </c>
      <c r="BD1259">
        <v>56992</v>
      </c>
    </row>
    <row r="1260" spans="3:56" x14ac:dyDescent="0.25">
      <c r="C1260" s="1">
        <v>46880</v>
      </c>
      <c r="D1260" s="36">
        <v>255977.841935484</v>
      </c>
      <c r="E1260" s="33">
        <v>4.3290322580645197</v>
      </c>
      <c r="F1260" s="33">
        <v>3.5076705376344099</v>
      </c>
      <c r="G1260" s="2">
        <v>0.81026666666666702</v>
      </c>
      <c r="H1260" s="2">
        <v>0.99</v>
      </c>
      <c r="I1260" s="3"/>
      <c r="J1260" s="3"/>
      <c r="K1260" s="3"/>
      <c r="L1260" s="3"/>
      <c r="M1260" s="3"/>
      <c r="N1260" s="3">
        <v>0</v>
      </c>
      <c r="O1260" s="3"/>
      <c r="P1260" s="3">
        <v>0</v>
      </c>
      <c r="Q1260" s="3">
        <v>0</v>
      </c>
      <c r="R1260" s="3">
        <v>0</v>
      </c>
      <c r="S1260" s="3">
        <v>0</v>
      </c>
      <c r="T1260" s="3">
        <v>0</v>
      </c>
      <c r="U1260" s="3"/>
      <c r="V1260" s="3"/>
      <c r="W1260" s="3"/>
      <c r="X1260" s="3"/>
      <c r="Y1260" s="3"/>
      <c r="Z1260" s="3"/>
      <c r="AA1260" s="3"/>
      <c r="AB1260" s="3"/>
      <c r="AC1260" s="3"/>
      <c r="AD1260" s="3"/>
      <c r="AE1260" s="3">
        <v>0</v>
      </c>
      <c r="AF1260" s="3">
        <v>0</v>
      </c>
      <c r="AG1260" s="3"/>
      <c r="AH1260" s="40"/>
      <c r="AI1260" s="40"/>
      <c r="AJ1260" s="40"/>
      <c r="AK1260" s="40"/>
      <c r="AL1260" s="40"/>
      <c r="AM1260" s="40"/>
      <c r="AN1260" s="40"/>
      <c r="AO1260" s="40"/>
      <c r="AP1260" s="40"/>
      <c r="AQ1260" s="40"/>
      <c r="AR1260" s="31"/>
      <c r="AS1260" s="36">
        <v>0</v>
      </c>
      <c r="AY1260" s="6"/>
      <c r="AZ1260" s="2"/>
      <c r="BA1260" s="2"/>
      <c r="BB1260" s="2"/>
      <c r="BC1260">
        <v>71500</v>
      </c>
      <c r="BD1260">
        <v>56992</v>
      </c>
    </row>
    <row r="1261" spans="3:56" x14ac:dyDescent="0.25">
      <c r="C1261" s="1">
        <v>46881</v>
      </c>
      <c r="D1261" s="36">
        <v>255977.841935484</v>
      </c>
      <c r="E1261" s="33">
        <v>4.3290322580645197</v>
      </c>
      <c r="F1261" s="33">
        <v>3.5076224372759901</v>
      </c>
      <c r="G1261" s="2">
        <v>0.81025555555555595</v>
      </c>
      <c r="H1261" s="2">
        <v>0.99</v>
      </c>
      <c r="I1261" s="3"/>
      <c r="J1261" s="3"/>
      <c r="K1261" s="3"/>
      <c r="L1261" s="3"/>
      <c r="M1261" s="3"/>
      <c r="N1261" s="3">
        <v>0</v>
      </c>
      <c r="O1261" s="3"/>
      <c r="P1261" s="3">
        <v>0</v>
      </c>
      <c r="Q1261" s="3">
        <v>0</v>
      </c>
      <c r="R1261" s="3">
        <v>0</v>
      </c>
      <c r="S1261" s="3">
        <v>0</v>
      </c>
      <c r="T1261" s="3">
        <v>0</v>
      </c>
      <c r="U1261" s="3"/>
      <c r="V1261" s="3"/>
      <c r="W1261" s="3"/>
      <c r="X1261" s="3"/>
      <c r="Y1261" s="3"/>
      <c r="Z1261" s="3"/>
      <c r="AA1261" s="3"/>
      <c r="AB1261" s="3"/>
      <c r="AC1261" s="3"/>
      <c r="AD1261" s="3"/>
      <c r="AE1261" s="3">
        <v>0</v>
      </c>
      <c r="AF1261" s="3">
        <v>0</v>
      </c>
      <c r="AG1261" s="3"/>
      <c r="AH1261" s="40"/>
      <c r="AI1261" s="40"/>
      <c r="AJ1261" s="40"/>
      <c r="AK1261" s="40"/>
      <c r="AL1261" s="40"/>
      <c r="AM1261" s="40"/>
      <c r="AN1261" s="40"/>
      <c r="AO1261" s="40"/>
      <c r="AP1261" s="40"/>
      <c r="AQ1261" s="40"/>
      <c r="AR1261" s="31"/>
      <c r="AS1261" s="36">
        <v>0</v>
      </c>
      <c r="AY1261" s="6"/>
      <c r="AZ1261" s="2"/>
      <c r="BA1261" s="2"/>
      <c r="BB1261" s="2"/>
      <c r="BC1261">
        <v>71500</v>
      </c>
      <c r="BD1261">
        <v>56992</v>
      </c>
    </row>
    <row r="1262" spans="3:56" x14ac:dyDescent="0.25">
      <c r="C1262" s="1">
        <v>46882</v>
      </c>
      <c r="D1262" s="36">
        <v>255977.841935484</v>
      </c>
      <c r="E1262" s="33">
        <v>4.3290322580645197</v>
      </c>
      <c r="F1262" s="33">
        <v>3.50757433691756</v>
      </c>
      <c r="G1262" s="2">
        <v>0.81024444444444399</v>
      </c>
      <c r="H1262" s="2">
        <v>0.99</v>
      </c>
      <c r="I1262" s="3"/>
      <c r="J1262" s="3"/>
      <c r="K1262" s="3"/>
      <c r="L1262" s="3"/>
      <c r="M1262" s="3"/>
      <c r="N1262" s="3">
        <v>0</v>
      </c>
      <c r="O1262" s="3"/>
      <c r="P1262" s="3">
        <v>0</v>
      </c>
      <c r="Q1262" s="3">
        <v>0</v>
      </c>
      <c r="R1262" s="3">
        <v>0</v>
      </c>
      <c r="S1262" s="3">
        <v>0</v>
      </c>
      <c r="T1262" s="3">
        <v>0</v>
      </c>
      <c r="U1262" s="3"/>
      <c r="V1262" s="3"/>
      <c r="W1262" s="3"/>
      <c r="X1262" s="3"/>
      <c r="Y1262" s="3"/>
      <c r="Z1262" s="3"/>
      <c r="AA1262" s="3"/>
      <c r="AB1262" s="3"/>
      <c r="AC1262" s="3"/>
      <c r="AD1262" s="3"/>
      <c r="AE1262" s="3">
        <v>0</v>
      </c>
      <c r="AF1262" s="3">
        <v>0</v>
      </c>
      <c r="AG1262" s="3"/>
      <c r="AH1262" s="40"/>
      <c r="AI1262" s="40"/>
      <c r="AJ1262" s="40"/>
      <c r="AK1262" s="40"/>
      <c r="AL1262" s="40"/>
      <c r="AM1262" s="40"/>
      <c r="AN1262" s="40"/>
      <c r="AO1262" s="40"/>
      <c r="AP1262" s="40"/>
      <c r="AQ1262" s="40"/>
      <c r="AR1262" s="31"/>
      <c r="AS1262" s="36">
        <v>0</v>
      </c>
      <c r="AY1262" s="6"/>
      <c r="AZ1262" s="2"/>
      <c r="BA1262" s="2"/>
      <c r="BB1262" s="2"/>
      <c r="BC1262">
        <v>71500</v>
      </c>
      <c r="BD1262">
        <v>56992</v>
      </c>
    </row>
    <row r="1263" spans="3:56" x14ac:dyDescent="0.25">
      <c r="C1263" s="1">
        <v>46883</v>
      </c>
      <c r="D1263" s="36">
        <v>255977.841935484</v>
      </c>
      <c r="E1263" s="33">
        <v>4.3290322580645197</v>
      </c>
      <c r="F1263" s="33">
        <v>3.5075262365591402</v>
      </c>
      <c r="G1263" s="2">
        <v>0.81023333333333303</v>
      </c>
      <c r="H1263" s="2">
        <v>0.99</v>
      </c>
      <c r="I1263" s="3"/>
      <c r="J1263" s="3"/>
      <c r="K1263" s="3"/>
      <c r="L1263" s="3"/>
      <c r="M1263" s="3"/>
      <c r="N1263" s="3">
        <v>0</v>
      </c>
      <c r="O1263" s="3"/>
      <c r="P1263" s="3">
        <v>0</v>
      </c>
      <c r="Q1263" s="3">
        <v>0</v>
      </c>
      <c r="R1263" s="3">
        <v>0</v>
      </c>
      <c r="S1263" s="3">
        <v>0</v>
      </c>
      <c r="T1263" s="3">
        <v>0</v>
      </c>
      <c r="U1263" s="3"/>
      <c r="V1263" s="3"/>
      <c r="W1263" s="3"/>
      <c r="X1263" s="3"/>
      <c r="Y1263" s="3"/>
      <c r="Z1263" s="3"/>
      <c r="AA1263" s="3"/>
      <c r="AB1263" s="3"/>
      <c r="AC1263" s="3"/>
      <c r="AD1263" s="3"/>
      <c r="AE1263" s="3">
        <v>0</v>
      </c>
      <c r="AF1263" s="3">
        <v>0</v>
      </c>
      <c r="AG1263" s="3"/>
      <c r="AH1263" s="40"/>
      <c r="AI1263" s="40"/>
      <c r="AJ1263" s="40"/>
      <c r="AK1263" s="40"/>
      <c r="AL1263" s="40"/>
      <c r="AM1263" s="40"/>
      <c r="AN1263" s="40"/>
      <c r="AO1263" s="40"/>
      <c r="AP1263" s="40"/>
      <c r="AQ1263" s="40"/>
      <c r="AR1263" s="31"/>
      <c r="AS1263" s="36">
        <v>0</v>
      </c>
      <c r="AY1263" s="6"/>
      <c r="AZ1263" s="2"/>
      <c r="BA1263" s="2"/>
      <c r="BB1263" s="2"/>
      <c r="BC1263">
        <v>71500</v>
      </c>
      <c r="BD1263">
        <v>56992</v>
      </c>
    </row>
    <row r="1264" spans="3:56" x14ac:dyDescent="0.25">
      <c r="C1264" s="1">
        <v>46884</v>
      </c>
      <c r="D1264" s="36">
        <v>255977.841935484</v>
      </c>
      <c r="E1264" s="33">
        <v>4.3290322580645197</v>
      </c>
      <c r="F1264" s="33">
        <v>3.5074781362007199</v>
      </c>
      <c r="G1264" s="2">
        <v>0.81022222222222195</v>
      </c>
      <c r="H1264" s="2">
        <v>0.99</v>
      </c>
      <c r="I1264" s="3"/>
      <c r="J1264" s="3"/>
      <c r="K1264" s="3"/>
      <c r="L1264" s="3"/>
      <c r="M1264" s="3"/>
      <c r="N1264" s="3">
        <v>0</v>
      </c>
      <c r="O1264" s="3"/>
      <c r="P1264" s="3">
        <v>0</v>
      </c>
      <c r="Q1264" s="3">
        <v>0</v>
      </c>
      <c r="R1264" s="3">
        <v>0</v>
      </c>
      <c r="S1264" s="3">
        <v>0</v>
      </c>
      <c r="T1264" s="3">
        <v>0</v>
      </c>
      <c r="U1264" s="3"/>
      <c r="V1264" s="3"/>
      <c r="W1264" s="3"/>
      <c r="X1264" s="3"/>
      <c r="Y1264" s="3"/>
      <c r="Z1264" s="3"/>
      <c r="AA1264" s="3"/>
      <c r="AB1264" s="3"/>
      <c r="AC1264" s="3"/>
      <c r="AD1264" s="3"/>
      <c r="AE1264" s="3">
        <v>0</v>
      </c>
      <c r="AF1264" s="3">
        <v>0</v>
      </c>
      <c r="AG1264" s="3"/>
      <c r="AH1264" s="40"/>
      <c r="AI1264" s="40"/>
      <c r="AJ1264" s="40"/>
      <c r="AK1264" s="40"/>
      <c r="AL1264" s="40"/>
      <c r="AM1264" s="40"/>
      <c r="AN1264" s="40"/>
      <c r="AO1264" s="40"/>
      <c r="AP1264" s="40"/>
      <c r="AQ1264" s="40"/>
      <c r="AR1264" s="31"/>
      <c r="AS1264" s="36">
        <v>0</v>
      </c>
      <c r="AY1264" s="6"/>
      <c r="AZ1264" s="2"/>
      <c r="BA1264" s="2"/>
      <c r="BB1264" s="2"/>
      <c r="BC1264">
        <v>71500</v>
      </c>
      <c r="BD1264">
        <v>56992</v>
      </c>
    </row>
    <row r="1265" spans="3:56" x14ac:dyDescent="0.25">
      <c r="C1265" s="1">
        <v>46885</v>
      </c>
      <c r="D1265" s="36">
        <v>255977.841935484</v>
      </c>
      <c r="E1265" s="33">
        <v>4.3290322580645197</v>
      </c>
      <c r="F1265" s="33">
        <v>3.5074300358422899</v>
      </c>
      <c r="G1265" s="2">
        <v>0.81021111111111099</v>
      </c>
      <c r="H1265" s="2">
        <v>0.99</v>
      </c>
      <c r="I1265" s="3"/>
      <c r="J1265" s="3"/>
      <c r="K1265" s="3"/>
      <c r="L1265" s="3"/>
      <c r="M1265" s="3"/>
      <c r="N1265" s="3">
        <v>0</v>
      </c>
      <c r="O1265" s="3"/>
      <c r="P1265" s="3">
        <v>0</v>
      </c>
      <c r="Q1265" s="3">
        <v>0</v>
      </c>
      <c r="R1265" s="3">
        <v>0</v>
      </c>
      <c r="S1265" s="3">
        <v>0</v>
      </c>
      <c r="T1265" s="3">
        <v>0</v>
      </c>
      <c r="U1265" s="3"/>
      <c r="V1265" s="3"/>
      <c r="W1265" s="3"/>
      <c r="X1265" s="3"/>
      <c r="Y1265" s="3"/>
      <c r="Z1265" s="3"/>
      <c r="AA1265" s="3"/>
      <c r="AB1265" s="3"/>
      <c r="AC1265" s="3"/>
      <c r="AD1265" s="3"/>
      <c r="AE1265" s="3">
        <v>0</v>
      </c>
      <c r="AF1265" s="3">
        <v>0</v>
      </c>
      <c r="AG1265" s="3"/>
      <c r="AH1265" s="40"/>
      <c r="AI1265" s="40"/>
      <c r="AJ1265" s="40"/>
      <c r="AK1265" s="40"/>
      <c r="AL1265" s="40"/>
      <c r="AM1265" s="40"/>
      <c r="AN1265" s="40"/>
      <c r="AO1265" s="40"/>
      <c r="AP1265" s="40"/>
      <c r="AQ1265" s="40"/>
      <c r="AR1265" s="31"/>
      <c r="AS1265" s="36">
        <v>0</v>
      </c>
      <c r="AY1265" s="6"/>
      <c r="AZ1265" s="2"/>
      <c r="BA1265" s="2"/>
      <c r="BB1265" s="2"/>
      <c r="BC1265">
        <v>71500</v>
      </c>
      <c r="BD1265">
        <v>56992</v>
      </c>
    </row>
    <row r="1266" spans="3:56" x14ac:dyDescent="0.25">
      <c r="C1266" s="1">
        <v>46886</v>
      </c>
      <c r="D1266" s="36">
        <v>255977.841935484</v>
      </c>
      <c r="E1266" s="33">
        <v>4.3290322580645197</v>
      </c>
      <c r="F1266" s="33">
        <v>3.50738193548387</v>
      </c>
      <c r="G1266" s="2">
        <v>0.81020000000000003</v>
      </c>
      <c r="H1266" s="2">
        <v>0.99</v>
      </c>
      <c r="I1266" s="3"/>
      <c r="J1266" s="3"/>
      <c r="K1266" s="3"/>
      <c r="L1266" s="3"/>
      <c r="M1266" s="3"/>
      <c r="N1266" s="3">
        <v>0</v>
      </c>
      <c r="O1266" s="3"/>
      <c r="P1266" s="3">
        <v>0</v>
      </c>
      <c r="Q1266" s="3">
        <v>0</v>
      </c>
      <c r="R1266" s="3">
        <v>0</v>
      </c>
      <c r="S1266" s="3">
        <v>0</v>
      </c>
      <c r="T1266" s="3">
        <v>0</v>
      </c>
      <c r="U1266" s="3"/>
      <c r="V1266" s="3"/>
      <c r="W1266" s="3"/>
      <c r="X1266" s="3"/>
      <c r="Y1266" s="3"/>
      <c r="Z1266" s="3"/>
      <c r="AA1266" s="3"/>
      <c r="AB1266" s="3"/>
      <c r="AC1266" s="3"/>
      <c r="AD1266" s="3"/>
      <c r="AE1266" s="3">
        <v>0</v>
      </c>
      <c r="AF1266" s="3">
        <v>0</v>
      </c>
      <c r="AG1266" s="3"/>
      <c r="AH1266" s="40"/>
      <c r="AI1266" s="40"/>
      <c r="AJ1266" s="40"/>
      <c r="AK1266" s="40"/>
      <c r="AL1266" s="40"/>
      <c r="AM1266" s="40"/>
      <c r="AN1266" s="40"/>
      <c r="AO1266" s="40"/>
      <c r="AP1266" s="40"/>
      <c r="AQ1266" s="40"/>
      <c r="AR1266" s="31"/>
      <c r="AS1266" s="36">
        <v>0</v>
      </c>
      <c r="AY1266" s="6"/>
      <c r="AZ1266" s="2"/>
      <c r="BA1266" s="2"/>
      <c r="BB1266" s="2"/>
      <c r="BC1266">
        <v>71500</v>
      </c>
      <c r="BD1266">
        <v>56992</v>
      </c>
    </row>
    <row r="1267" spans="3:56" x14ac:dyDescent="0.25">
      <c r="C1267" s="1">
        <v>46887</v>
      </c>
      <c r="D1267" s="36">
        <v>255977.841935484</v>
      </c>
      <c r="E1267" s="33">
        <v>4.3290322580645197</v>
      </c>
      <c r="F1267" s="33">
        <v>3.5073338351254502</v>
      </c>
      <c r="G1267" s="2">
        <v>0.81018888888888896</v>
      </c>
      <c r="H1267" s="2">
        <v>0.99</v>
      </c>
      <c r="I1267" s="3"/>
      <c r="J1267" s="3"/>
      <c r="K1267" s="3"/>
      <c r="L1267" s="3"/>
      <c r="M1267" s="3"/>
      <c r="N1267" s="3">
        <v>0</v>
      </c>
      <c r="O1267" s="3"/>
      <c r="P1267" s="3">
        <v>0</v>
      </c>
      <c r="Q1267" s="3">
        <v>0</v>
      </c>
      <c r="R1267" s="3">
        <v>0</v>
      </c>
      <c r="S1267" s="3">
        <v>0</v>
      </c>
      <c r="T1267" s="3">
        <v>0</v>
      </c>
      <c r="U1267" s="3"/>
      <c r="V1267" s="3"/>
      <c r="W1267" s="3"/>
      <c r="X1267" s="3"/>
      <c r="Y1267" s="3"/>
      <c r="Z1267" s="3"/>
      <c r="AA1267" s="3"/>
      <c r="AB1267" s="3"/>
      <c r="AC1267" s="3"/>
      <c r="AD1267" s="3"/>
      <c r="AE1267" s="3">
        <v>0</v>
      </c>
      <c r="AF1267" s="3">
        <v>0</v>
      </c>
      <c r="AG1267" s="3"/>
      <c r="AH1267" s="40"/>
      <c r="AI1267" s="40"/>
      <c r="AJ1267" s="40"/>
      <c r="AK1267" s="40"/>
      <c r="AL1267" s="40"/>
      <c r="AM1267" s="40"/>
      <c r="AN1267" s="40"/>
      <c r="AO1267" s="40"/>
      <c r="AP1267" s="40"/>
      <c r="AQ1267" s="40"/>
      <c r="AR1267" s="31"/>
      <c r="AS1267" s="36">
        <v>0</v>
      </c>
      <c r="AY1267" s="6"/>
      <c r="AZ1267" s="2"/>
      <c r="BA1267" s="2"/>
      <c r="BB1267" s="2"/>
      <c r="BC1267">
        <v>71500</v>
      </c>
      <c r="BD1267">
        <v>56992</v>
      </c>
    </row>
    <row r="1268" spans="3:56" x14ac:dyDescent="0.25">
      <c r="C1268" s="1">
        <v>46888</v>
      </c>
      <c r="D1268" s="36">
        <v>255977.841935484</v>
      </c>
      <c r="E1268" s="33">
        <v>4.3290322580645197</v>
      </c>
      <c r="F1268" s="33">
        <v>3.5072857347670201</v>
      </c>
      <c r="G1268" s="2">
        <v>0.810177777777778</v>
      </c>
      <c r="H1268" s="2">
        <v>0.99</v>
      </c>
      <c r="I1268" s="3"/>
      <c r="J1268" s="3"/>
      <c r="K1268" s="3"/>
      <c r="L1268" s="3"/>
      <c r="M1268" s="3"/>
      <c r="N1268" s="3">
        <v>0</v>
      </c>
      <c r="O1268" s="3"/>
      <c r="P1268" s="3">
        <v>0</v>
      </c>
      <c r="Q1268" s="3">
        <v>0</v>
      </c>
      <c r="R1268" s="3">
        <v>0</v>
      </c>
      <c r="S1268" s="3">
        <v>0</v>
      </c>
      <c r="T1268" s="3">
        <v>0</v>
      </c>
      <c r="U1268" s="3"/>
      <c r="V1268" s="3"/>
      <c r="W1268" s="3"/>
      <c r="X1268" s="3"/>
      <c r="Y1268" s="3"/>
      <c r="Z1268" s="3"/>
      <c r="AA1268" s="3"/>
      <c r="AB1268" s="3"/>
      <c r="AC1268" s="3"/>
      <c r="AD1268" s="3"/>
      <c r="AE1268" s="3">
        <v>0</v>
      </c>
      <c r="AF1268" s="3">
        <v>0</v>
      </c>
      <c r="AG1268" s="3"/>
      <c r="AH1268" s="40"/>
      <c r="AI1268" s="40"/>
      <c r="AJ1268" s="40"/>
      <c r="AK1268" s="40"/>
      <c r="AL1268" s="40"/>
      <c r="AM1268" s="40"/>
      <c r="AN1268" s="40"/>
      <c r="AO1268" s="40"/>
      <c r="AP1268" s="40"/>
      <c r="AQ1268" s="40"/>
      <c r="AR1268" s="31"/>
      <c r="AS1268" s="36">
        <v>0</v>
      </c>
      <c r="AY1268" s="6"/>
      <c r="AZ1268" s="2"/>
      <c r="BA1268" s="2"/>
      <c r="BB1268" s="2"/>
      <c r="BC1268">
        <v>71500</v>
      </c>
      <c r="BD1268">
        <v>56992</v>
      </c>
    </row>
    <row r="1269" spans="3:56" x14ac:dyDescent="0.25">
      <c r="C1269" s="1">
        <v>46889</v>
      </c>
      <c r="D1269" s="36">
        <v>255977.841935484</v>
      </c>
      <c r="E1269" s="33">
        <v>4.3290322580645197</v>
      </c>
      <c r="F1269" s="33">
        <v>3.5072376344085998</v>
      </c>
      <c r="G1269" s="2">
        <v>0.81016666666666703</v>
      </c>
      <c r="H1269" s="2">
        <v>0.99</v>
      </c>
      <c r="I1269" s="3"/>
      <c r="J1269" s="3"/>
      <c r="K1269" s="3"/>
      <c r="L1269" s="3"/>
      <c r="M1269" s="3"/>
      <c r="N1269" s="3">
        <v>0</v>
      </c>
      <c r="O1269" s="3"/>
      <c r="P1269" s="3">
        <v>0</v>
      </c>
      <c r="Q1269" s="3">
        <v>0</v>
      </c>
      <c r="R1269" s="3">
        <v>0</v>
      </c>
      <c r="S1269" s="3">
        <v>0</v>
      </c>
      <c r="T1269" s="3">
        <v>0</v>
      </c>
      <c r="U1269" s="3"/>
      <c r="V1269" s="3"/>
      <c r="W1269" s="3"/>
      <c r="X1269" s="3"/>
      <c r="Y1269" s="3"/>
      <c r="Z1269" s="3"/>
      <c r="AA1269" s="3"/>
      <c r="AB1269" s="3"/>
      <c r="AC1269" s="3"/>
      <c r="AD1269" s="3"/>
      <c r="AE1269" s="3">
        <v>0</v>
      </c>
      <c r="AF1269" s="3">
        <v>0</v>
      </c>
      <c r="AG1269" s="3"/>
      <c r="AH1269" s="40"/>
      <c r="AI1269" s="40"/>
      <c r="AJ1269" s="40"/>
      <c r="AK1269" s="40"/>
      <c r="AL1269" s="40"/>
      <c r="AM1269" s="40"/>
      <c r="AN1269" s="40"/>
      <c r="AO1269" s="40"/>
      <c r="AP1269" s="40"/>
      <c r="AQ1269" s="40"/>
      <c r="AR1269" s="31"/>
      <c r="AS1269" s="36">
        <v>0</v>
      </c>
      <c r="AY1269" s="6"/>
      <c r="AZ1269" s="2"/>
      <c r="BA1269" s="2"/>
      <c r="BB1269" s="2"/>
      <c r="BC1269">
        <v>71500</v>
      </c>
      <c r="BD1269">
        <v>56992</v>
      </c>
    </row>
    <row r="1270" spans="3:56" x14ac:dyDescent="0.25">
      <c r="C1270" s="1">
        <v>46890</v>
      </c>
      <c r="D1270" s="36">
        <v>255977.841935484</v>
      </c>
      <c r="E1270" s="33">
        <v>4.3290322580645197</v>
      </c>
      <c r="F1270" s="33">
        <v>3.50718953405018</v>
      </c>
      <c r="G1270" s="2">
        <v>0.81015555555555596</v>
      </c>
      <c r="H1270" s="2">
        <v>0.99</v>
      </c>
      <c r="I1270" s="3"/>
      <c r="J1270" s="3"/>
      <c r="K1270" s="3"/>
      <c r="L1270" s="3"/>
      <c r="M1270" s="3"/>
      <c r="N1270" s="3">
        <v>0</v>
      </c>
      <c r="O1270" s="3"/>
      <c r="P1270" s="3">
        <v>0</v>
      </c>
      <c r="Q1270" s="3">
        <v>0</v>
      </c>
      <c r="R1270" s="3">
        <v>0</v>
      </c>
      <c r="S1270" s="3">
        <v>0</v>
      </c>
      <c r="T1270" s="3">
        <v>0</v>
      </c>
      <c r="U1270" s="3"/>
      <c r="V1270" s="3"/>
      <c r="W1270" s="3"/>
      <c r="X1270" s="3"/>
      <c r="Y1270" s="3"/>
      <c r="Z1270" s="3"/>
      <c r="AA1270" s="3"/>
      <c r="AB1270" s="3"/>
      <c r="AC1270" s="3"/>
      <c r="AD1270" s="3"/>
      <c r="AE1270" s="3">
        <v>0</v>
      </c>
      <c r="AF1270" s="3">
        <v>0</v>
      </c>
      <c r="AG1270" s="3"/>
      <c r="AH1270" s="40"/>
      <c r="AI1270" s="40"/>
      <c r="AJ1270" s="40"/>
      <c r="AK1270" s="40"/>
      <c r="AL1270" s="40"/>
      <c r="AM1270" s="40"/>
      <c r="AN1270" s="40"/>
      <c r="AO1270" s="40"/>
      <c r="AP1270" s="40"/>
      <c r="AQ1270" s="40"/>
      <c r="AR1270" s="31"/>
      <c r="AS1270" s="36">
        <v>0</v>
      </c>
      <c r="AY1270" s="6"/>
      <c r="AZ1270" s="2"/>
      <c r="BA1270" s="2"/>
      <c r="BB1270" s="2"/>
      <c r="BC1270">
        <v>71500</v>
      </c>
      <c r="BD1270">
        <v>56992</v>
      </c>
    </row>
    <row r="1271" spans="3:56" x14ac:dyDescent="0.25">
      <c r="C1271" s="1">
        <v>46891</v>
      </c>
      <c r="D1271" s="36">
        <v>255977.841935484</v>
      </c>
      <c r="E1271" s="33">
        <v>4.3290322580645197</v>
      </c>
      <c r="F1271" s="33">
        <v>3.5071414336917601</v>
      </c>
      <c r="G1271" s="2">
        <v>0.810144444444444</v>
      </c>
      <c r="H1271" s="2">
        <v>0.99</v>
      </c>
      <c r="I1271" s="3"/>
      <c r="J1271" s="3"/>
      <c r="K1271" s="3"/>
      <c r="L1271" s="3"/>
      <c r="M1271" s="3"/>
      <c r="N1271" s="3">
        <v>0</v>
      </c>
      <c r="O1271" s="3"/>
      <c r="P1271" s="3">
        <v>0</v>
      </c>
      <c r="Q1271" s="3">
        <v>0</v>
      </c>
      <c r="R1271" s="3">
        <v>0</v>
      </c>
      <c r="S1271" s="3">
        <v>0</v>
      </c>
      <c r="T1271" s="3">
        <v>0</v>
      </c>
      <c r="U1271" s="3"/>
      <c r="V1271" s="3"/>
      <c r="W1271" s="3"/>
      <c r="X1271" s="3"/>
      <c r="Y1271" s="3"/>
      <c r="Z1271" s="3"/>
      <c r="AA1271" s="3"/>
      <c r="AB1271" s="3"/>
      <c r="AC1271" s="3"/>
      <c r="AD1271" s="3"/>
      <c r="AE1271" s="3">
        <v>0</v>
      </c>
      <c r="AF1271" s="3">
        <v>0</v>
      </c>
      <c r="AG1271" s="3"/>
      <c r="AH1271" s="40"/>
      <c r="AI1271" s="40"/>
      <c r="AJ1271" s="40"/>
      <c r="AK1271" s="40"/>
      <c r="AL1271" s="40"/>
      <c r="AM1271" s="40"/>
      <c r="AN1271" s="40"/>
      <c r="AO1271" s="40"/>
      <c r="AP1271" s="40"/>
      <c r="AQ1271" s="40"/>
      <c r="AR1271" s="31"/>
      <c r="AS1271" s="36">
        <v>0</v>
      </c>
      <c r="AY1271" s="6"/>
      <c r="AZ1271" s="2"/>
      <c r="BA1271" s="2"/>
      <c r="BB1271" s="2"/>
      <c r="BC1271">
        <v>71500</v>
      </c>
      <c r="BD1271">
        <v>56992</v>
      </c>
    </row>
    <row r="1272" spans="3:56" x14ac:dyDescent="0.25">
      <c r="C1272" s="1">
        <v>46892</v>
      </c>
      <c r="D1272" s="36">
        <v>255977.841935484</v>
      </c>
      <c r="E1272" s="33">
        <v>4.3290322580645197</v>
      </c>
      <c r="F1272" s="33">
        <v>3.5070933333333301</v>
      </c>
      <c r="G1272" s="2">
        <v>0.81013333333333304</v>
      </c>
      <c r="H1272" s="2">
        <v>0.99</v>
      </c>
      <c r="I1272" s="3"/>
      <c r="J1272" s="3"/>
      <c r="K1272" s="3"/>
      <c r="L1272" s="3"/>
      <c r="M1272" s="3"/>
      <c r="N1272" s="3">
        <v>0</v>
      </c>
      <c r="O1272" s="3"/>
      <c r="P1272" s="3">
        <v>0</v>
      </c>
      <c r="Q1272" s="3">
        <v>0</v>
      </c>
      <c r="R1272" s="3">
        <v>0</v>
      </c>
      <c r="S1272" s="3">
        <v>0</v>
      </c>
      <c r="T1272" s="3">
        <v>0</v>
      </c>
      <c r="U1272" s="3"/>
      <c r="V1272" s="3"/>
      <c r="W1272" s="3"/>
      <c r="X1272" s="3"/>
      <c r="Y1272" s="3"/>
      <c r="Z1272" s="3"/>
      <c r="AA1272" s="3"/>
      <c r="AB1272" s="3"/>
      <c r="AC1272" s="3"/>
      <c r="AD1272" s="3"/>
      <c r="AE1272" s="3">
        <v>0</v>
      </c>
      <c r="AF1272" s="3">
        <v>0</v>
      </c>
      <c r="AG1272" s="3"/>
      <c r="AH1272" s="40"/>
      <c r="AI1272" s="40"/>
      <c r="AJ1272" s="40"/>
      <c r="AK1272" s="40"/>
      <c r="AL1272" s="40"/>
      <c r="AM1272" s="40"/>
      <c r="AN1272" s="40"/>
      <c r="AO1272" s="40"/>
      <c r="AP1272" s="40"/>
      <c r="AQ1272" s="40"/>
      <c r="AR1272" s="31"/>
      <c r="AS1272" s="36">
        <v>0</v>
      </c>
      <c r="AY1272" s="6"/>
      <c r="AZ1272" s="2"/>
      <c r="BA1272" s="2"/>
      <c r="BB1272" s="2"/>
      <c r="BC1272">
        <v>71500</v>
      </c>
      <c r="BD1272">
        <v>56992</v>
      </c>
    </row>
    <row r="1273" spans="3:56" x14ac:dyDescent="0.25">
      <c r="C1273" s="1">
        <v>46893</v>
      </c>
      <c r="D1273" s="36">
        <v>255977.841935484</v>
      </c>
      <c r="E1273" s="33">
        <v>4.3290322580645197</v>
      </c>
      <c r="F1273" s="33">
        <v>3.5070452329749102</v>
      </c>
      <c r="G1273" s="2">
        <v>0.81012222222222197</v>
      </c>
      <c r="H1273" s="2">
        <v>0.99</v>
      </c>
      <c r="I1273" s="3"/>
      <c r="J1273" s="3"/>
      <c r="K1273" s="3"/>
      <c r="L1273" s="3"/>
      <c r="M1273" s="3"/>
      <c r="N1273" s="3">
        <v>0</v>
      </c>
      <c r="O1273" s="3"/>
      <c r="P1273" s="3">
        <v>0</v>
      </c>
      <c r="Q1273" s="3">
        <v>0</v>
      </c>
      <c r="R1273" s="3">
        <v>0</v>
      </c>
      <c r="S1273" s="3">
        <v>0</v>
      </c>
      <c r="T1273" s="3">
        <v>0</v>
      </c>
      <c r="U1273" s="3"/>
      <c r="V1273" s="3"/>
      <c r="W1273" s="3"/>
      <c r="X1273" s="3"/>
      <c r="Y1273" s="3"/>
      <c r="Z1273" s="3"/>
      <c r="AA1273" s="3"/>
      <c r="AB1273" s="3"/>
      <c r="AC1273" s="3"/>
      <c r="AD1273" s="3"/>
      <c r="AE1273" s="3">
        <v>0</v>
      </c>
      <c r="AF1273" s="3">
        <v>0</v>
      </c>
      <c r="AG1273" s="3"/>
      <c r="AH1273" s="40"/>
      <c r="AI1273" s="40"/>
      <c r="AJ1273" s="40"/>
      <c r="AK1273" s="40"/>
      <c r="AL1273" s="40"/>
      <c r="AM1273" s="40"/>
      <c r="AN1273" s="40"/>
      <c r="AO1273" s="40"/>
      <c r="AP1273" s="40"/>
      <c r="AQ1273" s="40"/>
      <c r="AR1273" s="31"/>
      <c r="AS1273" s="36">
        <v>0</v>
      </c>
      <c r="AY1273" s="6"/>
      <c r="AZ1273" s="2"/>
      <c r="BA1273" s="2"/>
      <c r="BB1273" s="2"/>
      <c r="BC1273">
        <v>71500</v>
      </c>
      <c r="BD1273">
        <v>56992</v>
      </c>
    </row>
    <row r="1274" spans="3:56" x14ac:dyDescent="0.25">
      <c r="C1274" s="1">
        <v>46894</v>
      </c>
      <c r="D1274" s="36">
        <v>255977.841935484</v>
      </c>
      <c r="E1274" s="33">
        <v>4.3290322580645197</v>
      </c>
      <c r="F1274" s="33">
        <v>3.5069971326164899</v>
      </c>
      <c r="G1274" s="2">
        <v>0.810111111111111</v>
      </c>
      <c r="H1274" s="2">
        <v>0.99</v>
      </c>
      <c r="I1274" s="3"/>
      <c r="J1274" s="3"/>
      <c r="K1274" s="3"/>
      <c r="L1274" s="3"/>
      <c r="M1274" s="3"/>
      <c r="N1274" s="3">
        <v>0</v>
      </c>
      <c r="O1274" s="3"/>
      <c r="P1274" s="3">
        <v>0</v>
      </c>
      <c r="Q1274" s="3">
        <v>0</v>
      </c>
      <c r="R1274" s="3">
        <v>0</v>
      </c>
      <c r="S1274" s="3">
        <v>0</v>
      </c>
      <c r="T1274" s="3">
        <v>0</v>
      </c>
      <c r="U1274" s="3"/>
      <c r="V1274" s="3"/>
      <c r="W1274" s="3"/>
      <c r="X1274" s="3"/>
      <c r="Y1274" s="3"/>
      <c r="Z1274" s="3"/>
      <c r="AA1274" s="3"/>
      <c r="AB1274" s="3"/>
      <c r="AC1274" s="3"/>
      <c r="AD1274" s="3"/>
      <c r="AE1274" s="3">
        <v>0</v>
      </c>
      <c r="AF1274" s="3">
        <v>0</v>
      </c>
      <c r="AG1274" s="3"/>
      <c r="AH1274" s="40"/>
      <c r="AI1274" s="40"/>
      <c r="AJ1274" s="40"/>
      <c r="AK1274" s="40"/>
      <c r="AL1274" s="40"/>
      <c r="AM1274" s="40"/>
      <c r="AN1274" s="40"/>
      <c r="AO1274" s="40"/>
      <c r="AP1274" s="40"/>
      <c r="AQ1274" s="40"/>
      <c r="AR1274" s="31"/>
      <c r="AS1274" s="36">
        <v>0</v>
      </c>
      <c r="AY1274" s="6"/>
      <c r="AZ1274" s="2"/>
      <c r="BA1274" s="2"/>
      <c r="BB1274" s="2"/>
      <c r="BC1274">
        <v>71500</v>
      </c>
      <c r="BD1274">
        <v>56992</v>
      </c>
    </row>
    <row r="1275" spans="3:56" x14ac:dyDescent="0.25">
      <c r="C1275" s="1">
        <v>46895</v>
      </c>
      <c r="D1275" s="36">
        <v>255977.841935484</v>
      </c>
      <c r="E1275" s="33">
        <v>4.3290322580645197</v>
      </c>
      <c r="F1275" s="33">
        <v>3.5069490322580599</v>
      </c>
      <c r="G1275" s="2">
        <v>0.81010000000000004</v>
      </c>
      <c r="H1275" s="2">
        <v>0.99</v>
      </c>
      <c r="I1275" s="3"/>
      <c r="J1275" s="3"/>
      <c r="K1275" s="3"/>
      <c r="L1275" s="3"/>
      <c r="M1275" s="3"/>
      <c r="N1275" s="3">
        <v>0</v>
      </c>
      <c r="O1275" s="3"/>
      <c r="P1275" s="3">
        <v>0</v>
      </c>
      <c r="Q1275" s="3">
        <v>0</v>
      </c>
      <c r="R1275" s="3">
        <v>0</v>
      </c>
      <c r="S1275" s="3">
        <v>0</v>
      </c>
      <c r="T1275" s="3">
        <v>0</v>
      </c>
      <c r="U1275" s="3"/>
      <c r="V1275" s="3"/>
      <c r="W1275" s="3"/>
      <c r="X1275" s="3"/>
      <c r="Y1275" s="3"/>
      <c r="Z1275" s="3"/>
      <c r="AA1275" s="3"/>
      <c r="AB1275" s="3"/>
      <c r="AC1275" s="3"/>
      <c r="AD1275" s="3"/>
      <c r="AE1275" s="3">
        <v>0</v>
      </c>
      <c r="AF1275" s="3">
        <v>0</v>
      </c>
      <c r="AG1275" s="3"/>
      <c r="AH1275" s="40"/>
      <c r="AI1275" s="40"/>
      <c r="AJ1275" s="40"/>
      <c r="AK1275" s="40"/>
      <c r="AL1275" s="40"/>
      <c r="AM1275" s="40"/>
      <c r="AN1275" s="40"/>
      <c r="AO1275" s="40"/>
      <c r="AP1275" s="40"/>
      <c r="AQ1275" s="40"/>
      <c r="AR1275" s="31"/>
      <c r="AS1275" s="36">
        <v>0</v>
      </c>
      <c r="AY1275" s="6"/>
      <c r="AZ1275" s="2"/>
      <c r="BA1275" s="2"/>
      <c r="BB1275" s="2"/>
      <c r="BC1275">
        <v>71500</v>
      </c>
      <c r="BD1275">
        <v>56992</v>
      </c>
    </row>
    <row r="1276" spans="3:56" x14ac:dyDescent="0.25">
      <c r="C1276" s="1">
        <v>46896</v>
      </c>
      <c r="D1276" s="36">
        <v>255977.841935484</v>
      </c>
      <c r="E1276" s="33">
        <v>4.3290322580645197</v>
      </c>
      <c r="F1276" s="33">
        <v>3.50690093189964</v>
      </c>
      <c r="G1276" s="2">
        <v>0.81008888888888897</v>
      </c>
      <c r="H1276" s="2">
        <v>0.99</v>
      </c>
      <c r="I1276" s="3"/>
      <c r="J1276" s="3"/>
      <c r="K1276" s="3"/>
      <c r="L1276" s="3"/>
      <c r="M1276" s="3"/>
      <c r="N1276" s="3">
        <v>0</v>
      </c>
      <c r="O1276" s="3"/>
      <c r="P1276" s="3">
        <v>0</v>
      </c>
      <c r="Q1276" s="3">
        <v>0</v>
      </c>
      <c r="R1276" s="3">
        <v>0</v>
      </c>
      <c r="S1276" s="3">
        <v>0</v>
      </c>
      <c r="T1276" s="3">
        <v>0</v>
      </c>
      <c r="U1276" s="3"/>
      <c r="V1276" s="3"/>
      <c r="W1276" s="3"/>
      <c r="X1276" s="3"/>
      <c r="Y1276" s="3"/>
      <c r="Z1276" s="3"/>
      <c r="AA1276" s="3"/>
      <c r="AB1276" s="3"/>
      <c r="AC1276" s="3"/>
      <c r="AD1276" s="3"/>
      <c r="AE1276" s="3">
        <v>0</v>
      </c>
      <c r="AF1276" s="3">
        <v>0</v>
      </c>
      <c r="AG1276" s="3"/>
      <c r="AH1276" s="40"/>
      <c r="AI1276" s="40"/>
      <c r="AJ1276" s="40"/>
      <c r="AK1276" s="40"/>
      <c r="AL1276" s="40"/>
      <c r="AM1276" s="40"/>
      <c r="AN1276" s="40"/>
      <c r="AO1276" s="40"/>
      <c r="AP1276" s="40"/>
      <c r="AQ1276" s="40"/>
      <c r="AR1276" s="31"/>
      <c r="AS1276" s="36">
        <v>0</v>
      </c>
      <c r="AY1276" s="6"/>
      <c r="AZ1276" s="2"/>
      <c r="BA1276" s="2"/>
      <c r="BB1276" s="2"/>
      <c r="BC1276">
        <v>71500</v>
      </c>
      <c r="BD1276">
        <v>56992</v>
      </c>
    </row>
    <row r="1277" spans="3:56" x14ac:dyDescent="0.25">
      <c r="C1277" s="1">
        <v>46897</v>
      </c>
      <c r="D1277" s="36">
        <v>255977.841935484</v>
      </c>
      <c r="E1277" s="33">
        <v>4.3290322580645197</v>
      </c>
      <c r="F1277" s="33">
        <v>3.5068528315412202</v>
      </c>
      <c r="G1277" s="2">
        <v>0.81007777777777801</v>
      </c>
      <c r="H1277" s="2">
        <v>0.99</v>
      </c>
      <c r="I1277" s="3"/>
      <c r="J1277" s="3"/>
      <c r="K1277" s="3"/>
      <c r="L1277" s="3"/>
      <c r="M1277" s="3"/>
      <c r="N1277" s="3">
        <v>0</v>
      </c>
      <c r="O1277" s="3"/>
      <c r="P1277" s="3">
        <v>0</v>
      </c>
      <c r="Q1277" s="3">
        <v>0</v>
      </c>
      <c r="R1277" s="3">
        <v>0</v>
      </c>
      <c r="S1277" s="3">
        <v>0</v>
      </c>
      <c r="T1277" s="3">
        <v>0</v>
      </c>
      <c r="U1277" s="3"/>
      <c r="V1277" s="3"/>
      <c r="W1277" s="3"/>
      <c r="X1277" s="3"/>
      <c r="Y1277" s="3"/>
      <c r="Z1277" s="3"/>
      <c r="AA1277" s="3"/>
      <c r="AB1277" s="3"/>
      <c r="AC1277" s="3"/>
      <c r="AD1277" s="3"/>
      <c r="AE1277" s="3">
        <v>0</v>
      </c>
      <c r="AF1277" s="3">
        <v>0</v>
      </c>
      <c r="AG1277" s="3"/>
      <c r="AH1277" s="40"/>
      <c r="AI1277" s="40"/>
      <c r="AJ1277" s="40"/>
      <c r="AK1277" s="40"/>
      <c r="AL1277" s="40"/>
      <c r="AM1277" s="40"/>
      <c r="AN1277" s="40"/>
      <c r="AO1277" s="40"/>
      <c r="AP1277" s="40"/>
      <c r="AQ1277" s="40"/>
      <c r="AR1277" s="31"/>
      <c r="AS1277" s="36">
        <v>0</v>
      </c>
      <c r="AY1277" s="6"/>
      <c r="AZ1277" s="2"/>
      <c r="BA1277" s="2"/>
      <c r="BB1277" s="2"/>
      <c r="BC1277">
        <v>71500</v>
      </c>
      <c r="BD1277">
        <v>56992</v>
      </c>
    </row>
    <row r="1278" spans="3:56" x14ac:dyDescent="0.25">
      <c r="C1278" s="1">
        <v>46898</v>
      </c>
      <c r="D1278" s="36">
        <v>255977.841935484</v>
      </c>
      <c r="E1278" s="33">
        <v>4.3290322580645197</v>
      </c>
      <c r="F1278" s="33">
        <v>3.5068047311827999</v>
      </c>
      <c r="G1278" s="2">
        <v>0.81006666666666705</v>
      </c>
      <c r="H1278" s="2">
        <v>0.99</v>
      </c>
      <c r="I1278" s="3"/>
      <c r="J1278" s="3"/>
      <c r="K1278" s="3"/>
      <c r="L1278" s="3"/>
      <c r="M1278" s="3"/>
      <c r="N1278" s="3">
        <v>0</v>
      </c>
      <c r="O1278" s="3"/>
      <c r="P1278" s="3">
        <v>0</v>
      </c>
      <c r="Q1278" s="3">
        <v>0</v>
      </c>
      <c r="R1278" s="3">
        <v>0</v>
      </c>
      <c r="S1278" s="3">
        <v>0</v>
      </c>
      <c r="T1278" s="3">
        <v>0</v>
      </c>
      <c r="U1278" s="3"/>
      <c r="V1278" s="3"/>
      <c r="W1278" s="3"/>
      <c r="X1278" s="3"/>
      <c r="Y1278" s="3"/>
      <c r="Z1278" s="3"/>
      <c r="AA1278" s="3"/>
      <c r="AB1278" s="3"/>
      <c r="AC1278" s="3"/>
      <c r="AD1278" s="3"/>
      <c r="AE1278" s="3">
        <v>0</v>
      </c>
      <c r="AF1278" s="3">
        <v>0</v>
      </c>
      <c r="AG1278" s="3"/>
      <c r="AH1278" s="40"/>
      <c r="AI1278" s="40"/>
      <c r="AJ1278" s="40"/>
      <c r="AK1278" s="40"/>
      <c r="AL1278" s="40"/>
      <c r="AM1278" s="40"/>
      <c r="AN1278" s="40"/>
      <c r="AO1278" s="40"/>
      <c r="AP1278" s="40"/>
      <c r="AQ1278" s="40"/>
      <c r="AR1278" s="31"/>
      <c r="AS1278" s="36">
        <v>0</v>
      </c>
      <c r="AY1278" s="6"/>
      <c r="AZ1278" s="2"/>
      <c r="BA1278" s="2"/>
      <c r="BB1278" s="2"/>
      <c r="BC1278">
        <v>71500</v>
      </c>
      <c r="BD1278">
        <v>56992</v>
      </c>
    </row>
    <row r="1279" spans="3:56" x14ac:dyDescent="0.25">
      <c r="C1279" s="1">
        <v>46899</v>
      </c>
      <c r="D1279" s="36">
        <v>255977.841935484</v>
      </c>
      <c r="E1279" s="33">
        <v>4.3290322580645197</v>
      </c>
      <c r="F1279" s="33">
        <v>3.5067566308243698</v>
      </c>
      <c r="G1279" s="2">
        <v>0.81005555555555597</v>
      </c>
      <c r="H1279" s="2">
        <v>0.99</v>
      </c>
      <c r="I1279" s="3"/>
      <c r="J1279" s="3"/>
      <c r="K1279" s="3"/>
      <c r="L1279" s="3"/>
      <c r="M1279" s="3"/>
      <c r="N1279" s="3">
        <v>0</v>
      </c>
      <c r="O1279" s="3"/>
      <c r="P1279" s="3">
        <v>0</v>
      </c>
      <c r="Q1279" s="3">
        <v>0</v>
      </c>
      <c r="R1279" s="3">
        <v>0</v>
      </c>
      <c r="S1279" s="3">
        <v>0</v>
      </c>
      <c r="T1279" s="3">
        <v>0</v>
      </c>
      <c r="U1279" s="3"/>
      <c r="V1279" s="3"/>
      <c r="W1279" s="3"/>
      <c r="X1279" s="3"/>
      <c r="Y1279" s="3"/>
      <c r="Z1279" s="3"/>
      <c r="AA1279" s="3"/>
      <c r="AB1279" s="3"/>
      <c r="AC1279" s="3"/>
      <c r="AD1279" s="3"/>
      <c r="AE1279" s="3">
        <v>0</v>
      </c>
      <c r="AF1279" s="3">
        <v>0</v>
      </c>
      <c r="AG1279" s="3"/>
      <c r="AH1279" s="40"/>
      <c r="AI1279" s="40"/>
      <c r="AJ1279" s="40"/>
      <c r="AK1279" s="40"/>
      <c r="AL1279" s="40"/>
      <c r="AM1279" s="40"/>
      <c r="AN1279" s="40"/>
      <c r="AO1279" s="40"/>
      <c r="AP1279" s="40"/>
      <c r="AQ1279" s="40"/>
      <c r="AR1279" s="31"/>
      <c r="AS1279" s="36">
        <v>0</v>
      </c>
      <c r="AY1279" s="6"/>
      <c r="AZ1279" s="2"/>
      <c r="BA1279" s="2"/>
      <c r="BB1279" s="2"/>
      <c r="BC1279">
        <v>71500</v>
      </c>
      <c r="BD1279">
        <v>56992</v>
      </c>
    </row>
    <row r="1280" spans="3:56" x14ac:dyDescent="0.25">
      <c r="C1280" s="1">
        <v>46900</v>
      </c>
      <c r="D1280" s="36">
        <v>255977.841935484</v>
      </c>
      <c r="E1280" s="33">
        <v>4.3290322580645197</v>
      </c>
      <c r="F1280" s="33">
        <v>3.50670853046595</v>
      </c>
      <c r="G1280" s="2">
        <v>0.81004444444444401</v>
      </c>
      <c r="H1280" s="2">
        <v>0.99</v>
      </c>
      <c r="I1280" s="3"/>
      <c r="J1280" s="3"/>
      <c r="K1280" s="3"/>
      <c r="L1280" s="3"/>
      <c r="M1280" s="3"/>
      <c r="N1280" s="3">
        <v>0</v>
      </c>
      <c r="O1280" s="3"/>
      <c r="P1280" s="3">
        <v>0</v>
      </c>
      <c r="Q1280" s="3">
        <v>0</v>
      </c>
      <c r="R1280" s="3">
        <v>0</v>
      </c>
      <c r="S1280" s="3">
        <v>0</v>
      </c>
      <c r="T1280" s="3">
        <v>0</v>
      </c>
      <c r="U1280" s="3"/>
      <c r="V1280" s="3"/>
      <c r="W1280" s="3"/>
      <c r="X1280" s="3"/>
      <c r="Y1280" s="3"/>
      <c r="Z1280" s="3"/>
      <c r="AA1280" s="3"/>
      <c r="AB1280" s="3"/>
      <c r="AC1280" s="3"/>
      <c r="AD1280" s="3"/>
      <c r="AE1280" s="3">
        <v>0</v>
      </c>
      <c r="AF1280" s="3">
        <v>0</v>
      </c>
      <c r="AG1280" s="3"/>
      <c r="AH1280" s="40"/>
      <c r="AI1280" s="40"/>
      <c r="AJ1280" s="40"/>
      <c r="AK1280" s="40"/>
      <c r="AL1280" s="40"/>
      <c r="AM1280" s="40"/>
      <c r="AN1280" s="40"/>
      <c r="AO1280" s="40"/>
      <c r="AP1280" s="40"/>
      <c r="AQ1280" s="40"/>
      <c r="AR1280" s="31"/>
      <c r="AS1280" s="36">
        <v>0</v>
      </c>
      <c r="AY1280" s="6"/>
      <c r="AZ1280" s="2"/>
      <c r="BA1280" s="2"/>
      <c r="BB1280" s="2"/>
      <c r="BC1280">
        <v>71500</v>
      </c>
      <c r="BD1280">
        <v>56992</v>
      </c>
    </row>
    <row r="1281" spans="3:56" x14ac:dyDescent="0.25">
      <c r="C1281" s="1">
        <v>46901</v>
      </c>
      <c r="D1281" s="36">
        <v>255977.841935484</v>
      </c>
      <c r="E1281" s="33">
        <v>4.3290322580645197</v>
      </c>
      <c r="F1281" s="33">
        <v>3.5066604301075301</v>
      </c>
      <c r="G1281" s="2">
        <v>0.81003333333333305</v>
      </c>
      <c r="H1281" s="2">
        <v>0.99</v>
      </c>
      <c r="I1281" s="3"/>
      <c r="J1281" s="3"/>
      <c r="K1281" s="3"/>
      <c r="L1281" s="3"/>
      <c r="M1281" s="3"/>
      <c r="N1281" s="3">
        <v>0</v>
      </c>
      <c r="O1281" s="3"/>
      <c r="P1281" s="3">
        <v>0</v>
      </c>
      <c r="Q1281" s="3">
        <v>0</v>
      </c>
      <c r="R1281" s="3">
        <v>0</v>
      </c>
      <c r="S1281" s="3">
        <v>0</v>
      </c>
      <c r="T1281" s="3">
        <v>0</v>
      </c>
      <c r="U1281" s="3"/>
      <c r="V1281" s="3"/>
      <c r="W1281" s="3"/>
      <c r="X1281" s="3"/>
      <c r="Y1281" s="3"/>
      <c r="Z1281" s="3"/>
      <c r="AA1281" s="3"/>
      <c r="AB1281" s="3"/>
      <c r="AC1281" s="3"/>
      <c r="AD1281" s="3"/>
      <c r="AE1281" s="3">
        <v>0</v>
      </c>
      <c r="AF1281" s="3">
        <v>0</v>
      </c>
      <c r="AG1281" s="3"/>
      <c r="AH1281" s="40"/>
      <c r="AI1281" s="40"/>
      <c r="AJ1281" s="40"/>
      <c r="AK1281" s="40"/>
      <c r="AL1281" s="40"/>
      <c r="AM1281" s="40"/>
      <c r="AN1281" s="40"/>
      <c r="AO1281" s="40"/>
      <c r="AP1281" s="40"/>
      <c r="AQ1281" s="40"/>
      <c r="AR1281" s="31"/>
      <c r="AS1281" s="36">
        <v>0</v>
      </c>
      <c r="AY1281" s="6"/>
      <c r="AZ1281" s="2"/>
      <c r="BA1281" s="2"/>
      <c r="BB1281" s="2"/>
      <c r="BC1281">
        <v>71500</v>
      </c>
      <c r="BD1281">
        <v>56992</v>
      </c>
    </row>
    <row r="1282" spans="3:56" x14ac:dyDescent="0.25">
      <c r="C1282" s="1">
        <v>46902</v>
      </c>
      <c r="D1282" s="36">
        <v>255977.841935484</v>
      </c>
      <c r="E1282" s="33">
        <v>4.3290322580645197</v>
      </c>
      <c r="F1282" s="33">
        <v>3.5066123297491001</v>
      </c>
      <c r="G1282" s="2">
        <v>0.81002222222222198</v>
      </c>
      <c r="H1282" s="2">
        <v>0.99</v>
      </c>
      <c r="I1282" s="3"/>
      <c r="J1282" s="3"/>
      <c r="K1282" s="3"/>
      <c r="L1282" s="3"/>
      <c r="M1282" s="3"/>
      <c r="N1282" s="3">
        <v>0</v>
      </c>
      <c r="O1282" s="3"/>
      <c r="P1282" s="3">
        <v>0</v>
      </c>
      <c r="Q1282" s="3">
        <v>0</v>
      </c>
      <c r="R1282" s="3">
        <v>0</v>
      </c>
      <c r="S1282" s="3">
        <v>0</v>
      </c>
      <c r="T1282" s="3">
        <v>0</v>
      </c>
      <c r="U1282" s="3"/>
      <c r="V1282" s="3"/>
      <c r="W1282" s="3"/>
      <c r="X1282" s="3"/>
      <c r="Y1282" s="3"/>
      <c r="Z1282" s="3"/>
      <c r="AA1282" s="3"/>
      <c r="AB1282" s="3"/>
      <c r="AC1282" s="3"/>
      <c r="AD1282" s="3"/>
      <c r="AE1282" s="3">
        <v>0</v>
      </c>
      <c r="AF1282" s="3">
        <v>0</v>
      </c>
      <c r="AG1282" s="3"/>
      <c r="AH1282" s="40"/>
      <c r="AI1282" s="40"/>
      <c r="AJ1282" s="40"/>
      <c r="AK1282" s="40"/>
      <c r="AL1282" s="40"/>
      <c r="AM1282" s="40"/>
      <c r="AN1282" s="40"/>
      <c r="AO1282" s="40"/>
      <c r="AP1282" s="40"/>
      <c r="AQ1282" s="40"/>
      <c r="AR1282" s="31"/>
      <c r="AS1282" s="36">
        <v>0</v>
      </c>
      <c r="AY1282" s="6"/>
      <c r="AZ1282" s="2"/>
      <c r="BA1282" s="2"/>
      <c r="BB1282" s="2"/>
      <c r="BC1282">
        <v>71500</v>
      </c>
      <c r="BD1282">
        <v>56992</v>
      </c>
    </row>
    <row r="1283" spans="3:56" x14ac:dyDescent="0.25">
      <c r="C1283" s="1">
        <v>46903</v>
      </c>
      <c r="D1283" s="36">
        <v>255977.841935484</v>
      </c>
      <c r="E1283" s="33">
        <v>4.3290322580645197</v>
      </c>
      <c r="F1283" s="33">
        <v>3.5065642293906798</v>
      </c>
      <c r="G1283" s="2">
        <v>0.81001111111111102</v>
      </c>
      <c r="H1283" s="2">
        <v>0.99</v>
      </c>
      <c r="I1283" s="3"/>
      <c r="J1283" s="3"/>
      <c r="K1283" s="3"/>
      <c r="L1283" s="3"/>
      <c r="M1283" s="3"/>
      <c r="N1283" s="3">
        <v>0</v>
      </c>
      <c r="O1283" s="3"/>
      <c r="P1283" s="3">
        <v>0</v>
      </c>
      <c r="Q1283" s="3">
        <v>0</v>
      </c>
      <c r="R1283" s="3">
        <v>0</v>
      </c>
      <c r="S1283" s="3">
        <v>0</v>
      </c>
      <c r="T1283" s="3">
        <v>0</v>
      </c>
      <c r="U1283" s="3"/>
      <c r="V1283" s="3"/>
      <c r="W1283" s="3"/>
      <c r="X1283" s="3"/>
      <c r="Y1283" s="3"/>
      <c r="Z1283" s="3"/>
      <c r="AA1283" s="3"/>
      <c r="AB1283" s="3"/>
      <c r="AC1283" s="3"/>
      <c r="AD1283" s="3"/>
      <c r="AE1283" s="3">
        <v>0</v>
      </c>
      <c r="AF1283" s="3">
        <v>0</v>
      </c>
      <c r="AG1283" s="3"/>
      <c r="AH1283" s="40"/>
      <c r="AI1283" s="40"/>
      <c r="AJ1283" s="40"/>
      <c r="AK1283" s="40"/>
      <c r="AL1283" s="40"/>
      <c r="AM1283" s="40"/>
      <c r="AN1283" s="40"/>
      <c r="AO1283" s="40"/>
      <c r="AP1283" s="40"/>
      <c r="AQ1283" s="40"/>
      <c r="AR1283" s="31"/>
      <c r="AS1283" s="36">
        <v>0</v>
      </c>
      <c r="AY1283" s="6"/>
      <c r="AZ1283" s="2"/>
      <c r="BA1283" s="2"/>
      <c r="BB1283" s="2"/>
      <c r="BC1283">
        <v>71500</v>
      </c>
      <c r="BD1283">
        <v>56992</v>
      </c>
    </row>
    <row r="1284" spans="3:56" x14ac:dyDescent="0.25">
      <c r="C1284" s="1">
        <v>46904</v>
      </c>
      <c r="D1284" s="36">
        <v>255977.841935484</v>
      </c>
      <c r="E1284" s="33">
        <v>4.3290322580645197</v>
      </c>
      <c r="F1284" s="33">
        <v>3.50651612903226</v>
      </c>
      <c r="G1284" s="2">
        <v>0.81</v>
      </c>
      <c r="H1284" s="2">
        <v>0.99</v>
      </c>
      <c r="I1284" s="3"/>
      <c r="J1284" s="3"/>
      <c r="K1284" s="3"/>
      <c r="L1284" s="3"/>
      <c r="M1284" s="3"/>
      <c r="N1284" s="3">
        <v>0</v>
      </c>
      <c r="O1284" s="3"/>
      <c r="P1284" s="3">
        <v>0</v>
      </c>
      <c r="Q1284" s="3">
        <v>0</v>
      </c>
      <c r="R1284" s="3">
        <v>0</v>
      </c>
      <c r="S1284" s="3">
        <v>0</v>
      </c>
      <c r="T1284" s="3">
        <v>0</v>
      </c>
      <c r="U1284" s="3"/>
      <c r="V1284" s="3"/>
      <c r="W1284" s="3"/>
      <c r="X1284" s="3"/>
      <c r="Y1284" s="3"/>
      <c r="Z1284" s="3"/>
      <c r="AA1284" s="3"/>
      <c r="AB1284" s="3"/>
      <c r="AC1284" s="3"/>
      <c r="AD1284" s="3"/>
      <c r="AE1284" s="3">
        <v>0</v>
      </c>
      <c r="AF1284" s="3">
        <v>0</v>
      </c>
      <c r="AG1284" s="3"/>
      <c r="AH1284" s="40"/>
      <c r="AI1284" s="40"/>
      <c r="AJ1284" s="40"/>
      <c r="AK1284" s="40"/>
      <c r="AL1284" s="40"/>
      <c r="AM1284" s="40"/>
      <c r="AN1284" s="40"/>
      <c r="AO1284" s="40"/>
      <c r="AP1284" s="40"/>
      <c r="AQ1284" s="40"/>
      <c r="AR1284" s="31"/>
      <c r="AS1284" s="36">
        <v>0</v>
      </c>
      <c r="AY1284" s="6"/>
      <c r="AZ1284" s="2"/>
      <c r="BA1284" s="2"/>
      <c r="BB1284" s="2"/>
      <c r="BC1284">
        <v>71500</v>
      </c>
      <c r="BD1284">
        <v>56992</v>
      </c>
    </row>
    <row r="1285" spans="3:56" x14ac:dyDescent="0.25">
      <c r="C1285" s="1">
        <v>46905</v>
      </c>
      <c r="D1285" s="36">
        <v>236808</v>
      </c>
      <c r="E1285" s="33">
        <v>4.1399999999999997</v>
      </c>
      <c r="F1285" s="33">
        <v>3.3534000000000002</v>
      </c>
      <c r="G1285" s="2">
        <v>0.81</v>
      </c>
      <c r="H1285" s="2">
        <v>0.99</v>
      </c>
      <c r="I1285" s="3"/>
      <c r="J1285" s="3"/>
      <c r="K1285" s="3"/>
      <c r="L1285" s="3"/>
      <c r="M1285" s="3"/>
      <c r="N1285" s="3">
        <v>0</v>
      </c>
      <c r="O1285" s="3"/>
      <c r="P1285" s="3">
        <v>0</v>
      </c>
      <c r="Q1285" s="3">
        <v>0</v>
      </c>
      <c r="R1285" s="3">
        <v>0</v>
      </c>
      <c r="S1285" s="3">
        <v>0</v>
      </c>
      <c r="T1285" s="3">
        <v>0</v>
      </c>
      <c r="U1285" s="3"/>
      <c r="V1285" s="3"/>
      <c r="W1285" s="3"/>
      <c r="X1285" s="3"/>
      <c r="Y1285" s="3"/>
      <c r="Z1285" s="3"/>
      <c r="AA1285" s="3"/>
      <c r="AB1285" s="3"/>
      <c r="AC1285" s="3"/>
      <c r="AD1285" s="3"/>
      <c r="AE1285" s="3">
        <v>0</v>
      </c>
      <c r="AF1285" s="3">
        <v>0</v>
      </c>
      <c r="AG1285" s="3"/>
      <c r="AH1285" s="40"/>
      <c r="AI1285" s="40"/>
      <c r="AJ1285" s="40"/>
      <c r="AK1285" s="40"/>
      <c r="AL1285" s="40"/>
      <c r="AM1285" s="40"/>
      <c r="AN1285" s="40"/>
      <c r="AO1285" s="40"/>
      <c r="AP1285" s="40"/>
      <c r="AQ1285" s="40"/>
      <c r="AR1285" s="31"/>
      <c r="AS1285" s="36">
        <v>0</v>
      </c>
      <c r="AY1285" s="6"/>
      <c r="AZ1285" s="2"/>
      <c r="BA1285" s="2"/>
      <c r="BB1285" s="2"/>
      <c r="BC1285">
        <v>71500</v>
      </c>
      <c r="BD1285">
        <v>56992</v>
      </c>
    </row>
    <row r="1286" spans="3:56" x14ac:dyDescent="0.25">
      <c r="C1286" s="1">
        <v>46906</v>
      </c>
      <c r="D1286" s="36">
        <v>236808</v>
      </c>
      <c r="E1286" s="33">
        <v>4.1399999999999997</v>
      </c>
      <c r="F1286" s="33">
        <v>3.3533539999999999</v>
      </c>
      <c r="G1286" s="2">
        <v>0.80998888888888898</v>
      </c>
      <c r="H1286" s="2">
        <v>0.99</v>
      </c>
      <c r="I1286" s="3"/>
      <c r="J1286" s="3"/>
      <c r="K1286" s="3"/>
      <c r="L1286" s="3"/>
      <c r="M1286" s="3"/>
      <c r="N1286" s="3">
        <v>0</v>
      </c>
      <c r="O1286" s="3"/>
      <c r="P1286" s="3">
        <v>0</v>
      </c>
      <c r="Q1286" s="3">
        <v>0</v>
      </c>
      <c r="R1286" s="3">
        <v>0</v>
      </c>
      <c r="S1286" s="3">
        <v>0</v>
      </c>
      <c r="T1286" s="3">
        <v>0</v>
      </c>
      <c r="U1286" s="3"/>
      <c r="V1286" s="3"/>
      <c r="W1286" s="3"/>
      <c r="X1286" s="3"/>
      <c r="Y1286" s="3"/>
      <c r="Z1286" s="3"/>
      <c r="AA1286" s="3"/>
      <c r="AB1286" s="3"/>
      <c r="AC1286" s="3"/>
      <c r="AD1286" s="3"/>
      <c r="AE1286" s="3">
        <v>0</v>
      </c>
      <c r="AF1286" s="3">
        <v>0</v>
      </c>
      <c r="AG1286" s="3"/>
      <c r="AH1286" s="40"/>
      <c r="AI1286" s="40"/>
      <c r="AJ1286" s="40"/>
      <c r="AK1286" s="40"/>
      <c r="AL1286" s="40"/>
      <c r="AM1286" s="40"/>
      <c r="AN1286" s="40"/>
      <c r="AO1286" s="40"/>
      <c r="AP1286" s="40"/>
      <c r="AQ1286" s="40"/>
      <c r="AR1286" s="31"/>
      <c r="AS1286" s="36">
        <v>0</v>
      </c>
      <c r="AY1286" s="6"/>
      <c r="AZ1286" s="2"/>
      <c r="BA1286" s="2"/>
      <c r="BB1286" s="2"/>
      <c r="BC1286">
        <v>71500</v>
      </c>
      <c r="BD1286">
        <v>56992</v>
      </c>
    </row>
    <row r="1287" spans="3:56" x14ac:dyDescent="0.25">
      <c r="C1287" s="1">
        <v>46907</v>
      </c>
      <c r="D1287" s="36">
        <v>236808</v>
      </c>
      <c r="E1287" s="33">
        <v>4.1399999999999997</v>
      </c>
      <c r="F1287" s="33">
        <v>3.3533080000000002</v>
      </c>
      <c r="G1287" s="2">
        <v>0.80997777777777802</v>
      </c>
      <c r="H1287" s="2">
        <v>0.99</v>
      </c>
      <c r="I1287" s="3"/>
      <c r="J1287" s="3"/>
      <c r="K1287" s="3"/>
      <c r="L1287" s="3"/>
      <c r="M1287" s="3"/>
      <c r="N1287" s="3">
        <v>0</v>
      </c>
      <c r="O1287" s="3"/>
      <c r="P1287" s="3">
        <v>0</v>
      </c>
      <c r="Q1287" s="3">
        <v>0</v>
      </c>
      <c r="R1287" s="3">
        <v>0</v>
      </c>
      <c r="S1287" s="3">
        <v>0</v>
      </c>
      <c r="T1287" s="3">
        <v>0</v>
      </c>
      <c r="U1287" s="3"/>
      <c r="V1287" s="3"/>
      <c r="W1287" s="3"/>
      <c r="X1287" s="3"/>
      <c r="Y1287" s="3"/>
      <c r="Z1287" s="3"/>
      <c r="AA1287" s="3"/>
      <c r="AB1287" s="3"/>
      <c r="AC1287" s="3"/>
      <c r="AD1287" s="3"/>
      <c r="AE1287" s="3">
        <v>0</v>
      </c>
      <c r="AF1287" s="3">
        <v>0</v>
      </c>
      <c r="AG1287" s="3"/>
      <c r="AH1287" s="40"/>
      <c r="AI1287" s="40"/>
      <c r="AJ1287" s="40"/>
      <c r="AK1287" s="40"/>
      <c r="AL1287" s="40"/>
      <c r="AM1287" s="40"/>
      <c r="AN1287" s="40"/>
      <c r="AO1287" s="40"/>
      <c r="AP1287" s="40"/>
      <c r="AQ1287" s="40"/>
      <c r="AR1287" s="31"/>
      <c r="AS1287" s="36">
        <v>0</v>
      </c>
      <c r="AY1287" s="6"/>
      <c r="AZ1287" s="2"/>
      <c r="BA1287" s="2"/>
      <c r="BB1287" s="2"/>
      <c r="BC1287">
        <v>71500</v>
      </c>
      <c r="BD1287">
        <v>56992</v>
      </c>
    </row>
    <row r="1288" spans="3:56" x14ac:dyDescent="0.25">
      <c r="C1288" s="1">
        <v>46908</v>
      </c>
      <c r="D1288" s="36">
        <v>236808</v>
      </c>
      <c r="E1288" s="33">
        <v>4.1399999999999997</v>
      </c>
      <c r="F1288" s="33">
        <v>3.353262</v>
      </c>
      <c r="G1288" s="2">
        <v>0.80996666666666695</v>
      </c>
      <c r="H1288" s="2">
        <v>0.99</v>
      </c>
      <c r="I1288" s="3"/>
      <c r="J1288" s="3"/>
      <c r="K1288" s="3"/>
      <c r="L1288" s="3"/>
      <c r="M1288" s="3"/>
      <c r="N1288" s="3">
        <v>0</v>
      </c>
      <c r="O1288" s="3"/>
      <c r="P1288" s="3">
        <v>0</v>
      </c>
      <c r="Q1288" s="3">
        <v>0</v>
      </c>
      <c r="R1288" s="3">
        <v>0</v>
      </c>
      <c r="S1288" s="3">
        <v>0</v>
      </c>
      <c r="T1288" s="3">
        <v>0</v>
      </c>
      <c r="U1288" s="3"/>
      <c r="V1288" s="3"/>
      <c r="W1288" s="3"/>
      <c r="X1288" s="3"/>
      <c r="Y1288" s="3"/>
      <c r="Z1288" s="3"/>
      <c r="AA1288" s="3"/>
      <c r="AB1288" s="3"/>
      <c r="AC1288" s="3"/>
      <c r="AD1288" s="3"/>
      <c r="AE1288" s="3">
        <v>0</v>
      </c>
      <c r="AF1288" s="3">
        <v>0</v>
      </c>
      <c r="AG1288" s="3"/>
      <c r="AH1288" s="40"/>
      <c r="AI1288" s="40"/>
      <c r="AJ1288" s="40"/>
      <c r="AK1288" s="40"/>
      <c r="AL1288" s="40"/>
      <c r="AM1288" s="40"/>
      <c r="AN1288" s="40"/>
      <c r="AO1288" s="40"/>
      <c r="AP1288" s="40"/>
      <c r="AQ1288" s="40"/>
      <c r="AR1288" s="31"/>
      <c r="AS1288" s="36">
        <v>0</v>
      </c>
      <c r="AY1288" s="6"/>
      <c r="AZ1288" s="2"/>
      <c r="BA1288" s="2"/>
      <c r="BB1288" s="2"/>
      <c r="BC1288">
        <v>71500</v>
      </c>
      <c r="BD1288">
        <v>56992</v>
      </c>
    </row>
    <row r="1289" spans="3:56" x14ac:dyDescent="0.25">
      <c r="C1289" s="1">
        <v>46909</v>
      </c>
      <c r="D1289" s="36">
        <v>236808</v>
      </c>
      <c r="E1289" s="33">
        <v>4.1399999999999997</v>
      </c>
      <c r="F1289" s="33">
        <v>3.3532160000000002</v>
      </c>
      <c r="G1289" s="2">
        <v>0.80995555555555598</v>
      </c>
      <c r="H1289" s="2">
        <v>0.99</v>
      </c>
      <c r="I1289" s="3"/>
      <c r="J1289" s="3"/>
      <c r="K1289" s="3"/>
      <c r="L1289" s="3"/>
      <c r="M1289" s="3"/>
      <c r="N1289" s="3">
        <v>0</v>
      </c>
      <c r="O1289" s="3"/>
      <c r="P1289" s="3">
        <v>0</v>
      </c>
      <c r="Q1289" s="3">
        <v>0</v>
      </c>
      <c r="R1289" s="3">
        <v>0</v>
      </c>
      <c r="S1289" s="3">
        <v>0</v>
      </c>
      <c r="T1289" s="3">
        <v>0</v>
      </c>
      <c r="U1289" s="3"/>
      <c r="V1289" s="3"/>
      <c r="W1289" s="3"/>
      <c r="X1289" s="3"/>
      <c r="Y1289" s="3"/>
      <c r="Z1289" s="3"/>
      <c r="AA1289" s="3"/>
      <c r="AB1289" s="3"/>
      <c r="AC1289" s="3"/>
      <c r="AD1289" s="3"/>
      <c r="AE1289" s="3">
        <v>0</v>
      </c>
      <c r="AF1289" s="3">
        <v>0</v>
      </c>
      <c r="AG1289" s="3"/>
      <c r="AH1289" s="40"/>
      <c r="AI1289" s="40"/>
      <c r="AJ1289" s="40"/>
      <c r="AK1289" s="40"/>
      <c r="AL1289" s="40"/>
      <c r="AM1289" s="40"/>
      <c r="AN1289" s="40"/>
      <c r="AO1289" s="40"/>
      <c r="AP1289" s="40"/>
      <c r="AQ1289" s="40"/>
      <c r="AR1289" s="31"/>
      <c r="AS1289" s="36">
        <v>0</v>
      </c>
      <c r="AY1289" s="6"/>
      <c r="AZ1289" s="2"/>
      <c r="BA1289" s="2"/>
      <c r="BB1289" s="2"/>
      <c r="BC1289">
        <v>71500</v>
      </c>
      <c r="BD1289">
        <v>56992</v>
      </c>
    </row>
    <row r="1290" spans="3:56" x14ac:dyDescent="0.25">
      <c r="C1290" s="1">
        <v>46910</v>
      </c>
      <c r="D1290" s="36">
        <v>236808</v>
      </c>
      <c r="E1290" s="33">
        <v>4.1399999999999997</v>
      </c>
      <c r="F1290" s="33">
        <v>3.35317</v>
      </c>
      <c r="G1290" s="2">
        <v>0.80994444444444402</v>
      </c>
      <c r="H1290" s="2">
        <v>0.99</v>
      </c>
      <c r="I1290" s="3"/>
      <c r="J1290" s="3"/>
      <c r="K1290" s="3"/>
      <c r="L1290" s="3"/>
      <c r="M1290" s="3"/>
      <c r="N1290" s="3">
        <v>0</v>
      </c>
      <c r="O1290" s="3"/>
      <c r="P1290" s="3">
        <v>0</v>
      </c>
      <c r="Q1290" s="3">
        <v>0</v>
      </c>
      <c r="R1290" s="3">
        <v>0</v>
      </c>
      <c r="S1290" s="3">
        <v>0</v>
      </c>
      <c r="T1290" s="3">
        <v>0</v>
      </c>
      <c r="U1290" s="3"/>
      <c r="V1290" s="3"/>
      <c r="W1290" s="3"/>
      <c r="X1290" s="3"/>
      <c r="Y1290" s="3"/>
      <c r="Z1290" s="3"/>
      <c r="AA1290" s="3"/>
      <c r="AB1290" s="3"/>
      <c r="AC1290" s="3"/>
      <c r="AD1290" s="3"/>
      <c r="AE1290" s="3">
        <v>0</v>
      </c>
      <c r="AF1290" s="3">
        <v>0</v>
      </c>
      <c r="AG1290" s="3"/>
      <c r="AH1290" s="40"/>
      <c r="AI1290" s="40"/>
      <c r="AJ1290" s="40"/>
      <c r="AK1290" s="40"/>
      <c r="AL1290" s="40"/>
      <c r="AM1290" s="40"/>
      <c r="AN1290" s="40"/>
      <c r="AO1290" s="40"/>
      <c r="AP1290" s="40"/>
      <c r="AQ1290" s="40"/>
      <c r="AR1290" s="31"/>
      <c r="AS1290" s="36">
        <v>0</v>
      </c>
      <c r="AY1290" s="6"/>
      <c r="AZ1290" s="2"/>
      <c r="BA1290" s="2"/>
      <c r="BB1290" s="2"/>
      <c r="BC1290">
        <v>71500</v>
      </c>
      <c r="BD1290">
        <v>56992</v>
      </c>
    </row>
    <row r="1291" spans="3:56" x14ac:dyDescent="0.25">
      <c r="C1291" s="1">
        <v>46911</v>
      </c>
      <c r="D1291" s="36">
        <v>236808</v>
      </c>
      <c r="E1291" s="33">
        <v>4.1399999999999997</v>
      </c>
      <c r="F1291" s="33">
        <v>3.3531240000000002</v>
      </c>
      <c r="G1291" s="2">
        <v>0.80993333333333295</v>
      </c>
      <c r="H1291" s="2">
        <v>0.99</v>
      </c>
      <c r="I1291" s="3"/>
      <c r="J1291" s="3"/>
      <c r="K1291" s="3"/>
      <c r="L1291" s="3"/>
      <c r="M1291" s="3"/>
      <c r="N1291" s="3">
        <v>0</v>
      </c>
      <c r="O1291" s="3"/>
      <c r="P1291" s="3">
        <v>0</v>
      </c>
      <c r="Q1291" s="3">
        <v>0</v>
      </c>
      <c r="R1291" s="3">
        <v>0</v>
      </c>
      <c r="S1291" s="3">
        <v>0</v>
      </c>
      <c r="T1291" s="3">
        <v>0</v>
      </c>
      <c r="U1291" s="3"/>
      <c r="V1291" s="3"/>
      <c r="W1291" s="3"/>
      <c r="X1291" s="3"/>
      <c r="Y1291" s="3"/>
      <c r="Z1291" s="3"/>
      <c r="AA1291" s="3"/>
      <c r="AB1291" s="3"/>
      <c r="AC1291" s="3"/>
      <c r="AD1291" s="3"/>
      <c r="AE1291" s="3">
        <v>0</v>
      </c>
      <c r="AF1291" s="3">
        <v>0</v>
      </c>
      <c r="AG1291" s="3"/>
      <c r="AH1291" s="40"/>
      <c r="AI1291" s="40"/>
      <c r="AJ1291" s="40"/>
      <c r="AK1291" s="40"/>
      <c r="AL1291" s="40"/>
      <c r="AM1291" s="40"/>
      <c r="AN1291" s="40"/>
      <c r="AO1291" s="40"/>
      <c r="AP1291" s="40"/>
      <c r="AQ1291" s="40"/>
      <c r="AR1291" s="31"/>
      <c r="AS1291" s="36">
        <v>0</v>
      </c>
      <c r="AY1291" s="6"/>
      <c r="AZ1291" s="2"/>
      <c r="BA1291" s="2"/>
      <c r="BB1291" s="2"/>
      <c r="BC1291">
        <v>71500</v>
      </c>
      <c r="BD1291">
        <v>56992</v>
      </c>
    </row>
    <row r="1292" spans="3:56" x14ac:dyDescent="0.25">
      <c r="C1292" s="1">
        <v>46912</v>
      </c>
      <c r="D1292" s="36">
        <v>236808</v>
      </c>
      <c r="E1292" s="33">
        <v>4.1399999999999997</v>
      </c>
      <c r="F1292" s="33">
        <v>3.353078</v>
      </c>
      <c r="G1292" s="2">
        <v>0.80992222222222199</v>
      </c>
      <c r="H1292" s="2">
        <v>0.99</v>
      </c>
      <c r="I1292" s="3"/>
      <c r="J1292" s="3"/>
      <c r="K1292" s="3"/>
      <c r="L1292" s="3"/>
      <c r="M1292" s="3"/>
      <c r="N1292" s="3">
        <v>0</v>
      </c>
      <c r="O1292" s="3"/>
      <c r="P1292" s="3">
        <v>0</v>
      </c>
      <c r="Q1292" s="3">
        <v>0</v>
      </c>
      <c r="R1292" s="3">
        <v>0</v>
      </c>
      <c r="S1292" s="3">
        <v>0</v>
      </c>
      <c r="T1292" s="3">
        <v>0</v>
      </c>
      <c r="U1292" s="3"/>
      <c r="V1292" s="3"/>
      <c r="W1292" s="3"/>
      <c r="X1292" s="3"/>
      <c r="Y1292" s="3"/>
      <c r="Z1292" s="3"/>
      <c r="AA1292" s="3"/>
      <c r="AB1292" s="3"/>
      <c r="AC1292" s="3"/>
      <c r="AD1292" s="3"/>
      <c r="AE1292" s="3">
        <v>0</v>
      </c>
      <c r="AF1292" s="3">
        <v>0</v>
      </c>
      <c r="AG1292" s="3"/>
      <c r="AH1292" s="40"/>
      <c r="AI1292" s="40"/>
      <c r="AJ1292" s="40"/>
      <c r="AK1292" s="40"/>
      <c r="AL1292" s="40"/>
      <c r="AM1292" s="40"/>
      <c r="AN1292" s="40"/>
      <c r="AO1292" s="40"/>
      <c r="AP1292" s="40"/>
      <c r="AQ1292" s="40"/>
      <c r="AR1292" s="31"/>
      <c r="AS1292" s="36">
        <v>0</v>
      </c>
      <c r="AY1292" s="6"/>
      <c r="AZ1292" s="2"/>
      <c r="BA1292" s="2"/>
      <c r="BB1292" s="2"/>
      <c r="BC1292">
        <v>71500</v>
      </c>
      <c r="BD1292">
        <v>56992</v>
      </c>
    </row>
    <row r="1293" spans="3:56" x14ac:dyDescent="0.25">
      <c r="C1293" s="1">
        <v>46913</v>
      </c>
      <c r="D1293" s="36">
        <v>236808</v>
      </c>
      <c r="E1293" s="33">
        <v>4.1399999999999997</v>
      </c>
      <c r="F1293" s="33">
        <v>3.3530319999999998</v>
      </c>
      <c r="G1293" s="2">
        <v>0.80991111111111103</v>
      </c>
      <c r="H1293" s="2">
        <v>0.99</v>
      </c>
      <c r="I1293" s="3"/>
      <c r="J1293" s="3"/>
      <c r="K1293" s="3"/>
      <c r="L1293" s="3"/>
      <c r="M1293" s="3"/>
      <c r="N1293" s="3">
        <v>0</v>
      </c>
      <c r="O1293" s="3"/>
      <c r="P1293" s="3">
        <v>0</v>
      </c>
      <c r="Q1293" s="3">
        <v>0</v>
      </c>
      <c r="R1293" s="3">
        <v>0</v>
      </c>
      <c r="S1293" s="3">
        <v>0</v>
      </c>
      <c r="T1293" s="3">
        <v>0</v>
      </c>
      <c r="U1293" s="3"/>
      <c r="V1293" s="3"/>
      <c r="W1293" s="3"/>
      <c r="X1293" s="3"/>
      <c r="Y1293" s="3"/>
      <c r="Z1293" s="3"/>
      <c r="AA1293" s="3"/>
      <c r="AB1293" s="3"/>
      <c r="AC1293" s="3"/>
      <c r="AD1293" s="3"/>
      <c r="AE1293" s="3">
        <v>0</v>
      </c>
      <c r="AF1293" s="3">
        <v>0</v>
      </c>
      <c r="AG1293" s="3"/>
      <c r="AH1293" s="40"/>
      <c r="AI1293" s="40"/>
      <c r="AJ1293" s="40"/>
      <c r="AK1293" s="40"/>
      <c r="AL1293" s="40"/>
      <c r="AM1293" s="40"/>
      <c r="AN1293" s="40"/>
      <c r="AO1293" s="40"/>
      <c r="AP1293" s="40"/>
      <c r="AQ1293" s="40"/>
      <c r="AR1293" s="31"/>
      <c r="AS1293" s="36">
        <v>0</v>
      </c>
      <c r="AY1293" s="6"/>
      <c r="AZ1293" s="2"/>
      <c r="BA1293" s="2"/>
      <c r="BB1293" s="2"/>
      <c r="BC1293">
        <v>71500</v>
      </c>
      <c r="BD1293">
        <v>56992</v>
      </c>
    </row>
    <row r="1294" spans="3:56" x14ac:dyDescent="0.25">
      <c r="C1294" s="1">
        <v>46914</v>
      </c>
      <c r="D1294" s="36">
        <v>236808</v>
      </c>
      <c r="E1294" s="33">
        <v>4.1399999999999997</v>
      </c>
      <c r="F1294" s="33">
        <v>3.352986</v>
      </c>
      <c r="G1294" s="2">
        <v>0.80989999999999995</v>
      </c>
      <c r="H1294" s="2">
        <v>0.99</v>
      </c>
      <c r="I1294" s="3"/>
      <c r="J1294" s="3"/>
      <c r="K1294" s="3"/>
      <c r="L1294" s="3"/>
      <c r="M1294" s="3"/>
      <c r="N1294" s="3">
        <v>0</v>
      </c>
      <c r="O1294" s="3"/>
      <c r="P1294" s="3">
        <v>0</v>
      </c>
      <c r="Q1294" s="3">
        <v>0</v>
      </c>
      <c r="R1294" s="3">
        <v>0</v>
      </c>
      <c r="S1294" s="3">
        <v>0</v>
      </c>
      <c r="T1294" s="3">
        <v>0</v>
      </c>
      <c r="U1294" s="3"/>
      <c r="V1294" s="3"/>
      <c r="W1294" s="3"/>
      <c r="X1294" s="3"/>
      <c r="Y1294" s="3"/>
      <c r="Z1294" s="3"/>
      <c r="AA1294" s="3"/>
      <c r="AB1294" s="3"/>
      <c r="AC1294" s="3"/>
      <c r="AD1294" s="3"/>
      <c r="AE1294" s="3">
        <v>0</v>
      </c>
      <c r="AF1294" s="3">
        <v>0</v>
      </c>
      <c r="AG1294" s="3"/>
      <c r="AH1294" s="40"/>
      <c r="AI1294" s="40"/>
      <c r="AJ1294" s="40"/>
      <c r="AK1294" s="40"/>
      <c r="AL1294" s="40"/>
      <c r="AM1294" s="40"/>
      <c r="AN1294" s="40"/>
      <c r="AO1294" s="40"/>
      <c r="AP1294" s="40"/>
      <c r="AQ1294" s="40"/>
      <c r="AR1294" s="31"/>
      <c r="AS1294" s="36">
        <v>0</v>
      </c>
      <c r="AY1294" s="6"/>
      <c r="AZ1294" s="2"/>
      <c r="BA1294" s="2"/>
      <c r="BB1294" s="2"/>
      <c r="BC1294">
        <v>71500</v>
      </c>
      <c r="BD1294">
        <v>56992</v>
      </c>
    </row>
    <row r="1295" spans="3:56" x14ac:dyDescent="0.25">
      <c r="C1295" s="1">
        <v>46915</v>
      </c>
      <c r="D1295" s="36">
        <v>236808</v>
      </c>
      <c r="E1295" s="33">
        <v>4.1399999999999997</v>
      </c>
      <c r="F1295" s="33">
        <v>3.3529399999999998</v>
      </c>
      <c r="G1295" s="2">
        <v>0.80988888888888899</v>
      </c>
      <c r="H1295" s="2">
        <v>0.99</v>
      </c>
      <c r="I1295" s="3"/>
      <c r="J1295" s="3"/>
      <c r="K1295" s="3"/>
      <c r="L1295" s="3"/>
      <c r="M1295" s="3"/>
      <c r="N1295" s="3">
        <v>0</v>
      </c>
      <c r="O1295" s="3"/>
      <c r="P1295" s="3">
        <v>0</v>
      </c>
      <c r="Q1295" s="3">
        <v>0</v>
      </c>
      <c r="R1295" s="3">
        <v>0</v>
      </c>
      <c r="S1295" s="3">
        <v>0</v>
      </c>
      <c r="T1295" s="3">
        <v>0</v>
      </c>
      <c r="U1295" s="3"/>
      <c r="V1295" s="3"/>
      <c r="W1295" s="3"/>
      <c r="X1295" s="3"/>
      <c r="Y1295" s="3"/>
      <c r="Z1295" s="3"/>
      <c r="AA1295" s="3"/>
      <c r="AB1295" s="3"/>
      <c r="AC1295" s="3"/>
      <c r="AD1295" s="3"/>
      <c r="AE1295" s="3">
        <v>0</v>
      </c>
      <c r="AF1295" s="3">
        <v>0</v>
      </c>
      <c r="AG1295" s="3"/>
      <c r="AH1295" s="40"/>
      <c r="AI1295" s="40"/>
      <c r="AJ1295" s="40"/>
      <c r="AK1295" s="40"/>
      <c r="AL1295" s="40"/>
      <c r="AM1295" s="40"/>
      <c r="AN1295" s="40"/>
      <c r="AO1295" s="40"/>
      <c r="AP1295" s="40"/>
      <c r="AQ1295" s="40"/>
      <c r="AR1295" s="31"/>
      <c r="AS1295" s="36">
        <v>0</v>
      </c>
      <c r="AY1295" s="6"/>
      <c r="AZ1295" s="2"/>
      <c r="BA1295" s="2"/>
      <c r="BB1295" s="2"/>
      <c r="BC1295">
        <v>71500</v>
      </c>
      <c r="BD1295">
        <v>56992</v>
      </c>
    </row>
    <row r="1296" spans="3:56" x14ac:dyDescent="0.25">
      <c r="C1296" s="1">
        <v>46916</v>
      </c>
      <c r="D1296" s="36">
        <v>236808</v>
      </c>
      <c r="E1296" s="33">
        <v>4.1399999999999997</v>
      </c>
      <c r="F1296" s="33">
        <v>3.352894</v>
      </c>
      <c r="G1296" s="2">
        <v>0.80987777777777803</v>
      </c>
      <c r="H1296" s="2">
        <v>0.99</v>
      </c>
      <c r="I1296" s="3"/>
      <c r="J1296" s="3"/>
      <c r="K1296" s="3"/>
      <c r="L1296" s="3"/>
      <c r="M1296" s="3"/>
      <c r="N1296" s="3">
        <v>0</v>
      </c>
      <c r="O1296" s="3"/>
      <c r="P1296" s="3">
        <v>0</v>
      </c>
      <c r="Q1296" s="3">
        <v>0</v>
      </c>
      <c r="R1296" s="3">
        <v>0</v>
      </c>
      <c r="S1296" s="3">
        <v>0</v>
      </c>
      <c r="T1296" s="3">
        <v>0</v>
      </c>
      <c r="U1296" s="3"/>
      <c r="V1296" s="3"/>
      <c r="W1296" s="3"/>
      <c r="X1296" s="3"/>
      <c r="Y1296" s="3"/>
      <c r="Z1296" s="3"/>
      <c r="AA1296" s="3"/>
      <c r="AB1296" s="3"/>
      <c r="AC1296" s="3"/>
      <c r="AD1296" s="3"/>
      <c r="AE1296" s="3">
        <v>0</v>
      </c>
      <c r="AF1296" s="3">
        <v>0</v>
      </c>
      <c r="AG1296" s="3"/>
      <c r="AH1296" s="40"/>
      <c r="AI1296" s="40"/>
      <c r="AJ1296" s="40"/>
      <c r="AK1296" s="40"/>
      <c r="AL1296" s="40"/>
      <c r="AM1296" s="40"/>
      <c r="AN1296" s="40"/>
      <c r="AO1296" s="40"/>
      <c r="AP1296" s="40"/>
      <c r="AQ1296" s="40"/>
      <c r="AR1296" s="31"/>
      <c r="AS1296" s="36">
        <v>0</v>
      </c>
      <c r="AY1296" s="6"/>
      <c r="AZ1296" s="2"/>
      <c r="BA1296" s="2"/>
      <c r="BB1296" s="2"/>
      <c r="BC1296">
        <v>71500</v>
      </c>
      <c r="BD1296">
        <v>56992</v>
      </c>
    </row>
    <row r="1297" spans="3:56" x14ac:dyDescent="0.25">
      <c r="C1297" s="1">
        <v>46917</v>
      </c>
      <c r="D1297" s="36">
        <v>236808</v>
      </c>
      <c r="E1297" s="33">
        <v>4.1399999999999997</v>
      </c>
      <c r="F1297" s="33">
        <v>3.3528479999999998</v>
      </c>
      <c r="G1297" s="2">
        <v>0.80986666666666696</v>
      </c>
      <c r="H1297" s="2">
        <v>0.99</v>
      </c>
      <c r="I1297" s="3"/>
      <c r="J1297" s="3"/>
      <c r="K1297" s="3"/>
      <c r="L1297" s="3"/>
      <c r="M1297" s="3"/>
      <c r="N1297" s="3">
        <v>0</v>
      </c>
      <c r="O1297" s="3"/>
      <c r="P1297" s="3">
        <v>0</v>
      </c>
      <c r="Q1297" s="3">
        <v>0</v>
      </c>
      <c r="R1297" s="3">
        <v>0</v>
      </c>
      <c r="S1297" s="3">
        <v>0</v>
      </c>
      <c r="T1297" s="3">
        <v>0</v>
      </c>
      <c r="U1297" s="3"/>
      <c r="V1297" s="3"/>
      <c r="W1297" s="3"/>
      <c r="X1297" s="3"/>
      <c r="Y1297" s="3"/>
      <c r="Z1297" s="3"/>
      <c r="AA1297" s="3"/>
      <c r="AB1297" s="3"/>
      <c r="AC1297" s="3"/>
      <c r="AD1297" s="3"/>
      <c r="AE1297" s="3">
        <v>0</v>
      </c>
      <c r="AF1297" s="3">
        <v>0</v>
      </c>
      <c r="AG1297" s="3"/>
      <c r="AH1297" s="40"/>
      <c r="AI1297" s="40"/>
      <c r="AJ1297" s="40"/>
      <c r="AK1297" s="40"/>
      <c r="AL1297" s="40"/>
      <c r="AM1297" s="40"/>
      <c r="AN1297" s="40"/>
      <c r="AO1297" s="40"/>
      <c r="AP1297" s="40"/>
      <c r="AQ1297" s="40"/>
      <c r="AR1297" s="31"/>
      <c r="AS1297" s="36">
        <v>0</v>
      </c>
      <c r="AY1297" s="6"/>
      <c r="AZ1297" s="2"/>
      <c r="BA1297" s="2"/>
      <c r="BB1297" s="2"/>
      <c r="BC1297">
        <v>71500</v>
      </c>
      <c r="BD1297">
        <v>56992</v>
      </c>
    </row>
    <row r="1298" spans="3:56" x14ac:dyDescent="0.25">
      <c r="C1298" s="1">
        <v>46918</v>
      </c>
      <c r="D1298" s="36">
        <v>236808</v>
      </c>
      <c r="E1298" s="33">
        <v>4.1399999999999997</v>
      </c>
      <c r="F1298" s="33">
        <v>3.3528020000000001</v>
      </c>
      <c r="G1298" s="2">
        <v>0.80985555555555599</v>
      </c>
      <c r="H1298" s="2">
        <v>0.99</v>
      </c>
      <c r="I1298" s="3"/>
      <c r="J1298" s="3"/>
      <c r="K1298" s="3"/>
      <c r="L1298" s="3"/>
      <c r="M1298" s="3"/>
      <c r="N1298" s="3">
        <v>0</v>
      </c>
      <c r="O1298" s="3"/>
      <c r="P1298" s="3">
        <v>0</v>
      </c>
      <c r="Q1298" s="3">
        <v>0</v>
      </c>
      <c r="R1298" s="3">
        <v>0</v>
      </c>
      <c r="S1298" s="3">
        <v>0</v>
      </c>
      <c r="T1298" s="3">
        <v>0</v>
      </c>
      <c r="U1298" s="3"/>
      <c r="V1298" s="3"/>
      <c r="W1298" s="3"/>
      <c r="X1298" s="3"/>
      <c r="Y1298" s="3"/>
      <c r="Z1298" s="3"/>
      <c r="AA1298" s="3"/>
      <c r="AB1298" s="3"/>
      <c r="AC1298" s="3"/>
      <c r="AD1298" s="3"/>
      <c r="AE1298" s="3">
        <v>0</v>
      </c>
      <c r="AF1298" s="3">
        <v>0</v>
      </c>
      <c r="AG1298" s="3"/>
      <c r="AH1298" s="40"/>
      <c r="AI1298" s="40"/>
      <c r="AJ1298" s="40"/>
      <c r="AK1298" s="40"/>
      <c r="AL1298" s="40"/>
      <c r="AM1298" s="40"/>
      <c r="AN1298" s="40"/>
      <c r="AO1298" s="40"/>
      <c r="AP1298" s="40"/>
      <c r="AQ1298" s="40"/>
      <c r="AR1298" s="31"/>
      <c r="AS1298" s="36">
        <v>0</v>
      </c>
      <c r="AY1298" s="6"/>
      <c r="AZ1298" s="2"/>
      <c r="BA1298" s="2"/>
      <c r="BB1298" s="2"/>
      <c r="BC1298">
        <v>71500</v>
      </c>
      <c r="BD1298">
        <v>56992</v>
      </c>
    </row>
    <row r="1299" spans="3:56" x14ac:dyDescent="0.25">
      <c r="C1299" s="1">
        <v>46919</v>
      </c>
      <c r="D1299" s="36">
        <v>236808</v>
      </c>
      <c r="E1299" s="33">
        <v>4.1399999999999997</v>
      </c>
      <c r="F1299" s="33">
        <v>3.3527559999999998</v>
      </c>
      <c r="G1299" s="2">
        <v>0.80984444444444403</v>
      </c>
      <c r="H1299" s="2">
        <v>0.99</v>
      </c>
      <c r="I1299" s="3"/>
      <c r="J1299" s="3"/>
      <c r="K1299" s="3"/>
      <c r="L1299" s="3"/>
      <c r="M1299" s="3"/>
      <c r="N1299" s="3">
        <v>0</v>
      </c>
      <c r="O1299" s="3"/>
      <c r="P1299" s="3">
        <v>0</v>
      </c>
      <c r="Q1299" s="3">
        <v>0</v>
      </c>
      <c r="R1299" s="3">
        <v>0</v>
      </c>
      <c r="S1299" s="3">
        <v>0</v>
      </c>
      <c r="T1299" s="3">
        <v>0</v>
      </c>
      <c r="U1299" s="3"/>
      <c r="V1299" s="3"/>
      <c r="W1299" s="3"/>
      <c r="X1299" s="3"/>
      <c r="Y1299" s="3"/>
      <c r="Z1299" s="3"/>
      <c r="AA1299" s="3"/>
      <c r="AB1299" s="3"/>
      <c r="AC1299" s="3"/>
      <c r="AD1299" s="3"/>
      <c r="AE1299" s="3">
        <v>0</v>
      </c>
      <c r="AF1299" s="3">
        <v>0</v>
      </c>
      <c r="AG1299" s="3"/>
      <c r="AH1299" s="40"/>
      <c r="AI1299" s="40"/>
      <c r="AJ1299" s="40"/>
      <c r="AK1299" s="40"/>
      <c r="AL1299" s="40"/>
      <c r="AM1299" s="40"/>
      <c r="AN1299" s="40"/>
      <c r="AO1299" s="40"/>
      <c r="AP1299" s="40"/>
      <c r="AQ1299" s="40"/>
      <c r="AR1299" s="31"/>
      <c r="AS1299" s="36">
        <v>0</v>
      </c>
      <c r="AY1299" s="6"/>
      <c r="AZ1299" s="2"/>
      <c r="BA1299" s="2"/>
      <c r="BB1299" s="2"/>
      <c r="BC1299">
        <v>71500</v>
      </c>
      <c r="BD1299">
        <v>56992</v>
      </c>
    </row>
    <row r="1300" spans="3:56" x14ac:dyDescent="0.25">
      <c r="C1300" s="1">
        <v>46920</v>
      </c>
      <c r="D1300" s="36">
        <v>236808</v>
      </c>
      <c r="E1300" s="33">
        <v>4.1399999999999997</v>
      </c>
      <c r="F1300" s="33">
        <v>3.3527100000000001</v>
      </c>
      <c r="G1300" s="2">
        <v>0.80983333333333296</v>
      </c>
      <c r="H1300" s="2">
        <v>0.99</v>
      </c>
      <c r="I1300" s="3"/>
      <c r="J1300" s="3"/>
      <c r="K1300" s="3"/>
      <c r="L1300" s="3"/>
      <c r="M1300" s="3"/>
      <c r="N1300" s="3">
        <v>0</v>
      </c>
      <c r="O1300" s="3"/>
      <c r="P1300" s="3">
        <v>0</v>
      </c>
      <c r="Q1300" s="3">
        <v>0</v>
      </c>
      <c r="R1300" s="3">
        <v>0</v>
      </c>
      <c r="S1300" s="3">
        <v>0</v>
      </c>
      <c r="T1300" s="3">
        <v>0</v>
      </c>
      <c r="U1300" s="3"/>
      <c r="V1300" s="3"/>
      <c r="W1300" s="3"/>
      <c r="X1300" s="3"/>
      <c r="Y1300" s="3"/>
      <c r="Z1300" s="3"/>
      <c r="AA1300" s="3"/>
      <c r="AB1300" s="3"/>
      <c r="AC1300" s="3"/>
      <c r="AD1300" s="3"/>
      <c r="AE1300" s="3">
        <v>0</v>
      </c>
      <c r="AF1300" s="3">
        <v>0</v>
      </c>
      <c r="AG1300" s="3"/>
      <c r="AH1300" s="40"/>
      <c r="AI1300" s="40"/>
      <c r="AJ1300" s="40"/>
      <c r="AK1300" s="40"/>
      <c r="AL1300" s="40"/>
      <c r="AM1300" s="40"/>
      <c r="AN1300" s="40"/>
      <c r="AO1300" s="40"/>
      <c r="AP1300" s="40"/>
      <c r="AQ1300" s="40"/>
      <c r="AR1300" s="31"/>
      <c r="AS1300" s="36">
        <v>0</v>
      </c>
      <c r="AY1300" s="6"/>
      <c r="AZ1300" s="2"/>
      <c r="BA1300" s="2"/>
      <c r="BB1300" s="2"/>
      <c r="BC1300">
        <v>71500</v>
      </c>
      <c r="BD1300">
        <v>56992</v>
      </c>
    </row>
    <row r="1301" spans="3:56" x14ac:dyDescent="0.25">
      <c r="C1301" s="1">
        <v>46921</v>
      </c>
      <c r="D1301" s="36">
        <v>236808</v>
      </c>
      <c r="E1301" s="33">
        <v>4.1399999999999997</v>
      </c>
      <c r="F1301" s="33">
        <v>3.3526639999999999</v>
      </c>
      <c r="G1301" s="2">
        <v>0.809822222222222</v>
      </c>
      <c r="H1301" s="2">
        <v>0.99</v>
      </c>
      <c r="I1301" s="3"/>
      <c r="J1301" s="3"/>
      <c r="K1301" s="3"/>
      <c r="L1301" s="3"/>
      <c r="M1301" s="3"/>
      <c r="N1301" s="3">
        <v>0</v>
      </c>
      <c r="O1301" s="3"/>
      <c r="P1301" s="3">
        <v>0</v>
      </c>
      <c r="Q1301" s="3">
        <v>0</v>
      </c>
      <c r="R1301" s="3">
        <v>0</v>
      </c>
      <c r="S1301" s="3">
        <v>0</v>
      </c>
      <c r="T1301" s="3">
        <v>0</v>
      </c>
      <c r="U1301" s="3"/>
      <c r="V1301" s="3"/>
      <c r="W1301" s="3"/>
      <c r="X1301" s="3"/>
      <c r="Y1301" s="3"/>
      <c r="Z1301" s="3"/>
      <c r="AA1301" s="3"/>
      <c r="AB1301" s="3"/>
      <c r="AC1301" s="3"/>
      <c r="AD1301" s="3"/>
      <c r="AE1301" s="3">
        <v>0</v>
      </c>
      <c r="AF1301" s="3">
        <v>0</v>
      </c>
      <c r="AG1301" s="3"/>
      <c r="AH1301" s="40"/>
      <c r="AI1301" s="40"/>
      <c r="AJ1301" s="40"/>
      <c r="AK1301" s="40"/>
      <c r="AL1301" s="40"/>
      <c r="AM1301" s="40"/>
      <c r="AN1301" s="40"/>
      <c r="AO1301" s="40"/>
      <c r="AP1301" s="40"/>
      <c r="AQ1301" s="40"/>
      <c r="AR1301" s="31"/>
      <c r="AS1301" s="36">
        <v>0</v>
      </c>
      <c r="AY1301" s="6"/>
      <c r="AZ1301" s="2"/>
      <c r="BA1301" s="2"/>
      <c r="BB1301" s="2"/>
      <c r="BC1301">
        <v>71500</v>
      </c>
      <c r="BD1301">
        <v>56992</v>
      </c>
    </row>
    <row r="1302" spans="3:56" x14ac:dyDescent="0.25">
      <c r="C1302" s="1">
        <v>46922</v>
      </c>
      <c r="D1302" s="36">
        <v>236808</v>
      </c>
      <c r="E1302" s="33">
        <v>4.1399999999999997</v>
      </c>
      <c r="F1302" s="33">
        <v>3.3526180000000001</v>
      </c>
      <c r="G1302" s="2">
        <v>0.80981111111111104</v>
      </c>
      <c r="H1302" s="2">
        <v>0.99</v>
      </c>
      <c r="I1302" s="3"/>
      <c r="J1302" s="3"/>
      <c r="K1302" s="3"/>
      <c r="L1302" s="3"/>
      <c r="M1302" s="3"/>
      <c r="N1302" s="3">
        <v>0</v>
      </c>
      <c r="O1302" s="3"/>
      <c r="P1302" s="3">
        <v>0</v>
      </c>
      <c r="Q1302" s="3">
        <v>0</v>
      </c>
      <c r="R1302" s="3">
        <v>0</v>
      </c>
      <c r="S1302" s="3">
        <v>0</v>
      </c>
      <c r="T1302" s="3">
        <v>0</v>
      </c>
      <c r="U1302" s="3"/>
      <c r="V1302" s="3"/>
      <c r="W1302" s="3"/>
      <c r="X1302" s="3"/>
      <c r="Y1302" s="3"/>
      <c r="Z1302" s="3"/>
      <c r="AA1302" s="3"/>
      <c r="AB1302" s="3"/>
      <c r="AC1302" s="3"/>
      <c r="AD1302" s="3"/>
      <c r="AE1302" s="3">
        <v>0</v>
      </c>
      <c r="AF1302" s="3">
        <v>0</v>
      </c>
      <c r="AG1302" s="3"/>
      <c r="AH1302" s="40"/>
      <c r="AI1302" s="40"/>
      <c r="AJ1302" s="40"/>
      <c r="AK1302" s="40"/>
      <c r="AL1302" s="40"/>
      <c r="AM1302" s="40"/>
      <c r="AN1302" s="40"/>
      <c r="AO1302" s="40"/>
      <c r="AP1302" s="40"/>
      <c r="AQ1302" s="40"/>
      <c r="AR1302" s="31"/>
      <c r="AS1302" s="36">
        <v>0</v>
      </c>
      <c r="AY1302" s="6"/>
      <c r="AZ1302" s="2"/>
      <c r="BA1302" s="2"/>
      <c r="BB1302" s="2"/>
      <c r="BC1302">
        <v>71500</v>
      </c>
      <c r="BD1302">
        <v>56992</v>
      </c>
    </row>
    <row r="1303" spans="3:56" x14ac:dyDescent="0.25">
      <c r="C1303" s="1">
        <v>46923</v>
      </c>
      <c r="D1303" s="36">
        <v>236808</v>
      </c>
      <c r="E1303" s="33">
        <v>4.1399999999999997</v>
      </c>
      <c r="F1303" s="33">
        <v>3.3525719999999999</v>
      </c>
      <c r="G1303" s="2">
        <v>0.80979999999999996</v>
      </c>
      <c r="H1303" s="2">
        <v>0.99</v>
      </c>
      <c r="I1303" s="3"/>
      <c r="J1303" s="3"/>
      <c r="K1303" s="3"/>
      <c r="L1303" s="3"/>
      <c r="M1303" s="3"/>
      <c r="N1303" s="3">
        <v>0</v>
      </c>
      <c r="O1303" s="3"/>
      <c r="P1303" s="3">
        <v>0</v>
      </c>
      <c r="Q1303" s="3">
        <v>0</v>
      </c>
      <c r="R1303" s="3">
        <v>0</v>
      </c>
      <c r="S1303" s="3">
        <v>0</v>
      </c>
      <c r="T1303" s="3">
        <v>0</v>
      </c>
      <c r="U1303" s="3"/>
      <c r="V1303" s="3"/>
      <c r="W1303" s="3"/>
      <c r="X1303" s="3"/>
      <c r="Y1303" s="3"/>
      <c r="Z1303" s="3"/>
      <c r="AA1303" s="3"/>
      <c r="AB1303" s="3"/>
      <c r="AC1303" s="3"/>
      <c r="AD1303" s="3"/>
      <c r="AE1303" s="3">
        <v>0</v>
      </c>
      <c r="AF1303" s="3">
        <v>0</v>
      </c>
      <c r="AG1303" s="3"/>
      <c r="AH1303" s="40"/>
      <c r="AI1303" s="40"/>
      <c r="AJ1303" s="40"/>
      <c r="AK1303" s="40"/>
      <c r="AL1303" s="40"/>
      <c r="AM1303" s="40"/>
      <c r="AN1303" s="40"/>
      <c r="AO1303" s="40"/>
      <c r="AP1303" s="40"/>
      <c r="AQ1303" s="40"/>
      <c r="AR1303" s="31"/>
      <c r="AS1303" s="36">
        <v>0</v>
      </c>
      <c r="AY1303" s="6"/>
      <c r="AZ1303" s="2"/>
      <c r="BA1303" s="2"/>
      <c r="BB1303" s="2"/>
      <c r="BC1303">
        <v>71500</v>
      </c>
      <c r="BD1303">
        <v>56992</v>
      </c>
    </row>
    <row r="1304" spans="3:56" x14ac:dyDescent="0.25">
      <c r="C1304" s="1">
        <v>46924</v>
      </c>
      <c r="D1304" s="36">
        <v>236808</v>
      </c>
      <c r="E1304" s="33">
        <v>4.1399999999999997</v>
      </c>
      <c r="F1304" s="33">
        <v>3.3525260000000001</v>
      </c>
      <c r="G1304" s="2">
        <v>0.809788888888889</v>
      </c>
      <c r="H1304" s="2">
        <v>0.99</v>
      </c>
      <c r="I1304" s="3"/>
      <c r="J1304" s="3"/>
      <c r="K1304" s="3"/>
      <c r="L1304" s="3"/>
      <c r="M1304" s="3"/>
      <c r="N1304" s="3">
        <v>0</v>
      </c>
      <c r="O1304" s="3"/>
      <c r="P1304" s="3">
        <v>0</v>
      </c>
      <c r="Q1304" s="3">
        <v>0</v>
      </c>
      <c r="R1304" s="3">
        <v>0</v>
      </c>
      <c r="S1304" s="3">
        <v>0</v>
      </c>
      <c r="T1304" s="3">
        <v>0</v>
      </c>
      <c r="U1304" s="3"/>
      <c r="V1304" s="3"/>
      <c r="W1304" s="3"/>
      <c r="X1304" s="3"/>
      <c r="Y1304" s="3"/>
      <c r="Z1304" s="3"/>
      <c r="AA1304" s="3"/>
      <c r="AB1304" s="3"/>
      <c r="AC1304" s="3"/>
      <c r="AD1304" s="3"/>
      <c r="AE1304" s="3">
        <v>0</v>
      </c>
      <c r="AF1304" s="3">
        <v>0</v>
      </c>
      <c r="AG1304" s="3"/>
      <c r="AH1304" s="40"/>
      <c r="AI1304" s="40"/>
      <c r="AJ1304" s="40"/>
      <c r="AK1304" s="40"/>
      <c r="AL1304" s="40"/>
      <c r="AM1304" s="40"/>
      <c r="AN1304" s="40"/>
      <c r="AO1304" s="40"/>
      <c r="AP1304" s="40"/>
      <c r="AQ1304" s="40"/>
      <c r="AR1304" s="31"/>
      <c r="AS1304" s="36">
        <v>0</v>
      </c>
      <c r="AY1304" s="6"/>
      <c r="AZ1304" s="2"/>
      <c r="BA1304" s="2"/>
      <c r="BB1304" s="2"/>
      <c r="BC1304">
        <v>71500</v>
      </c>
      <c r="BD1304">
        <v>56992</v>
      </c>
    </row>
    <row r="1305" spans="3:56" x14ac:dyDescent="0.25">
      <c r="C1305" s="1">
        <v>46925</v>
      </c>
      <c r="D1305" s="36">
        <v>236808</v>
      </c>
      <c r="E1305" s="33">
        <v>4.1399999999999997</v>
      </c>
      <c r="F1305" s="33">
        <v>3.3524799999999999</v>
      </c>
      <c r="G1305" s="2">
        <v>0.80977777777777804</v>
      </c>
      <c r="H1305" s="2">
        <v>0.99</v>
      </c>
      <c r="I1305" s="3"/>
      <c r="J1305" s="3"/>
      <c r="K1305" s="3"/>
      <c r="L1305" s="3"/>
      <c r="M1305" s="3"/>
      <c r="N1305" s="3">
        <v>0</v>
      </c>
      <c r="O1305" s="3"/>
      <c r="P1305" s="3">
        <v>0</v>
      </c>
      <c r="Q1305" s="3">
        <v>0</v>
      </c>
      <c r="R1305" s="3">
        <v>0</v>
      </c>
      <c r="S1305" s="3">
        <v>0</v>
      </c>
      <c r="T1305" s="3">
        <v>0</v>
      </c>
      <c r="U1305" s="3"/>
      <c r="V1305" s="3"/>
      <c r="W1305" s="3"/>
      <c r="X1305" s="3"/>
      <c r="Y1305" s="3"/>
      <c r="Z1305" s="3"/>
      <c r="AA1305" s="3"/>
      <c r="AB1305" s="3"/>
      <c r="AC1305" s="3"/>
      <c r="AD1305" s="3"/>
      <c r="AE1305" s="3">
        <v>0</v>
      </c>
      <c r="AF1305" s="3">
        <v>0</v>
      </c>
      <c r="AG1305" s="3"/>
      <c r="AH1305" s="40"/>
      <c r="AI1305" s="40"/>
      <c r="AJ1305" s="40"/>
      <c r="AK1305" s="40"/>
      <c r="AL1305" s="40"/>
      <c r="AM1305" s="40"/>
      <c r="AN1305" s="40"/>
      <c r="AO1305" s="40"/>
      <c r="AP1305" s="40"/>
      <c r="AQ1305" s="40"/>
      <c r="AR1305" s="31"/>
      <c r="AS1305" s="36">
        <v>0</v>
      </c>
      <c r="AY1305" s="6"/>
      <c r="AZ1305" s="2"/>
      <c r="BA1305" s="2"/>
      <c r="BB1305" s="2"/>
      <c r="BC1305">
        <v>71500</v>
      </c>
      <c r="BD1305">
        <v>56992</v>
      </c>
    </row>
    <row r="1306" spans="3:56" x14ac:dyDescent="0.25">
      <c r="C1306" s="1">
        <v>46926</v>
      </c>
      <c r="D1306" s="36">
        <v>236808</v>
      </c>
      <c r="E1306" s="33">
        <v>4.1399999999999997</v>
      </c>
      <c r="F1306" s="33">
        <v>3.3524340000000001</v>
      </c>
      <c r="G1306" s="2">
        <v>0.80976666666666697</v>
      </c>
      <c r="H1306" s="2">
        <v>0.99</v>
      </c>
      <c r="I1306" s="3"/>
      <c r="J1306" s="3"/>
      <c r="K1306" s="3"/>
      <c r="L1306" s="3"/>
      <c r="M1306" s="3"/>
      <c r="N1306" s="3">
        <v>0</v>
      </c>
      <c r="O1306" s="3"/>
      <c r="P1306" s="3">
        <v>0</v>
      </c>
      <c r="Q1306" s="3">
        <v>0</v>
      </c>
      <c r="R1306" s="3">
        <v>0</v>
      </c>
      <c r="S1306" s="3">
        <v>0</v>
      </c>
      <c r="T1306" s="3">
        <v>0</v>
      </c>
      <c r="U1306" s="3"/>
      <c r="V1306" s="3"/>
      <c r="W1306" s="3"/>
      <c r="X1306" s="3"/>
      <c r="Y1306" s="3"/>
      <c r="Z1306" s="3"/>
      <c r="AA1306" s="3"/>
      <c r="AB1306" s="3"/>
      <c r="AC1306" s="3"/>
      <c r="AD1306" s="3"/>
      <c r="AE1306" s="3">
        <v>0</v>
      </c>
      <c r="AF1306" s="3">
        <v>0</v>
      </c>
      <c r="AG1306" s="3"/>
      <c r="AH1306" s="40"/>
      <c r="AI1306" s="40"/>
      <c r="AJ1306" s="40"/>
      <c r="AK1306" s="40"/>
      <c r="AL1306" s="40"/>
      <c r="AM1306" s="40"/>
      <c r="AN1306" s="40"/>
      <c r="AO1306" s="40"/>
      <c r="AP1306" s="40"/>
      <c r="AQ1306" s="40"/>
      <c r="AR1306" s="31"/>
      <c r="AS1306" s="36">
        <v>0</v>
      </c>
      <c r="AY1306" s="6"/>
      <c r="AZ1306" s="2"/>
      <c r="BA1306" s="2"/>
      <c r="BB1306" s="2"/>
      <c r="BC1306">
        <v>71500</v>
      </c>
      <c r="BD1306">
        <v>56992</v>
      </c>
    </row>
    <row r="1307" spans="3:56" x14ac:dyDescent="0.25">
      <c r="C1307" s="1">
        <v>46927</v>
      </c>
      <c r="D1307" s="36">
        <v>236808</v>
      </c>
      <c r="E1307" s="33">
        <v>4.1399999999999997</v>
      </c>
      <c r="F1307" s="33">
        <v>3.3523879999999999</v>
      </c>
      <c r="G1307" s="2">
        <v>0.80975555555555601</v>
      </c>
      <c r="H1307" s="2">
        <v>0.99</v>
      </c>
      <c r="I1307" s="3"/>
      <c r="J1307" s="3"/>
      <c r="K1307" s="3"/>
      <c r="L1307" s="3"/>
      <c r="M1307" s="3"/>
      <c r="N1307" s="3">
        <v>0</v>
      </c>
      <c r="O1307" s="3"/>
      <c r="P1307" s="3">
        <v>0</v>
      </c>
      <c r="Q1307" s="3">
        <v>0</v>
      </c>
      <c r="R1307" s="3">
        <v>0</v>
      </c>
      <c r="S1307" s="3">
        <v>0</v>
      </c>
      <c r="T1307" s="3">
        <v>0</v>
      </c>
      <c r="U1307" s="3"/>
      <c r="V1307" s="3"/>
      <c r="W1307" s="3"/>
      <c r="X1307" s="3"/>
      <c r="Y1307" s="3"/>
      <c r="Z1307" s="3"/>
      <c r="AA1307" s="3"/>
      <c r="AB1307" s="3"/>
      <c r="AC1307" s="3"/>
      <c r="AD1307" s="3"/>
      <c r="AE1307" s="3">
        <v>0</v>
      </c>
      <c r="AF1307" s="3">
        <v>0</v>
      </c>
      <c r="AG1307" s="3"/>
      <c r="AH1307" s="40"/>
      <c r="AI1307" s="40"/>
      <c r="AJ1307" s="40"/>
      <c r="AK1307" s="40"/>
      <c r="AL1307" s="40"/>
      <c r="AM1307" s="40"/>
      <c r="AN1307" s="40"/>
      <c r="AO1307" s="40"/>
      <c r="AP1307" s="40"/>
      <c r="AQ1307" s="40"/>
      <c r="AR1307" s="31"/>
      <c r="AS1307" s="36">
        <v>0</v>
      </c>
      <c r="AY1307" s="6"/>
      <c r="AZ1307" s="2"/>
      <c r="BA1307" s="2"/>
      <c r="BB1307" s="2"/>
      <c r="BC1307">
        <v>71500</v>
      </c>
      <c r="BD1307">
        <v>56992</v>
      </c>
    </row>
    <row r="1308" spans="3:56" x14ac:dyDescent="0.25">
      <c r="C1308" s="1">
        <v>46928</v>
      </c>
      <c r="D1308" s="36">
        <v>236808</v>
      </c>
      <c r="E1308" s="33">
        <v>4.1399999999999997</v>
      </c>
      <c r="F1308" s="33">
        <v>3.3523420000000002</v>
      </c>
      <c r="G1308" s="2">
        <v>0.80974444444444404</v>
      </c>
      <c r="H1308" s="2">
        <v>0.99</v>
      </c>
      <c r="I1308" s="3"/>
      <c r="J1308" s="3"/>
      <c r="K1308" s="3"/>
      <c r="L1308" s="3"/>
      <c r="M1308" s="3"/>
      <c r="N1308" s="3">
        <v>0</v>
      </c>
      <c r="O1308" s="3"/>
      <c r="P1308" s="3">
        <v>0</v>
      </c>
      <c r="Q1308" s="3">
        <v>0</v>
      </c>
      <c r="R1308" s="3">
        <v>0</v>
      </c>
      <c r="S1308" s="3">
        <v>0</v>
      </c>
      <c r="T1308" s="3">
        <v>0</v>
      </c>
      <c r="U1308" s="3"/>
      <c r="V1308" s="3"/>
      <c r="W1308" s="3"/>
      <c r="X1308" s="3"/>
      <c r="Y1308" s="3"/>
      <c r="Z1308" s="3"/>
      <c r="AA1308" s="3"/>
      <c r="AB1308" s="3"/>
      <c r="AC1308" s="3"/>
      <c r="AD1308" s="3"/>
      <c r="AE1308" s="3">
        <v>0</v>
      </c>
      <c r="AF1308" s="3">
        <v>0</v>
      </c>
      <c r="AG1308" s="3"/>
      <c r="AH1308" s="40"/>
      <c r="AI1308" s="40"/>
      <c r="AJ1308" s="40"/>
      <c r="AK1308" s="40"/>
      <c r="AL1308" s="40"/>
      <c r="AM1308" s="40"/>
      <c r="AN1308" s="40"/>
      <c r="AO1308" s="40"/>
      <c r="AP1308" s="40"/>
      <c r="AQ1308" s="40"/>
      <c r="AR1308" s="31"/>
      <c r="AS1308" s="36">
        <v>0</v>
      </c>
      <c r="AY1308" s="6"/>
      <c r="AZ1308" s="2"/>
      <c r="BA1308" s="2"/>
      <c r="BB1308" s="2"/>
      <c r="BC1308">
        <v>71500</v>
      </c>
      <c r="BD1308">
        <v>56992</v>
      </c>
    </row>
    <row r="1309" spans="3:56" x14ac:dyDescent="0.25">
      <c r="C1309" s="1">
        <v>46929</v>
      </c>
      <c r="D1309" s="36">
        <v>236808</v>
      </c>
      <c r="E1309" s="33">
        <v>4.1399999999999997</v>
      </c>
      <c r="F1309" s="33">
        <v>3.3522959999999999</v>
      </c>
      <c r="G1309" s="2">
        <v>0.80973333333333297</v>
      </c>
      <c r="H1309" s="2">
        <v>0.99</v>
      </c>
      <c r="I1309" s="3"/>
      <c r="J1309" s="3"/>
      <c r="K1309" s="3"/>
      <c r="L1309" s="3"/>
      <c r="M1309" s="3"/>
      <c r="N1309" s="3">
        <v>0</v>
      </c>
      <c r="O1309" s="3"/>
      <c r="P1309" s="3">
        <v>0</v>
      </c>
      <c r="Q1309" s="3">
        <v>0</v>
      </c>
      <c r="R1309" s="3">
        <v>0</v>
      </c>
      <c r="S1309" s="3">
        <v>0</v>
      </c>
      <c r="T1309" s="3">
        <v>0</v>
      </c>
      <c r="U1309" s="3"/>
      <c r="V1309" s="3"/>
      <c r="W1309" s="3"/>
      <c r="X1309" s="3"/>
      <c r="Y1309" s="3"/>
      <c r="Z1309" s="3"/>
      <c r="AA1309" s="3"/>
      <c r="AB1309" s="3"/>
      <c r="AC1309" s="3"/>
      <c r="AD1309" s="3"/>
      <c r="AE1309" s="3">
        <v>0</v>
      </c>
      <c r="AF1309" s="3">
        <v>0</v>
      </c>
      <c r="AG1309" s="3"/>
      <c r="AH1309" s="40"/>
      <c r="AI1309" s="40"/>
      <c r="AJ1309" s="40"/>
      <c r="AK1309" s="40"/>
      <c r="AL1309" s="40"/>
      <c r="AM1309" s="40"/>
      <c r="AN1309" s="40"/>
      <c r="AO1309" s="40"/>
      <c r="AP1309" s="40"/>
      <c r="AQ1309" s="40"/>
      <c r="AR1309" s="31"/>
      <c r="AS1309" s="36">
        <v>0</v>
      </c>
      <c r="AY1309" s="6"/>
      <c r="AZ1309" s="2"/>
      <c r="BA1309" s="2"/>
      <c r="BB1309" s="2"/>
      <c r="BC1309">
        <v>71500</v>
      </c>
      <c r="BD1309">
        <v>56992</v>
      </c>
    </row>
    <row r="1310" spans="3:56" x14ac:dyDescent="0.25">
      <c r="C1310" s="1">
        <v>46930</v>
      </c>
      <c r="D1310" s="36">
        <v>236808</v>
      </c>
      <c r="E1310" s="33">
        <v>4.1399999999999997</v>
      </c>
      <c r="F1310" s="33">
        <v>3.3522500000000002</v>
      </c>
      <c r="G1310" s="2">
        <v>0.80972222222222201</v>
      </c>
      <c r="H1310" s="2">
        <v>0.99</v>
      </c>
      <c r="I1310" s="3"/>
      <c r="J1310" s="3"/>
      <c r="K1310" s="3"/>
      <c r="L1310" s="3"/>
      <c r="M1310" s="3"/>
      <c r="N1310" s="3">
        <v>0</v>
      </c>
      <c r="O1310" s="3"/>
      <c r="P1310" s="3">
        <v>0</v>
      </c>
      <c r="Q1310" s="3">
        <v>0</v>
      </c>
      <c r="R1310" s="3">
        <v>0</v>
      </c>
      <c r="S1310" s="3">
        <v>0</v>
      </c>
      <c r="T1310" s="3">
        <v>0</v>
      </c>
      <c r="U1310" s="3"/>
      <c r="V1310" s="3"/>
      <c r="W1310" s="3"/>
      <c r="X1310" s="3"/>
      <c r="Y1310" s="3"/>
      <c r="Z1310" s="3"/>
      <c r="AA1310" s="3"/>
      <c r="AB1310" s="3"/>
      <c r="AC1310" s="3"/>
      <c r="AD1310" s="3"/>
      <c r="AE1310" s="3">
        <v>0</v>
      </c>
      <c r="AF1310" s="3">
        <v>0</v>
      </c>
      <c r="AG1310" s="3"/>
      <c r="AH1310" s="40"/>
      <c r="AI1310" s="40"/>
      <c r="AJ1310" s="40"/>
      <c r="AK1310" s="40"/>
      <c r="AL1310" s="40"/>
      <c r="AM1310" s="40"/>
      <c r="AN1310" s="40"/>
      <c r="AO1310" s="40"/>
      <c r="AP1310" s="40"/>
      <c r="AQ1310" s="40"/>
      <c r="AR1310" s="31"/>
      <c r="AS1310" s="36">
        <v>0</v>
      </c>
      <c r="AY1310" s="6"/>
      <c r="AZ1310" s="2"/>
      <c r="BA1310" s="2"/>
      <c r="BB1310" s="2"/>
      <c r="BC1310">
        <v>71500</v>
      </c>
      <c r="BD1310">
        <v>56992</v>
      </c>
    </row>
    <row r="1311" spans="3:56" x14ac:dyDescent="0.25">
      <c r="C1311" s="1">
        <v>46931</v>
      </c>
      <c r="D1311" s="36">
        <v>236808</v>
      </c>
      <c r="E1311" s="33">
        <v>4.1399999999999997</v>
      </c>
      <c r="F1311" s="33">
        <v>3.352204</v>
      </c>
      <c r="G1311" s="2">
        <v>0.80971111111111105</v>
      </c>
      <c r="H1311" s="2">
        <v>0.99</v>
      </c>
      <c r="I1311" s="3"/>
      <c r="J1311" s="3"/>
      <c r="K1311" s="3"/>
      <c r="L1311" s="3"/>
      <c r="M1311" s="3"/>
      <c r="N1311" s="3">
        <v>0</v>
      </c>
      <c r="O1311" s="3"/>
      <c r="P1311" s="3">
        <v>0</v>
      </c>
      <c r="Q1311" s="3">
        <v>0</v>
      </c>
      <c r="R1311" s="3">
        <v>0</v>
      </c>
      <c r="S1311" s="3">
        <v>0</v>
      </c>
      <c r="T1311" s="3">
        <v>0</v>
      </c>
      <c r="U1311" s="3"/>
      <c r="V1311" s="3"/>
      <c r="W1311" s="3"/>
      <c r="X1311" s="3"/>
      <c r="Y1311" s="3"/>
      <c r="Z1311" s="3"/>
      <c r="AA1311" s="3"/>
      <c r="AB1311" s="3"/>
      <c r="AC1311" s="3"/>
      <c r="AD1311" s="3"/>
      <c r="AE1311" s="3">
        <v>0</v>
      </c>
      <c r="AF1311" s="3">
        <v>0</v>
      </c>
      <c r="AG1311" s="3"/>
      <c r="AH1311" s="40"/>
      <c r="AI1311" s="40"/>
      <c r="AJ1311" s="40"/>
      <c r="AK1311" s="40"/>
      <c r="AL1311" s="40"/>
      <c r="AM1311" s="40"/>
      <c r="AN1311" s="40"/>
      <c r="AO1311" s="40"/>
      <c r="AP1311" s="40"/>
      <c r="AQ1311" s="40"/>
      <c r="AR1311" s="31"/>
      <c r="AS1311" s="36">
        <v>0</v>
      </c>
      <c r="AY1311" s="6"/>
      <c r="AZ1311" s="2"/>
      <c r="BA1311" s="2"/>
      <c r="BB1311" s="2"/>
      <c r="BC1311">
        <v>71500</v>
      </c>
      <c r="BD1311">
        <v>56992</v>
      </c>
    </row>
    <row r="1312" spans="3:56" x14ac:dyDescent="0.25">
      <c r="C1312" s="1">
        <v>46932</v>
      </c>
      <c r="D1312" s="36">
        <v>236808</v>
      </c>
      <c r="E1312" s="33">
        <v>4.1399999999999997</v>
      </c>
      <c r="F1312" s="33">
        <v>3.3521580000000002</v>
      </c>
      <c r="G1312" s="2">
        <v>0.80969999999999998</v>
      </c>
      <c r="H1312" s="2">
        <v>0.99</v>
      </c>
      <c r="I1312" s="3"/>
      <c r="J1312" s="3"/>
      <c r="K1312" s="3"/>
      <c r="L1312" s="3"/>
      <c r="M1312" s="3"/>
      <c r="N1312" s="3">
        <v>0</v>
      </c>
      <c r="O1312" s="3"/>
      <c r="P1312" s="3">
        <v>0</v>
      </c>
      <c r="Q1312" s="3">
        <v>0</v>
      </c>
      <c r="R1312" s="3">
        <v>0</v>
      </c>
      <c r="S1312" s="3">
        <v>0</v>
      </c>
      <c r="T1312" s="3">
        <v>0</v>
      </c>
      <c r="U1312" s="3"/>
      <c r="V1312" s="3"/>
      <c r="W1312" s="3"/>
      <c r="X1312" s="3"/>
      <c r="Y1312" s="3"/>
      <c r="Z1312" s="3"/>
      <c r="AA1312" s="3"/>
      <c r="AB1312" s="3"/>
      <c r="AC1312" s="3"/>
      <c r="AD1312" s="3"/>
      <c r="AE1312" s="3">
        <v>0</v>
      </c>
      <c r="AF1312" s="3">
        <v>0</v>
      </c>
      <c r="AG1312" s="3"/>
      <c r="AH1312" s="40"/>
      <c r="AI1312" s="40"/>
      <c r="AJ1312" s="40"/>
      <c r="AK1312" s="40"/>
      <c r="AL1312" s="40"/>
      <c r="AM1312" s="40"/>
      <c r="AN1312" s="40"/>
      <c r="AO1312" s="40"/>
      <c r="AP1312" s="40"/>
      <c r="AQ1312" s="40"/>
      <c r="AR1312" s="31"/>
      <c r="AS1312" s="36">
        <v>0</v>
      </c>
      <c r="AY1312" s="6"/>
      <c r="AZ1312" s="2"/>
      <c r="BA1312" s="2"/>
      <c r="BB1312" s="2"/>
      <c r="BC1312">
        <v>71500</v>
      </c>
      <c r="BD1312">
        <v>56992</v>
      </c>
    </row>
    <row r="1313" spans="3:56" x14ac:dyDescent="0.25">
      <c r="C1313" s="1">
        <v>46933</v>
      </c>
      <c r="D1313" s="36">
        <v>236808</v>
      </c>
      <c r="E1313" s="33">
        <v>4.1399999999999997</v>
      </c>
      <c r="F1313" s="33">
        <v>3.352112</v>
      </c>
      <c r="G1313" s="2">
        <v>0.80968888888888901</v>
      </c>
      <c r="H1313" s="2">
        <v>0.99</v>
      </c>
      <c r="I1313" s="3"/>
      <c r="J1313" s="3"/>
      <c r="K1313" s="3"/>
      <c r="L1313" s="3"/>
      <c r="M1313" s="3"/>
      <c r="N1313" s="3">
        <v>0</v>
      </c>
      <c r="O1313" s="3"/>
      <c r="P1313" s="3">
        <v>0</v>
      </c>
      <c r="Q1313" s="3">
        <v>0</v>
      </c>
      <c r="R1313" s="3">
        <v>0</v>
      </c>
      <c r="S1313" s="3">
        <v>0</v>
      </c>
      <c r="T1313" s="3">
        <v>0</v>
      </c>
      <c r="U1313" s="3"/>
      <c r="V1313" s="3"/>
      <c r="W1313" s="3"/>
      <c r="X1313" s="3"/>
      <c r="Y1313" s="3"/>
      <c r="Z1313" s="3"/>
      <c r="AA1313" s="3"/>
      <c r="AB1313" s="3"/>
      <c r="AC1313" s="3"/>
      <c r="AD1313" s="3"/>
      <c r="AE1313" s="3">
        <v>0</v>
      </c>
      <c r="AF1313" s="3">
        <v>0</v>
      </c>
      <c r="AG1313" s="3"/>
      <c r="AH1313" s="40"/>
      <c r="AI1313" s="40"/>
      <c r="AJ1313" s="40"/>
      <c r="AK1313" s="40"/>
      <c r="AL1313" s="40"/>
      <c r="AM1313" s="40"/>
      <c r="AN1313" s="40"/>
      <c r="AO1313" s="40"/>
      <c r="AP1313" s="40"/>
      <c r="AQ1313" s="40"/>
      <c r="AR1313" s="31"/>
      <c r="AS1313" s="36">
        <v>0</v>
      </c>
      <c r="AY1313" s="6"/>
      <c r="AZ1313" s="2"/>
      <c r="BA1313" s="2"/>
      <c r="BB1313" s="2"/>
      <c r="BC1313">
        <v>71500</v>
      </c>
      <c r="BD1313">
        <v>56992</v>
      </c>
    </row>
    <row r="1314" spans="3:56" x14ac:dyDescent="0.25">
      <c r="C1314" s="1">
        <v>46934</v>
      </c>
      <c r="D1314" s="36">
        <v>236808</v>
      </c>
      <c r="E1314" s="33">
        <v>4.1399999999999997</v>
      </c>
      <c r="F1314" s="33">
        <v>3.3520660000000002</v>
      </c>
      <c r="G1314" s="2">
        <v>0.80967777777777805</v>
      </c>
      <c r="H1314" s="2">
        <v>0.99</v>
      </c>
      <c r="I1314" s="3"/>
      <c r="J1314" s="3"/>
      <c r="K1314" s="3"/>
      <c r="L1314" s="3"/>
      <c r="M1314" s="3"/>
      <c r="N1314" s="3">
        <v>0</v>
      </c>
      <c r="O1314" s="3"/>
      <c r="P1314" s="3">
        <v>0</v>
      </c>
      <c r="Q1314" s="3">
        <v>0</v>
      </c>
      <c r="R1314" s="3">
        <v>0</v>
      </c>
      <c r="S1314" s="3">
        <v>0</v>
      </c>
      <c r="T1314" s="3">
        <v>0</v>
      </c>
      <c r="U1314" s="3"/>
      <c r="V1314" s="3"/>
      <c r="W1314" s="3"/>
      <c r="X1314" s="3"/>
      <c r="Y1314" s="3"/>
      <c r="Z1314" s="3"/>
      <c r="AA1314" s="3"/>
      <c r="AB1314" s="3"/>
      <c r="AC1314" s="3"/>
      <c r="AD1314" s="3"/>
      <c r="AE1314" s="3">
        <v>0</v>
      </c>
      <c r="AF1314" s="3">
        <v>0</v>
      </c>
      <c r="AG1314" s="3"/>
      <c r="AH1314" s="40"/>
      <c r="AI1314" s="40"/>
      <c r="AJ1314" s="40"/>
      <c r="AK1314" s="40"/>
      <c r="AL1314" s="40"/>
      <c r="AM1314" s="40"/>
      <c r="AN1314" s="40"/>
      <c r="AO1314" s="40"/>
      <c r="AP1314" s="40"/>
      <c r="AQ1314" s="40"/>
      <c r="AR1314" s="31"/>
      <c r="AS1314" s="36">
        <v>0</v>
      </c>
      <c r="AY1314" s="6"/>
      <c r="AZ1314" s="2"/>
      <c r="BA1314" s="2"/>
      <c r="BB1314" s="2"/>
      <c r="BC1314">
        <v>71500</v>
      </c>
      <c r="BD1314">
        <v>56992</v>
      </c>
    </row>
    <row r="1315" spans="3:56" x14ac:dyDescent="0.25">
      <c r="C1315" s="1">
        <v>46935</v>
      </c>
      <c r="D1315" s="36">
        <v>249932.632258064</v>
      </c>
      <c r="E1315" s="33">
        <v>4.2064516129032299</v>
      </c>
      <c r="F1315" s="33">
        <v>3.4058236559139798</v>
      </c>
      <c r="G1315" s="2">
        <v>0.80966666666666698</v>
      </c>
      <c r="H1315" s="2">
        <v>0.99</v>
      </c>
      <c r="I1315" s="3"/>
      <c r="J1315" s="3"/>
      <c r="K1315" s="3"/>
      <c r="L1315" s="3"/>
      <c r="M1315" s="3"/>
      <c r="N1315" s="3">
        <v>0</v>
      </c>
      <c r="O1315" s="3"/>
      <c r="P1315" s="3">
        <v>0</v>
      </c>
      <c r="Q1315" s="3">
        <v>0</v>
      </c>
      <c r="R1315" s="3">
        <v>0</v>
      </c>
      <c r="S1315" s="3">
        <v>0</v>
      </c>
      <c r="T1315" s="3">
        <v>0</v>
      </c>
      <c r="U1315" s="3"/>
      <c r="V1315" s="3"/>
      <c r="W1315" s="3"/>
      <c r="X1315" s="3"/>
      <c r="Y1315" s="3"/>
      <c r="Z1315" s="3"/>
      <c r="AA1315" s="3"/>
      <c r="AB1315" s="3"/>
      <c r="AC1315" s="3"/>
      <c r="AD1315" s="3"/>
      <c r="AE1315" s="3">
        <v>0</v>
      </c>
      <c r="AF1315" s="3">
        <v>0</v>
      </c>
      <c r="AG1315" s="3"/>
      <c r="AH1315" s="40"/>
      <c r="AI1315" s="40"/>
      <c r="AJ1315" s="40"/>
      <c r="AK1315" s="40"/>
      <c r="AL1315" s="40"/>
      <c r="AM1315" s="40"/>
      <c r="AN1315" s="40"/>
      <c r="AO1315" s="40"/>
      <c r="AP1315" s="40"/>
      <c r="AQ1315" s="40"/>
      <c r="AR1315" s="31"/>
      <c r="AS1315" s="36">
        <v>0</v>
      </c>
      <c r="AY1315" s="6"/>
      <c r="AZ1315" s="2"/>
      <c r="BA1315" s="2"/>
      <c r="BB1315" s="2"/>
      <c r="BC1315">
        <v>71500</v>
      </c>
      <c r="BD1315">
        <v>56992</v>
      </c>
    </row>
    <row r="1316" spans="3:56" x14ac:dyDescent="0.25">
      <c r="C1316" s="1">
        <v>46936</v>
      </c>
      <c r="D1316" s="36">
        <v>249932.632258064</v>
      </c>
      <c r="E1316" s="33">
        <v>4.2064516129032299</v>
      </c>
      <c r="F1316" s="33">
        <v>3.4057769175627199</v>
      </c>
      <c r="G1316" s="2">
        <v>0.80965555555555602</v>
      </c>
      <c r="H1316" s="2">
        <v>0.99</v>
      </c>
      <c r="I1316" s="3"/>
      <c r="J1316" s="3"/>
      <c r="K1316" s="3"/>
      <c r="L1316" s="3"/>
      <c r="M1316" s="3"/>
      <c r="N1316" s="3">
        <v>0</v>
      </c>
      <c r="O1316" s="3"/>
      <c r="P1316" s="3">
        <v>0</v>
      </c>
      <c r="Q1316" s="3">
        <v>0</v>
      </c>
      <c r="R1316" s="3">
        <v>0</v>
      </c>
      <c r="S1316" s="3">
        <v>0</v>
      </c>
      <c r="T1316" s="3">
        <v>0</v>
      </c>
      <c r="U1316" s="3"/>
      <c r="V1316" s="3"/>
      <c r="W1316" s="3"/>
      <c r="X1316" s="3"/>
      <c r="Y1316" s="3"/>
      <c r="Z1316" s="3"/>
      <c r="AA1316" s="3"/>
      <c r="AB1316" s="3"/>
      <c r="AC1316" s="3"/>
      <c r="AD1316" s="3"/>
      <c r="AE1316" s="3">
        <v>0</v>
      </c>
      <c r="AF1316" s="3">
        <v>0</v>
      </c>
      <c r="AG1316" s="3"/>
      <c r="AH1316" s="40"/>
      <c r="AI1316" s="40"/>
      <c r="AJ1316" s="40"/>
      <c r="AK1316" s="40"/>
      <c r="AL1316" s="40"/>
      <c r="AM1316" s="40"/>
      <c r="AN1316" s="40"/>
      <c r="AO1316" s="40"/>
      <c r="AP1316" s="40"/>
      <c r="AQ1316" s="40"/>
      <c r="AR1316" s="31"/>
      <c r="AS1316" s="36">
        <v>0</v>
      </c>
      <c r="AY1316" s="6"/>
      <c r="AZ1316" s="2"/>
      <c r="BA1316" s="2"/>
      <c r="BB1316" s="2"/>
      <c r="BC1316">
        <v>71500</v>
      </c>
      <c r="BD1316">
        <v>56992</v>
      </c>
    </row>
    <row r="1317" spans="3:56" x14ac:dyDescent="0.25">
      <c r="C1317" s="1">
        <v>46937</v>
      </c>
      <c r="D1317" s="36">
        <v>249932.632258064</v>
      </c>
      <c r="E1317" s="33">
        <v>4.2064516129032299</v>
      </c>
      <c r="F1317" s="33">
        <v>3.4057301792114698</v>
      </c>
      <c r="G1317" s="2">
        <v>0.80964444444444394</v>
      </c>
      <c r="H1317" s="2">
        <v>0.99</v>
      </c>
      <c r="I1317" s="3"/>
      <c r="J1317" s="3"/>
      <c r="K1317" s="3"/>
      <c r="L1317" s="3"/>
      <c r="M1317" s="3"/>
      <c r="N1317" s="3">
        <v>0</v>
      </c>
      <c r="O1317" s="3"/>
      <c r="P1317" s="3">
        <v>0</v>
      </c>
      <c r="Q1317" s="3">
        <v>0</v>
      </c>
      <c r="R1317" s="3">
        <v>0</v>
      </c>
      <c r="S1317" s="3">
        <v>0</v>
      </c>
      <c r="T1317" s="3">
        <v>0</v>
      </c>
      <c r="U1317" s="3"/>
      <c r="V1317" s="3"/>
      <c r="W1317" s="3"/>
      <c r="X1317" s="3"/>
      <c r="Y1317" s="3"/>
      <c r="Z1317" s="3"/>
      <c r="AA1317" s="3"/>
      <c r="AB1317" s="3"/>
      <c r="AC1317" s="3"/>
      <c r="AD1317" s="3"/>
      <c r="AE1317" s="3">
        <v>0</v>
      </c>
      <c r="AF1317" s="3">
        <v>0</v>
      </c>
      <c r="AG1317" s="3"/>
      <c r="AH1317" s="40"/>
      <c r="AI1317" s="40"/>
      <c r="AJ1317" s="40"/>
      <c r="AK1317" s="40"/>
      <c r="AL1317" s="40"/>
      <c r="AM1317" s="40"/>
      <c r="AN1317" s="40"/>
      <c r="AO1317" s="40"/>
      <c r="AP1317" s="40"/>
      <c r="AQ1317" s="40"/>
      <c r="AR1317" s="31"/>
      <c r="AS1317" s="36">
        <v>0</v>
      </c>
      <c r="AY1317" s="6"/>
      <c r="AZ1317" s="2"/>
      <c r="BA1317" s="2"/>
      <c r="BB1317" s="2"/>
      <c r="BC1317">
        <v>71500</v>
      </c>
      <c r="BD1317">
        <v>56992</v>
      </c>
    </row>
    <row r="1318" spans="3:56" x14ac:dyDescent="0.25">
      <c r="C1318" s="1">
        <v>46938</v>
      </c>
      <c r="D1318" s="36">
        <v>249932.632258064</v>
      </c>
      <c r="E1318" s="33">
        <v>4.2064516129032299</v>
      </c>
      <c r="F1318" s="33">
        <v>3.4056834408602201</v>
      </c>
      <c r="G1318" s="2">
        <v>0.80963333333333298</v>
      </c>
      <c r="H1318" s="2">
        <v>0.99</v>
      </c>
      <c r="I1318" s="3"/>
      <c r="J1318" s="3"/>
      <c r="K1318" s="3"/>
      <c r="L1318" s="3"/>
      <c r="M1318" s="3"/>
      <c r="N1318" s="3">
        <v>0</v>
      </c>
      <c r="O1318" s="3"/>
      <c r="P1318" s="3">
        <v>0</v>
      </c>
      <c r="Q1318" s="3">
        <v>0</v>
      </c>
      <c r="R1318" s="3">
        <v>0</v>
      </c>
      <c r="S1318" s="3">
        <v>0</v>
      </c>
      <c r="T1318" s="3">
        <v>0</v>
      </c>
      <c r="U1318" s="3"/>
      <c r="V1318" s="3"/>
      <c r="W1318" s="3"/>
      <c r="X1318" s="3"/>
      <c r="Y1318" s="3"/>
      <c r="Z1318" s="3"/>
      <c r="AA1318" s="3"/>
      <c r="AB1318" s="3"/>
      <c r="AC1318" s="3"/>
      <c r="AD1318" s="3"/>
      <c r="AE1318" s="3">
        <v>0</v>
      </c>
      <c r="AF1318" s="3">
        <v>0</v>
      </c>
      <c r="AG1318" s="3"/>
      <c r="AH1318" s="40"/>
      <c r="AI1318" s="40"/>
      <c r="AJ1318" s="40"/>
      <c r="AK1318" s="40"/>
      <c r="AL1318" s="40"/>
      <c r="AM1318" s="40"/>
      <c r="AN1318" s="40"/>
      <c r="AO1318" s="40"/>
      <c r="AP1318" s="40"/>
      <c r="AQ1318" s="40"/>
      <c r="AR1318" s="31"/>
      <c r="AS1318" s="36">
        <v>0</v>
      </c>
      <c r="AY1318" s="6"/>
      <c r="AZ1318" s="2"/>
      <c r="BA1318" s="2"/>
      <c r="BB1318" s="2"/>
      <c r="BC1318">
        <v>71500</v>
      </c>
      <c r="BD1318">
        <v>56992</v>
      </c>
    </row>
    <row r="1319" spans="3:56" x14ac:dyDescent="0.25">
      <c r="C1319" s="1">
        <v>46939</v>
      </c>
      <c r="D1319" s="36">
        <v>249932.632258064</v>
      </c>
      <c r="E1319" s="33">
        <v>4.2064516129032299</v>
      </c>
      <c r="F1319" s="33">
        <v>3.4056367025089598</v>
      </c>
      <c r="G1319" s="2">
        <v>0.80962222222222202</v>
      </c>
      <c r="H1319" s="2">
        <v>0.99</v>
      </c>
      <c r="I1319" s="3"/>
      <c r="J1319" s="3"/>
      <c r="K1319" s="3"/>
      <c r="L1319" s="3"/>
      <c r="M1319" s="3"/>
      <c r="N1319" s="3">
        <v>0</v>
      </c>
      <c r="O1319" s="3"/>
      <c r="P1319" s="3">
        <v>0</v>
      </c>
      <c r="Q1319" s="3">
        <v>0</v>
      </c>
      <c r="R1319" s="3">
        <v>0</v>
      </c>
      <c r="S1319" s="3">
        <v>0</v>
      </c>
      <c r="T1319" s="3">
        <v>0</v>
      </c>
      <c r="U1319" s="3"/>
      <c r="V1319" s="3"/>
      <c r="W1319" s="3"/>
      <c r="X1319" s="3"/>
      <c r="Y1319" s="3"/>
      <c r="Z1319" s="3"/>
      <c r="AA1319" s="3"/>
      <c r="AB1319" s="3"/>
      <c r="AC1319" s="3"/>
      <c r="AD1319" s="3"/>
      <c r="AE1319" s="3">
        <v>0</v>
      </c>
      <c r="AF1319" s="3">
        <v>0</v>
      </c>
      <c r="AG1319" s="3"/>
      <c r="AH1319" s="40"/>
      <c r="AI1319" s="40"/>
      <c r="AJ1319" s="40"/>
      <c r="AK1319" s="40"/>
      <c r="AL1319" s="40"/>
      <c r="AM1319" s="40"/>
      <c r="AN1319" s="40"/>
      <c r="AO1319" s="40"/>
      <c r="AP1319" s="40"/>
      <c r="AQ1319" s="40"/>
      <c r="AR1319" s="31"/>
      <c r="AS1319" s="36">
        <v>0</v>
      </c>
      <c r="AY1319" s="6"/>
      <c r="AZ1319" s="2"/>
      <c r="BA1319" s="2"/>
      <c r="BB1319" s="2"/>
      <c r="BC1319">
        <v>71500</v>
      </c>
      <c r="BD1319">
        <v>56992</v>
      </c>
    </row>
    <row r="1320" spans="3:56" x14ac:dyDescent="0.25">
      <c r="C1320" s="1">
        <v>46940</v>
      </c>
      <c r="D1320" s="36">
        <v>249932.632258064</v>
      </c>
      <c r="E1320" s="33">
        <v>4.2064516129032299</v>
      </c>
      <c r="F1320" s="33">
        <v>3.4055899641577101</v>
      </c>
      <c r="G1320" s="2">
        <v>0.80961111111111095</v>
      </c>
      <c r="H1320" s="2">
        <v>0.99</v>
      </c>
      <c r="I1320" s="3"/>
      <c r="J1320" s="3"/>
      <c r="K1320" s="3"/>
      <c r="L1320" s="3"/>
      <c r="M1320" s="3"/>
      <c r="N1320" s="3">
        <v>0</v>
      </c>
      <c r="O1320" s="3"/>
      <c r="P1320" s="3">
        <v>0</v>
      </c>
      <c r="Q1320" s="3">
        <v>0</v>
      </c>
      <c r="R1320" s="3">
        <v>0</v>
      </c>
      <c r="S1320" s="3">
        <v>0</v>
      </c>
      <c r="T1320" s="3">
        <v>0</v>
      </c>
      <c r="U1320" s="3"/>
      <c r="V1320" s="3"/>
      <c r="W1320" s="3"/>
      <c r="X1320" s="3"/>
      <c r="Y1320" s="3"/>
      <c r="Z1320" s="3"/>
      <c r="AA1320" s="3"/>
      <c r="AB1320" s="3"/>
      <c r="AC1320" s="3"/>
      <c r="AD1320" s="3"/>
      <c r="AE1320" s="3">
        <v>0</v>
      </c>
      <c r="AF1320" s="3">
        <v>0</v>
      </c>
      <c r="AG1320" s="3"/>
      <c r="AH1320" s="40"/>
      <c r="AI1320" s="40"/>
      <c r="AJ1320" s="40"/>
      <c r="AK1320" s="40"/>
      <c r="AL1320" s="40"/>
      <c r="AM1320" s="40"/>
      <c r="AN1320" s="40"/>
      <c r="AO1320" s="40"/>
      <c r="AP1320" s="40"/>
      <c r="AQ1320" s="40"/>
      <c r="AR1320" s="31"/>
      <c r="AS1320" s="36">
        <v>0</v>
      </c>
      <c r="AY1320" s="6"/>
      <c r="AZ1320" s="2"/>
      <c r="BA1320" s="2"/>
      <c r="BB1320" s="2"/>
      <c r="BC1320">
        <v>71500</v>
      </c>
      <c r="BD1320">
        <v>56992</v>
      </c>
    </row>
    <row r="1321" spans="3:56" x14ac:dyDescent="0.25">
      <c r="C1321" s="1">
        <v>46941</v>
      </c>
      <c r="D1321" s="36">
        <v>249932.632258064</v>
      </c>
      <c r="E1321" s="33">
        <v>4.2064516129032299</v>
      </c>
      <c r="F1321" s="33">
        <v>3.4055432258064502</v>
      </c>
      <c r="G1321" s="2">
        <v>0.80959999999999999</v>
      </c>
      <c r="H1321" s="2">
        <v>0.99</v>
      </c>
      <c r="I1321" s="3"/>
      <c r="J1321" s="3"/>
      <c r="K1321" s="3"/>
      <c r="L1321" s="3"/>
      <c r="M1321" s="3"/>
      <c r="N1321" s="3">
        <v>0</v>
      </c>
      <c r="O1321" s="3"/>
      <c r="P1321" s="3">
        <v>0</v>
      </c>
      <c r="Q1321" s="3">
        <v>0</v>
      </c>
      <c r="R1321" s="3">
        <v>0</v>
      </c>
      <c r="S1321" s="3">
        <v>0</v>
      </c>
      <c r="T1321" s="3">
        <v>0</v>
      </c>
      <c r="U1321" s="3"/>
      <c r="V1321" s="3"/>
      <c r="W1321" s="3"/>
      <c r="X1321" s="3"/>
      <c r="Y1321" s="3"/>
      <c r="Z1321" s="3"/>
      <c r="AA1321" s="3"/>
      <c r="AB1321" s="3"/>
      <c r="AC1321" s="3"/>
      <c r="AD1321" s="3"/>
      <c r="AE1321" s="3">
        <v>0</v>
      </c>
      <c r="AF1321" s="3">
        <v>0</v>
      </c>
      <c r="AG1321" s="3"/>
      <c r="AH1321" s="40"/>
      <c r="AI1321" s="40"/>
      <c r="AJ1321" s="40"/>
      <c r="AK1321" s="40"/>
      <c r="AL1321" s="40"/>
      <c r="AM1321" s="40"/>
      <c r="AN1321" s="40"/>
      <c r="AO1321" s="40"/>
      <c r="AP1321" s="40"/>
      <c r="AQ1321" s="40"/>
      <c r="AR1321" s="31"/>
      <c r="AS1321" s="36">
        <v>0</v>
      </c>
      <c r="AY1321" s="6"/>
      <c r="AZ1321" s="2"/>
      <c r="BA1321" s="2"/>
      <c r="BB1321" s="2"/>
      <c r="BC1321">
        <v>71500</v>
      </c>
      <c r="BD1321">
        <v>56992</v>
      </c>
    </row>
    <row r="1322" spans="3:56" x14ac:dyDescent="0.25">
      <c r="C1322" s="1">
        <v>46942</v>
      </c>
      <c r="D1322" s="36">
        <v>249932.632258064</v>
      </c>
      <c r="E1322" s="33">
        <v>4.2064516129032299</v>
      </c>
      <c r="F1322" s="33">
        <v>3.4054964874552001</v>
      </c>
      <c r="G1322" s="2">
        <v>0.80958888888888902</v>
      </c>
      <c r="H1322" s="2">
        <v>0.99</v>
      </c>
      <c r="I1322" s="3"/>
      <c r="J1322" s="3"/>
      <c r="K1322" s="3"/>
      <c r="L1322" s="3"/>
      <c r="M1322" s="3"/>
      <c r="N1322" s="3">
        <v>0</v>
      </c>
      <c r="O1322" s="3"/>
      <c r="P1322" s="3">
        <v>0</v>
      </c>
      <c r="Q1322" s="3">
        <v>0</v>
      </c>
      <c r="R1322" s="3">
        <v>0</v>
      </c>
      <c r="S1322" s="3">
        <v>0</v>
      </c>
      <c r="T1322" s="3">
        <v>0</v>
      </c>
      <c r="U1322" s="3"/>
      <c r="V1322" s="3"/>
      <c r="W1322" s="3"/>
      <c r="X1322" s="3"/>
      <c r="Y1322" s="3"/>
      <c r="Z1322" s="3"/>
      <c r="AA1322" s="3"/>
      <c r="AB1322" s="3"/>
      <c r="AC1322" s="3"/>
      <c r="AD1322" s="3"/>
      <c r="AE1322" s="3">
        <v>0</v>
      </c>
      <c r="AF1322" s="3">
        <v>0</v>
      </c>
      <c r="AG1322" s="3"/>
      <c r="AH1322" s="40"/>
      <c r="AI1322" s="40"/>
      <c r="AJ1322" s="40"/>
      <c r="AK1322" s="40"/>
      <c r="AL1322" s="40"/>
      <c r="AM1322" s="40"/>
      <c r="AN1322" s="40"/>
      <c r="AO1322" s="40"/>
      <c r="AP1322" s="40"/>
      <c r="AQ1322" s="40"/>
      <c r="AR1322" s="31"/>
      <c r="AS1322" s="36">
        <v>0</v>
      </c>
      <c r="AY1322" s="6"/>
      <c r="AZ1322" s="2"/>
      <c r="BA1322" s="2"/>
      <c r="BB1322" s="2"/>
      <c r="BC1322">
        <v>71500</v>
      </c>
      <c r="BD1322">
        <v>56992</v>
      </c>
    </row>
    <row r="1323" spans="3:56" x14ac:dyDescent="0.25">
      <c r="C1323" s="1">
        <v>46943</v>
      </c>
      <c r="D1323" s="36">
        <v>249932.632258064</v>
      </c>
      <c r="E1323" s="33">
        <v>4.2064516129032299</v>
      </c>
      <c r="F1323" s="33">
        <v>3.4054497491039402</v>
      </c>
      <c r="G1323" s="2">
        <v>0.80957777777777795</v>
      </c>
      <c r="H1323" s="2">
        <v>0.99</v>
      </c>
      <c r="I1323" s="3"/>
      <c r="J1323" s="3"/>
      <c r="K1323" s="3"/>
      <c r="L1323" s="3"/>
      <c r="M1323" s="3"/>
      <c r="N1323" s="3">
        <v>0</v>
      </c>
      <c r="O1323" s="3"/>
      <c r="P1323" s="3">
        <v>0</v>
      </c>
      <c r="Q1323" s="3">
        <v>0</v>
      </c>
      <c r="R1323" s="3">
        <v>0</v>
      </c>
      <c r="S1323" s="3">
        <v>0</v>
      </c>
      <c r="T1323" s="3">
        <v>0</v>
      </c>
      <c r="U1323" s="3"/>
      <c r="V1323" s="3"/>
      <c r="W1323" s="3"/>
      <c r="X1323" s="3"/>
      <c r="Y1323" s="3"/>
      <c r="Z1323" s="3"/>
      <c r="AA1323" s="3"/>
      <c r="AB1323" s="3"/>
      <c r="AC1323" s="3"/>
      <c r="AD1323" s="3"/>
      <c r="AE1323" s="3">
        <v>0</v>
      </c>
      <c r="AF1323" s="3">
        <v>0</v>
      </c>
      <c r="AG1323" s="3"/>
      <c r="AH1323" s="40"/>
      <c r="AI1323" s="40"/>
      <c r="AJ1323" s="40"/>
      <c r="AK1323" s="40"/>
      <c r="AL1323" s="40"/>
      <c r="AM1323" s="40"/>
      <c r="AN1323" s="40"/>
      <c r="AO1323" s="40"/>
      <c r="AP1323" s="40"/>
      <c r="AQ1323" s="40"/>
      <c r="AR1323" s="31"/>
      <c r="AS1323" s="36">
        <v>0</v>
      </c>
      <c r="AY1323" s="6"/>
      <c r="AZ1323" s="2"/>
      <c r="BA1323" s="2"/>
      <c r="BB1323" s="2"/>
      <c r="BC1323">
        <v>71500</v>
      </c>
      <c r="BD1323">
        <v>56992</v>
      </c>
    </row>
    <row r="1324" spans="3:56" x14ac:dyDescent="0.25">
      <c r="C1324" s="1">
        <v>46944</v>
      </c>
      <c r="D1324" s="36">
        <v>249932.632258064</v>
      </c>
      <c r="E1324" s="33">
        <v>4.2064516129032299</v>
      </c>
      <c r="F1324" s="33">
        <v>3.40540301075269</v>
      </c>
      <c r="G1324" s="2">
        <v>0.80956666666666699</v>
      </c>
      <c r="H1324" s="2">
        <v>0.99</v>
      </c>
      <c r="I1324" s="3"/>
      <c r="J1324" s="3"/>
      <c r="K1324" s="3"/>
      <c r="L1324" s="3"/>
      <c r="M1324" s="3"/>
      <c r="N1324" s="3">
        <v>0</v>
      </c>
      <c r="O1324" s="3"/>
      <c r="P1324" s="3">
        <v>0</v>
      </c>
      <c r="Q1324" s="3">
        <v>0</v>
      </c>
      <c r="R1324" s="3">
        <v>0</v>
      </c>
      <c r="S1324" s="3">
        <v>0</v>
      </c>
      <c r="T1324" s="3">
        <v>0</v>
      </c>
      <c r="U1324" s="3"/>
      <c r="V1324" s="3"/>
      <c r="W1324" s="3"/>
      <c r="X1324" s="3"/>
      <c r="Y1324" s="3"/>
      <c r="Z1324" s="3"/>
      <c r="AA1324" s="3"/>
      <c r="AB1324" s="3"/>
      <c r="AC1324" s="3"/>
      <c r="AD1324" s="3"/>
      <c r="AE1324" s="3">
        <v>0</v>
      </c>
      <c r="AF1324" s="3">
        <v>0</v>
      </c>
      <c r="AG1324" s="3"/>
      <c r="AH1324" s="40"/>
      <c r="AI1324" s="40"/>
      <c r="AJ1324" s="40"/>
      <c r="AK1324" s="40"/>
      <c r="AL1324" s="40"/>
      <c r="AM1324" s="40"/>
      <c r="AN1324" s="40"/>
      <c r="AO1324" s="40"/>
      <c r="AP1324" s="40"/>
      <c r="AQ1324" s="40"/>
      <c r="AR1324" s="31"/>
      <c r="AS1324" s="36">
        <v>0</v>
      </c>
      <c r="AY1324" s="6"/>
      <c r="AZ1324" s="2"/>
      <c r="BA1324" s="2"/>
      <c r="BB1324" s="2"/>
      <c r="BC1324">
        <v>71500</v>
      </c>
      <c r="BD1324">
        <v>56992</v>
      </c>
    </row>
    <row r="1325" spans="3:56" x14ac:dyDescent="0.25">
      <c r="C1325" s="1">
        <v>46945</v>
      </c>
      <c r="D1325" s="36">
        <v>249932.632258064</v>
      </c>
      <c r="E1325" s="33">
        <v>4.2064516129032299</v>
      </c>
      <c r="F1325" s="33">
        <v>3.4053562724014301</v>
      </c>
      <c r="G1325" s="2">
        <v>0.80955555555555603</v>
      </c>
      <c r="H1325" s="2">
        <v>0.99</v>
      </c>
      <c r="I1325" s="3"/>
      <c r="J1325" s="3"/>
      <c r="K1325" s="3"/>
      <c r="L1325" s="3"/>
      <c r="M1325" s="3"/>
      <c r="N1325" s="3">
        <v>0</v>
      </c>
      <c r="O1325" s="3"/>
      <c r="P1325" s="3">
        <v>0</v>
      </c>
      <c r="Q1325" s="3">
        <v>0</v>
      </c>
      <c r="R1325" s="3">
        <v>0</v>
      </c>
      <c r="S1325" s="3">
        <v>0</v>
      </c>
      <c r="T1325" s="3">
        <v>0</v>
      </c>
      <c r="U1325" s="3"/>
      <c r="V1325" s="3"/>
      <c r="W1325" s="3"/>
      <c r="X1325" s="3"/>
      <c r="Y1325" s="3"/>
      <c r="Z1325" s="3"/>
      <c r="AA1325" s="3"/>
      <c r="AB1325" s="3"/>
      <c r="AC1325" s="3"/>
      <c r="AD1325" s="3"/>
      <c r="AE1325" s="3">
        <v>0</v>
      </c>
      <c r="AF1325" s="3">
        <v>0</v>
      </c>
      <c r="AG1325" s="3"/>
      <c r="AH1325" s="40"/>
      <c r="AI1325" s="40"/>
      <c r="AJ1325" s="40"/>
      <c r="AK1325" s="40"/>
      <c r="AL1325" s="40"/>
      <c r="AM1325" s="40"/>
      <c r="AN1325" s="40"/>
      <c r="AO1325" s="40"/>
      <c r="AP1325" s="40"/>
      <c r="AQ1325" s="40"/>
      <c r="AR1325" s="31"/>
      <c r="AS1325" s="36">
        <v>0</v>
      </c>
      <c r="AY1325" s="6"/>
      <c r="AZ1325" s="2"/>
      <c r="BA1325" s="2"/>
      <c r="BB1325" s="2"/>
      <c r="BC1325">
        <v>71500</v>
      </c>
      <c r="BD1325">
        <v>56992</v>
      </c>
    </row>
    <row r="1326" spans="3:56" x14ac:dyDescent="0.25">
      <c r="C1326" s="1">
        <v>46946</v>
      </c>
      <c r="D1326" s="36">
        <v>249932.632258064</v>
      </c>
      <c r="E1326" s="33">
        <v>4.2064516129032299</v>
      </c>
      <c r="F1326" s="33">
        <v>3.40530953405018</v>
      </c>
      <c r="G1326" s="2">
        <v>0.80954444444444396</v>
      </c>
      <c r="H1326" s="2">
        <v>0.99</v>
      </c>
      <c r="I1326" s="3"/>
      <c r="J1326" s="3"/>
      <c r="K1326" s="3"/>
      <c r="L1326" s="3"/>
      <c r="M1326" s="3"/>
      <c r="N1326" s="3">
        <v>0</v>
      </c>
      <c r="O1326" s="3"/>
      <c r="P1326" s="3">
        <v>0</v>
      </c>
      <c r="Q1326" s="3">
        <v>0</v>
      </c>
      <c r="R1326" s="3">
        <v>0</v>
      </c>
      <c r="S1326" s="3">
        <v>0</v>
      </c>
      <c r="T1326" s="3">
        <v>0</v>
      </c>
      <c r="U1326" s="3"/>
      <c r="V1326" s="3"/>
      <c r="W1326" s="3"/>
      <c r="X1326" s="3"/>
      <c r="Y1326" s="3"/>
      <c r="Z1326" s="3"/>
      <c r="AA1326" s="3"/>
      <c r="AB1326" s="3"/>
      <c r="AC1326" s="3"/>
      <c r="AD1326" s="3"/>
      <c r="AE1326" s="3">
        <v>0</v>
      </c>
      <c r="AF1326" s="3">
        <v>0</v>
      </c>
      <c r="AG1326" s="3"/>
      <c r="AH1326" s="40"/>
      <c r="AI1326" s="40"/>
      <c r="AJ1326" s="40"/>
      <c r="AK1326" s="40"/>
      <c r="AL1326" s="40"/>
      <c r="AM1326" s="40"/>
      <c r="AN1326" s="40"/>
      <c r="AO1326" s="40"/>
      <c r="AP1326" s="40"/>
      <c r="AQ1326" s="40"/>
      <c r="AR1326" s="31"/>
      <c r="AS1326" s="36">
        <v>0</v>
      </c>
      <c r="AY1326" s="6"/>
      <c r="AZ1326" s="2"/>
      <c r="BA1326" s="2"/>
      <c r="BB1326" s="2"/>
      <c r="BC1326">
        <v>71500</v>
      </c>
      <c r="BD1326">
        <v>56992</v>
      </c>
    </row>
    <row r="1327" spans="3:56" x14ac:dyDescent="0.25">
      <c r="C1327" s="1">
        <v>46947</v>
      </c>
      <c r="D1327" s="36">
        <v>249932.632258064</v>
      </c>
      <c r="E1327" s="33">
        <v>4.2064516129032299</v>
      </c>
      <c r="F1327" s="33">
        <v>3.4052627956989201</v>
      </c>
      <c r="G1327" s="2">
        <v>0.80953333333333299</v>
      </c>
      <c r="H1327" s="2">
        <v>0.99</v>
      </c>
      <c r="I1327" s="3"/>
      <c r="J1327" s="3"/>
      <c r="K1327" s="3"/>
      <c r="L1327" s="3"/>
      <c r="M1327" s="3"/>
      <c r="N1327" s="3">
        <v>0</v>
      </c>
      <c r="O1327" s="3"/>
      <c r="P1327" s="3">
        <v>0</v>
      </c>
      <c r="Q1327" s="3">
        <v>0</v>
      </c>
      <c r="R1327" s="3">
        <v>0</v>
      </c>
      <c r="S1327" s="3">
        <v>0</v>
      </c>
      <c r="T1327" s="3">
        <v>0</v>
      </c>
      <c r="U1327" s="3"/>
      <c r="V1327" s="3"/>
      <c r="W1327" s="3"/>
      <c r="X1327" s="3"/>
      <c r="Y1327" s="3"/>
      <c r="Z1327" s="3"/>
      <c r="AA1327" s="3"/>
      <c r="AB1327" s="3"/>
      <c r="AC1327" s="3"/>
      <c r="AD1327" s="3"/>
      <c r="AE1327" s="3">
        <v>0</v>
      </c>
      <c r="AF1327" s="3">
        <v>0</v>
      </c>
      <c r="AG1327" s="3"/>
      <c r="AH1327" s="40"/>
      <c r="AI1327" s="40"/>
      <c r="AJ1327" s="40"/>
      <c r="AK1327" s="40"/>
      <c r="AL1327" s="40"/>
      <c r="AM1327" s="40"/>
      <c r="AN1327" s="40"/>
      <c r="AO1327" s="40"/>
      <c r="AP1327" s="40"/>
      <c r="AQ1327" s="40"/>
      <c r="AR1327" s="31"/>
      <c r="AS1327" s="36">
        <v>0</v>
      </c>
      <c r="AY1327" s="6"/>
      <c r="AZ1327" s="2"/>
      <c r="BA1327" s="2"/>
      <c r="BB1327" s="2"/>
      <c r="BC1327">
        <v>71500</v>
      </c>
      <c r="BD1327">
        <v>56992</v>
      </c>
    </row>
    <row r="1328" spans="3:56" x14ac:dyDescent="0.25">
      <c r="C1328" s="1">
        <v>46948</v>
      </c>
      <c r="D1328" s="36">
        <v>249932.632258064</v>
      </c>
      <c r="E1328" s="33">
        <v>4.2064516129032299</v>
      </c>
      <c r="F1328" s="33">
        <v>3.40521605734767</v>
      </c>
      <c r="G1328" s="2">
        <v>0.80952222222222203</v>
      </c>
      <c r="H1328" s="2">
        <v>0.99</v>
      </c>
      <c r="I1328" s="3"/>
      <c r="J1328" s="3"/>
      <c r="K1328" s="3"/>
      <c r="L1328" s="3"/>
      <c r="M1328" s="3"/>
      <c r="N1328" s="3">
        <v>0</v>
      </c>
      <c r="O1328" s="3"/>
      <c r="P1328" s="3">
        <v>0</v>
      </c>
      <c r="Q1328" s="3">
        <v>0</v>
      </c>
      <c r="R1328" s="3">
        <v>0</v>
      </c>
      <c r="S1328" s="3">
        <v>0</v>
      </c>
      <c r="T1328" s="3">
        <v>0</v>
      </c>
      <c r="U1328" s="3"/>
      <c r="V1328" s="3"/>
      <c r="W1328" s="3"/>
      <c r="X1328" s="3"/>
      <c r="Y1328" s="3"/>
      <c r="Z1328" s="3"/>
      <c r="AA1328" s="3"/>
      <c r="AB1328" s="3"/>
      <c r="AC1328" s="3"/>
      <c r="AD1328" s="3"/>
      <c r="AE1328" s="3">
        <v>0</v>
      </c>
      <c r="AF1328" s="3">
        <v>0</v>
      </c>
      <c r="AG1328" s="3"/>
      <c r="AH1328" s="40"/>
      <c r="AI1328" s="40"/>
      <c r="AJ1328" s="40"/>
      <c r="AK1328" s="40"/>
      <c r="AL1328" s="40"/>
      <c r="AM1328" s="40"/>
      <c r="AN1328" s="40"/>
      <c r="AO1328" s="40"/>
      <c r="AP1328" s="40"/>
      <c r="AQ1328" s="40"/>
      <c r="AR1328" s="31"/>
      <c r="AS1328" s="36">
        <v>0</v>
      </c>
      <c r="AY1328" s="6"/>
      <c r="AZ1328" s="2"/>
      <c r="BA1328" s="2"/>
      <c r="BB1328" s="2"/>
      <c r="BC1328">
        <v>71500</v>
      </c>
      <c r="BD1328">
        <v>56992</v>
      </c>
    </row>
    <row r="1329" spans="3:56" x14ac:dyDescent="0.25">
      <c r="C1329" s="1">
        <v>46949</v>
      </c>
      <c r="D1329" s="36">
        <v>249932.632258064</v>
      </c>
      <c r="E1329" s="33">
        <v>4.2064516129032299</v>
      </c>
      <c r="F1329" s="33">
        <v>3.4051693189964198</v>
      </c>
      <c r="G1329" s="2">
        <v>0.80951111111111096</v>
      </c>
      <c r="H1329" s="2">
        <v>0.99</v>
      </c>
      <c r="I1329" s="3"/>
      <c r="J1329" s="3"/>
      <c r="K1329" s="3"/>
      <c r="L1329" s="3"/>
      <c r="M1329" s="3"/>
      <c r="N1329" s="3">
        <v>0</v>
      </c>
      <c r="O1329" s="3"/>
      <c r="P1329" s="3">
        <v>0</v>
      </c>
      <c r="Q1329" s="3">
        <v>0</v>
      </c>
      <c r="R1329" s="3">
        <v>0</v>
      </c>
      <c r="S1329" s="3">
        <v>0</v>
      </c>
      <c r="T1329" s="3">
        <v>0</v>
      </c>
      <c r="U1329" s="3"/>
      <c r="V1329" s="3"/>
      <c r="W1329" s="3"/>
      <c r="X1329" s="3"/>
      <c r="Y1329" s="3"/>
      <c r="Z1329" s="3"/>
      <c r="AA1329" s="3"/>
      <c r="AB1329" s="3"/>
      <c r="AC1329" s="3"/>
      <c r="AD1329" s="3"/>
      <c r="AE1329" s="3">
        <v>0</v>
      </c>
      <c r="AF1329" s="3">
        <v>0</v>
      </c>
      <c r="AG1329" s="3"/>
      <c r="AH1329" s="40"/>
      <c r="AI1329" s="40"/>
      <c r="AJ1329" s="40"/>
      <c r="AK1329" s="40"/>
      <c r="AL1329" s="40"/>
      <c r="AM1329" s="40"/>
      <c r="AN1329" s="40"/>
      <c r="AO1329" s="40"/>
      <c r="AP1329" s="40"/>
      <c r="AQ1329" s="40"/>
      <c r="AR1329" s="31"/>
      <c r="AS1329" s="36">
        <v>0</v>
      </c>
      <c r="AY1329" s="6"/>
      <c r="AZ1329" s="2"/>
      <c r="BA1329" s="2"/>
      <c r="BB1329" s="2"/>
      <c r="BC1329">
        <v>71500</v>
      </c>
      <c r="BD1329">
        <v>56992</v>
      </c>
    </row>
    <row r="1330" spans="3:56" x14ac:dyDescent="0.25">
      <c r="C1330" s="1">
        <v>46950</v>
      </c>
      <c r="D1330" s="36">
        <v>249932.632258064</v>
      </c>
      <c r="E1330" s="33">
        <v>4.2064516129032299</v>
      </c>
      <c r="F1330" s="33">
        <v>3.4051225806451599</v>
      </c>
      <c r="G1330" s="2">
        <v>0.8095</v>
      </c>
      <c r="H1330" s="2">
        <v>0.99</v>
      </c>
      <c r="I1330" s="3"/>
      <c r="J1330" s="3"/>
      <c r="K1330" s="3"/>
      <c r="L1330" s="3"/>
      <c r="M1330" s="3"/>
      <c r="N1330" s="3">
        <v>0</v>
      </c>
      <c r="O1330" s="3"/>
      <c r="P1330" s="3">
        <v>0</v>
      </c>
      <c r="Q1330" s="3">
        <v>0</v>
      </c>
      <c r="R1330" s="3">
        <v>0</v>
      </c>
      <c r="S1330" s="3">
        <v>0</v>
      </c>
      <c r="T1330" s="3">
        <v>0</v>
      </c>
      <c r="U1330" s="3"/>
      <c r="V1330" s="3"/>
      <c r="W1330" s="3"/>
      <c r="X1330" s="3"/>
      <c r="Y1330" s="3"/>
      <c r="Z1330" s="3"/>
      <c r="AA1330" s="3"/>
      <c r="AB1330" s="3"/>
      <c r="AC1330" s="3"/>
      <c r="AD1330" s="3"/>
      <c r="AE1330" s="3">
        <v>0</v>
      </c>
      <c r="AF1330" s="3">
        <v>0</v>
      </c>
      <c r="AG1330" s="3"/>
      <c r="AH1330" s="40"/>
      <c r="AI1330" s="40"/>
      <c r="AJ1330" s="40"/>
      <c r="AK1330" s="40"/>
      <c r="AL1330" s="40"/>
      <c r="AM1330" s="40"/>
      <c r="AN1330" s="40"/>
      <c r="AO1330" s="40"/>
      <c r="AP1330" s="40"/>
      <c r="AQ1330" s="40"/>
      <c r="AR1330" s="31"/>
      <c r="AS1330" s="36">
        <v>0</v>
      </c>
      <c r="AY1330" s="6"/>
      <c r="AZ1330" s="2"/>
      <c r="BA1330" s="2"/>
      <c r="BB1330" s="2"/>
      <c r="BC1330">
        <v>71500</v>
      </c>
      <c r="BD1330">
        <v>56992</v>
      </c>
    </row>
    <row r="1331" spans="3:56" x14ac:dyDescent="0.25">
      <c r="C1331" s="1">
        <v>46951</v>
      </c>
      <c r="D1331" s="36">
        <v>249932.632258064</v>
      </c>
      <c r="E1331" s="33">
        <v>4.2064516129032299</v>
      </c>
      <c r="F1331" s="33">
        <v>3.4050758422939098</v>
      </c>
      <c r="G1331" s="2">
        <v>0.80948888888888904</v>
      </c>
      <c r="H1331" s="2">
        <v>0.99</v>
      </c>
      <c r="I1331" s="3"/>
      <c r="J1331" s="3"/>
      <c r="K1331" s="3"/>
      <c r="L1331" s="3"/>
      <c r="M1331" s="3"/>
      <c r="N1331" s="3">
        <v>0</v>
      </c>
      <c r="O1331" s="3"/>
      <c r="P1331" s="3">
        <v>0</v>
      </c>
      <c r="Q1331" s="3">
        <v>0</v>
      </c>
      <c r="R1331" s="3">
        <v>0</v>
      </c>
      <c r="S1331" s="3">
        <v>0</v>
      </c>
      <c r="T1331" s="3">
        <v>0</v>
      </c>
      <c r="U1331" s="3"/>
      <c r="V1331" s="3"/>
      <c r="W1331" s="3"/>
      <c r="X1331" s="3"/>
      <c r="Y1331" s="3"/>
      <c r="Z1331" s="3"/>
      <c r="AA1331" s="3"/>
      <c r="AB1331" s="3"/>
      <c r="AC1331" s="3"/>
      <c r="AD1331" s="3"/>
      <c r="AE1331" s="3">
        <v>0</v>
      </c>
      <c r="AF1331" s="3">
        <v>0</v>
      </c>
      <c r="AG1331" s="3"/>
      <c r="AH1331" s="40"/>
      <c r="AI1331" s="40"/>
      <c r="AJ1331" s="40"/>
      <c r="AK1331" s="40"/>
      <c r="AL1331" s="40"/>
      <c r="AM1331" s="40"/>
      <c r="AN1331" s="40"/>
      <c r="AO1331" s="40"/>
      <c r="AP1331" s="40"/>
      <c r="AQ1331" s="40"/>
      <c r="AR1331" s="31"/>
      <c r="AS1331" s="36">
        <v>0</v>
      </c>
      <c r="AY1331" s="6"/>
      <c r="AZ1331" s="2"/>
      <c r="BA1331" s="2"/>
      <c r="BB1331" s="2"/>
      <c r="BC1331">
        <v>71500</v>
      </c>
      <c r="BD1331">
        <v>56992</v>
      </c>
    </row>
    <row r="1332" spans="3:56" x14ac:dyDescent="0.25">
      <c r="C1332" s="1">
        <v>46952</v>
      </c>
      <c r="D1332" s="36">
        <v>249932.632258064</v>
      </c>
      <c r="E1332" s="33">
        <v>4.2064516129032299</v>
      </c>
      <c r="F1332" s="33">
        <v>3.4050291039426499</v>
      </c>
      <c r="G1332" s="2">
        <v>0.80947777777777796</v>
      </c>
      <c r="H1332" s="2">
        <v>0.99</v>
      </c>
      <c r="I1332" s="3"/>
      <c r="J1332" s="3"/>
      <c r="K1332" s="3"/>
      <c r="L1332" s="3"/>
      <c r="M1332" s="3"/>
      <c r="N1332" s="3">
        <v>0</v>
      </c>
      <c r="O1332" s="3"/>
      <c r="P1332" s="3">
        <v>0</v>
      </c>
      <c r="Q1332" s="3">
        <v>0</v>
      </c>
      <c r="R1332" s="3">
        <v>0</v>
      </c>
      <c r="S1332" s="3">
        <v>0</v>
      </c>
      <c r="T1332" s="3">
        <v>0</v>
      </c>
      <c r="U1332" s="3"/>
      <c r="V1332" s="3"/>
      <c r="W1332" s="3"/>
      <c r="X1332" s="3"/>
      <c r="Y1332" s="3"/>
      <c r="Z1332" s="3"/>
      <c r="AA1332" s="3"/>
      <c r="AB1332" s="3"/>
      <c r="AC1332" s="3"/>
      <c r="AD1332" s="3"/>
      <c r="AE1332" s="3">
        <v>0</v>
      </c>
      <c r="AF1332" s="3">
        <v>0</v>
      </c>
      <c r="AG1332" s="3"/>
      <c r="AH1332" s="40"/>
      <c r="AI1332" s="40"/>
      <c r="AJ1332" s="40"/>
      <c r="AK1332" s="40"/>
      <c r="AL1332" s="40"/>
      <c r="AM1332" s="40"/>
      <c r="AN1332" s="40"/>
      <c r="AO1332" s="40"/>
      <c r="AP1332" s="40"/>
      <c r="AQ1332" s="40"/>
      <c r="AR1332" s="31"/>
      <c r="AS1332" s="36">
        <v>0</v>
      </c>
      <c r="AY1332" s="6"/>
      <c r="AZ1332" s="2"/>
      <c r="BA1332" s="2"/>
      <c r="BB1332" s="2"/>
      <c r="BC1332">
        <v>71500</v>
      </c>
      <c r="BD1332">
        <v>56992</v>
      </c>
    </row>
    <row r="1333" spans="3:56" x14ac:dyDescent="0.25">
      <c r="C1333" s="1">
        <v>46953</v>
      </c>
      <c r="D1333" s="36">
        <v>249932.632258064</v>
      </c>
      <c r="E1333" s="33">
        <v>4.2064516129032299</v>
      </c>
      <c r="F1333" s="33">
        <v>3.4049823655914002</v>
      </c>
      <c r="G1333" s="2">
        <v>0.809466666666667</v>
      </c>
      <c r="H1333" s="2">
        <v>0.99</v>
      </c>
      <c r="I1333" s="3"/>
      <c r="J1333" s="3"/>
      <c r="K1333" s="3"/>
      <c r="L1333" s="3"/>
      <c r="M1333" s="3"/>
      <c r="N1333" s="3">
        <v>0</v>
      </c>
      <c r="O1333" s="3"/>
      <c r="P1333" s="3">
        <v>0</v>
      </c>
      <c r="Q1333" s="3">
        <v>0</v>
      </c>
      <c r="R1333" s="3">
        <v>0</v>
      </c>
      <c r="S1333" s="3">
        <v>0</v>
      </c>
      <c r="T1333" s="3">
        <v>0</v>
      </c>
      <c r="U1333" s="3"/>
      <c r="V1333" s="3"/>
      <c r="W1333" s="3"/>
      <c r="X1333" s="3"/>
      <c r="Y1333" s="3"/>
      <c r="Z1333" s="3"/>
      <c r="AA1333" s="3"/>
      <c r="AB1333" s="3"/>
      <c r="AC1333" s="3"/>
      <c r="AD1333" s="3"/>
      <c r="AE1333" s="3">
        <v>0</v>
      </c>
      <c r="AF1333" s="3">
        <v>0</v>
      </c>
      <c r="AG1333" s="3"/>
      <c r="AH1333" s="40"/>
      <c r="AI1333" s="40"/>
      <c r="AJ1333" s="40"/>
      <c r="AK1333" s="40"/>
      <c r="AL1333" s="40"/>
      <c r="AM1333" s="40"/>
      <c r="AN1333" s="40"/>
      <c r="AO1333" s="40"/>
      <c r="AP1333" s="40"/>
      <c r="AQ1333" s="40"/>
      <c r="AR1333" s="31"/>
      <c r="AS1333" s="36">
        <v>0</v>
      </c>
      <c r="AY1333" s="6"/>
      <c r="AZ1333" s="2"/>
      <c r="BA1333" s="2"/>
      <c r="BB1333" s="2"/>
      <c r="BC1333">
        <v>71500</v>
      </c>
      <c r="BD1333">
        <v>56992</v>
      </c>
    </row>
    <row r="1334" spans="3:56" x14ac:dyDescent="0.25">
      <c r="C1334" s="1">
        <v>46954</v>
      </c>
      <c r="D1334" s="36">
        <v>249932.632258064</v>
      </c>
      <c r="E1334" s="33">
        <v>4.2064516129032299</v>
      </c>
      <c r="F1334" s="33">
        <v>3.4049356272401399</v>
      </c>
      <c r="G1334" s="2">
        <v>0.80945555555555604</v>
      </c>
      <c r="H1334" s="2">
        <v>0.99</v>
      </c>
      <c r="I1334" s="3"/>
      <c r="J1334" s="3"/>
      <c r="K1334" s="3"/>
      <c r="L1334" s="3"/>
      <c r="M1334" s="3"/>
      <c r="N1334" s="3">
        <v>0</v>
      </c>
      <c r="O1334" s="3"/>
      <c r="P1334" s="3">
        <v>0</v>
      </c>
      <c r="Q1334" s="3">
        <v>0</v>
      </c>
      <c r="R1334" s="3">
        <v>0</v>
      </c>
      <c r="S1334" s="3">
        <v>0</v>
      </c>
      <c r="T1334" s="3">
        <v>0</v>
      </c>
      <c r="U1334" s="3"/>
      <c r="V1334" s="3"/>
      <c r="W1334" s="3"/>
      <c r="X1334" s="3"/>
      <c r="Y1334" s="3"/>
      <c r="Z1334" s="3"/>
      <c r="AA1334" s="3"/>
      <c r="AB1334" s="3"/>
      <c r="AC1334" s="3"/>
      <c r="AD1334" s="3"/>
      <c r="AE1334" s="3">
        <v>0</v>
      </c>
      <c r="AF1334" s="3">
        <v>0</v>
      </c>
      <c r="AG1334" s="3"/>
      <c r="AH1334" s="40"/>
      <c r="AI1334" s="40"/>
      <c r="AJ1334" s="40"/>
      <c r="AK1334" s="40"/>
      <c r="AL1334" s="40"/>
      <c r="AM1334" s="40"/>
      <c r="AN1334" s="40"/>
      <c r="AO1334" s="40"/>
      <c r="AP1334" s="40"/>
      <c r="AQ1334" s="40"/>
      <c r="AR1334" s="31"/>
      <c r="AS1334" s="36">
        <v>0</v>
      </c>
      <c r="AY1334" s="6"/>
      <c r="AZ1334" s="2"/>
      <c r="BA1334" s="2"/>
      <c r="BB1334" s="2"/>
      <c r="BC1334">
        <v>71500</v>
      </c>
      <c r="BD1334">
        <v>56992</v>
      </c>
    </row>
    <row r="1335" spans="3:56" x14ac:dyDescent="0.25">
      <c r="C1335" s="1">
        <v>46955</v>
      </c>
      <c r="D1335" s="36">
        <v>249932.632258064</v>
      </c>
      <c r="E1335" s="33">
        <v>4.2064516129032299</v>
      </c>
      <c r="F1335" s="33">
        <v>3.4048888888888902</v>
      </c>
      <c r="G1335" s="2">
        <v>0.80944444444444397</v>
      </c>
      <c r="H1335" s="2">
        <v>0.99</v>
      </c>
      <c r="I1335" s="3"/>
      <c r="J1335" s="3"/>
      <c r="K1335" s="3"/>
      <c r="L1335" s="3"/>
      <c r="M1335" s="3"/>
      <c r="N1335" s="3">
        <v>0</v>
      </c>
      <c r="O1335" s="3"/>
      <c r="P1335" s="3">
        <v>0</v>
      </c>
      <c r="Q1335" s="3">
        <v>0</v>
      </c>
      <c r="R1335" s="3">
        <v>0</v>
      </c>
      <c r="S1335" s="3">
        <v>0</v>
      </c>
      <c r="T1335" s="3">
        <v>0</v>
      </c>
      <c r="U1335" s="3"/>
      <c r="V1335" s="3"/>
      <c r="W1335" s="3"/>
      <c r="X1335" s="3"/>
      <c r="Y1335" s="3"/>
      <c r="Z1335" s="3"/>
      <c r="AA1335" s="3"/>
      <c r="AB1335" s="3"/>
      <c r="AC1335" s="3"/>
      <c r="AD1335" s="3"/>
      <c r="AE1335" s="3">
        <v>0</v>
      </c>
      <c r="AF1335" s="3">
        <v>0</v>
      </c>
      <c r="AG1335" s="3"/>
      <c r="AH1335" s="40"/>
      <c r="AI1335" s="40"/>
      <c r="AJ1335" s="40"/>
      <c r="AK1335" s="40"/>
      <c r="AL1335" s="40"/>
      <c r="AM1335" s="40"/>
      <c r="AN1335" s="40"/>
      <c r="AO1335" s="40"/>
      <c r="AP1335" s="40"/>
      <c r="AQ1335" s="40"/>
      <c r="AR1335" s="31"/>
      <c r="AS1335" s="36">
        <v>0</v>
      </c>
      <c r="AY1335" s="6"/>
      <c r="AZ1335" s="2"/>
      <c r="BA1335" s="2"/>
      <c r="BB1335" s="2"/>
      <c r="BC1335">
        <v>71500</v>
      </c>
      <c r="BD1335">
        <v>56992</v>
      </c>
    </row>
    <row r="1336" spans="3:56" x14ac:dyDescent="0.25">
      <c r="C1336" s="1">
        <v>46956</v>
      </c>
      <c r="D1336" s="36">
        <v>249932.632258064</v>
      </c>
      <c r="E1336" s="33">
        <v>4.2064516129032299</v>
      </c>
      <c r="F1336" s="33">
        <v>3.4048421505376298</v>
      </c>
      <c r="G1336" s="2">
        <v>0.809433333333333</v>
      </c>
      <c r="H1336" s="2">
        <v>0.99</v>
      </c>
      <c r="I1336" s="3"/>
      <c r="J1336" s="3"/>
      <c r="K1336" s="3"/>
      <c r="L1336" s="3"/>
      <c r="M1336" s="3"/>
      <c r="N1336" s="3">
        <v>0</v>
      </c>
      <c r="O1336" s="3"/>
      <c r="P1336" s="3">
        <v>0</v>
      </c>
      <c r="Q1336" s="3">
        <v>0</v>
      </c>
      <c r="R1336" s="3">
        <v>0</v>
      </c>
      <c r="S1336" s="3">
        <v>0</v>
      </c>
      <c r="T1336" s="3">
        <v>0</v>
      </c>
      <c r="U1336" s="3"/>
      <c r="V1336" s="3"/>
      <c r="W1336" s="3"/>
      <c r="X1336" s="3"/>
      <c r="Y1336" s="3"/>
      <c r="Z1336" s="3"/>
      <c r="AA1336" s="3"/>
      <c r="AB1336" s="3"/>
      <c r="AC1336" s="3"/>
      <c r="AD1336" s="3"/>
      <c r="AE1336" s="3">
        <v>0</v>
      </c>
      <c r="AF1336" s="3">
        <v>0</v>
      </c>
      <c r="AG1336" s="3"/>
      <c r="AH1336" s="40"/>
      <c r="AI1336" s="40"/>
      <c r="AJ1336" s="40"/>
      <c r="AK1336" s="40"/>
      <c r="AL1336" s="40"/>
      <c r="AM1336" s="40"/>
      <c r="AN1336" s="40"/>
      <c r="AO1336" s="40"/>
      <c r="AP1336" s="40"/>
      <c r="AQ1336" s="40"/>
      <c r="AR1336" s="31"/>
      <c r="AS1336" s="36">
        <v>0</v>
      </c>
      <c r="AY1336" s="6"/>
      <c r="AZ1336" s="2"/>
      <c r="BA1336" s="2"/>
      <c r="BB1336" s="2"/>
      <c r="BC1336">
        <v>71500</v>
      </c>
      <c r="BD1336">
        <v>56992</v>
      </c>
    </row>
    <row r="1337" spans="3:56" x14ac:dyDescent="0.25">
      <c r="C1337" s="1">
        <v>46957</v>
      </c>
      <c r="D1337" s="36">
        <v>249932.632258064</v>
      </c>
      <c r="E1337" s="33">
        <v>4.2064516129032299</v>
      </c>
      <c r="F1337" s="33">
        <v>3.4047954121863802</v>
      </c>
      <c r="G1337" s="2">
        <v>0.80942222222222204</v>
      </c>
      <c r="H1337" s="2">
        <v>0.99</v>
      </c>
      <c r="I1337" s="3"/>
      <c r="J1337" s="3"/>
      <c r="K1337" s="3"/>
      <c r="L1337" s="3"/>
      <c r="M1337" s="3"/>
      <c r="N1337" s="3">
        <v>0</v>
      </c>
      <c r="O1337" s="3"/>
      <c r="P1337" s="3">
        <v>0</v>
      </c>
      <c r="Q1337" s="3">
        <v>0</v>
      </c>
      <c r="R1337" s="3">
        <v>0</v>
      </c>
      <c r="S1337" s="3">
        <v>0</v>
      </c>
      <c r="T1337" s="3">
        <v>0</v>
      </c>
      <c r="U1337" s="3"/>
      <c r="V1337" s="3"/>
      <c r="W1337" s="3"/>
      <c r="X1337" s="3"/>
      <c r="Y1337" s="3"/>
      <c r="Z1337" s="3"/>
      <c r="AA1337" s="3"/>
      <c r="AB1337" s="3"/>
      <c r="AC1337" s="3"/>
      <c r="AD1337" s="3"/>
      <c r="AE1337" s="3">
        <v>0</v>
      </c>
      <c r="AF1337" s="3">
        <v>0</v>
      </c>
      <c r="AG1337" s="3"/>
      <c r="AH1337" s="40"/>
      <c r="AI1337" s="40"/>
      <c r="AJ1337" s="40"/>
      <c r="AK1337" s="40"/>
      <c r="AL1337" s="40"/>
      <c r="AM1337" s="40"/>
      <c r="AN1337" s="40"/>
      <c r="AO1337" s="40"/>
      <c r="AP1337" s="40"/>
      <c r="AQ1337" s="40"/>
      <c r="AR1337" s="31"/>
      <c r="AS1337" s="36">
        <v>0</v>
      </c>
      <c r="AY1337" s="6"/>
      <c r="AZ1337" s="2"/>
      <c r="BA1337" s="2"/>
      <c r="BB1337" s="2"/>
      <c r="BC1337">
        <v>71500</v>
      </c>
      <c r="BD1337">
        <v>56992</v>
      </c>
    </row>
    <row r="1338" spans="3:56" x14ac:dyDescent="0.25">
      <c r="C1338" s="1">
        <v>46958</v>
      </c>
      <c r="D1338" s="36">
        <v>249932.632258064</v>
      </c>
      <c r="E1338" s="33">
        <v>4.2064516129032299</v>
      </c>
      <c r="F1338" s="33">
        <v>3.40474867383513</v>
      </c>
      <c r="G1338" s="2">
        <v>0.80941111111111097</v>
      </c>
      <c r="H1338" s="2">
        <v>0.99</v>
      </c>
      <c r="I1338" s="3"/>
      <c r="J1338" s="3"/>
      <c r="K1338" s="3"/>
      <c r="L1338" s="3"/>
      <c r="M1338" s="3"/>
      <c r="N1338" s="3">
        <v>0</v>
      </c>
      <c r="O1338" s="3"/>
      <c r="P1338" s="3">
        <v>0</v>
      </c>
      <c r="Q1338" s="3">
        <v>0</v>
      </c>
      <c r="R1338" s="3">
        <v>0</v>
      </c>
      <c r="S1338" s="3">
        <v>0</v>
      </c>
      <c r="T1338" s="3">
        <v>0</v>
      </c>
      <c r="U1338" s="3"/>
      <c r="V1338" s="3"/>
      <c r="W1338" s="3"/>
      <c r="X1338" s="3"/>
      <c r="Y1338" s="3"/>
      <c r="Z1338" s="3"/>
      <c r="AA1338" s="3"/>
      <c r="AB1338" s="3"/>
      <c r="AC1338" s="3"/>
      <c r="AD1338" s="3"/>
      <c r="AE1338" s="3">
        <v>0</v>
      </c>
      <c r="AF1338" s="3">
        <v>0</v>
      </c>
      <c r="AG1338" s="3"/>
      <c r="AH1338" s="40"/>
      <c r="AI1338" s="40"/>
      <c r="AJ1338" s="40"/>
      <c r="AK1338" s="40"/>
      <c r="AL1338" s="40"/>
      <c r="AM1338" s="40"/>
      <c r="AN1338" s="40"/>
      <c r="AO1338" s="40"/>
      <c r="AP1338" s="40"/>
      <c r="AQ1338" s="40"/>
      <c r="AR1338" s="31"/>
      <c r="AS1338" s="36">
        <v>0</v>
      </c>
      <c r="AY1338" s="6"/>
      <c r="AZ1338" s="2"/>
      <c r="BA1338" s="2"/>
      <c r="BB1338" s="2"/>
      <c r="BC1338">
        <v>71500</v>
      </c>
      <c r="BD1338">
        <v>56992</v>
      </c>
    </row>
    <row r="1339" spans="3:56" x14ac:dyDescent="0.25">
      <c r="C1339" s="1">
        <v>46959</v>
      </c>
      <c r="D1339" s="36">
        <v>249932.632258064</v>
      </c>
      <c r="E1339" s="33">
        <v>4.2064516129032299</v>
      </c>
      <c r="F1339" s="33">
        <v>3.4047019354838701</v>
      </c>
      <c r="G1339" s="2">
        <v>0.80940000000000001</v>
      </c>
      <c r="H1339" s="2">
        <v>0.99</v>
      </c>
      <c r="I1339" s="3"/>
      <c r="J1339" s="3"/>
      <c r="K1339" s="3"/>
      <c r="L1339" s="3"/>
      <c r="M1339" s="3"/>
      <c r="N1339" s="3">
        <v>0</v>
      </c>
      <c r="O1339" s="3"/>
      <c r="P1339" s="3">
        <v>0</v>
      </c>
      <c r="Q1339" s="3">
        <v>0</v>
      </c>
      <c r="R1339" s="3">
        <v>0</v>
      </c>
      <c r="S1339" s="3">
        <v>0</v>
      </c>
      <c r="T1339" s="3">
        <v>0</v>
      </c>
      <c r="U1339" s="3"/>
      <c r="V1339" s="3"/>
      <c r="W1339" s="3"/>
      <c r="X1339" s="3"/>
      <c r="Y1339" s="3"/>
      <c r="Z1339" s="3"/>
      <c r="AA1339" s="3"/>
      <c r="AB1339" s="3"/>
      <c r="AC1339" s="3"/>
      <c r="AD1339" s="3"/>
      <c r="AE1339" s="3">
        <v>0</v>
      </c>
      <c r="AF1339" s="3">
        <v>0</v>
      </c>
      <c r="AG1339" s="3"/>
      <c r="AH1339" s="40"/>
      <c r="AI1339" s="40"/>
      <c r="AJ1339" s="40"/>
      <c r="AK1339" s="40"/>
      <c r="AL1339" s="40"/>
      <c r="AM1339" s="40"/>
      <c r="AN1339" s="40"/>
      <c r="AO1339" s="40"/>
      <c r="AP1339" s="40"/>
      <c r="AQ1339" s="40"/>
      <c r="AR1339" s="31"/>
      <c r="AS1339" s="36">
        <v>0</v>
      </c>
      <c r="AY1339" s="6"/>
      <c r="AZ1339" s="2"/>
      <c r="BA1339" s="2"/>
      <c r="BB1339" s="2"/>
      <c r="BC1339">
        <v>71500</v>
      </c>
      <c r="BD1339">
        <v>56992</v>
      </c>
    </row>
    <row r="1340" spans="3:56" x14ac:dyDescent="0.25">
      <c r="C1340" s="1">
        <v>46960</v>
      </c>
      <c r="D1340" s="36">
        <v>249932.632258064</v>
      </c>
      <c r="E1340" s="33">
        <v>4.2064516129032299</v>
      </c>
      <c r="F1340" s="33">
        <v>3.40465519713262</v>
      </c>
      <c r="G1340" s="2">
        <v>0.80938888888888905</v>
      </c>
      <c r="H1340" s="2">
        <v>0.99</v>
      </c>
      <c r="I1340" s="3"/>
      <c r="J1340" s="3"/>
      <c r="K1340" s="3"/>
      <c r="L1340" s="3"/>
      <c r="M1340" s="3"/>
      <c r="N1340" s="3">
        <v>0</v>
      </c>
      <c r="O1340" s="3"/>
      <c r="P1340" s="3">
        <v>0</v>
      </c>
      <c r="Q1340" s="3">
        <v>0</v>
      </c>
      <c r="R1340" s="3">
        <v>0</v>
      </c>
      <c r="S1340" s="3">
        <v>0</v>
      </c>
      <c r="T1340" s="3">
        <v>0</v>
      </c>
      <c r="U1340" s="3"/>
      <c r="V1340" s="3"/>
      <c r="W1340" s="3"/>
      <c r="X1340" s="3"/>
      <c r="Y1340" s="3"/>
      <c r="Z1340" s="3"/>
      <c r="AA1340" s="3"/>
      <c r="AB1340" s="3"/>
      <c r="AC1340" s="3"/>
      <c r="AD1340" s="3"/>
      <c r="AE1340" s="3">
        <v>0</v>
      </c>
      <c r="AF1340" s="3">
        <v>0</v>
      </c>
      <c r="AG1340" s="3"/>
      <c r="AH1340" s="40"/>
      <c r="AI1340" s="40"/>
      <c r="AJ1340" s="40"/>
      <c r="AK1340" s="40"/>
      <c r="AL1340" s="40"/>
      <c r="AM1340" s="40"/>
      <c r="AN1340" s="40"/>
      <c r="AO1340" s="40"/>
      <c r="AP1340" s="40"/>
      <c r="AQ1340" s="40"/>
      <c r="AR1340" s="31"/>
      <c r="AS1340" s="36">
        <v>0</v>
      </c>
      <c r="AY1340" s="6"/>
      <c r="AZ1340" s="2"/>
      <c r="BA1340" s="2"/>
      <c r="BB1340" s="2"/>
      <c r="BC1340">
        <v>71500</v>
      </c>
      <c r="BD1340">
        <v>56992</v>
      </c>
    </row>
    <row r="1341" spans="3:56" x14ac:dyDescent="0.25">
      <c r="C1341" s="1">
        <v>46961</v>
      </c>
      <c r="D1341" s="36">
        <v>249932.632258064</v>
      </c>
      <c r="E1341" s="33">
        <v>4.2064516129032299</v>
      </c>
      <c r="F1341" s="33">
        <v>3.4046084587813601</v>
      </c>
      <c r="G1341" s="2">
        <v>0.80937777777777797</v>
      </c>
      <c r="H1341" s="2">
        <v>0.99</v>
      </c>
      <c r="I1341" s="3"/>
      <c r="J1341" s="3"/>
      <c r="K1341" s="3"/>
      <c r="L1341" s="3"/>
      <c r="M1341" s="3"/>
      <c r="N1341" s="3">
        <v>0</v>
      </c>
      <c r="O1341" s="3"/>
      <c r="P1341" s="3">
        <v>0</v>
      </c>
      <c r="Q1341" s="3">
        <v>0</v>
      </c>
      <c r="R1341" s="3">
        <v>0</v>
      </c>
      <c r="S1341" s="3">
        <v>0</v>
      </c>
      <c r="T1341" s="3">
        <v>0</v>
      </c>
      <c r="U1341" s="3"/>
      <c r="V1341" s="3"/>
      <c r="W1341" s="3"/>
      <c r="X1341" s="3"/>
      <c r="Y1341" s="3"/>
      <c r="Z1341" s="3"/>
      <c r="AA1341" s="3"/>
      <c r="AB1341" s="3"/>
      <c r="AC1341" s="3"/>
      <c r="AD1341" s="3"/>
      <c r="AE1341" s="3">
        <v>0</v>
      </c>
      <c r="AF1341" s="3">
        <v>0</v>
      </c>
      <c r="AG1341" s="3"/>
      <c r="AH1341" s="40"/>
      <c r="AI1341" s="40"/>
      <c r="AJ1341" s="40"/>
      <c r="AK1341" s="40"/>
      <c r="AL1341" s="40"/>
      <c r="AM1341" s="40"/>
      <c r="AN1341" s="40"/>
      <c r="AO1341" s="40"/>
      <c r="AP1341" s="40"/>
      <c r="AQ1341" s="40"/>
      <c r="AR1341" s="31"/>
      <c r="AS1341" s="36">
        <v>0</v>
      </c>
      <c r="AY1341" s="6"/>
      <c r="AZ1341" s="2"/>
      <c r="BA1341" s="2"/>
      <c r="BB1341" s="2"/>
      <c r="BC1341">
        <v>71500</v>
      </c>
      <c r="BD1341">
        <v>56992</v>
      </c>
    </row>
    <row r="1342" spans="3:56" x14ac:dyDescent="0.25">
      <c r="C1342" s="1">
        <v>46962</v>
      </c>
      <c r="D1342" s="36">
        <v>249932.632258064</v>
      </c>
      <c r="E1342" s="33">
        <v>4.2064516129032299</v>
      </c>
      <c r="F1342" s="33">
        <v>3.40456172043011</v>
      </c>
      <c r="G1342" s="2">
        <v>0.80936666666666701</v>
      </c>
      <c r="H1342" s="2">
        <v>0.99</v>
      </c>
      <c r="I1342" s="3"/>
      <c r="J1342" s="3"/>
      <c r="K1342" s="3"/>
      <c r="L1342" s="3"/>
      <c r="M1342" s="3"/>
      <c r="N1342" s="3">
        <v>0</v>
      </c>
      <c r="O1342" s="3"/>
      <c r="P1342" s="3">
        <v>0</v>
      </c>
      <c r="Q1342" s="3">
        <v>0</v>
      </c>
      <c r="R1342" s="3">
        <v>0</v>
      </c>
      <c r="S1342" s="3">
        <v>0</v>
      </c>
      <c r="T1342" s="3">
        <v>0</v>
      </c>
      <c r="U1342" s="3"/>
      <c r="V1342" s="3"/>
      <c r="W1342" s="3"/>
      <c r="X1342" s="3"/>
      <c r="Y1342" s="3"/>
      <c r="Z1342" s="3"/>
      <c r="AA1342" s="3"/>
      <c r="AB1342" s="3"/>
      <c r="AC1342" s="3"/>
      <c r="AD1342" s="3"/>
      <c r="AE1342" s="3">
        <v>0</v>
      </c>
      <c r="AF1342" s="3">
        <v>0</v>
      </c>
      <c r="AG1342" s="3"/>
      <c r="AH1342" s="40"/>
      <c r="AI1342" s="40"/>
      <c r="AJ1342" s="40"/>
      <c r="AK1342" s="40"/>
      <c r="AL1342" s="40"/>
      <c r="AM1342" s="40"/>
      <c r="AN1342" s="40"/>
      <c r="AO1342" s="40"/>
      <c r="AP1342" s="40"/>
      <c r="AQ1342" s="40"/>
      <c r="AR1342" s="31"/>
      <c r="AS1342" s="36">
        <v>0</v>
      </c>
      <c r="AY1342" s="6"/>
      <c r="AZ1342" s="2"/>
      <c r="BA1342" s="2"/>
      <c r="BB1342" s="2"/>
      <c r="BC1342">
        <v>71500</v>
      </c>
      <c r="BD1342">
        <v>56992</v>
      </c>
    </row>
    <row r="1343" spans="3:56" x14ac:dyDescent="0.25">
      <c r="C1343" s="1">
        <v>46963</v>
      </c>
      <c r="D1343" s="36">
        <v>249932.632258064</v>
      </c>
      <c r="E1343" s="33">
        <v>4.2064516129032299</v>
      </c>
      <c r="F1343" s="33">
        <v>3.4045149820788501</v>
      </c>
      <c r="G1343" s="2">
        <v>0.80935555555555505</v>
      </c>
      <c r="H1343" s="2">
        <v>0.99</v>
      </c>
      <c r="I1343" s="3"/>
      <c r="J1343" s="3"/>
      <c r="K1343" s="3"/>
      <c r="L1343" s="3"/>
      <c r="M1343" s="3"/>
      <c r="N1343" s="3">
        <v>0</v>
      </c>
      <c r="O1343" s="3"/>
      <c r="P1343" s="3">
        <v>0</v>
      </c>
      <c r="Q1343" s="3">
        <v>0</v>
      </c>
      <c r="R1343" s="3">
        <v>0</v>
      </c>
      <c r="S1343" s="3">
        <v>0</v>
      </c>
      <c r="T1343" s="3">
        <v>0</v>
      </c>
      <c r="U1343" s="3"/>
      <c r="V1343" s="3"/>
      <c r="W1343" s="3"/>
      <c r="X1343" s="3"/>
      <c r="Y1343" s="3"/>
      <c r="Z1343" s="3"/>
      <c r="AA1343" s="3"/>
      <c r="AB1343" s="3"/>
      <c r="AC1343" s="3"/>
      <c r="AD1343" s="3"/>
      <c r="AE1343" s="3">
        <v>0</v>
      </c>
      <c r="AF1343" s="3">
        <v>0</v>
      </c>
      <c r="AG1343" s="3"/>
      <c r="AH1343" s="40"/>
      <c r="AI1343" s="40"/>
      <c r="AJ1343" s="40"/>
      <c r="AK1343" s="40"/>
      <c r="AL1343" s="40"/>
      <c r="AM1343" s="40"/>
      <c r="AN1343" s="40"/>
      <c r="AO1343" s="40"/>
      <c r="AP1343" s="40"/>
      <c r="AQ1343" s="40"/>
      <c r="AR1343" s="31"/>
      <c r="AS1343" s="36">
        <v>0</v>
      </c>
      <c r="AY1343" s="6"/>
      <c r="AZ1343" s="2"/>
      <c r="BA1343" s="2"/>
      <c r="BB1343" s="2"/>
      <c r="BC1343">
        <v>71500</v>
      </c>
      <c r="BD1343">
        <v>56992</v>
      </c>
    </row>
    <row r="1344" spans="3:56" x14ac:dyDescent="0.25">
      <c r="C1344" s="1">
        <v>46964</v>
      </c>
      <c r="D1344" s="36">
        <v>249932.632258064</v>
      </c>
      <c r="E1344" s="33">
        <v>4.2064516129032299</v>
      </c>
      <c r="F1344" s="33">
        <v>3.4044682437275999</v>
      </c>
      <c r="G1344" s="2">
        <v>0.80934444444444398</v>
      </c>
      <c r="H1344" s="2">
        <v>0.99</v>
      </c>
      <c r="I1344" s="3"/>
      <c r="J1344" s="3"/>
      <c r="K1344" s="3"/>
      <c r="L1344" s="3"/>
      <c r="M1344" s="3"/>
      <c r="N1344" s="3">
        <v>0</v>
      </c>
      <c r="O1344" s="3"/>
      <c r="P1344" s="3">
        <v>0</v>
      </c>
      <c r="Q1344" s="3">
        <v>0</v>
      </c>
      <c r="R1344" s="3">
        <v>0</v>
      </c>
      <c r="S1344" s="3">
        <v>0</v>
      </c>
      <c r="T1344" s="3">
        <v>0</v>
      </c>
      <c r="U1344" s="3"/>
      <c r="V1344" s="3"/>
      <c r="W1344" s="3"/>
      <c r="X1344" s="3"/>
      <c r="Y1344" s="3"/>
      <c r="Z1344" s="3"/>
      <c r="AA1344" s="3"/>
      <c r="AB1344" s="3"/>
      <c r="AC1344" s="3"/>
      <c r="AD1344" s="3"/>
      <c r="AE1344" s="3">
        <v>0</v>
      </c>
      <c r="AF1344" s="3">
        <v>0</v>
      </c>
      <c r="AG1344" s="3"/>
      <c r="AH1344" s="40"/>
      <c r="AI1344" s="40"/>
      <c r="AJ1344" s="40"/>
      <c r="AK1344" s="40"/>
      <c r="AL1344" s="40"/>
      <c r="AM1344" s="40"/>
      <c r="AN1344" s="40"/>
      <c r="AO1344" s="40"/>
      <c r="AP1344" s="40"/>
      <c r="AQ1344" s="40"/>
      <c r="AR1344" s="31"/>
      <c r="AS1344" s="36">
        <v>0</v>
      </c>
      <c r="AY1344" s="6"/>
      <c r="AZ1344" s="2"/>
      <c r="BA1344" s="2"/>
      <c r="BB1344" s="2"/>
      <c r="BC1344">
        <v>71500</v>
      </c>
      <c r="BD1344">
        <v>56992</v>
      </c>
    </row>
    <row r="1345" spans="3:56" x14ac:dyDescent="0.25">
      <c r="C1345" s="1">
        <v>46965</v>
      </c>
      <c r="D1345" s="36">
        <v>249932.632258064</v>
      </c>
      <c r="E1345" s="33">
        <v>4.2064516129032299</v>
      </c>
      <c r="F1345" s="33">
        <v>3.40442150537634</v>
      </c>
      <c r="G1345" s="2">
        <v>0.80933333333333302</v>
      </c>
      <c r="H1345" s="2">
        <v>0.99</v>
      </c>
      <c r="I1345" s="3"/>
      <c r="J1345" s="3"/>
      <c r="K1345" s="3"/>
      <c r="L1345" s="3"/>
      <c r="M1345" s="3"/>
      <c r="N1345" s="3">
        <v>0</v>
      </c>
      <c r="O1345" s="3"/>
      <c r="P1345" s="3">
        <v>0</v>
      </c>
      <c r="Q1345" s="3">
        <v>0</v>
      </c>
      <c r="R1345" s="3">
        <v>0</v>
      </c>
      <c r="S1345" s="3">
        <v>0</v>
      </c>
      <c r="T1345" s="3">
        <v>0</v>
      </c>
      <c r="U1345" s="3"/>
      <c r="V1345" s="3"/>
      <c r="W1345" s="3"/>
      <c r="X1345" s="3"/>
      <c r="Y1345" s="3"/>
      <c r="Z1345" s="3"/>
      <c r="AA1345" s="3"/>
      <c r="AB1345" s="3"/>
      <c r="AC1345" s="3"/>
      <c r="AD1345" s="3"/>
      <c r="AE1345" s="3">
        <v>0</v>
      </c>
      <c r="AF1345" s="3">
        <v>0</v>
      </c>
      <c r="AG1345" s="3"/>
      <c r="AH1345" s="40"/>
      <c r="AI1345" s="40"/>
      <c r="AJ1345" s="40"/>
      <c r="AK1345" s="40"/>
      <c r="AL1345" s="40"/>
      <c r="AM1345" s="40"/>
      <c r="AN1345" s="40"/>
      <c r="AO1345" s="40"/>
      <c r="AP1345" s="40"/>
      <c r="AQ1345" s="40"/>
      <c r="AR1345" s="31"/>
      <c r="AS1345" s="36">
        <v>0</v>
      </c>
      <c r="AY1345" s="6"/>
      <c r="AZ1345" s="2"/>
      <c r="BA1345" s="2"/>
      <c r="BB1345" s="2"/>
      <c r="BC1345">
        <v>71500</v>
      </c>
      <c r="BD1345">
        <v>56992</v>
      </c>
    </row>
    <row r="1346" spans="3:56" x14ac:dyDescent="0.25">
      <c r="C1346" s="1">
        <v>46966</v>
      </c>
      <c r="D1346" s="36">
        <v>261950.629032258</v>
      </c>
      <c r="E1346" s="33">
        <v>4.4193548387096797</v>
      </c>
      <c r="F1346" s="33">
        <v>3.5767311827957</v>
      </c>
      <c r="G1346" s="2">
        <v>0.80933333333333302</v>
      </c>
      <c r="H1346" s="2">
        <v>0.99</v>
      </c>
      <c r="I1346" s="3"/>
      <c r="J1346" s="3"/>
      <c r="K1346" s="3"/>
      <c r="L1346" s="3"/>
      <c r="M1346" s="3"/>
      <c r="N1346" s="3">
        <v>0</v>
      </c>
      <c r="O1346" s="3"/>
      <c r="P1346" s="3">
        <v>0</v>
      </c>
      <c r="Q1346" s="3">
        <v>0</v>
      </c>
      <c r="R1346" s="3">
        <v>0</v>
      </c>
      <c r="S1346" s="3">
        <v>0</v>
      </c>
      <c r="T1346" s="3">
        <v>0</v>
      </c>
      <c r="U1346" s="3"/>
      <c r="V1346" s="3"/>
      <c r="W1346" s="3"/>
      <c r="X1346" s="3"/>
      <c r="Y1346" s="3"/>
      <c r="Z1346" s="3"/>
      <c r="AA1346" s="3"/>
      <c r="AB1346" s="3"/>
      <c r="AC1346" s="3"/>
      <c r="AD1346" s="3"/>
      <c r="AE1346" s="3">
        <v>0</v>
      </c>
      <c r="AF1346" s="3">
        <v>0</v>
      </c>
      <c r="AG1346" s="3"/>
      <c r="AH1346" s="40"/>
      <c r="AI1346" s="40"/>
      <c r="AJ1346" s="40"/>
      <c r="AK1346" s="40"/>
      <c r="AL1346" s="40"/>
      <c r="AM1346" s="40"/>
      <c r="AN1346" s="40"/>
      <c r="AO1346" s="40"/>
      <c r="AP1346" s="40"/>
      <c r="AQ1346" s="40"/>
      <c r="AR1346" s="31"/>
      <c r="AS1346" s="36">
        <v>0</v>
      </c>
      <c r="AY1346" s="6"/>
      <c r="AZ1346" s="2"/>
      <c r="BA1346" s="2"/>
      <c r="BB1346" s="2"/>
      <c r="BC1346">
        <v>71500</v>
      </c>
      <c r="BD1346">
        <v>56992</v>
      </c>
    </row>
    <row r="1347" spans="3:56" x14ac:dyDescent="0.25">
      <c r="C1347" s="1">
        <v>46967</v>
      </c>
      <c r="D1347" s="36">
        <v>261950.629032258</v>
      </c>
      <c r="E1347" s="33">
        <v>4.4193548387096797</v>
      </c>
      <c r="F1347" s="33">
        <v>3.5766820788530498</v>
      </c>
      <c r="G1347" s="2">
        <v>0.80932222222222205</v>
      </c>
      <c r="H1347" s="2">
        <v>0.99</v>
      </c>
      <c r="I1347" s="3"/>
      <c r="J1347" s="3"/>
      <c r="K1347" s="3"/>
      <c r="L1347" s="3"/>
      <c r="M1347" s="3"/>
      <c r="N1347" s="3">
        <v>0</v>
      </c>
      <c r="O1347" s="3"/>
      <c r="P1347" s="3">
        <v>0</v>
      </c>
      <c r="Q1347" s="3">
        <v>0</v>
      </c>
      <c r="R1347" s="3">
        <v>0</v>
      </c>
      <c r="S1347" s="3">
        <v>0</v>
      </c>
      <c r="T1347" s="3">
        <v>0</v>
      </c>
      <c r="U1347" s="3"/>
      <c r="V1347" s="3"/>
      <c r="W1347" s="3"/>
      <c r="X1347" s="3"/>
      <c r="Y1347" s="3"/>
      <c r="Z1347" s="3"/>
      <c r="AA1347" s="3"/>
      <c r="AB1347" s="3"/>
      <c r="AC1347" s="3"/>
      <c r="AD1347" s="3"/>
      <c r="AE1347" s="3">
        <v>0</v>
      </c>
      <c r="AF1347" s="3">
        <v>0</v>
      </c>
      <c r="AG1347" s="3"/>
      <c r="AH1347" s="40"/>
      <c r="AI1347" s="40"/>
      <c r="AJ1347" s="40"/>
      <c r="AK1347" s="40"/>
      <c r="AL1347" s="40"/>
      <c r="AM1347" s="40"/>
      <c r="AN1347" s="40"/>
      <c r="AO1347" s="40"/>
      <c r="AP1347" s="40"/>
      <c r="AQ1347" s="40"/>
      <c r="AR1347" s="31"/>
      <c r="AS1347" s="36">
        <v>0</v>
      </c>
      <c r="AY1347" s="6"/>
      <c r="AZ1347" s="2"/>
      <c r="BA1347" s="2"/>
      <c r="BB1347" s="2"/>
      <c r="BC1347">
        <v>71500</v>
      </c>
      <c r="BD1347">
        <v>56992</v>
      </c>
    </row>
    <row r="1348" spans="3:56" x14ac:dyDescent="0.25">
      <c r="C1348" s="1">
        <v>46968</v>
      </c>
      <c r="D1348" s="36">
        <v>261950.629032258</v>
      </c>
      <c r="E1348" s="33">
        <v>4.4193548387096797</v>
      </c>
      <c r="F1348" s="33">
        <v>3.5766329749103898</v>
      </c>
      <c r="G1348" s="2">
        <v>0.80931111111111098</v>
      </c>
      <c r="H1348" s="2">
        <v>0.99</v>
      </c>
      <c r="I1348" s="3"/>
      <c r="J1348" s="3"/>
      <c r="K1348" s="3"/>
      <c r="L1348" s="3"/>
      <c r="M1348" s="3"/>
      <c r="N1348" s="3">
        <v>0</v>
      </c>
      <c r="O1348" s="3"/>
      <c r="P1348" s="3">
        <v>0</v>
      </c>
      <c r="Q1348" s="3">
        <v>0</v>
      </c>
      <c r="R1348" s="3">
        <v>0</v>
      </c>
      <c r="S1348" s="3">
        <v>0</v>
      </c>
      <c r="T1348" s="3">
        <v>0</v>
      </c>
      <c r="U1348" s="3"/>
      <c r="V1348" s="3"/>
      <c r="W1348" s="3"/>
      <c r="X1348" s="3"/>
      <c r="Y1348" s="3"/>
      <c r="Z1348" s="3"/>
      <c r="AA1348" s="3"/>
      <c r="AB1348" s="3"/>
      <c r="AC1348" s="3"/>
      <c r="AD1348" s="3"/>
      <c r="AE1348" s="3">
        <v>0</v>
      </c>
      <c r="AF1348" s="3">
        <v>0</v>
      </c>
      <c r="AG1348" s="3"/>
      <c r="AH1348" s="40"/>
      <c r="AI1348" s="40"/>
      <c r="AJ1348" s="40"/>
      <c r="AK1348" s="40"/>
      <c r="AL1348" s="40"/>
      <c r="AM1348" s="40"/>
      <c r="AN1348" s="40"/>
      <c r="AO1348" s="40"/>
      <c r="AP1348" s="40"/>
      <c r="AQ1348" s="40"/>
      <c r="AR1348" s="31"/>
      <c r="AS1348" s="36">
        <v>0</v>
      </c>
      <c r="AY1348" s="6"/>
      <c r="AZ1348" s="2"/>
      <c r="BA1348" s="2"/>
      <c r="BB1348" s="2"/>
      <c r="BC1348">
        <v>71500</v>
      </c>
      <c r="BD1348">
        <v>56992</v>
      </c>
    </row>
    <row r="1349" spans="3:56" x14ac:dyDescent="0.25">
      <c r="C1349" s="1">
        <v>46969</v>
      </c>
      <c r="D1349" s="36">
        <v>261950.629032258</v>
      </c>
      <c r="E1349" s="33">
        <v>4.4193548387096797</v>
      </c>
      <c r="F1349" s="33">
        <v>3.57658387096774</v>
      </c>
      <c r="G1349" s="2">
        <v>0.80930000000000002</v>
      </c>
      <c r="H1349" s="2">
        <v>0.99</v>
      </c>
      <c r="I1349" s="3"/>
      <c r="J1349" s="3"/>
      <c r="K1349" s="3"/>
      <c r="L1349" s="3"/>
      <c r="M1349" s="3"/>
      <c r="N1349" s="3">
        <v>0</v>
      </c>
      <c r="O1349" s="3"/>
      <c r="P1349" s="3">
        <v>0</v>
      </c>
      <c r="Q1349" s="3">
        <v>0</v>
      </c>
      <c r="R1349" s="3">
        <v>0</v>
      </c>
      <c r="S1349" s="3">
        <v>0</v>
      </c>
      <c r="T1349" s="3">
        <v>0</v>
      </c>
      <c r="U1349" s="3"/>
      <c r="V1349" s="3"/>
      <c r="W1349" s="3"/>
      <c r="X1349" s="3"/>
      <c r="Y1349" s="3"/>
      <c r="Z1349" s="3"/>
      <c r="AA1349" s="3"/>
      <c r="AB1349" s="3"/>
      <c r="AC1349" s="3"/>
      <c r="AD1349" s="3"/>
      <c r="AE1349" s="3">
        <v>0</v>
      </c>
      <c r="AF1349" s="3">
        <v>0</v>
      </c>
      <c r="AG1349" s="3"/>
      <c r="AH1349" s="40"/>
      <c r="AI1349" s="40"/>
      <c r="AJ1349" s="40"/>
      <c r="AK1349" s="40"/>
      <c r="AL1349" s="40"/>
      <c r="AM1349" s="40"/>
      <c r="AN1349" s="40"/>
      <c r="AO1349" s="40"/>
      <c r="AP1349" s="40"/>
      <c r="AQ1349" s="40"/>
      <c r="AR1349" s="31"/>
      <c r="AS1349" s="36">
        <v>0</v>
      </c>
      <c r="AY1349" s="6"/>
      <c r="AZ1349" s="2"/>
      <c r="BA1349" s="2"/>
      <c r="BB1349" s="2"/>
      <c r="BC1349">
        <v>71500</v>
      </c>
      <c r="BD1349">
        <v>56992</v>
      </c>
    </row>
    <row r="1350" spans="3:56" x14ac:dyDescent="0.25">
      <c r="C1350" s="1">
        <v>46970</v>
      </c>
      <c r="D1350" s="36">
        <v>261950.629032258</v>
      </c>
      <c r="E1350" s="33">
        <v>4.4193548387096797</v>
      </c>
      <c r="F1350" s="33">
        <v>3.5765347670250902</v>
      </c>
      <c r="G1350" s="2">
        <v>0.80928888888888895</v>
      </c>
      <c r="H1350" s="2">
        <v>0.99</v>
      </c>
      <c r="I1350" s="3"/>
      <c r="J1350" s="3"/>
      <c r="K1350" s="3"/>
      <c r="L1350" s="3"/>
      <c r="M1350" s="3"/>
      <c r="N1350" s="3">
        <v>0</v>
      </c>
      <c r="O1350" s="3"/>
      <c r="P1350" s="3">
        <v>0</v>
      </c>
      <c r="Q1350" s="3">
        <v>0</v>
      </c>
      <c r="R1350" s="3">
        <v>0</v>
      </c>
      <c r="S1350" s="3">
        <v>0</v>
      </c>
      <c r="T1350" s="3">
        <v>0</v>
      </c>
      <c r="U1350" s="3"/>
      <c r="V1350" s="3"/>
      <c r="W1350" s="3"/>
      <c r="X1350" s="3"/>
      <c r="Y1350" s="3"/>
      <c r="Z1350" s="3"/>
      <c r="AA1350" s="3"/>
      <c r="AB1350" s="3"/>
      <c r="AC1350" s="3"/>
      <c r="AD1350" s="3"/>
      <c r="AE1350" s="3">
        <v>0</v>
      </c>
      <c r="AF1350" s="3">
        <v>0</v>
      </c>
      <c r="AG1350" s="3"/>
      <c r="AH1350" s="40"/>
      <c r="AI1350" s="40"/>
      <c r="AJ1350" s="40"/>
      <c r="AK1350" s="40"/>
      <c r="AL1350" s="40"/>
      <c r="AM1350" s="40"/>
      <c r="AN1350" s="40"/>
      <c r="AO1350" s="40"/>
      <c r="AP1350" s="40"/>
      <c r="AQ1350" s="40"/>
      <c r="AR1350" s="31"/>
      <c r="AS1350" s="36">
        <v>0</v>
      </c>
      <c r="AY1350" s="6"/>
      <c r="AZ1350" s="2"/>
      <c r="BA1350" s="2"/>
      <c r="BB1350" s="2"/>
      <c r="BC1350">
        <v>71500</v>
      </c>
      <c r="BD1350">
        <v>56992</v>
      </c>
    </row>
    <row r="1351" spans="3:56" x14ac:dyDescent="0.25">
      <c r="C1351" s="1">
        <v>46971</v>
      </c>
      <c r="D1351" s="36">
        <v>261950.629032258</v>
      </c>
      <c r="E1351" s="33">
        <v>4.4193548387096797</v>
      </c>
      <c r="F1351" s="33">
        <v>3.57648566308244</v>
      </c>
      <c r="G1351" s="2">
        <v>0.80927777777777798</v>
      </c>
      <c r="H1351" s="2">
        <v>0.99</v>
      </c>
      <c r="I1351" s="3"/>
      <c r="J1351" s="3"/>
      <c r="K1351" s="3"/>
      <c r="L1351" s="3"/>
      <c r="M1351" s="3"/>
      <c r="N1351" s="3">
        <v>0</v>
      </c>
      <c r="O1351" s="3"/>
      <c r="P1351" s="3">
        <v>0</v>
      </c>
      <c r="Q1351" s="3">
        <v>0</v>
      </c>
      <c r="R1351" s="3">
        <v>0</v>
      </c>
      <c r="S1351" s="3">
        <v>0</v>
      </c>
      <c r="T1351" s="3">
        <v>0</v>
      </c>
      <c r="U1351" s="3"/>
      <c r="V1351" s="3"/>
      <c r="W1351" s="3"/>
      <c r="X1351" s="3"/>
      <c r="Y1351" s="3"/>
      <c r="Z1351" s="3"/>
      <c r="AA1351" s="3"/>
      <c r="AB1351" s="3"/>
      <c r="AC1351" s="3"/>
      <c r="AD1351" s="3"/>
      <c r="AE1351" s="3">
        <v>0</v>
      </c>
      <c r="AF1351" s="3">
        <v>0</v>
      </c>
      <c r="AG1351" s="3"/>
      <c r="AH1351" s="40"/>
      <c r="AI1351" s="40"/>
      <c r="AJ1351" s="40"/>
      <c r="AK1351" s="40"/>
      <c r="AL1351" s="40"/>
      <c r="AM1351" s="40"/>
      <c r="AN1351" s="40"/>
      <c r="AO1351" s="40"/>
      <c r="AP1351" s="40"/>
      <c r="AQ1351" s="40"/>
      <c r="AR1351" s="31"/>
      <c r="AS1351" s="36">
        <v>0</v>
      </c>
      <c r="AY1351" s="6"/>
      <c r="AZ1351" s="2"/>
      <c r="BA1351" s="2"/>
      <c r="BB1351" s="2"/>
      <c r="BC1351">
        <v>71500</v>
      </c>
      <c r="BD1351">
        <v>56992</v>
      </c>
    </row>
    <row r="1352" spans="3:56" x14ac:dyDescent="0.25">
      <c r="C1352" s="1">
        <v>46972</v>
      </c>
      <c r="D1352" s="36">
        <v>261950.629032258</v>
      </c>
      <c r="E1352" s="33">
        <v>4.4193548387096797</v>
      </c>
      <c r="F1352" s="33">
        <v>3.57643655913978</v>
      </c>
      <c r="G1352" s="2">
        <v>0.80926666666666702</v>
      </c>
      <c r="H1352" s="2">
        <v>0.99</v>
      </c>
      <c r="I1352" s="3"/>
      <c r="J1352" s="3"/>
      <c r="K1352" s="3"/>
      <c r="L1352" s="3"/>
      <c r="M1352" s="3"/>
      <c r="N1352" s="3">
        <v>0</v>
      </c>
      <c r="O1352" s="3"/>
      <c r="P1352" s="3">
        <v>0</v>
      </c>
      <c r="Q1352" s="3">
        <v>0</v>
      </c>
      <c r="R1352" s="3">
        <v>0</v>
      </c>
      <c r="S1352" s="3">
        <v>0</v>
      </c>
      <c r="T1352" s="3">
        <v>0</v>
      </c>
      <c r="U1352" s="3"/>
      <c r="V1352" s="3"/>
      <c r="W1352" s="3"/>
      <c r="X1352" s="3"/>
      <c r="Y1352" s="3"/>
      <c r="Z1352" s="3"/>
      <c r="AA1352" s="3"/>
      <c r="AB1352" s="3"/>
      <c r="AC1352" s="3"/>
      <c r="AD1352" s="3"/>
      <c r="AE1352" s="3">
        <v>0</v>
      </c>
      <c r="AF1352" s="3">
        <v>0</v>
      </c>
      <c r="AG1352" s="3"/>
      <c r="AH1352" s="40"/>
      <c r="AI1352" s="40"/>
      <c r="AJ1352" s="40"/>
      <c r="AK1352" s="40"/>
      <c r="AL1352" s="40"/>
      <c r="AM1352" s="40"/>
      <c r="AN1352" s="40"/>
      <c r="AO1352" s="40"/>
      <c r="AP1352" s="40"/>
      <c r="AQ1352" s="40"/>
      <c r="AR1352" s="31"/>
      <c r="AS1352" s="36">
        <v>0</v>
      </c>
      <c r="AY1352" s="6"/>
      <c r="AZ1352" s="2"/>
      <c r="BA1352" s="2"/>
      <c r="BB1352" s="2"/>
      <c r="BC1352">
        <v>71500</v>
      </c>
      <c r="BD1352">
        <v>56992</v>
      </c>
    </row>
    <row r="1353" spans="3:56" x14ac:dyDescent="0.25">
      <c r="C1353" s="1">
        <v>46973</v>
      </c>
      <c r="D1353" s="36">
        <v>261950.629032258</v>
      </c>
      <c r="E1353" s="33">
        <v>4.4193548387096797</v>
      </c>
      <c r="F1353" s="33">
        <v>3.5763874551971302</v>
      </c>
      <c r="G1353" s="2">
        <v>0.80925555555555595</v>
      </c>
      <c r="H1353" s="2">
        <v>0.99</v>
      </c>
      <c r="I1353" s="3"/>
      <c r="J1353" s="3"/>
      <c r="K1353" s="3"/>
      <c r="L1353" s="3"/>
      <c r="M1353" s="3"/>
      <c r="N1353" s="3">
        <v>0</v>
      </c>
      <c r="O1353" s="3"/>
      <c r="P1353" s="3">
        <v>0</v>
      </c>
      <c r="Q1353" s="3">
        <v>0</v>
      </c>
      <c r="R1353" s="3">
        <v>0</v>
      </c>
      <c r="S1353" s="3">
        <v>0</v>
      </c>
      <c r="T1353" s="3">
        <v>0</v>
      </c>
      <c r="U1353" s="3"/>
      <c r="V1353" s="3"/>
      <c r="W1353" s="3"/>
      <c r="X1353" s="3"/>
      <c r="Y1353" s="3"/>
      <c r="Z1353" s="3"/>
      <c r="AA1353" s="3"/>
      <c r="AB1353" s="3"/>
      <c r="AC1353" s="3"/>
      <c r="AD1353" s="3"/>
      <c r="AE1353" s="3">
        <v>0</v>
      </c>
      <c r="AF1353" s="3">
        <v>0</v>
      </c>
      <c r="AG1353" s="3"/>
      <c r="AH1353" s="40"/>
      <c r="AI1353" s="40"/>
      <c r="AJ1353" s="40"/>
      <c r="AK1353" s="40"/>
      <c r="AL1353" s="40"/>
      <c r="AM1353" s="40"/>
      <c r="AN1353" s="40"/>
      <c r="AO1353" s="40"/>
      <c r="AP1353" s="40"/>
      <c r="AQ1353" s="40"/>
      <c r="AR1353" s="31"/>
      <c r="AS1353" s="36">
        <v>0</v>
      </c>
      <c r="AY1353" s="6"/>
      <c r="AZ1353" s="2"/>
      <c r="BA1353" s="2"/>
      <c r="BB1353" s="2"/>
      <c r="BC1353">
        <v>71500</v>
      </c>
      <c r="BD1353">
        <v>56992</v>
      </c>
    </row>
    <row r="1354" spans="3:56" x14ac:dyDescent="0.25">
      <c r="C1354" s="1">
        <v>46974</v>
      </c>
      <c r="D1354" s="36">
        <v>261950.629032258</v>
      </c>
      <c r="E1354" s="33">
        <v>4.4193548387096797</v>
      </c>
      <c r="F1354" s="33">
        <v>3.57633835125448</v>
      </c>
      <c r="G1354" s="2">
        <v>0.80924444444444399</v>
      </c>
      <c r="H1354" s="2">
        <v>0.99</v>
      </c>
      <c r="I1354" s="3"/>
      <c r="J1354" s="3"/>
      <c r="K1354" s="3"/>
      <c r="L1354" s="3"/>
      <c r="M1354" s="3"/>
      <c r="N1354" s="3">
        <v>0</v>
      </c>
      <c r="O1354" s="3"/>
      <c r="P1354" s="3">
        <v>0</v>
      </c>
      <c r="Q1354" s="3">
        <v>0</v>
      </c>
      <c r="R1354" s="3">
        <v>0</v>
      </c>
      <c r="S1354" s="3">
        <v>0</v>
      </c>
      <c r="T1354" s="3">
        <v>0</v>
      </c>
      <c r="U1354" s="3"/>
      <c r="V1354" s="3"/>
      <c r="W1354" s="3"/>
      <c r="X1354" s="3"/>
      <c r="Y1354" s="3"/>
      <c r="Z1354" s="3"/>
      <c r="AA1354" s="3"/>
      <c r="AB1354" s="3"/>
      <c r="AC1354" s="3"/>
      <c r="AD1354" s="3"/>
      <c r="AE1354" s="3">
        <v>0</v>
      </c>
      <c r="AF1354" s="3">
        <v>0</v>
      </c>
      <c r="AG1354" s="3"/>
      <c r="AH1354" s="40"/>
      <c r="AI1354" s="40"/>
      <c r="AJ1354" s="40"/>
      <c r="AK1354" s="40"/>
      <c r="AL1354" s="40"/>
      <c r="AM1354" s="40"/>
      <c r="AN1354" s="40"/>
      <c r="AO1354" s="40"/>
      <c r="AP1354" s="40"/>
      <c r="AQ1354" s="40"/>
      <c r="AR1354" s="31"/>
      <c r="AS1354" s="36">
        <v>0</v>
      </c>
      <c r="AY1354" s="6"/>
      <c r="AZ1354" s="2"/>
      <c r="BA1354" s="2"/>
      <c r="BB1354" s="2"/>
      <c r="BC1354">
        <v>71500</v>
      </c>
      <c r="BD1354">
        <v>56992</v>
      </c>
    </row>
    <row r="1355" spans="3:56" x14ac:dyDescent="0.25">
      <c r="C1355" s="1">
        <v>46975</v>
      </c>
      <c r="D1355" s="36">
        <v>261950.629032258</v>
      </c>
      <c r="E1355" s="33">
        <v>4.4193548387096797</v>
      </c>
      <c r="F1355" s="33">
        <v>3.5762892473118302</v>
      </c>
      <c r="G1355" s="2">
        <v>0.80923333333333303</v>
      </c>
      <c r="H1355" s="2">
        <v>0.99</v>
      </c>
      <c r="I1355" s="3"/>
      <c r="J1355" s="3"/>
      <c r="K1355" s="3"/>
      <c r="L1355" s="3"/>
      <c r="M1355" s="3"/>
      <c r="N1355" s="3">
        <v>0</v>
      </c>
      <c r="O1355" s="3"/>
      <c r="P1355" s="3">
        <v>0</v>
      </c>
      <c r="Q1355" s="3">
        <v>0</v>
      </c>
      <c r="R1355" s="3">
        <v>0</v>
      </c>
      <c r="S1355" s="3">
        <v>0</v>
      </c>
      <c r="T1355" s="3">
        <v>0</v>
      </c>
      <c r="U1355" s="3"/>
      <c r="V1355" s="3"/>
      <c r="W1355" s="3"/>
      <c r="X1355" s="3"/>
      <c r="Y1355" s="3"/>
      <c r="Z1355" s="3"/>
      <c r="AA1355" s="3"/>
      <c r="AB1355" s="3"/>
      <c r="AC1355" s="3"/>
      <c r="AD1355" s="3"/>
      <c r="AE1355" s="3">
        <v>0</v>
      </c>
      <c r="AF1355" s="3">
        <v>0</v>
      </c>
      <c r="AG1355" s="3"/>
      <c r="AH1355" s="40"/>
      <c r="AI1355" s="40"/>
      <c r="AJ1355" s="40"/>
      <c r="AK1355" s="40"/>
      <c r="AL1355" s="40"/>
      <c r="AM1355" s="40"/>
      <c r="AN1355" s="40"/>
      <c r="AO1355" s="40"/>
      <c r="AP1355" s="40"/>
      <c r="AQ1355" s="40"/>
      <c r="AR1355" s="31"/>
      <c r="AS1355" s="36">
        <v>0</v>
      </c>
      <c r="AY1355" s="6"/>
      <c r="AZ1355" s="2"/>
      <c r="BA1355" s="2"/>
      <c r="BB1355" s="2"/>
      <c r="BC1355">
        <v>71500</v>
      </c>
      <c r="BD1355">
        <v>56992</v>
      </c>
    </row>
    <row r="1356" spans="3:56" x14ac:dyDescent="0.25">
      <c r="C1356" s="1">
        <v>46976</v>
      </c>
      <c r="D1356" s="36">
        <v>261950.629032258</v>
      </c>
      <c r="E1356" s="33">
        <v>4.4193548387096797</v>
      </c>
      <c r="F1356" s="33">
        <v>3.5762401433691799</v>
      </c>
      <c r="G1356" s="2">
        <v>0.80922222222222195</v>
      </c>
      <c r="H1356" s="2">
        <v>0.99</v>
      </c>
      <c r="I1356" s="3"/>
      <c r="J1356" s="3"/>
      <c r="K1356" s="3"/>
      <c r="L1356" s="3"/>
      <c r="M1356" s="3"/>
      <c r="N1356" s="3">
        <v>0</v>
      </c>
      <c r="O1356" s="3"/>
      <c r="P1356" s="3">
        <v>0</v>
      </c>
      <c r="Q1356" s="3">
        <v>0</v>
      </c>
      <c r="R1356" s="3">
        <v>0</v>
      </c>
      <c r="S1356" s="3">
        <v>0</v>
      </c>
      <c r="T1356" s="3">
        <v>0</v>
      </c>
      <c r="U1356" s="3"/>
      <c r="V1356" s="3"/>
      <c r="W1356" s="3"/>
      <c r="X1356" s="3"/>
      <c r="Y1356" s="3"/>
      <c r="Z1356" s="3"/>
      <c r="AA1356" s="3"/>
      <c r="AB1356" s="3"/>
      <c r="AC1356" s="3"/>
      <c r="AD1356" s="3"/>
      <c r="AE1356" s="3">
        <v>0</v>
      </c>
      <c r="AF1356" s="3">
        <v>0</v>
      </c>
      <c r="AG1356" s="3"/>
      <c r="AH1356" s="40"/>
      <c r="AI1356" s="40"/>
      <c r="AJ1356" s="40"/>
      <c r="AK1356" s="40"/>
      <c r="AL1356" s="40"/>
      <c r="AM1356" s="40"/>
      <c r="AN1356" s="40"/>
      <c r="AO1356" s="40"/>
      <c r="AP1356" s="40"/>
      <c r="AQ1356" s="40"/>
      <c r="AR1356" s="31"/>
      <c r="AS1356" s="36">
        <v>0</v>
      </c>
      <c r="AY1356" s="6"/>
      <c r="AZ1356" s="2"/>
      <c r="BA1356" s="2"/>
      <c r="BB1356" s="2"/>
      <c r="BC1356">
        <v>71500</v>
      </c>
      <c r="BD1356">
        <v>56992</v>
      </c>
    </row>
    <row r="1357" spans="3:56" x14ac:dyDescent="0.25">
      <c r="C1357" s="1">
        <v>46977</v>
      </c>
      <c r="D1357" s="36">
        <v>261950.629032258</v>
      </c>
      <c r="E1357" s="33">
        <v>4.4193548387096797</v>
      </c>
      <c r="F1357" s="33">
        <v>3.5761910394265199</v>
      </c>
      <c r="G1357" s="2">
        <v>0.80921111111111099</v>
      </c>
      <c r="H1357" s="2">
        <v>0.99</v>
      </c>
      <c r="I1357" s="3"/>
      <c r="J1357" s="3"/>
      <c r="K1357" s="3"/>
      <c r="L1357" s="3"/>
      <c r="M1357" s="3"/>
      <c r="N1357" s="3">
        <v>0</v>
      </c>
      <c r="O1357" s="3"/>
      <c r="P1357" s="3">
        <v>0</v>
      </c>
      <c r="Q1357" s="3">
        <v>0</v>
      </c>
      <c r="R1357" s="3">
        <v>0</v>
      </c>
      <c r="S1357" s="3">
        <v>0</v>
      </c>
      <c r="T1357" s="3">
        <v>0</v>
      </c>
      <c r="U1357" s="3"/>
      <c r="V1357" s="3"/>
      <c r="W1357" s="3"/>
      <c r="X1357" s="3"/>
      <c r="Y1357" s="3"/>
      <c r="Z1357" s="3"/>
      <c r="AA1357" s="3"/>
      <c r="AB1357" s="3"/>
      <c r="AC1357" s="3"/>
      <c r="AD1357" s="3"/>
      <c r="AE1357" s="3">
        <v>0</v>
      </c>
      <c r="AF1357" s="3">
        <v>0</v>
      </c>
      <c r="AG1357" s="3"/>
      <c r="AH1357" s="40"/>
      <c r="AI1357" s="40"/>
      <c r="AJ1357" s="40"/>
      <c r="AK1357" s="40"/>
      <c r="AL1357" s="40"/>
      <c r="AM1357" s="40"/>
      <c r="AN1357" s="40"/>
      <c r="AO1357" s="40"/>
      <c r="AP1357" s="40"/>
      <c r="AQ1357" s="40"/>
      <c r="AR1357" s="31"/>
      <c r="AS1357" s="36">
        <v>0</v>
      </c>
      <c r="AY1357" s="6"/>
      <c r="AZ1357" s="2"/>
      <c r="BA1357" s="2"/>
      <c r="BB1357" s="2"/>
      <c r="BC1357">
        <v>71500</v>
      </c>
      <c r="BD1357">
        <v>56992</v>
      </c>
    </row>
    <row r="1358" spans="3:56" x14ac:dyDescent="0.25">
      <c r="C1358" s="1">
        <v>46978</v>
      </c>
      <c r="D1358" s="36">
        <v>261950.629032258</v>
      </c>
      <c r="E1358" s="33">
        <v>4.4193548387096797</v>
      </c>
      <c r="F1358" s="33">
        <v>3.5761419354838702</v>
      </c>
      <c r="G1358" s="2">
        <v>0.80920000000000003</v>
      </c>
      <c r="H1358" s="2">
        <v>0.99</v>
      </c>
      <c r="I1358" s="3"/>
      <c r="J1358" s="3"/>
      <c r="K1358" s="3"/>
      <c r="L1358" s="3"/>
      <c r="M1358" s="3"/>
      <c r="N1358" s="3">
        <v>0</v>
      </c>
      <c r="O1358" s="3"/>
      <c r="P1358" s="3">
        <v>0</v>
      </c>
      <c r="Q1358" s="3">
        <v>0</v>
      </c>
      <c r="R1358" s="3">
        <v>0</v>
      </c>
      <c r="S1358" s="3">
        <v>0</v>
      </c>
      <c r="T1358" s="3">
        <v>0</v>
      </c>
      <c r="U1358" s="3"/>
      <c r="V1358" s="3"/>
      <c r="W1358" s="3"/>
      <c r="X1358" s="3"/>
      <c r="Y1358" s="3"/>
      <c r="Z1358" s="3"/>
      <c r="AA1358" s="3"/>
      <c r="AB1358" s="3"/>
      <c r="AC1358" s="3"/>
      <c r="AD1358" s="3"/>
      <c r="AE1358" s="3">
        <v>0</v>
      </c>
      <c r="AF1358" s="3">
        <v>0</v>
      </c>
      <c r="AG1358" s="3"/>
      <c r="AH1358" s="40"/>
      <c r="AI1358" s="40"/>
      <c r="AJ1358" s="40"/>
      <c r="AK1358" s="40"/>
      <c r="AL1358" s="40"/>
      <c r="AM1358" s="40"/>
      <c r="AN1358" s="40"/>
      <c r="AO1358" s="40"/>
      <c r="AP1358" s="40"/>
      <c r="AQ1358" s="40"/>
      <c r="AR1358" s="31"/>
      <c r="AS1358" s="36">
        <v>0</v>
      </c>
      <c r="AY1358" s="6"/>
      <c r="AZ1358" s="2"/>
      <c r="BA1358" s="2"/>
      <c r="BB1358" s="2"/>
      <c r="BC1358">
        <v>71500</v>
      </c>
      <c r="BD1358">
        <v>56992</v>
      </c>
    </row>
    <row r="1359" spans="3:56" x14ac:dyDescent="0.25">
      <c r="C1359" s="1">
        <v>46979</v>
      </c>
      <c r="D1359" s="36">
        <v>261950.629032258</v>
      </c>
      <c r="E1359" s="33">
        <v>4.4193548387096797</v>
      </c>
      <c r="F1359" s="33">
        <v>3.5760928315412199</v>
      </c>
      <c r="G1359" s="2">
        <v>0.80918888888888896</v>
      </c>
      <c r="H1359" s="2">
        <v>0.99</v>
      </c>
      <c r="I1359" s="3"/>
      <c r="J1359" s="3"/>
      <c r="K1359" s="3"/>
      <c r="L1359" s="3"/>
      <c r="M1359" s="3"/>
      <c r="N1359" s="3">
        <v>0</v>
      </c>
      <c r="O1359" s="3"/>
      <c r="P1359" s="3">
        <v>0</v>
      </c>
      <c r="Q1359" s="3">
        <v>0</v>
      </c>
      <c r="R1359" s="3">
        <v>0</v>
      </c>
      <c r="S1359" s="3">
        <v>0</v>
      </c>
      <c r="T1359" s="3">
        <v>0</v>
      </c>
      <c r="U1359" s="3"/>
      <c r="V1359" s="3"/>
      <c r="W1359" s="3"/>
      <c r="X1359" s="3"/>
      <c r="Y1359" s="3"/>
      <c r="Z1359" s="3"/>
      <c r="AA1359" s="3"/>
      <c r="AB1359" s="3"/>
      <c r="AC1359" s="3"/>
      <c r="AD1359" s="3"/>
      <c r="AE1359" s="3">
        <v>0</v>
      </c>
      <c r="AF1359" s="3">
        <v>0</v>
      </c>
      <c r="AG1359" s="3"/>
      <c r="AH1359" s="40"/>
      <c r="AI1359" s="40"/>
      <c r="AJ1359" s="40"/>
      <c r="AK1359" s="40"/>
      <c r="AL1359" s="40"/>
      <c r="AM1359" s="40"/>
      <c r="AN1359" s="40"/>
      <c r="AO1359" s="40"/>
      <c r="AP1359" s="40"/>
      <c r="AQ1359" s="40"/>
      <c r="AR1359" s="31"/>
      <c r="AS1359" s="36">
        <v>0</v>
      </c>
      <c r="AY1359" s="6"/>
      <c r="AZ1359" s="2"/>
      <c r="BA1359" s="2"/>
      <c r="BB1359" s="2"/>
      <c r="BC1359">
        <v>71500</v>
      </c>
      <c r="BD1359">
        <v>56992</v>
      </c>
    </row>
    <row r="1360" spans="3:56" x14ac:dyDescent="0.25">
      <c r="C1360" s="1">
        <v>46980</v>
      </c>
      <c r="D1360" s="36">
        <v>261950.629032258</v>
      </c>
      <c r="E1360" s="33">
        <v>4.4193548387096797</v>
      </c>
      <c r="F1360" s="33">
        <v>3.5760437275985701</v>
      </c>
      <c r="G1360" s="2">
        <v>0.809177777777778</v>
      </c>
      <c r="H1360" s="2">
        <v>0.99</v>
      </c>
      <c r="I1360" s="3"/>
      <c r="J1360" s="3"/>
      <c r="K1360" s="3"/>
      <c r="L1360" s="3"/>
      <c r="M1360" s="3"/>
      <c r="N1360" s="3">
        <v>0</v>
      </c>
      <c r="O1360" s="3"/>
      <c r="P1360" s="3">
        <v>0</v>
      </c>
      <c r="Q1360" s="3">
        <v>0</v>
      </c>
      <c r="R1360" s="3">
        <v>0</v>
      </c>
      <c r="S1360" s="3">
        <v>0</v>
      </c>
      <c r="T1360" s="3">
        <v>0</v>
      </c>
      <c r="U1360" s="3"/>
      <c r="V1360" s="3"/>
      <c r="W1360" s="3"/>
      <c r="X1360" s="3"/>
      <c r="Y1360" s="3"/>
      <c r="Z1360" s="3"/>
      <c r="AA1360" s="3"/>
      <c r="AB1360" s="3"/>
      <c r="AC1360" s="3"/>
      <c r="AD1360" s="3"/>
      <c r="AE1360" s="3">
        <v>0</v>
      </c>
      <c r="AF1360" s="3">
        <v>0</v>
      </c>
      <c r="AG1360" s="3"/>
      <c r="AH1360" s="40"/>
      <c r="AI1360" s="40"/>
      <c r="AJ1360" s="40"/>
      <c r="AK1360" s="40"/>
      <c r="AL1360" s="40"/>
      <c r="AM1360" s="40"/>
      <c r="AN1360" s="40"/>
      <c r="AO1360" s="40"/>
      <c r="AP1360" s="40"/>
      <c r="AQ1360" s="40"/>
      <c r="AR1360" s="31"/>
      <c r="AS1360" s="36">
        <v>0</v>
      </c>
      <c r="AY1360" s="6"/>
      <c r="AZ1360" s="2"/>
      <c r="BA1360" s="2"/>
      <c r="BB1360" s="2"/>
      <c r="BC1360">
        <v>71500</v>
      </c>
      <c r="BD1360">
        <v>56992</v>
      </c>
    </row>
    <row r="1361" spans="3:56" x14ac:dyDescent="0.25">
      <c r="C1361" s="1">
        <v>46981</v>
      </c>
      <c r="D1361" s="36">
        <v>261950.629032258</v>
      </c>
      <c r="E1361" s="33">
        <v>4.4193548387096797</v>
      </c>
      <c r="F1361" s="33">
        <v>3.5759946236559101</v>
      </c>
      <c r="G1361" s="2">
        <v>0.80916666666666703</v>
      </c>
      <c r="H1361" s="2">
        <v>0.99</v>
      </c>
      <c r="I1361" s="3"/>
      <c r="J1361" s="3"/>
      <c r="K1361" s="3"/>
      <c r="L1361" s="3"/>
      <c r="M1361" s="3"/>
      <c r="N1361" s="3">
        <v>0</v>
      </c>
      <c r="O1361" s="3"/>
      <c r="P1361" s="3">
        <v>0</v>
      </c>
      <c r="Q1361" s="3">
        <v>0</v>
      </c>
      <c r="R1361" s="3">
        <v>0</v>
      </c>
      <c r="S1361" s="3">
        <v>0</v>
      </c>
      <c r="T1361" s="3">
        <v>0</v>
      </c>
      <c r="U1361" s="3"/>
      <c r="V1361" s="3"/>
      <c r="W1361" s="3"/>
      <c r="X1361" s="3"/>
      <c r="Y1361" s="3"/>
      <c r="Z1361" s="3"/>
      <c r="AA1361" s="3"/>
      <c r="AB1361" s="3"/>
      <c r="AC1361" s="3"/>
      <c r="AD1361" s="3"/>
      <c r="AE1361" s="3">
        <v>0</v>
      </c>
      <c r="AF1361" s="3">
        <v>0</v>
      </c>
      <c r="AG1361" s="3"/>
      <c r="AH1361" s="40"/>
      <c r="AI1361" s="40"/>
      <c r="AJ1361" s="40"/>
      <c r="AK1361" s="40"/>
      <c r="AL1361" s="40"/>
      <c r="AM1361" s="40"/>
      <c r="AN1361" s="40"/>
      <c r="AO1361" s="40"/>
      <c r="AP1361" s="40"/>
      <c r="AQ1361" s="40"/>
      <c r="AR1361" s="31"/>
      <c r="AS1361" s="36">
        <v>0</v>
      </c>
      <c r="AY1361" s="6"/>
      <c r="AZ1361" s="2"/>
      <c r="BA1361" s="2"/>
      <c r="BB1361" s="2"/>
      <c r="BC1361">
        <v>71500</v>
      </c>
      <c r="BD1361">
        <v>56992</v>
      </c>
    </row>
    <row r="1362" spans="3:56" x14ac:dyDescent="0.25">
      <c r="C1362" s="1">
        <v>46982</v>
      </c>
      <c r="D1362" s="36">
        <v>261950.629032258</v>
      </c>
      <c r="E1362" s="33">
        <v>4.4193548387096797</v>
      </c>
      <c r="F1362" s="33">
        <v>3.5759455197132599</v>
      </c>
      <c r="G1362" s="2">
        <v>0.80915555555555596</v>
      </c>
      <c r="H1362" s="2">
        <v>0.99</v>
      </c>
      <c r="I1362" s="3"/>
      <c r="J1362" s="3"/>
      <c r="K1362" s="3"/>
      <c r="L1362" s="3"/>
      <c r="M1362" s="3"/>
      <c r="N1362" s="3">
        <v>0</v>
      </c>
      <c r="O1362" s="3"/>
      <c r="P1362" s="3">
        <v>0</v>
      </c>
      <c r="Q1362" s="3">
        <v>0</v>
      </c>
      <c r="R1362" s="3">
        <v>0</v>
      </c>
      <c r="S1362" s="3">
        <v>0</v>
      </c>
      <c r="T1362" s="3">
        <v>0</v>
      </c>
      <c r="U1362" s="3"/>
      <c r="V1362" s="3"/>
      <c r="W1362" s="3"/>
      <c r="X1362" s="3"/>
      <c r="Y1362" s="3"/>
      <c r="Z1362" s="3"/>
      <c r="AA1362" s="3"/>
      <c r="AB1362" s="3"/>
      <c r="AC1362" s="3"/>
      <c r="AD1362" s="3"/>
      <c r="AE1362" s="3">
        <v>0</v>
      </c>
      <c r="AF1362" s="3">
        <v>0</v>
      </c>
      <c r="AG1362" s="3"/>
      <c r="AH1362" s="40"/>
      <c r="AI1362" s="40"/>
      <c r="AJ1362" s="40"/>
      <c r="AK1362" s="40"/>
      <c r="AL1362" s="40"/>
      <c r="AM1362" s="40"/>
      <c r="AN1362" s="40"/>
      <c r="AO1362" s="40"/>
      <c r="AP1362" s="40"/>
      <c r="AQ1362" s="40"/>
      <c r="AR1362" s="31"/>
      <c r="AS1362" s="36">
        <v>0</v>
      </c>
      <c r="AY1362" s="6"/>
      <c r="AZ1362" s="2"/>
      <c r="BA1362" s="2"/>
      <c r="BB1362" s="2"/>
      <c r="BC1362">
        <v>71500</v>
      </c>
      <c r="BD1362">
        <v>56992</v>
      </c>
    </row>
    <row r="1363" spans="3:56" x14ac:dyDescent="0.25">
      <c r="C1363" s="1">
        <v>46983</v>
      </c>
      <c r="D1363" s="36">
        <v>261950.629032258</v>
      </c>
      <c r="E1363" s="33">
        <v>4.4193548387096797</v>
      </c>
      <c r="F1363" s="33">
        <v>3.5758964157706101</v>
      </c>
      <c r="G1363" s="2">
        <v>0.809144444444444</v>
      </c>
      <c r="H1363" s="2">
        <v>0.99</v>
      </c>
      <c r="I1363" s="3"/>
      <c r="J1363" s="3"/>
      <c r="K1363" s="3"/>
      <c r="L1363" s="3"/>
      <c r="M1363" s="3"/>
      <c r="N1363" s="3">
        <v>0</v>
      </c>
      <c r="O1363" s="3"/>
      <c r="P1363" s="3">
        <v>0</v>
      </c>
      <c r="Q1363" s="3">
        <v>0</v>
      </c>
      <c r="R1363" s="3">
        <v>0</v>
      </c>
      <c r="S1363" s="3">
        <v>0</v>
      </c>
      <c r="T1363" s="3">
        <v>0</v>
      </c>
      <c r="U1363" s="3"/>
      <c r="V1363" s="3"/>
      <c r="W1363" s="3"/>
      <c r="X1363" s="3"/>
      <c r="Y1363" s="3"/>
      <c r="Z1363" s="3"/>
      <c r="AA1363" s="3"/>
      <c r="AB1363" s="3"/>
      <c r="AC1363" s="3"/>
      <c r="AD1363" s="3"/>
      <c r="AE1363" s="3">
        <v>0</v>
      </c>
      <c r="AF1363" s="3">
        <v>0</v>
      </c>
      <c r="AG1363" s="3"/>
      <c r="AH1363" s="40"/>
      <c r="AI1363" s="40"/>
      <c r="AJ1363" s="40"/>
      <c r="AK1363" s="40"/>
      <c r="AL1363" s="40"/>
      <c r="AM1363" s="40"/>
      <c r="AN1363" s="40"/>
      <c r="AO1363" s="40"/>
      <c r="AP1363" s="40"/>
      <c r="AQ1363" s="40"/>
      <c r="AR1363" s="31"/>
      <c r="AS1363" s="36">
        <v>0</v>
      </c>
      <c r="AY1363" s="6"/>
      <c r="AZ1363" s="2"/>
      <c r="BA1363" s="2"/>
      <c r="BB1363" s="2"/>
      <c r="BC1363">
        <v>71500</v>
      </c>
      <c r="BD1363">
        <v>56992</v>
      </c>
    </row>
    <row r="1364" spans="3:56" x14ac:dyDescent="0.25">
      <c r="C1364" s="1">
        <v>46984</v>
      </c>
      <c r="D1364" s="36">
        <v>261950.629032258</v>
      </c>
      <c r="E1364" s="33">
        <v>4.4193548387096797</v>
      </c>
      <c r="F1364" s="33">
        <v>3.5758473118279599</v>
      </c>
      <c r="G1364" s="2">
        <v>0.80913333333333304</v>
      </c>
      <c r="H1364" s="2">
        <v>0.99</v>
      </c>
      <c r="I1364" s="3"/>
      <c r="J1364" s="3"/>
      <c r="K1364" s="3"/>
      <c r="L1364" s="3"/>
      <c r="M1364" s="3"/>
      <c r="N1364" s="3">
        <v>0</v>
      </c>
      <c r="O1364" s="3"/>
      <c r="P1364" s="3">
        <v>0</v>
      </c>
      <c r="Q1364" s="3">
        <v>0</v>
      </c>
      <c r="R1364" s="3">
        <v>0</v>
      </c>
      <c r="S1364" s="3">
        <v>0</v>
      </c>
      <c r="T1364" s="3">
        <v>0</v>
      </c>
      <c r="U1364" s="3"/>
      <c r="V1364" s="3"/>
      <c r="W1364" s="3"/>
      <c r="X1364" s="3"/>
      <c r="Y1364" s="3"/>
      <c r="Z1364" s="3"/>
      <c r="AA1364" s="3"/>
      <c r="AB1364" s="3"/>
      <c r="AC1364" s="3"/>
      <c r="AD1364" s="3"/>
      <c r="AE1364" s="3">
        <v>0</v>
      </c>
      <c r="AF1364" s="3">
        <v>0</v>
      </c>
      <c r="AG1364" s="3"/>
      <c r="AH1364" s="40"/>
      <c r="AI1364" s="40"/>
      <c r="AJ1364" s="40"/>
      <c r="AK1364" s="40"/>
      <c r="AL1364" s="40"/>
      <c r="AM1364" s="40"/>
      <c r="AN1364" s="40"/>
      <c r="AO1364" s="40"/>
      <c r="AP1364" s="40"/>
      <c r="AQ1364" s="40"/>
      <c r="AR1364" s="31"/>
      <c r="AS1364" s="36">
        <v>0</v>
      </c>
      <c r="AY1364" s="6"/>
      <c r="AZ1364" s="2"/>
      <c r="BA1364" s="2"/>
      <c r="BB1364" s="2"/>
      <c r="BC1364">
        <v>71500</v>
      </c>
      <c r="BD1364">
        <v>56992</v>
      </c>
    </row>
    <row r="1365" spans="3:56" x14ac:dyDescent="0.25">
      <c r="C1365" s="1">
        <v>46985</v>
      </c>
      <c r="D1365" s="36">
        <v>261950.629032258</v>
      </c>
      <c r="E1365" s="33">
        <v>4.4193548387096797</v>
      </c>
      <c r="F1365" s="33">
        <v>3.5757982078852999</v>
      </c>
      <c r="G1365" s="2">
        <v>0.80912222222222197</v>
      </c>
      <c r="H1365" s="2">
        <v>0.99</v>
      </c>
      <c r="I1365" s="3"/>
      <c r="J1365" s="3"/>
      <c r="K1365" s="3"/>
      <c r="L1365" s="3"/>
      <c r="M1365" s="3"/>
      <c r="N1365" s="3">
        <v>0</v>
      </c>
      <c r="O1365" s="3"/>
      <c r="P1365" s="3">
        <v>0</v>
      </c>
      <c r="Q1365" s="3">
        <v>0</v>
      </c>
      <c r="R1365" s="3">
        <v>0</v>
      </c>
      <c r="S1365" s="3">
        <v>0</v>
      </c>
      <c r="T1365" s="3">
        <v>0</v>
      </c>
      <c r="U1365" s="3"/>
      <c r="V1365" s="3"/>
      <c r="W1365" s="3"/>
      <c r="X1365" s="3"/>
      <c r="Y1365" s="3"/>
      <c r="Z1365" s="3"/>
      <c r="AA1365" s="3"/>
      <c r="AB1365" s="3"/>
      <c r="AC1365" s="3"/>
      <c r="AD1365" s="3"/>
      <c r="AE1365" s="3">
        <v>0</v>
      </c>
      <c r="AF1365" s="3">
        <v>0</v>
      </c>
      <c r="AG1365" s="3"/>
      <c r="AH1365" s="40"/>
      <c r="AI1365" s="40"/>
      <c r="AJ1365" s="40"/>
      <c r="AK1365" s="40"/>
      <c r="AL1365" s="40"/>
      <c r="AM1365" s="40"/>
      <c r="AN1365" s="40"/>
      <c r="AO1365" s="40"/>
      <c r="AP1365" s="40"/>
      <c r="AQ1365" s="40"/>
      <c r="AR1365" s="31"/>
      <c r="AS1365" s="36">
        <v>0</v>
      </c>
      <c r="AY1365" s="6"/>
      <c r="AZ1365" s="2"/>
      <c r="BA1365" s="2"/>
      <c r="BB1365" s="2"/>
      <c r="BC1365">
        <v>71500</v>
      </c>
      <c r="BD1365">
        <v>56992</v>
      </c>
    </row>
    <row r="1366" spans="3:56" x14ac:dyDescent="0.25">
      <c r="C1366" s="1">
        <v>46986</v>
      </c>
      <c r="D1366" s="36">
        <v>261950.629032258</v>
      </c>
      <c r="E1366" s="33">
        <v>4.4193548387096797</v>
      </c>
      <c r="F1366" s="33">
        <v>3.5757491039426501</v>
      </c>
      <c r="G1366" s="2">
        <v>0.809111111111111</v>
      </c>
      <c r="H1366" s="2">
        <v>0.99</v>
      </c>
      <c r="I1366" s="3"/>
      <c r="J1366" s="3"/>
      <c r="K1366" s="3"/>
      <c r="L1366" s="3"/>
      <c r="M1366" s="3"/>
      <c r="N1366" s="3">
        <v>0</v>
      </c>
      <c r="O1366" s="3"/>
      <c r="P1366" s="3">
        <v>0</v>
      </c>
      <c r="Q1366" s="3">
        <v>0</v>
      </c>
      <c r="R1366" s="3">
        <v>0</v>
      </c>
      <c r="S1366" s="3">
        <v>0</v>
      </c>
      <c r="T1366" s="3">
        <v>0</v>
      </c>
      <c r="U1366" s="3"/>
      <c r="V1366" s="3"/>
      <c r="W1366" s="3"/>
      <c r="X1366" s="3"/>
      <c r="Y1366" s="3"/>
      <c r="Z1366" s="3"/>
      <c r="AA1366" s="3"/>
      <c r="AB1366" s="3"/>
      <c r="AC1366" s="3"/>
      <c r="AD1366" s="3"/>
      <c r="AE1366" s="3">
        <v>0</v>
      </c>
      <c r="AF1366" s="3">
        <v>0</v>
      </c>
      <c r="AG1366" s="3"/>
      <c r="AH1366" s="40"/>
      <c r="AI1366" s="40"/>
      <c r="AJ1366" s="40"/>
      <c r="AK1366" s="40"/>
      <c r="AL1366" s="40"/>
      <c r="AM1366" s="40"/>
      <c r="AN1366" s="40"/>
      <c r="AO1366" s="40"/>
      <c r="AP1366" s="40"/>
      <c r="AQ1366" s="40"/>
      <c r="AR1366" s="31"/>
      <c r="AS1366" s="36">
        <v>0</v>
      </c>
      <c r="AY1366" s="6"/>
      <c r="AZ1366" s="2"/>
      <c r="BA1366" s="2"/>
      <c r="BB1366" s="2"/>
      <c r="BC1366">
        <v>71500</v>
      </c>
      <c r="BD1366">
        <v>56992</v>
      </c>
    </row>
    <row r="1367" spans="3:56" x14ac:dyDescent="0.25">
      <c r="C1367" s="1">
        <v>46987</v>
      </c>
      <c r="D1367" s="36">
        <v>261950.629032258</v>
      </c>
      <c r="E1367" s="33">
        <v>4.4193548387096797</v>
      </c>
      <c r="F1367" s="33">
        <v>3.5756999999999999</v>
      </c>
      <c r="G1367" s="2">
        <v>0.80910000000000004</v>
      </c>
      <c r="H1367" s="2">
        <v>0.99</v>
      </c>
      <c r="I1367" s="3"/>
      <c r="J1367" s="3"/>
      <c r="K1367" s="3"/>
      <c r="L1367" s="3"/>
      <c r="M1367" s="3"/>
      <c r="N1367" s="3">
        <v>0</v>
      </c>
      <c r="O1367" s="3"/>
      <c r="P1367" s="3">
        <v>0</v>
      </c>
      <c r="Q1367" s="3">
        <v>0</v>
      </c>
      <c r="R1367" s="3">
        <v>0</v>
      </c>
      <c r="S1367" s="3">
        <v>0</v>
      </c>
      <c r="T1367" s="3">
        <v>0</v>
      </c>
      <c r="U1367" s="3"/>
      <c r="V1367" s="3"/>
      <c r="W1367" s="3"/>
      <c r="X1367" s="3"/>
      <c r="Y1367" s="3"/>
      <c r="Z1367" s="3"/>
      <c r="AA1367" s="3"/>
      <c r="AB1367" s="3"/>
      <c r="AC1367" s="3"/>
      <c r="AD1367" s="3"/>
      <c r="AE1367" s="3">
        <v>0</v>
      </c>
      <c r="AF1367" s="3">
        <v>0</v>
      </c>
      <c r="AG1367" s="3"/>
      <c r="AH1367" s="40"/>
      <c r="AI1367" s="40"/>
      <c r="AJ1367" s="40"/>
      <c r="AK1367" s="40"/>
      <c r="AL1367" s="40"/>
      <c r="AM1367" s="40"/>
      <c r="AN1367" s="40"/>
      <c r="AO1367" s="40"/>
      <c r="AP1367" s="40"/>
      <c r="AQ1367" s="40"/>
      <c r="AR1367" s="31"/>
      <c r="AS1367" s="36">
        <v>0</v>
      </c>
      <c r="AY1367" s="6"/>
      <c r="AZ1367" s="2"/>
      <c r="BA1367" s="2"/>
      <c r="BB1367" s="2"/>
      <c r="BC1367">
        <v>71500</v>
      </c>
      <c r="BD1367">
        <v>56992</v>
      </c>
    </row>
    <row r="1368" spans="3:56" x14ac:dyDescent="0.25">
      <c r="C1368" s="1">
        <v>46988</v>
      </c>
      <c r="D1368" s="36">
        <v>261950.629032258</v>
      </c>
      <c r="E1368" s="33">
        <v>4.4193548387096797</v>
      </c>
      <c r="F1368" s="33">
        <v>3.5756508960573501</v>
      </c>
      <c r="G1368" s="2">
        <v>0.80908888888888897</v>
      </c>
      <c r="H1368" s="2">
        <v>0.99</v>
      </c>
      <c r="I1368" s="3"/>
      <c r="J1368" s="3"/>
      <c r="K1368" s="3"/>
      <c r="L1368" s="3"/>
      <c r="M1368" s="3"/>
      <c r="N1368" s="3">
        <v>0</v>
      </c>
      <c r="O1368" s="3"/>
      <c r="P1368" s="3">
        <v>0</v>
      </c>
      <c r="Q1368" s="3">
        <v>0</v>
      </c>
      <c r="R1368" s="3">
        <v>0</v>
      </c>
      <c r="S1368" s="3">
        <v>0</v>
      </c>
      <c r="T1368" s="3">
        <v>0</v>
      </c>
      <c r="U1368" s="3"/>
      <c r="V1368" s="3"/>
      <c r="W1368" s="3"/>
      <c r="X1368" s="3"/>
      <c r="Y1368" s="3"/>
      <c r="Z1368" s="3"/>
      <c r="AA1368" s="3"/>
      <c r="AB1368" s="3"/>
      <c r="AC1368" s="3"/>
      <c r="AD1368" s="3"/>
      <c r="AE1368" s="3">
        <v>0</v>
      </c>
      <c r="AF1368" s="3">
        <v>0</v>
      </c>
      <c r="AG1368" s="3"/>
      <c r="AH1368" s="40"/>
      <c r="AI1368" s="40"/>
      <c r="AJ1368" s="40"/>
      <c r="AK1368" s="40"/>
      <c r="AL1368" s="40"/>
      <c r="AM1368" s="40"/>
      <c r="AN1368" s="40"/>
      <c r="AO1368" s="40"/>
      <c r="AP1368" s="40"/>
      <c r="AQ1368" s="40"/>
      <c r="AR1368" s="31"/>
      <c r="AS1368" s="36">
        <v>0</v>
      </c>
      <c r="AY1368" s="6"/>
      <c r="AZ1368" s="2"/>
      <c r="BA1368" s="2"/>
      <c r="BB1368" s="2"/>
      <c r="BC1368">
        <v>71500</v>
      </c>
      <c r="BD1368">
        <v>56992</v>
      </c>
    </row>
    <row r="1369" spans="3:56" x14ac:dyDescent="0.25">
      <c r="C1369" s="1">
        <v>46989</v>
      </c>
      <c r="D1369" s="36">
        <v>261950.629032258</v>
      </c>
      <c r="E1369" s="33">
        <v>4.4193548387096797</v>
      </c>
      <c r="F1369" s="33">
        <v>3.5756017921146901</v>
      </c>
      <c r="G1369" s="2">
        <v>0.80907777777777801</v>
      </c>
      <c r="H1369" s="2">
        <v>0.99</v>
      </c>
      <c r="I1369" s="3"/>
      <c r="J1369" s="3"/>
      <c r="K1369" s="3"/>
      <c r="L1369" s="3"/>
      <c r="M1369" s="3"/>
      <c r="N1369" s="3">
        <v>0</v>
      </c>
      <c r="O1369" s="3"/>
      <c r="P1369" s="3">
        <v>0</v>
      </c>
      <c r="Q1369" s="3">
        <v>0</v>
      </c>
      <c r="R1369" s="3">
        <v>0</v>
      </c>
      <c r="S1369" s="3">
        <v>0</v>
      </c>
      <c r="T1369" s="3">
        <v>0</v>
      </c>
      <c r="U1369" s="3"/>
      <c r="V1369" s="3"/>
      <c r="W1369" s="3"/>
      <c r="X1369" s="3"/>
      <c r="Y1369" s="3"/>
      <c r="Z1369" s="3"/>
      <c r="AA1369" s="3"/>
      <c r="AB1369" s="3"/>
      <c r="AC1369" s="3"/>
      <c r="AD1369" s="3"/>
      <c r="AE1369" s="3">
        <v>0</v>
      </c>
      <c r="AF1369" s="3">
        <v>0</v>
      </c>
      <c r="AG1369" s="3"/>
      <c r="AH1369" s="40"/>
      <c r="AI1369" s="40"/>
      <c r="AJ1369" s="40"/>
      <c r="AK1369" s="40"/>
      <c r="AL1369" s="40"/>
      <c r="AM1369" s="40"/>
      <c r="AN1369" s="40"/>
      <c r="AO1369" s="40"/>
      <c r="AP1369" s="40"/>
      <c r="AQ1369" s="40"/>
      <c r="AR1369" s="31"/>
      <c r="AS1369" s="36">
        <v>0</v>
      </c>
      <c r="AY1369" s="6"/>
      <c r="AZ1369" s="2"/>
      <c r="BA1369" s="2"/>
      <c r="BB1369" s="2"/>
      <c r="BC1369">
        <v>71500</v>
      </c>
      <c r="BD1369">
        <v>56992</v>
      </c>
    </row>
    <row r="1370" spans="3:56" x14ac:dyDescent="0.25">
      <c r="C1370" s="1">
        <v>46990</v>
      </c>
      <c r="D1370" s="36">
        <v>261950.629032258</v>
      </c>
      <c r="E1370" s="33">
        <v>4.4193548387096797</v>
      </c>
      <c r="F1370" s="33">
        <v>3.5755526881720399</v>
      </c>
      <c r="G1370" s="2">
        <v>0.80906666666666704</v>
      </c>
      <c r="H1370" s="2">
        <v>0.99</v>
      </c>
      <c r="I1370" s="3"/>
      <c r="J1370" s="3"/>
      <c r="K1370" s="3"/>
      <c r="L1370" s="3"/>
      <c r="M1370" s="3"/>
      <c r="N1370" s="3">
        <v>0</v>
      </c>
      <c r="O1370" s="3"/>
      <c r="P1370" s="3">
        <v>0</v>
      </c>
      <c r="Q1370" s="3">
        <v>0</v>
      </c>
      <c r="R1370" s="3">
        <v>0</v>
      </c>
      <c r="S1370" s="3">
        <v>0</v>
      </c>
      <c r="T1370" s="3">
        <v>0</v>
      </c>
      <c r="U1370" s="3"/>
      <c r="V1370" s="3"/>
      <c r="W1370" s="3"/>
      <c r="X1370" s="3"/>
      <c r="Y1370" s="3"/>
      <c r="Z1370" s="3"/>
      <c r="AA1370" s="3"/>
      <c r="AB1370" s="3"/>
      <c r="AC1370" s="3"/>
      <c r="AD1370" s="3"/>
      <c r="AE1370" s="3">
        <v>0</v>
      </c>
      <c r="AF1370" s="3">
        <v>0</v>
      </c>
      <c r="AG1370" s="3"/>
      <c r="AH1370" s="40"/>
      <c r="AI1370" s="40"/>
      <c r="AJ1370" s="40"/>
      <c r="AK1370" s="40"/>
      <c r="AL1370" s="40"/>
      <c r="AM1370" s="40"/>
      <c r="AN1370" s="40"/>
      <c r="AO1370" s="40"/>
      <c r="AP1370" s="40"/>
      <c r="AQ1370" s="40"/>
      <c r="AR1370" s="31"/>
      <c r="AS1370" s="36">
        <v>0</v>
      </c>
      <c r="AY1370" s="6"/>
      <c r="AZ1370" s="2"/>
      <c r="BA1370" s="2"/>
      <c r="BB1370" s="2"/>
      <c r="BC1370">
        <v>71500</v>
      </c>
      <c r="BD1370">
        <v>56992</v>
      </c>
    </row>
    <row r="1371" spans="3:56" x14ac:dyDescent="0.25">
      <c r="C1371" s="1">
        <v>46991</v>
      </c>
      <c r="D1371" s="36">
        <v>261950.629032258</v>
      </c>
      <c r="E1371" s="33">
        <v>4.4193548387096797</v>
      </c>
      <c r="F1371" s="33">
        <v>3.5755035842293901</v>
      </c>
      <c r="G1371" s="2">
        <v>0.80905555555555597</v>
      </c>
      <c r="H1371" s="2">
        <v>0.99</v>
      </c>
      <c r="I1371" s="3"/>
      <c r="J1371" s="3"/>
      <c r="K1371" s="3"/>
      <c r="L1371" s="3"/>
      <c r="M1371" s="3"/>
      <c r="N1371" s="3">
        <v>0</v>
      </c>
      <c r="O1371" s="3"/>
      <c r="P1371" s="3">
        <v>0</v>
      </c>
      <c r="Q1371" s="3">
        <v>0</v>
      </c>
      <c r="R1371" s="3">
        <v>0</v>
      </c>
      <c r="S1371" s="3">
        <v>0</v>
      </c>
      <c r="T1371" s="3">
        <v>0</v>
      </c>
      <c r="U1371" s="3"/>
      <c r="V1371" s="3"/>
      <c r="W1371" s="3"/>
      <c r="X1371" s="3"/>
      <c r="Y1371" s="3"/>
      <c r="Z1371" s="3"/>
      <c r="AA1371" s="3"/>
      <c r="AB1371" s="3"/>
      <c r="AC1371" s="3"/>
      <c r="AD1371" s="3"/>
      <c r="AE1371" s="3">
        <v>0</v>
      </c>
      <c r="AF1371" s="3">
        <v>0</v>
      </c>
      <c r="AG1371" s="3"/>
      <c r="AH1371" s="40"/>
      <c r="AI1371" s="40"/>
      <c r="AJ1371" s="40"/>
      <c r="AK1371" s="40"/>
      <c r="AL1371" s="40"/>
      <c r="AM1371" s="40"/>
      <c r="AN1371" s="40"/>
      <c r="AO1371" s="40"/>
      <c r="AP1371" s="40"/>
      <c r="AQ1371" s="40"/>
      <c r="AR1371" s="31"/>
      <c r="AS1371" s="36">
        <v>0</v>
      </c>
      <c r="AY1371" s="6"/>
      <c r="AZ1371" s="2"/>
      <c r="BA1371" s="2"/>
      <c r="BB1371" s="2"/>
      <c r="BC1371">
        <v>71500</v>
      </c>
      <c r="BD1371">
        <v>56992</v>
      </c>
    </row>
    <row r="1372" spans="3:56" x14ac:dyDescent="0.25">
      <c r="C1372" s="1">
        <v>46992</v>
      </c>
      <c r="D1372" s="36">
        <v>261950.629032258</v>
      </c>
      <c r="E1372" s="33">
        <v>4.4193548387096797</v>
      </c>
      <c r="F1372" s="33">
        <v>3.5754544802867398</v>
      </c>
      <c r="G1372" s="2">
        <v>0.80904444444444401</v>
      </c>
      <c r="H1372" s="2">
        <v>0.99</v>
      </c>
      <c r="I1372" s="3"/>
      <c r="J1372" s="3"/>
      <c r="K1372" s="3"/>
      <c r="L1372" s="3"/>
      <c r="M1372" s="3"/>
      <c r="N1372" s="3">
        <v>0</v>
      </c>
      <c r="O1372" s="3"/>
      <c r="P1372" s="3">
        <v>0</v>
      </c>
      <c r="Q1372" s="3">
        <v>0</v>
      </c>
      <c r="R1372" s="3">
        <v>0</v>
      </c>
      <c r="S1372" s="3">
        <v>0</v>
      </c>
      <c r="T1372" s="3">
        <v>0</v>
      </c>
      <c r="U1372" s="3"/>
      <c r="V1372" s="3"/>
      <c r="W1372" s="3"/>
      <c r="X1372" s="3"/>
      <c r="Y1372" s="3"/>
      <c r="Z1372" s="3"/>
      <c r="AA1372" s="3"/>
      <c r="AB1372" s="3"/>
      <c r="AC1372" s="3"/>
      <c r="AD1372" s="3"/>
      <c r="AE1372" s="3">
        <v>0</v>
      </c>
      <c r="AF1372" s="3">
        <v>0</v>
      </c>
      <c r="AG1372" s="3"/>
      <c r="AH1372" s="40"/>
      <c r="AI1372" s="40"/>
      <c r="AJ1372" s="40"/>
      <c r="AK1372" s="40"/>
      <c r="AL1372" s="40"/>
      <c r="AM1372" s="40"/>
      <c r="AN1372" s="40"/>
      <c r="AO1372" s="40"/>
      <c r="AP1372" s="40"/>
      <c r="AQ1372" s="40"/>
      <c r="AR1372" s="31"/>
      <c r="AS1372" s="36">
        <v>0</v>
      </c>
      <c r="AY1372" s="6"/>
      <c r="AZ1372" s="2"/>
      <c r="BA1372" s="2"/>
      <c r="BB1372" s="2"/>
      <c r="BC1372">
        <v>71500</v>
      </c>
      <c r="BD1372">
        <v>56992</v>
      </c>
    </row>
    <row r="1373" spans="3:56" x14ac:dyDescent="0.25">
      <c r="C1373" s="1">
        <v>46993</v>
      </c>
      <c r="D1373" s="36">
        <v>261950.629032258</v>
      </c>
      <c r="E1373" s="33">
        <v>4.4193548387096797</v>
      </c>
      <c r="F1373" s="33">
        <v>3.5754053763440901</v>
      </c>
      <c r="G1373" s="2">
        <v>0.80903333333333305</v>
      </c>
      <c r="H1373" s="2">
        <v>0.99</v>
      </c>
      <c r="I1373" s="3"/>
      <c r="J1373" s="3"/>
      <c r="K1373" s="3"/>
      <c r="L1373" s="3"/>
      <c r="M1373" s="3"/>
      <c r="N1373" s="3">
        <v>0</v>
      </c>
      <c r="O1373" s="3"/>
      <c r="P1373" s="3">
        <v>0</v>
      </c>
      <c r="Q1373" s="3">
        <v>0</v>
      </c>
      <c r="R1373" s="3">
        <v>0</v>
      </c>
      <c r="S1373" s="3">
        <v>0</v>
      </c>
      <c r="T1373" s="3">
        <v>0</v>
      </c>
      <c r="U1373" s="3"/>
      <c r="V1373" s="3"/>
      <c r="W1373" s="3"/>
      <c r="X1373" s="3"/>
      <c r="Y1373" s="3"/>
      <c r="Z1373" s="3"/>
      <c r="AA1373" s="3"/>
      <c r="AB1373" s="3"/>
      <c r="AC1373" s="3"/>
      <c r="AD1373" s="3"/>
      <c r="AE1373" s="3">
        <v>0</v>
      </c>
      <c r="AF1373" s="3">
        <v>0</v>
      </c>
      <c r="AG1373" s="3"/>
      <c r="AH1373" s="40"/>
      <c r="AI1373" s="40"/>
      <c r="AJ1373" s="40"/>
      <c r="AK1373" s="40"/>
      <c r="AL1373" s="40"/>
      <c r="AM1373" s="40"/>
      <c r="AN1373" s="40"/>
      <c r="AO1373" s="40"/>
      <c r="AP1373" s="40"/>
      <c r="AQ1373" s="40"/>
      <c r="AR1373" s="31"/>
      <c r="AS1373" s="36">
        <v>0</v>
      </c>
      <c r="AY1373" s="6"/>
      <c r="AZ1373" s="2"/>
      <c r="BA1373" s="2"/>
      <c r="BB1373" s="2"/>
      <c r="BC1373">
        <v>71500</v>
      </c>
      <c r="BD1373">
        <v>56992</v>
      </c>
    </row>
    <row r="1374" spans="3:56" x14ac:dyDescent="0.25">
      <c r="C1374" s="1">
        <v>46994</v>
      </c>
      <c r="D1374" s="36">
        <v>261950.629032258</v>
      </c>
      <c r="E1374" s="33">
        <v>4.4193548387096797</v>
      </c>
      <c r="F1374" s="33">
        <v>3.5753562724014301</v>
      </c>
      <c r="G1374" s="2">
        <v>0.80902222222222198</v>
      </c>
      <c r="H1374" s="2">
        <v>0.99</v>
      </c>
      <c r="I1374" s="3"/>
      <c r="J1374" s="3"/>
      <c r="K1374" s="3"/>
      <c r="L1374" s="3"/>
      <c r="M1374" s="3"/>
      <c r="N1374" s="3">
        <v>0</v>
      </c>
      <c r="O1374" s="3"/>
      <c r="P1374" s="3">
        <v>0</v>
      </c>
      <c r="Q1374" s="3">
        <v>0</v>
      </c>
      <c r="R1374" s="3">
        <v>0</v>
      </c>
      <c r="S1374" s="3">
        <v>0</v>
      </c>
      <c r="T1374" s="3">
        <v>0</v>
      </c>
      <c r="U1374" s="3"/>
      <c r="V1374" s="3"/>
      <c r="W1374" s="3"/>
      <c r="X1374" s="3"/>
      <c r="Y1374" s="3"/>
      <c r="Z1374" s="3"/>
      <c r="AA1374" s="3"/>
      <c r="AB1374" s="3"/>
      <c r="AC1374" s="3"/>
      <c r="AD1374" s="3"/>
      <c r="AE1374" s="3">
        <v>0</v>
      </c>
      <c r="AF1374" s="3">
        <v>0</v>
      </c>
      <c r="AG1374" s="3"/>
      <c r="AH1374" s="40"/>
      <c r="AI1374" s="40"/>
      <c r="AJ1374" s="40"/>
      <c r="AK1374" s="40"/>
      <c r="AL1374" s="40"/>
      <c r="AM1374" s="40"/>
      <c r="AN1374" s="40"/>
      <c r="AO1374" s="40"/>
      <c r="AP1374" s="40"/>
      <c r="AQ1374" s="40"/>
      <c r="AR1374" s="31"/>
      <c r="AS1374" s="36">
        <v>0</v>
      </c>
      <c r="AY1374" s="6"/>
      <c r="AZ1374" s="2"/>
      <c r="BA1374" s="2"/>
      <c r="BB1374" s="2"/>
      <c r="BC1374">
        <v>71500</v>
      </c>
      <c r="BD1374">
        <v>56992</v>
      </c>
    </row>
    <row r="1375" spans="3:56" x14ac:dyDescent="0.25">
      <c r="C1375" s="1">
        <v>46995</v>
      </c>
      <c r="D1375" s="36">
        <v>261950.629032258</v>
      </c>
      <c r="E1375" s="33">
        <v>4.4193548387096797</v>
      </c>
      <c r="F1375" s="33">
        <v>3.5753071684587798</v>
      </c>
      <c r="G1375" s="2">
        <v>0.80901111111111101</v>
      </c>
      <c r="H1375" s="2">
        <v>0.99</v>
      </c>
      <c r="I1375" s="3"/>
      <c r="J1375" s="3"/>
      <c r="K1375" s="3"/>
      <c r="L1375" s="3"/>
      <c r="M1375" s="3"/>
      <c r="N1375" s="3">
        <v>0</v>
      </c>
      <c r="O1375" s="3"/>
      <c r="P1375" s="3">
        <v>0</v>
      </c>
      <c r="Q1375" s="3">
        <v>0</v>
      </c>
      <c r="R1375" s="3">
        <v>0</v>
      </c>
      <c r="S1375" s="3">
        <v>0</v>
      </c>
      <c r="T1375" s="3">
        <v>0</v>
      </c>
      <c r="U1375" s="3"/>
      <c r="V1375" s="3"/>
      <c r="W1375" s="3"/>
      <c r="X1375" s="3"/>
      <c r="Y1375" s="3"/>
      <c r="Z1375" s="3"/>
      <c r="AA1375" s="3"/>
      <c r="AB1375" s="3"/>
      <c r="AC1375" s="3"/>
      <c r="AD1375" s="3"/>
      <c r="AE1375" s="3">
        <v>0</v>
      </c>
      <c r="AF1375" s="3">
        <v>0</v>
      </c>
      <c r="AG1375" s="3"/>
      <c r="AH1375" s="40"/>
      <c r="AI1375" s="40"/>
      <c r="AJ1375" s="40"/>
      <c r="AK1375" s="40"/>
      <c r="AL1375" s="40"/>
      <c r="AM1375" s="40"/>
      <c r="AN1375" s="40"/>
      <c r="AO1375" s="40"/>
      <c r="AP1375" s="40"/>
      <c r="AQ1375" s="40"/>
      <c r="AR1375" s="31"/>
      <c r="AS1375" s="36">
        <v>0</v>
      </c>
      <c r="AY1375" s="6"/>
      <c r="AZ1375" s="2"/>
      <c r="BA1375" s="2"/>
      <c r="BB1375" s="2"/>
      <c r="BC1375">
        <v>71500</v>
      </c>
      <c r="BD1375">
        <v>56992</v>
      </c>
    </row>
    <row r="1376" spans="3:56" x14ac:dyDescent="0.25">
      <c r="C1376" s="1">
        <v>46996</v>
      </c>
      <c r="D1376" s="36">
        <v>261950.629032258</v>
      </c>
      <c r="E1376" s="33">
        <v>4.4193548387096797</v>
      </c>
      <c r="F1376" s="33">
        <v>3.57525806451613</v>
      </c>
      <c r="G1376" s="2">
        <v>0.80900000000000005</v>
      </c>
      <c r="H1376" s="2">
        <v>0.99</v>
      </c>
      <c r="I1376" s="3"/>
      <c r="J1376" s="3"/>
      <c r="K1376" s="3"/>
      <c r="L1376" s="3"/>
      <c r="M1376" s="3"/>
      <c r="N1376" s="3">
        <v>0</v>
      </c>
      <c r="O1376" s="3"/>
      <c r="P1376" s="3">
        <v>0</v>
      </c>
      <c r="Q1376" s="3">
        <v>0</v>
      </c>
      <c r="R1376" s="3">
        <v>0</v>
      </c>
      <c r="S1376" s="3">
        <v>0</v>
      </c>
      <c r="T1376" s="3">
        <v>0</v>
      </c>
      <c r="U1376" s="3"/>
      <c r="V1376" s="3"/>
      <c r="W1376" s="3"/>
      <c r="X1376" s="3"/>
      <c r="Y1376" s="3"/>
      <c r="Z1376" s="3"/>
      <c r="AA1376" s="3"/>
      <c r="AB1376" s="3"/>
      <c r="AC1376" s="3"/>
      <c r="AD1376" s="3"/>
      <c r="AE1376" s="3">
        <v>0</v>
      </c>
      <c r="AF1376" s="3">
        <v>0</v>
      </c>
      <c r="AG1376" s="3"/>
      <c r="AH1376" s="40"/>
      <c r="AI1376" s="40"/>
      <c r="AJ1376" s="40"/>
      <c r="AK1376" s="40"/>
      <c r="AL1376" s="40"/>
      <c r="AM1376" s="40"/>
      <c r="AN1376" s="40"/>
      <c r="AO1376" s="40"/>
      <c r="AP1376" s="40"/>
      <c r="AQ1376" s="40"/>
      <c r="AR1376" s="31"/>
      <c r="AS1376" s="36">
        <v>0</v>
      </c>
      <c r="AY1376" s="6"/>
      <c r="AZ1376" s="2"/>
      <c r="BA1376" s="2"/>
      <c r="BB1376" s="2"/>
      <c r="BC1376">
        <v>71500</v>
      </c>
      <c r="BD1376">
        <v>56992</v>
      </c>
    </row>
    <row r="1377" spans="3:56" x14ac:dyDescent="0.25">
      <c r="C1377" s="1">
        <v>46997</v>
      </c>
      <c r="D1377" s="36">
        <v>280814.82</v>
      </c>
      <c r="E1377" s="33">
        <v>4.7433333333333296</v>
      </c>
      <c r="F1377" s="33">
        <v>3.8373566666666701</v>
      </c>
      <c r="G1377" s="2">
        <v>0.80900000000000005</v>
      </c>
      <c r="H1377" s="2">
        <v>0.99</v>
      </c>
      <c r="I1377" s="3"/>
      <c r="J1377" s="3"/>
      <c r="K1377" s="3"/>
      <c r="L1377" s="3"/>
      <c r="M1377" s="3"/>
      <c r="N1377" s="3">
        <v>0</v>
      </c>
      <c r="O1377" s="3"/>
      <c r="P1377" s="3">
        <v>0</v>
      </c>
      <c r="Q1377" s="3">
        <v>0</v>
      </c>
      <c r="R1377" s="3">
        <v>0</v>
      </c>
      <c r="S1377" s="3">
        <v>0</v>
      </c>
      <c r="T1377" s="3">
        <v>0</v>
      </c>
      <c r="U1377" s="3"/>
      <c r="V1377" s="3"/>
      <c r="W1377" s="3"/>
      <c r="X1377" s="3"/>
      <c r="Y1377" s="3"/>
      <c r="Z1377" s="3"/>
      <c r="AA1377" s="3"/>
      <c r="AB1377" s="3"/>
      <c r="AC1377" s="3"/>
      <c r="AD1377" s="3"/>
      <c r="AE1377" s="3">
        <v>0</v>
      </c>
      <c r="AF1377" s="3">
        <v>0</v>
      </c>
      <c r="AG1377" s="3"/>
      <c r="AH1377" s="40"/>
      <c r="AI1377" s="40"/>
      <c r="AJ1377" s="40"/>
      <c r="AK1377" s="40"/>
      <c r="AL1377" s="40"/>
      <c r="AM1377" s="40"/>
      <c r="AN1377" s="40"/>
      <c r="AO1377" s="40"/>
      <c r="AP1377" s="40"/>
      <c r="AQ1377" s="40"/>
      <c r="AR1377" s="31"/>
      <c r="AS1377" s="36">
        <v>0</v>
      </c>
      <c r="AY1377" s="6"/>
      <c r="AZ1377" s="2"/>
      <c r="BA1377" s="2"/>
      <c r="BB1377" s="2"/>
      <c r="BC1377">
        <v>71500</v>
      </c>
      <c r="BD1377">
        <v>56992</v>
      </c>
    </row>
    <row r="1378" spans="3:56" x14ac:dyDescent="0.25">
      <c r="C1378" s="1">
        <v>46998</v>
      </c>
      <c r="D1378" s="36">
        <v>280814.82</v>
      </c>
      <c r="E1378" s="33">
        <v>4.7433333333333296</v>
      </c>
      <c r="F1378" s="33">
        <v>3.8373039629629599</v>
      </c>
      <c r="G1378" s="2">
        <v>0.80898888888888898</v>
      </c>
      <c r="H1378" s="2">
        <v>0.99</v>
      </c>
      <c r="I1378" s="3"/>
      <c r="J1378" s="3"/>
      <c r="K1378" s="3"/>
      <c r="L1378" s="3"/>
      <c r="M1378" s="3"/>
      <c r="N1378" s="3">
        <v>0</v>
      </c>
      <c r="O1378" s="3"/>
      <c r="P1378" s="3">
        <v>0</v>
      </c>
      <c r="Q1378" s="3">
        <v>0</v>
      </c>
      <c r="R1378" s="3">
        <v>0</v>
      </c>
      <c r="S1378" s="3">
        <v>0</v>
      </c>
      <c r="T1378" s="3">
        <v>0</v>
      </c>
      <c r="U1378" s="3"/>
      <c r="V1378" s="3"/>
      <c r="W1378" s="3"/>
      <c r="X1378" s="3"/>
      <c r="Y1378" s="3"/>
      <c r="Z1378" s="3"/>
      <c r="AA1378" s="3"/>
      <c r="AB1378" s="3"/>
      <c r="AC1378" s="3"/>
      <c r="AD1378" s="3"/>
      <c r="AE1378" s="3">
        <v>0</v>
      </c>
      <c r="AF1378" s="3">
        <v>0</v>
      </c>
      <c r="AG1378" s="3"/>
      <c r="AH1378" s="40"/>
      <c r="AI1378" s="40"/>
      <c r="AJ1378" s="40"/>
      <c r="AK1378" s="40"/>
      <c r="AL1378" s="40"/>
      <c r="AM1378" s="40"/>
      <c r="AN1378" s="40"/>
      <c r="AO1378" s="40"/>
      <c r="AP1378" s="40"/>
      <c r="AQ1378" s="40"/>
      <c r="AR1378" s="31"/>
      <c r="AS1378" s="36">
        <v>0</v>
      </c>
      <c r="AY1378" s="6"/>
      <c r="AZ1378" s="2"/>
      <c r="BA1378" s="2"/>
      <c r="BB1378" s="2"/>
      <c r="BC1378">
        <v>71500</v>
      </c>
      <c r="BD1378">
        <v>56992</v>
      </c>
    </row>
    <row r="1379" spans="3:56" x14ac:dyDescent="0.25">
      <c r="C1379" s="1">
        <v>46999</v>
      </c>
      <c r="D1379" s="36">
        <v>280814.82</v>
      </c>
      <c r="E1379" s="33">
        <v>4.7433333333333296</v>
      </c>
      <c r="F1379" s="33">
        <v>3.83725125925926</v>
      </c>
      <c r="G1379" s="2">
        <v>0.80897777777777802</v>
      </c>
      <c r="H1379" s="2">
        <v>0.99</v>
      </c>
      <c r="I1379" s="3"/>
      <c r="J1379" s="3"/>
      <c r="K1379" s="3"/>
      <c r="L1379" s="3"/>
      <c r="M1379" s="3"/>
      <c r="N1379" s="3">
        <v>0</v>
      </c>
      <c r="O1379" s="3"/>
      <c r="P1379" s="3">
        <v>0</v>
      </c>
      <c r="Q1379" s="3">
        <v>0</v>
      </c>
      <c r="R1379" s="3">
        <v>0</v>
      </c>
      <c r="S1379" s="3">
        <v>0</v>
      </c>
      <c r="T1379" s="3">
        <v>0</v>
      </c>
      <c r="U1379" s="3"/>
      <c r="V1379" s="3"/>
      <c r="W1379" s="3"/>
      <c r="X1379" s="3"/>
      <c r="Y1379" s="3"/>
      <c r="Z1379" s="3"/>
      <c r="AA1379" s="3"/>
      <c r="AB1379" s="3"/>
      <c r="AC1379" s="3"/>
      <c r="AD1379" s="3"/>
      <c r="AE1379" s="3">
        <v>0</v>
      </c>
      <c r="AF1379" s="3">
        <v>0</v>
      </c>
      <c r="AG1379" s="3"/>
      <c r="AH1379" s="40"/>
      <c r="AI1379" s="40"/>
      <c r="AJ1379" s="40"/>
      <c r="AK1379" s="40"/>
      <c r="AL1379" s="40"/>
      <c r="AM1379" s="40"/>
      <c r="AN1379" s="40"/>
      <c r="AO1379" s="40"/>
      <c r="AP1379" s="40"/>
      <c r="AQ1379" s="40"/>
      <c r="AR1379" s="31"/>
      <c r="AS1379" s="36">
        <v>0</v>
      </c>
      <c r="AY1379" s="6"/>
      <c r="AZ1379" s="2"/>
      <c r="BA1379" s="2"/>
      <c r="BB1379" s="2"/>
      <c r="BC1379">
        <v>71500</v>
      </c>
      <c r="BD1379">
        <v>56992</v>
      </c>
    </row>
    <row r="1380" spans="3:56" x14ac:dyDescent="0.25">
      <c r="C1380" s="1">
        <v>47000</v>
      </c>
      <c r="D1380" s="36">
        <v>280814.82</v>
      </c>
      <c r="E1380" s="33">
        <v>4.7433333333333296</v>
      </c>
      <c r="F1380" s="33">
        <v>3.8371985555555601</v>
      </c>
      <c r="G1380" s="2">
        <v>0.80896666666666694</v>
      </c>
      <c r="H1380" s="2">
        <v>0.99</v>
      </c>
      <c r="I1380" s="3"/>
      <c r="J1380" s="3"/>
      <c r="K1380" s="3"/>
      <c r="L1380" s="3"/>
      <c r="M1380" s="3"/>
      <c r="N1380" s="3">
        <v>0</v>
      </c>
      <c r="O1380" s="3"/>
      <c r="P1380" s="3">
        <v>0</v>
      </c>
      <c r="Q1380" s="3">
        <v>0</v>
      </c>
      <c r="R1380" s="3">
        <v>0</v>
      </c>
      <c r="S1380" s="3">
        <v>0</v>
      </c>
      <c r="T1380" s="3">
        <v>0</v>
      </c>
      <c r="U1380" s="3"/>
      <c r="V1380" s="3"/>
      <c r="W1380" s="3"/>
      <c r="X1380" s="3"/>
      <c r="Y1380" s="3"/>
      <c r="Z1380" s="3"/>
      <c r="AA1380" s="3"/>
      <c r="AB1380" s="3"/>
      <c r="AC1380" s="3"/>
      <c r="AD1380" s="3"/>
      <c r="AE1380" s="3">
        <v>0</v>
      </c>
      <c r="AF1380" s="3">
        <v>0</v>
      </c>
      <c r="AG1380" s="3"/>
      <c r="AH1380" s="40"/>
      <c r="AI1380" s="40"/>
      <c r="AJ1380" s="40"/>
      <c r="AK1380" s="40"/>
      <c r="AL1380" s="40"/>
      <c r="AM1380" s="40"/>
      <c r="AN1380" s="40"/>
      <c r="AO1380" s="40"/>
      <c r="AP1380" s="40"/>
      <c r="AQ1380" s="40"/>
      <c r="AR1380" s="31"/>
      <c r="AS1380" s="36">
        <v>0</v>
      </c>
      <c r="AY1380" s="6"/>
      <c r="AZ1380" s="2"/>
      <c r="BA1380" s="2"/>
      <c r="BB1380" s="2"/>
      <c r="BC1380">
        <v>71500</v>
      </c>
      <c r="BD1380">
        <v>56992</v>
      </c>
    </row>
    <row r="1381" spans="3:56" x14ac:dyDescent="0.25">
      <c r="C1381" s="1">
        <v>47001</v>
      </c>
      <c r="D1381" s="36">
        <v>280814.82</v>
      </c>
      <c r="E1381" s="33">
        <v>4.7433333333333296</v>
      </c>
      <c r="F1381" s="33">
        <v>3.83714585185185</v>
      </c>
      <c r="G1381" s="2">
        <v>0.80895555555555598</v>
      </c>
      <c r="H1381" s="2">
        <v>0.99</v>
      </c>
      <c r="I1381" s="3"/>
      <c r="J1381" s="3"/>
      <c r="K1381" s="3"/>
      <c r="L1381" s="3"/>
      <c r="M1381" s="3"/>
      <c r="N1381" s="3">
        <v>0</v>
      </c>
      <c r="O1381" s="3"/>
      <c r="P1381" s="3">
        <v>0</v>
      </c>
      <c r="Q1381" s="3">
        <v>0</v>
      </c>
      <c r="R1381" s="3">
        <v>0</v>
      </c>
      <c r="S1381" s="3">
        <v>0</v>
      </c>
      <c r="T1381" s="3">
        <v>0</v>
      </c>
      <c r="U1381" s="3"/>
      <c r="V1381" s="3"/>
      <c r="W1381" s="3"/>
      <c r="X1381" s="3"/>
      <c r="Y1381" s="3"/>
      <c r="Z1381" s="3"/>
      <c r="AA1381" s="3"/>
      <c r="AB1381" s="3"/>
      <c r="AC1381" s="3"/>
      <c r="AD1381" s="3"/>
      <c r="AE1381" s="3">
        <v>0</v>
      </c>
      <c r="AF1381" s="3">
        <v>0</v>
      </c>
      <c r="AG1381" s="3"/>
      <c r="AH1381" s="40"/>
      <c r="AI1381" s="40"/>
      <c r="AJ1381" s="40"/>
      <c r="AK1381" s="40"/>
      <c r="AL1381" s="40"/>
      <c r="AM1381" s="40"/>
      <c r="AN1381" s="40"/>
      <c r="AO1381" s="40"/>
      <c r="AP1381" s="40"/>
      <c r="AQ1381" s="40"/>
      <c r="AR1381" s="31"/>
      <c r="AS1381" s="36">
        <v>0</v>
      </c>
      <c r="AY1381" s="6"/>
      <c r="AZ1381" s="2"/>
      <c r="BA1381" s="2"/>
      <c r="BB1381" s="2"/>
      <c r="BC1381">
        <v>71500</v>
      </c>
      <c r="BD1381">
        <v>56992</v>
      </c>
    </row>
    <row r="1382" spans="3:56" x14ac:dyDescent="0.25">
      <c r="C1382" s="1">
        <v>47002</v>
      </c>
      <c r="D1382" s="36">
        <v>280814.82</v>
      </c>
      <c r="E1382" s="33">
        <v>4.7433333333333296</v>
      </c>
      <c r="F1382" s="33">
        <v>3.8370931481481501</v>
      </c>
      <c r="G1382" s="2">
        <v>0.80894444444444402</v>
      </c>
      <c r="H1382" s="2">
        <v>0.99</v>
      </c>
      <c r="I1382" s="3"/>
      <c r="J1382" s="3"/>
      <c r="K1382" s="3"/>
      <c r="L1382" s="3"/>
      <c r="M1382" s="3"/>
      <c r="N1382" s="3">
        <v>0</v>
      </c>
      <c r="O1382" s="3"/>
      <c r="P1382" s="3">
        <v>0</v>
      </c>
      <c r="Q1382" s="3">
        <v>0</v>
      </c>
      <c r="R1382" s="3">
        <v>0</v>
      </c>
      <c r="S1382" s="3">
        <v>0</v>
      </c>
      <c r="T1382" s="3">
        <v>0</v>
      </c>
      <c r="U1382" s="3"/>
      <c r="V1382" s="3"/>
      <c r="W1382" s="3"/>
      <c r="X1382" s="3"/>
      <c r="Y1382" s="3"/>
      <c r="Z1382" s="3"/>
      <c r="AA1382" s="3"/>
      <c r="AB1382" s="3"/>
      <c r="AC1382" s="3"/>
      <c r="AD1382" s="3"/>
      <c r="AE1382" s="3">
        <v>0</v>
      </c>
      <c r="AF1382" s="3">
        <v>0</v>
      </c>
      <c r="AG1382" s="3"/>
      <c r="AH1382" s="40"/>
      <c r="AI1382" s="40"/>
      <c r="AJ1382" s="40"/>
      <c r="AK1382" s="40"/>
      <c r="AL1382" s="40"/>
      <c r="AM1382" s="40"/>
      <c r="AN1382" s="40"/>
      <c r="AO1382" s="40"/>
      <c r="AP1382" s="40"/>
      <c r="AQ1382" s="40"/>
      <c r="AR1382" s="31"/>
      <c r="AS1382" s="36">
        <v>0</v>
      </c>
      <c r="AY1382" s="6"/>
      <c r="AZ1382" s="2"/>
      <c r="BA1382" s="2"/>
      <c r="BB1382" s="2"/>
      <c r="BC1382">
        <v>71500</v>
      </c>
      <c r="BD1382">
        <v>56992</v>
      </c>
    </row>
    <row r="1383" spans="3:56" x14ac:dyDescent="0.25">
      <c r="C1383" s="1">
        <v>47003</v>
      </c>
      <c r="D1383" s="36">
        <v>280814.82</v>
      </c>
      <c r="E1383" s="33">
        <v>4.7433333333333296</v>
      </c>
      <c r="F1383" s="33">
        <v>3.8370404444444399</v>
      </c>
      <c r="G1383" s="2">
        <v>0.80893333333333295</v>
      </c>
      <c r="H1383" s="2">
        <v>0.99</v>
      </c>
      <c r="I1383" s="3"/>
      <c r="J1383" s="3"/>
      <c r="K1383" s="3"/>
      <c r="L1383" s="3"/>
      <c r="M1383" s="3"/>
      <c r="N1383" s="3">
        <v>0</v>
      </c>
      <c r="O1383" s="3"/>
      <c r="P1383" s="3">
        <v>0</v>
      </c>
      <c r="Q1383" s="3">
        <v>0</v>
      </c>
      <c r="R1383" s="3">
        <v>0</v>
      </c>
      <c r="S1383" s="3">
        <v>0</v>
      </c>
      <c r="T1383" s="3">
        <v>0</v>
      </c>
      <c r="U1383" s="3"/>
      <c r="V1383" s="3"/>
      <c r="W1383" s="3"/>
      <c r="X1383" s="3"/>
      <c r="Y1383" s="3"/>
      <c r="Z1383" s="3"/>
      <c r="AA1383" s="3"/>
      <c r="AB1383" s="3"/>
      <c r="AC1383" s="3"/>
      <c r="AD1383" s="3"/>
      <c r="AE1383" s="3">
        <v>0</v>
      </c>
      <c r="AF1383" s="3">
        <v>0</v>
      </c>
      <c r="AG1383" s="3"/>
      <c r="AH1383" s="40"/>
      <c r="AI1383" s="40"/>
      <c r="AJ1383" s="40"/>
      <c r="AK1383" s="40"/>
      <c r="AL1383" s="40"/>
      <c r="AM1383" s="40"/>
      <c r="AN1383" s="40"/>
      <c r="AO1383" s="40"/>
      <c r="AP1383" s="40"/>
      <c r="AQ1383" s="40"/>
      <c r="AR1383" s="31"/>
      <c r="AS1383" s="36">
        <v>0</v>
      </c>
      <c r="AY1383" s="6"/>
      <c r="AZ1383" s="2"/>
      <c r="BA1383" s="2"/>
      <c r="BB1383" s="2"/>
      <c r="BC1383">
        <v>71500</v>
      </c>
      <c r="BD1383">
        <v>56992</v>
      </c>
    </row>
    <row r="1384" spans="3:56" x14ac:dyDescent="0.25">
      <c r="C1384" s="1">
        <v>47004</v>
      </c>
      <c r="D1384" s="36">
        <v>280814.82</v>
      </c>
      <c r="E1384" s="33">
        <v>4.7433333333333296</v>
      </c>
      <c r="F1384" s="33">
        <v>3.83698774074074</v>
      </c>
      <c r="G1384" s="2">
        <v>0.80892222222222199</v>
      </c>
      <c r="H1384" s="2">
        <v>0.99</v>
      </c>
      <c r="I1384" s="3"/>
      <c r="J1384" s="3"/>
      <c r="K1384" s="3"/>
      <c r="L1384" s="3"/>
      <c r="M1384" s="3"/>
      <c r="N1384" s="3">
        <v>0</v>
      </c>
      <c r="O1384" s="3"/>
      <c r="P1384" s="3">
        <v>0</v>
      </c>
      <c r="Q1384" s="3">
        <v>0</v>
      </c>
      <c r="R1384" s="3">
        <v>0</v>
      </c>
      <c r="S1384" s="3">
        <v>0</v>
      </c>
      <c r="T1384" s="3">
        <v>0</v>
      </c>
      <c r="U1384" s="3"/>
      <c r="V1384" s="3"/>
      <c r="W1384" s="3"/>
      <c r="X1384" s="3"/>
      <c r="Y1384" s="3"/>
      <c r="Z1384" s="3"/>
      <c r="AA1384" s="3"/>
      <c r="AB1384" s="3"/>
      <c r="AC1384" s="3"/>
      <c r="AD1384" s="3"/>
      <c r="AE1384" s="3">
        <v>0</v>
      </c>
      <c r="AF1384" s="3">
        <v>0</v>
      </c>
      <c r="AG1384" s="3"/>
      <c r="AH1384" s="40"/>
      <c r="AI1384" s="40"/>
      <c r="AJ1384" s="40"/>
      <c r="AK1384" s="40"/>
      <c r="AL1384" s="40"/>
      <c r="AM1384" s="40"/>
      <c r="AN1384" s="40"/>
      <c r="AO1384" s="40"/>
      <c r="AP1384" s="40"/>
      <c r="AQ1384" s="40"/>
      <c r="AR1384" s="31"/>
      <c r="AS1384" s="36">
        <v>0</v>
      </c>
      <c r="AY1384" s="6"/>
      <c r="AZ1384" s="2"/>
      <c r="BA1384" s="2"/>
      <c r="BB1384" s="2"/>
      <c r="BC1384">
        <v>71500</v>
      </c>
      <c r="BD1384">
        <v>56992</v>
      </c>
    </row>
    <row r="1385" spans="3:56" x14ac:dyDescent="0.25">
      <c r="C1385" s="1">
        <v>47005</v>
      </c>
      <c r="D1385" s="36">
        <v>280814.82</v>
      </c>
      <c r="E1385" s="33">
        <v>4.7433333333333296</v>
      </c>
      <c r="F1385" s="33">
        <v>3.8369350370370401</v>
      </c>
      <c r="G1385" s="2">
        <v>0.80891111111111103</v>
      </c>
      <c r="H1385" s="2">
        <v>0.99</v>
      </c>
      <c r="I1385" s="3"/>
      <c r="J1385" s="3"/>
      <c r="K1385" s="3"/>
      <c r="L1385" s="3"/>
      <c r="M1385" s="3"/>
      <c r="N1385" s="3">
        <v>0</v>
      </c>
      <c r="O1385" s="3"/>
      <c r="P1385" s="3">
        <v>0</v>
      </c>
      <c r="Q1385" s="3">
        <v>0</v>
      </c>
      <c r="R1385" s="3">
        <v>0</v>
      </c>
      <c r="S1385" s="3">
        <v>0</v>
      </c>
      <c r="T1385" s="3">
        <v>0</v>
      </c>
      <c r="U1385" s="3"/>
      <c r="V1385" s="3"/>
      <c r="W1385" s="3"/>
      <c r="X1385" s="3"/>
      <c r="Y1385" s="3"/>
      <c r="Z1385" s="3"/>
      <c r="AA1385" s="3"/>
      <c r="AB1385" s="3"/>
      <c r="AC1385" s="3"/>
      <c r="AD1385" s="3"/>
      <c r="AE1385" s="3">
        <v>0</v>
      </c>
      <c r="AF1385" s="3">
        <v>0</v>
      </c>
      <c r="AG1385" s="3"/>
      <c r="AH1385" s="40"/>
      <c r="AI1385" s="40"/>
      <c r="AJ1385" s="40"/>
      <c r="AK1385" s="40"/>
      <c r="AL1385" s="40"/>
      <c r="AM1385" s="40"/>
      <c r="AN1385" s="40"/>
      <c r="AO1385" s="40"/>
      <c r="AP1385" s="40"/>
      <c r="AQ1385" s="40"/>
      <c r="AR1385" s="31"/>
      <c r="AS1385" s="36">
        <v>0</v>
      </c>
      <c r="AY1385" s="6"/>
      <c r="AZ1385" s="2"/>
      <c r="BA1385" s="2"/>
      <c r="BB1385" s="2"/>
      <c r="BC1385">
        <v>71500</v>
      </c>
      <c r="BD1385">
        <v>56992</v>
      </c>
    </row>
    <row r="1386" spans="3:56" x14ac:dyDescent="0.25">
      <c r="C1386" s="1">
        <v>47006</v>
      </c>
      <c r="D1386" s="36">
        <v>280814.82</v>
      </c>
      <c r="E1386" s="33">
        <v>4.7433333333333296</v>
      </c>
      <c r="F1386" s="33">
        <v>3.83688233333333</v>
      </c>
      <c r="G1386" s="2">
        <v>0.80889999999999995</v>
      </c>
      <c r="H1386" s="2">
        <v>0.99</v>
      </c>
      <c r="I1386" s="3"/>
      <c r="J1386" s="3"/>
      <c r="K1386" s="3"/>
      <c r="L1386" s="3"/>
      <c r="M1386" s="3"/>
      <c r="N1386" s="3">
        <v>0</v>
      </c>
      <c r="O1386" s="3"/>
      <c r="P1386" s="3">
        <v>0</v>
      </c>
      <c r="Q1386" s="3">
        <v>0</v>
      </c>
      <c r="R1386" s="3">
        <v>0</v>
      </c>
      <c r="S1386" s="3">
        <v>0</v>
      </c>
      <c r="T1386" s="3">
        <v>0</v>
      </c>
      <c r="U1386" s="3"/>
      <c r="V1386" s="3"/>
      <c r="W1386" s="3"/>
      <c r="X1386" s="3"/>
      <c r="Y1386" s="3"/>
      <c r="Z1386" s="3"/>
      <c r="AA1386" s="3"/>
      <c r="AB1386" s="3"/>
      <c r="AC1386" s="3"/>
      <c r="AD1386" s="3"/>
      <c r="AE1386" s="3">
        <v>0</v>
      </c>
      <c r="AF1386" s="3">
        <v>0</v>
      </c>
      <c r="AG1386" s="3"/>
      <c r="AH1386" s="40"/>
      <c r="AI1386" s="40"/>
      <c r="AJ1386" s="40"/>
      <c r="AK1386" s="40"/>
      <c r="AL1386" s="40"/>
      <c r="AM1386" s="40"/>
      <c r="AN1386" s="40"/>
      <c r="AO1386" s="40"/>
      <c r="AP1386" s="40"/>
      <c r="AQ1386" s="40"/>
      <c r="AR1386" s="31"/>
      <c r="AS1386" s="36">
        <v>0</v>
      </c>
      <c r="AY1386" s="6"/>
      <c r="AZ1386" s="2"/>
      <c r="BA1386" s="2"/>
      <c r="BB1386" s="2"/>
      <c r="BC1386">
        <v>71500</v>
      </c>
      <c r="BD1386">
        <v>56992</v>
      </c>
    </row>
    <row r="1387" spans="3:56" x14ac:dyDescent="0.25">
      <c r="C1387" s="1">
        <v>47007</v>
      </c>
      <c r="D1387" s="36">
        <v>280814.82</v>
      </c>
      <c r="E1387" s="33">
        <v>4.7433333333333296</v>
      </c>
      <c r="F1387" s="33">
        <v>3.83682962962963</v>
      </c>
      <c r="G1387" s="2">
        <v>0.80888888888888899</v>
      </c>
      <c r="H1387" s="2">
        <v>0.99</v>
      </c>
      <c r="I1387" s="3"/>
      <c r="J1387" s="3"/>
      <c r="K1387" s="3"/>
      <c r="L1387" s="3"/>
      <c r="M1387" s="3"/>
      <c r="N1387" s="3">
        <v>0</v>
      </c>
      <c r="O1387" s="3"/>
      <c r="P1387" s="3">
        <v>0</v>
      </c>
      <c r="Q1387" s="3">
        <v>0</v>
      </c>
      <c r="R1387" s="3">
        <v>0</v>
      </c>
      <c r="S1387" s="3">
        <v>0</v>
      </c>
      <c r="T1387" s="3">
        <v>0</v>
      </c>
      <c r="U1387" s="3"/>
      <c r="V1387" s="3"/>
      <c r="W1387" s="3"/>
      <c r="X1387" s="3"/>
      <c r="Y1387" s="3"/>
      <c r="Z1387" s="3"/>
      <c r="AA1387" s="3"/>
      <c r="AB1387" s="3"/>
      <c r="AC1387" s="3"/>
      <c r="AD1387" s="3"/>
      <c r="AE1387" s="3">
        <v>0</v>
      </c>
      <c r="AF1387" s="3">
        <v>0</v>
      </c>
      <c r="AG1387" s="3"/>
      <c r="AH1387" s="40"/>
      <c r="AI1387" s="40"/>
      <c r="AJ1387" s="40"/>
      <c r="AK1387" s="40"/>
      <c r="AL1387" s="40"/>
      <c r="AM1387" s="40"/>
      <c r="AN1387" s="40"/>
      <c r="AO1387" s="40"/>
      <c r="AP1387" s="40"/>
      <c r="AQ1387" s="40"/>
      <c r="AR1387" s="31"/>
      <c r="AS1387" s="36">
        <v>0</v>
      </c>
      <c r="AY1387" s="6"/>
      <c r="AZ1387" s="2"/>
      <c r="BA1387" s="2"/>
      <c r="BB1387" s="2"/>
      <c r="BC1387">
        <v>71500</v>
      </c>
      <c r="BD1387">
        <v>56992</v>
      </c>
    </row>
    <row r="1388" spans="3:56" x14ac:dyDescent="0.25">
      <c r="C1388" s="1">
        <v>47008</v>
      </c>
      <c r="D1388" s="36">
        <v>280814.82</v>
      </c>
      <c r="E1388" s="33">
        <v>4.7433333333333296</v>
      </c>
      <c r="F1388" s="33">
        <v>3.8367769259259301</v>
      </c>
      <c r="G1388" s="2">
        <v>0.80887777777777803</v>
      </c>
      <c r="H1388" s="2">
        <v>0.99</v>
      </c>
      <c r="I1388" s="3"/>
      <c r="J1388" s="3"/>
      <c r="K1388" s="3"/>
      <c r="L1388" s="3"/>
      <c r="M1388" s="3"/>
      <c r="N1388" s="3">
        <v>0</v>
      </c>
      <c r="O1388" s="3"/>
      <c r="P1388" s="3">
        <v>0</v>
      </c>
      <c r="Q1388" s="3">
        <v>0</v>
      </c>
      <c r="R1388" s="3">
        <v>0</v>
      </c>
      <c r="S1388" s="3">
        <v>0</v>
      </c>
      <c r="T1388" s="3">
        <v>0</v>
      </c>
      <c r="U1388" s="3"/>
      <c r="V1388" s="3"/>
      <c r="W1388" s="3"/>
      <c r="X1388" s="3"/>
      <c r="Y1388" s="3"/>
      <c r="Z1388" s="3"/>
      <c r="AA1388" s="3"/>
      <c r="AB1388" s="3"/>
      <c r="AC1388" s="3"/>
      <c r="AD1388" s="3"/>
      <c r="AE1388" s="3">
        <v>0</v>
      </c>
      <c r="AF1388" s="3">
        <v>0</v>
      </c>
      <c r="AG1388" s="3"/>
      <c r="AH1388" s="40"/>
      <c r="AI1388" s="40"/>
      <c r="AJ1388" s="40"/>
      <c r="AK1388" s="40"/>
      <c r="AL1388" s="40"/>
      <c r="AM1388" s="40"/>
      <c r="AN1388" s="40"/>
      <c r="AO1388" s="40"/>
      <c r="AP1388" s="40"/>
      <c r="AQ1388" s="40"/>
      <c r="AR1388" s="31"/>
      <c r="AS1388" s="36">
        <v>0</v>
      </c>
      <c r="AY1388" s="6"/>
      <c r="AZ1388" s="2"/>
      <c r="BA1388" s="2"/>
      <c r="BB1388" s="2"/>
      <c r="BC1388">
        <v>71500</v>
      </c>
      <c r="BD1388">
        <v>56992</v>
      </c>
    </row>
    <row r="1389" spans="3:56" x14ac:dyDescent="0.25">
      <c r="C1389" s="1">
        <v>47009</v>
      </c>
      <c r="D1389" s="36">
        <v>280814.82</v>
      </c>
      <c r="E1389" s="33">
        <v>4.7433333333333296</v>
      </c>
      <c r="F1389" s="33">
        <v>3.83672422222222</v>
      </c>
      <c r="G1389" s="2">
        <v>0.80886666666666696</v>
      </c>
      <c r="H1389" s="2">
        <v>0.99</v>
      </c>
      <c r="I1389" s="3"/>
      <c r="J1389" s="3"/>
      <c r="K1389" s="3"/>
      <c r="L1389" s="3"/>
      <c r="M1389" s="3"/>
      <c r="N1389" s="3">
        <v>0</v>
      </c>
      <c r="O1389" s="3"/>
      <c r="P1389" s="3">
        <v>0</v>
      </c>
      <c r="Q1389" s="3">
        <v>0</v>
      </c>
      <c r="R1389" s="3">
        <v>0</v>
      </c>
      <c r="S1389" s="3">
        <v>0</v>
      </c>
      <c r="T1389" s="3">
        <v>0</v>
      </c>
      <c r="U1389" s="3"/>
      <c r="V1389" s="3"/>
      <c r="W1389" s="3"/>
      <c r="X1389" s="3"/>
      <c r="Y1389" s="3"/>
      <c r="Z1389" s="3"/>
      <c r="AA1389" s="3"/>
      <c r="AB1389" s="3"/>
      <c r="AC1389" s="3"/>
      <c r="AD1389" s="3"/>
      <c r="AE1389" s="3">
        <v>0</v>
      </c>
      <c r="AF1389" s="3">
        <v>0</v>
      </c>
      <c r="AG1389" s="3"/>
      <c r="AH1389" s="40"/>
      <c r="AI1389" s="40"/>
      <c r="AJ1389" s="40"/>
      <c r="AK1389" s="40"/>
      <c r="AL1389" s="40"/>
      <c r="AM1389" s="40"/>
      <c r="AN1389" s="40"/>
      <c r="AO1389" s="40"/>
      <c r="AP1389" s="40"/>
      <c r="AQ1389" s="40"/>
      <c r="AR1389" s="31"/>
      <c r="AS1389" s="36">
        <v>0</v>
      </c>
      <c r="AY1389" s="6"/>
      <c r="AZ1389" s="2"/>
      <c r="BA1389" s="2"/>
      <c r="BB1389" s="2"/>
      <c r="BC1389">
        <v>71500</v>
      </c>
      <c r="BD1389">
        <v>56992</v>
      </c>
    </row>
    <row r="1390" spans="3:56" x14ac:dyDescent="0.25">
      <c r="C1390" s="1">
        <v>47010</v>
      </c>
      <c r="D1390" s="36">
        <v>280814.82</v>
      </c>
      <c r="E1390" s="33">
        <v>4.7433333333333296</v>
      </c>
      <c r="F1390" s="33">
        <v>3.8366715185185201</v>
      </c>
      <c r="G1390" s="2">
        <v>0.80885555555555599</v>
      </c>
      <c r="H1390" s="2">
        <v>0.99</v>
      </c>
      <c r="I1390" s="3"/>
      <c r="J1390" s="3"/>
      <c r="K1390" s="3"/>
      <c r="L1390" s="3"/>
      <c r="M1390" s="3"/>
      <c r="N1390" s="3">
        <v>0</v>
      </c>
      <c r="O1390" s="3"/>
      <c r="P1390" s="3">
        <v>0</v>
      </c>
      <c r="Q1390" s="3">
        <v>0</v>
      </c>
      <c r="R1390" s="3">
        <v>0</v>
      </c>
      <c r="S1390" s="3">
        <v>0</v>
      </c>
      <c r="T1390" s="3">
        <v>0</v>
      </c>
      <c r="U1390" s="3"/>
      <c r="V1390" s="3"/>
      <c r="W1390" s="3"/>
      <c r="X1390" s="3"/>
      <c r="Y1390" s="3"/>
      <c r="Z1390" s="3"/>
      <c r="AA1390" s="3"/>
      <c r="AB1390" s="3"/>
      <c r="AC1390" s="3"/>
      <c r="AD1390" s="3"/>
      <c r="AE1390" s="3">
        <v>0</v>
      </c>
      <c r="AF1390" s="3">
        <v>0</v>
      </c>
      <c r="AG1390" s="3"/>
      <c r="AH1390" s="40"/>
      <c r="AI1390" s="40"/>
      <c r="AJ1390" s="40"/>
      <c r="AK1390" s="40"/>
      <c r="AL1390" s="40"/>
      <c r="AM1390" s="40"/>
      <c r="AN1390" s="40"/>
      <c r="AO1390" s="40"/>
      <c r="AP1390" s="40"/>
      <c r="AQ1390" s="40"/>
      <c r="AR1390" s="31"/>
      <c r="AS1390" s="36">
        <v>0</v>
      </c>
      <c r="AY1390" s="6"/>
      <c r="AZ1390" s="2"/>
      <c r="BA1390" s="2"/>
      <c r="BB1390" s="2"/>
      <c r="BC1390">
        <v>71500</v>
      </c>
      <c r="BD1390">
        <v>56992</v>
      </c>
    </row>
    <row r="1391" spans="3:56" x14ac:dyDescent="0.25">
      <c r="C1391" s="1">
        <v>47011</v>
      </c>
      <c r="D1391" s="36">
        <v>280814.82</v>
      </c>
      <c r="E1391" s="33">
        <v>4.7433333333333296</v>
      </c>
      <c r="F1391" s="33">
        <v>3.8366188148148201</v>
      </c>
      <c r="G1391" s="2">
        <v>0.80884444444444403</v>
      </c>
      <c r="H1391" s="2">
        <v>0.99</v>
      </c>
      <c r="I1391" s="3"/>
      <c r="J1391" s="3"/>
      <c r="K1391" s="3"/>
      <c r="L1391" s="3"/>
      <c r="M1391" s="3"/>
      <c r="N1391" s="3">
        <v>0</v>
      </c>
      <c r="O1391" s="3"/>
      <c r="P1391" s="3">
        <v>0</v>
      </c>
      <c r="Q1391" s="3">
        <v>0</v>
      </c>
      <c r="R1391" s="3">
        <v>0</v>
      </c>
      <c r="S1391" s="3">
        <v>0</v>
      </c>
      <c r="T1391" s="3">
        <v>0</v>
      </c>
      <c r="U1391" s="3"/>
      <c r="V1391" s="3"/>
      <c r="W1391" s="3"/>
      <c r="X1391" s="3"/>
      <c r="Y1391" s="3"/>
      <c r="Z1391" s="3"/>
      <c r="AA1391" s="3"/>
      <c r="AB1391" s="3"/>
      <c r="AC1391" s="3"/>
      <c r="AD1391" s="3"/>
      <c r="AE1391" s="3">
        <v>0</v>
      </c>
      <c r="AF1391" s="3">
        <v>0</v>
      </c>
      <c r="AG1391" s="3"/>
      <c r="AH1391" s="40"/>
      <c r="AI1391" s="40"/>
      <c r="AJ1391" s="40"/>
      <c r="AK1391" s="40"/>
      <c r="AL1391" s="40"/>
      <c r="AM1391" s="40"/>
      <c r="AN1391" s="40"/>
      <c r="AO1391" s="40"/>
      <c r="AP1391" s="40"/>
      <c r="AQ1391" s="40"/>
      <c r="AR1391" s="31"/>
      <c r="AS1391" s="36">
        <v>0</v>
      </c>
      <c r="AY1391" s="6"/>
      <c r="AZ1391" s="2"/>
      <c r="BA1391" s="2"/>
      <c r="BB1391" s="2"/>
      <c r="BC1391">
        <v>71500</v>
      </c>
      <c r="BD1391">
        <v>56992</v>
      </c>
    </row>
    <row r="1392" spans="3:56" x14ac:dyDescent="0.25">
      <c r="C1392" s="1">
        <v>47012</v>
      </c>
      <c r="D1392" s="36">
        <v>280814.82</v>
      </c>
      <c r="E1392" s="33">
        <v>4.7433333333333296</v>
      </c>
      <c r="F1392" s="33">
        <v>3.83656611111111</v>
      </c>
      <c r="G1392" s="2">
        <v>0.80883333333333296</v>
      </c>
      <c r="H1392" s="2">
        <v>0.99</v>
      </c>
      <c r="I1392" s="3"/>
      <c r="J1392" s="3"/>
      <c r="K1392" s="3"/>
      <c r="L1392" s="3"/>
      <c r="M1392" s="3"/>
      <c r="N1392" s="3">
        <v>0</v>
      </c>
      <c r="O1392" s="3"/>
      <c r="P1392" s="3">
        <v>0</v>
      </c>
      <c r="Q1392" s="3">
        <v>0</v>
      </c>
      <c r="R1392" s="3">
        <v>0</v>
      </c>
      <c r="S1392" s="3">
        <v>0</v>
      </c>
      <c r="T1392" s="3">
        <v>0</v>
      </c>
      <c r="U1392" s="3"/>
      <c r="V1392" s="3"/>
      <c r="W1392" s="3"/>
      <c r="X1392" s="3"/>
      <c r="Y1392" s="3"/>
      <c r="Z1392" s="3"/>
      <c r="AA1392" s="3"/>
      <c r="AB1392" s="3"/>
      <c r="AC1392" s="3"/>
      <c r="AD1392" s="3"/>
      <c r="AE1392" s="3">
        <v>0</v>
      </c>
      <c r="AF1392" s="3">
        <v>0</v>
      </c>
      <c r="AG1392" s="3"/>
      <c r="AH1392" s="40"/>
      <c r="AI1392" s="40"/>
      <c r="AJ1392" s="40"/>
      <c r="AK1392" s="40"/>
      <c r="AL1392" s="40"/>
      <c r="AM1392" s="40"/>
      <c r="AN1392" s="40"/>
      <c r="AO1392" s="40"/>
      <c r="AP1392" s="40"/>
      <c r="AQ1392" s="40"/>
      <c r="AR1392" s="31"/>
      <c r="AS1392" s="36">
        <v>0</v>
      </c>
      <c r="AY1392" s="6"/>
      <c r="AZ1392" s="2"/>
      <c r="BA1392" s="2"/>
      <c r="BB1392" s="2"/>
      <c r="BC1392">
        <v>71500</v>
      </c>
      <c r="BD1392">
        <v>56992</v>
      </c>
    </row>
    <row r="1393" spans="3:56" x14ac:dyDescent="0.25">
      <c r="C1393" s="1">
        <v>47013</v>
      </c>
      <c r="D1393" s="36">
        <v>280814.82</v>
      </c>
      <c r="E1393" s="33">
        <v>4.7433333333333296</v>
      </c>
      <c r="F1393" s="33">
        <v>3.8365134074074101</v>
      </c>
      <c r="G1393" s="2">
        <v>0.808822222222222</v>
      </c>
      <c r="H1393" s="2">
        <v>0.99</v>
      </c>
      <c r="I1393" s="3"/>
      <c r="J1393" s="3"/>
      <c r="K1393" s="3"/>
      <c r="L1393" s="3"/>
      <c r="M1393" s="3"/>
      <c r="N1393" s="3">
        <v>0</v>
      </c>
      <c r="O1393" s="3"/>
      <c r="P1393" s="3">
        <v>0</v>
      </c>
      <c r="Q1393" s="3">
        <v>0</v>
      </c>
      <c r="R1393" s="3">
        <v>0</v>
      </c>
      <c r="S1393" s="3">
        <v>0</v>
      </c>
      <c r="T1393" s="3">
        <v>0</v>
      </c>
      <c r="U1393" s="3"/>
      <c r="V1393" s="3"/>
      <c r="W1393" s="3"/>
      <c r="X1393" s="3"/>
      <c r="Y1393" s="3"/>
      <c r="Z1393" s="3"/>
      <c r="AA1393" s="3"/>
      <c r="AB1393" s="3"/>
      <c r="AC1393" s="3"/>
      <c r="AD1393" s="3"/>
      <c r="AE1393" s="3">
        <v>0</v>
      </c>
      <c r="AF1393" s="3">
        <v>0</v>
      </c>
      <c r="AG1393" s="3"/>
      <c r="AH1393" s="40"/>
      <c r="AI1393" s="40"/>
      <c r="AJ1393" s="40"/>
      <c r="AK1393" s="40"/>
      <c r="AL1393" s="40"/>
      <c r="AM1393" s="40"/>
      <c r="AN1393" s="40"/>
      <c r="AO1393" s="40"/>
      <c r="AP1393" s="40"/>
      <c r="AQ1393" s="40"/>
      <c r="AR1393" s="31"/>
      <c r="AS1393" s="36">
        <v>0</v>
      </c>
      <c r="AY1393" s="6"/>
      <c r="AZ1393" s="2"/>
      <c r="BA1393" s="2"/>
      <c r="BB1393" s="2"/>
      <c r="BC1393">
        <v>71500</v>
      </c>
      <c r="BD1393">
        <v>56992</v>
      </c>
    </row>
    <row r="1394" spans="3:56" x14ac:dyDescent="0.25">
      <c r="C1394" s="1">
        <v>47014</v>
      </c>
      <c r="D1394" s="36">
        <v>280814.82</v>
      </c>
      <c r="E1394" s="33">
        <v>4.7433333333333296</v>
      </c>
      <c r="F1394" s="33">
        <v>3.8364607037037</v>
      </c>
      <c r="G1394" s="2">
        <v>0.80881111111111104</v>
      </c>
      <c r="H1394" s="2">
        <v>0.99</v>
      </c>
      <c r="I1394" s="3"/>
      <c r="J1394" s="3"/>
      <c r="K1394" s="3"/>
      <c r="L1394" s="3"/>
      <c r="M1394" s="3"/>
      <c r="N1394" s="3">
        <v>0</v>
      </c>
      <c r="O1394" s="3"/>
      <c r="P1394" s="3">
        <v>0</v>
      </c>
      <c r="Q1394" s="3">
        <v>0</v>
      </c>
      <c r="R1394" s="3">
        <v>0</v>
      </c>
      <c r="S1394" s="3">
        <v>0</v>
      </c>
      <c r="T1394" s="3">
        <v>0</v>
      </c>
      <c r="U1394" s="3"/>
      <c r="V1394" s="3"/>
      <c r="W1394" s="3"/>
      <c r="X1394" s="3"/>
      <c r="Y1394" s="3"/>
      <c r="Z1394" s="3"/>
      <c r="AA1394" s="3"/>
      <c r="AB1394" s="3"/>
      <c r="AC1394" s="3"/>
      <c r="AD1394" s="3"/>
      <c r="AE1394" s="3">
        <v>0</v>
      </c>
      <c r="AF1394" s="3">
        <v>0</v>
      </c>
      <c r="AG1394" s="3"/>
      <c r="AH1394" s="40"/>
      <c r="AI1394" s="40"/>
      <c r="AJ1394" s="40"/>
      <c r="AK1394" s="40"/>
      <c r="AL1394" s="40"/>
      <c r="AM1394" s="40"/>
      <c r="AN1394" s="40"/>
      <c r="AO1394" s="40"/>
      <c r="AP1394" s="40"/>
      <c r="AQ1394" s="40"/>
      <c r="AR1394" s="31"/>
      <c r="AS1394" s="36">
        <v>0</v>
      </c>
      <c r="AY1394" s="6"/>
      <c r="AZ1394" s="2"/>
      <c r="BA1394" s="2"/>
      <c r="BB1394" s="2"/>
      <c r="BC1394">
        <v>71500</v>
      </c>
      <c r="BD1394">
        <v>56992</v>
      </c>
    </row>
    <row r="1395" spans="3:56" x14ac:dyDescent="0.25">
      <c r="C1395" s="1">
        <v>47015</v>
      </c>
      <c r="D1395" s="36">
        <v>280814.82</v>
      </c>
      <c r="E1395" s="33">
        <v>4.7433333333333296</v>
      </c>
      <c r="F1395" s="33">
        <v>3.836408</v>
      </c>
      <c r="G1395" s="2">
        <v>0.80879999999999996</v>
      </c>
      <c r="H1395" s="2">
        <v>0.99</v>
      </c>
      <c r="I1395" s="3"/>
      <c r="J1395" s="3"/>
      <c r="K1395" s="3"/>
      <c r="L1395" s="3"/>
      <c r="M1395" s="3"/>
      <c r="N1395" s="3">
        <v>0</v>
      </c>
      <c r="O1395" s="3"/>
      <c r="P1395" s="3">
        <v>0</v>
      </c>
      <c r="Q1395" s="3">
        <v>0</v>
      </c>
      <c r="R1395" s="3">
        <v>0</v>
      </c>
      <c r="S1395" s="3">
        <v>0</v>
      </c>
      <c r="T1395" s="3">
        <v>0</v>
      </c>
      <c r="U1395" s="3"/>
      <c r="V1395" s="3"/>
      <c r="W1395" s="3"/>
      <c r="X1395" s="3"/>
      <c r="Y1395" s="3"/>
      <c r="Z1395" s="3"/>
      <c r="AA1395" s="3"/>
      <c r="AB1395" s="3"/>
      <c r="AC1395" s="3"/>
      <c r="AD1395" s="3"/>
      <c r="AE1395" s="3">
        <v>0</v>
      </c>
      <c r="AF1395" s="3">
        <v>0</v>
      </c>
      <c r="AG1395" s="3"/>
      <c r="AH1395" s="40"/>
      <c r="AI1395" s="40"/>
      <c r="AJ1395" s="40"/>
      <c r="AK1395" s="40"/>
      <c r="AL1395" s="40"/>
      <c r="AM1395" s="40"/>
      <c r="AN1395" s="40"/>
      <c r="AO1395" s="40"/>
      <c r="AP1395" s="40"/>
      <c r="AQ1395" s="40"/>
      <c r="AR1395" s="31"/>
      <c r="AS1395" s="36">
        <v>0</v>
      </c>
      <c r="AY1395" s="6"/>
      <c r="AZ1395" s="2"/>
      <c r="BA1395" s="2"/>
      <c r="BB1395" s="2"/>
      <c r="BC1395">
        <v>71500</v>
      </c>
      <c r="BD1395">
        <v>56992</v>
      </c>
    </row>
    <row r="1396" spans="3:56" x14ac:dyDescent="0.25">
      <c r="C1396" s="1">
        <v>47016</v>
      </c>
      <c r="D1396" s="36">
        <v>280814.82</v>
      </c>
      <c r="E1396" s="33">
        <v>4.7433333333333296</v>
      </c>
      <c r="F1396" s="33">
        <v>3.8363552962963001</v>
      </c>
      <c r="G1396" s="2">
        <v>0.808788888888889</v>
      </c>
      <c r="H1396" s="2">
        <v>0.99</v>
      </c>
      <c r="I1396" s="3"/>
      <c r="J1396" s="3"/>
      <c r="K1396" s="3"/>
      <c r="L1396" s="3"/>
      <c r="M1396" s="3"/>
      <c r="N1396" s="3">
        <v>0</v>
      </c>
      <c r="O1396" s="3"/>
      <c r="P1396" s="3">
        <v>0</v>
      </c>
      <c r="Q1396" s="3">
        <v>0</v>
      </c>
      <c r="R1396" s="3">
        <v>0</v>
      </c>
      <c r="S1396" s="3">
        <v>0</v>
      </c>
      <c r="T1396" s="3">
        <v>0</v>
      </c>
      <c r="U1396" s="3"/>
      <c r="V1396" s="3"/>
      <c r="W1396" s="3"/>
      <c r="X1396" s="3"/>
      <c r="Y1396" s="3"/>
      <c r="Z1396" s="3"/>
      <c r="AA1396" s="3"/>
      <c r="AB1396" s="3"/>
      <c r="AC1396" s="3"/>
      <c r="AD1396" s="3"/>
      <c r="AE1396" s="3">
        <v>0</v>
      </c>
      <c r="AF1396" s="3">
        <v>0</v>
      </c>
      <c r="AG1396" s="3"/>
      <c r="AH1396" s="40"/>
      <c r="AI1396" s="40"/>
      <c r="AJ1396" s="40"/>
      <c r="AK1396" s="40"/>
      <c r="AL1396" s="40"/>
      <c r="AM1396" s="40"/>
      <c r="AN1396" s="40"/>
      <c r="AO1396" s="40"/>
      <c r="AP1396" s="40"/>
      <c r="AQ1396" s="40"/>
      <c r="AR1396" s="31"/>
      <c r="AS1396" s="36">
        <v>0</v>
      </c>
      <c r="AY1396" s="6"/>
      <c r="AZ1396" s="2"/>
      <c r="BA1396" s="2"/>
      <c r="BB1396" s="2"/>
      <c r="BC1396">
        <v>71500</v>
      </c>
      <c r="BD1396">
        <v>56992</v>
      </c>
    </row>
    <row r="1397" spans="3:56" x14ac:dyDescent="0.25">
      <c r="C1397" s="1">
        <v>47017</v>
      </c>
      <c r="D1397" s="36">
        <v>280814.82</v>
      </c>
      <c r="E1397" s="33">
        <v>4.7433333333333296</v>
      </c>
      <c r="F1397" s="33">
        <v>3.83630259259259</v>
      </c>
      <c r="G1397" s="2">
        <v>0.80877777777777804</v>
      </c>
      <c r="H1397" s="2">
        <v>0.99</v>
      </c>
      <c r="I1397" s="3"/>
      <c r="J1397" s="3"/>
      <c r="K1397" s="3"/>
      <c r="L1397" s="3"/>
      <c r="M1397" s="3"/>
      <c r="N1397" s="3">
        <v>0</v>
      </c>
      <c r="O1397" s="3"/>
      <c r="P1397" s="3">
        <v>0</v>
      </c>
      <c r="Q1397" s="3">
        <v>0</v>
      </c>
      <c r="R1397" s="3">
        <v>0</v>
      </c>
      <c r="S1397" s="3">
        <v>0</v>
      </c>
      <c r="T1397" s="3">
        <v>0</v>
      </c>
      <c r="U1397" s="3"/>
      <c r="V1397" s="3"/>
      <c r="W1397" s="3"/>
      <c r="X1397" s="3"/>
      <c r="Y1397" s="3"/>
      <c r="Z1397" s="3"/>
      <c r="AA1397" s="3"/>
      <c r="AB1397" s="3"/>
      <c r="AC1397" s="3"/>
      <c r="AD1397" s="3"/>
      <c r="AE1397" s="3">
        <v>0</v>
      </c>
      <c r="AF1397" s="3">
        <v>0</v>
      </c>
      <c r="AG1397" s="3"/>
      <c r="AH1397" s="40"/>
      <c r="AI1397" s="40"/>
      <c r="AJ1397" s="40"/>
      <c r="AK1397" s="40"/>
      <c r="AL1397" s="40"/>
      <c r="AM1397" s="40"/>
      <c r="AN1397" s="40"/>
      <c r="AO1397" s="40"/>
      <c r="AP1397" s="40"/>
      <c r="AQ1397" s="40"/>
      <c r="AR1397" s="31"/>
      <c r="AS1397" s="36">
        <v>0</v>
      </c>
      <c r="AY1397" s="6"/>
      <c r="AZ1397" s="2"/>
      <c r="BA1397" s="2"/>
      <c r="BB1397" s="2"/>
      <c r="BC1397">
        <v>71500</v>
      </c>
      <c r="BD1397">
        <v>56992</v>
      </c>
    </row>
    <row r="1398" spans="3:56" x14ac:dyDescent="0.25">
      <c r="C1398" s="1">
        <v>47018</v>
      </c>
      <c r="D1398" s="36">
        <v>280814.82</v>
      </c>
      <c r="E1398" s="33">
        <v>4.7433333333333296</v>
      </c>
      <c r="F1398" s="33">
        <v>3.8362498888888901</v>
      </c>
      <c r="G1398" s="2">
        <v>0.80876666666666697</v>
      </c>
      <c r="H1398" s="2">
        <v>0.99</v>
      </c>
      <c r="I1398" s="3"/>
      <c r="J1398" s="3"/>
      <c r="K1398" s="3"/>
      <c r="L1398" s="3"/>
      <c r="M1398" s="3"/>
      <c r="N1398" s="3">
        <v>0</v>
      </c>
      <c r="O1398" s="3"/>
      <c r="P1398" s="3">
        <v>0</v>
      </c>
      <c r="Q1398" s="3">
        <v>0</v>
      </c>
      <c r="R1398" s="3">
        <v>0</v>
      </c>
      <c r="S1398" s="3">
        <v>0</v>
      </c>
      <c r="T1398" s="3">
        <v>0</v>
      </c>
      <c r="U1398" s="3"/>
      <c r="V1398" s="3"/>
      <c r="W1398" s="3"/>
      <c r="X1398" s="3"/>
      <c r="Y1398" s="3"/>
      <c r="Z1398" s="3"/>
      <c r="AA1398" s="3"/>
      <c r="AB1398" s="3"/>
      <c r="AC1398" s="3"/>
      <c r="AD1398" s="3"/>
      <c r="AE1398" s="3">
        <v>0</v>
      </c>
      <c r="AF1398" s="3">
        <v>0</v>
      </c>
      <c r="AG1398" s="3"/>
      <c r="AH1398" s="40"/>
      <c r="AI1398" s="40"/>
      <c r="AJ1398" s="40"/>
      <c r="AK1398" s="40"/>
      <c r="AL1398" s="40"/>
      <c r="AM1398" s="40"/>
      <c r="AN1398" s="40"/>
      <c r="AO1398" s="40"/>
      <c r="AP1398" s="40"/>
      <c r="AQ1398" s="40"/>
      <c r="AR1398" s="31"/>
      <c r="AS1398" s="36">
        <v>0</v>
      </c>
      <c r="AY1398" s="6"/>
      <c r="AZ1398" s="2"/>
      <c r="BA1398" s="2"/>
      <c r="BB1398" s="2"/>
      <c r="BC1398">
        <v>71500</v>
      </c>
      <c r="BD1398">
        <v>56992</v>
      </c>
    </row>
    <row r="1399" spans="3:56" x14ac:dyDescent="0.25">
      <c r="C1399" s="1">
        <v>47019</v>
      </c>
      <c r="D1399" s="36">
        <v>280814.82</v>
      </c>
      <c r="E1399" s="33">
        <v>4.7433333333333296</v>
      </c>
      <c r="F1399" s="33">
        <v>3.8361971851851902</v>
      </c>
      <c r="G1399" s="2">
        <v>0.808755555555556</v>
      </c>
      <c r="H1399" s="2">
        <v>0.99</v>
      </c>
      <c r="I1399" s="3"/>
      <c r="J1399" s="3"/>
      <c r="K1399" s="3"/>
      <c r="L1399" s="3"/>
      <c r="M1399" s="3"/>
      <c r="N1399" s="3">
        <v>0</v>
      </c>
      <c r="O1399" s="3"/>
      <c r="P1399" s="3">
        <v>0</v>
      </c>
      <c r="Q1399" s="3">
        <v>0</v>
      </c>
      <c r="R1399" s="3">
        <v>0</v>
      </c>
      <c r="S1399" s="3">
        <v>0</v>
      </c>
      <c r="T1399" s="3">
        <v>0</v>
      </c>
      <c r="U1399" s="3"/>
      <c r="V1399" s="3"/>
      <c r="W1399" s="3"/>
      <c r="X1399" s="3"/>
      <c r="Y1399" s="3"/>
      <c r="Z1399" s="3"/>
      <c r="AA1399" s="3"/>
      <c r="AB1399" s="3"/>
      <c r="AC1399" s="3"/>
      <c r="AD1399" s="3"/>
      <c r="AE1399" s="3">
        <v>0</v>
      </c>
      <c r="AF1399" s="3">
        <v>0</v>
      </c>
      <c r="AG1399" s="3"/>
      <c r="AH1399" s="40"/>
      <c r="AI1399" s="40"/>
      <c r="AJ1399" s="40"/>
      <c r="AK1399" s="40"/>
      <c r="AL1399" s="40"/>
      <c r="AM1399" s="40"/>
      <c r="AN1399" s="40"/>
      <c r="AO1399" s="40"/>
      <c r="AP1399" s="40"/>
      <c r="AQ1399" s="40"/>
      <c r="AR1399" s="31"/>
      <c r="AS1399" s="36">
        <v>0</v>
      </c>
      <c r="AY1399" s="6"/>
      <c r="AZ1399" s="2"/>
      <c r="BA1399" s="2"/>
      <c r="BB1399" s="2"/>
      <c r="BC1399">
        <v>71500</v>
      </c>
      <c r="BD1399">
        <v>56992</v>
      </c>
    </row>
    <row r="1400" spans="3:56" x14ac:dyDescent="0.25">
      <c r="C1400" s="1">
        <v>47020</v>
      </c>
      <c r="D1400" s="36">
        <v>280814.82</v>
      </c>
      <c r="E1400" s="33">
        <v>4.7433333333333296</v>
      </c>
      <c r="F1400" s="33">
        <v>3.83614448148148</v>
      </c>
      <c r="G1400" s="2">
        <v>0.80874444444444404</v>
      </c>
      <c r="H1400" s="2">
        <v>0.99</v>
      </c>
      <c r="I1400" s="3"/>
      <c r="J1400" s="3"/>
      <c r="K1400" s="3"/>
      <c r="L1400" s="3"/>
      <c r="M1400" s="3"/>
      <c r="N1400" s="3">
        <v>0</v>
      </c>
      <c r="O1400" s="3"/>
      <c r="P1400" s="3">
        <v>0</v>
      </c>
      <c r="Q1400" s="3">
        <v>0</v>
      </c>
      <c r="R1400" s="3">
        <v>0</v>
      </c>
      <c r="S1400" s="3">
        <v>0</v>
      </c>
      <c r="T1400" s="3">
        <v>0</v>
      </c>
      <c r="U1400" s="3"/>
      <c r="V1400" s="3"/>
      <c r="W1400" s="3"/>
      <c r="X1400" s="3"/>
      <c r="Y1400" s="3"/>
      <c r="Z1400" s="3"/>
      <c r="AA1400" s="3"/>
      <c r="AB1400" s="3"/>
      <c r="AC1400" s="3"/>
      <c r="AD1400" s="3"/>
      <c r="AE1400" s="3">
        <v>0</v>
      </c>
      <c r="AF1400" s="3">
        <v>0</v>
      </c>
      <c r="AG1400" s="3"/>
      <c r="AH1400" s="40"/>
      <c r="AI1400" s="40"/>
      <c r="AJ1400" s="40"/>
      <c r="AK1400" s="40"/>
      <c r="AL1400" s="40"/>
      <c r="AM1400" s="40"/>
      <c r="AN1400" s="40"/>
      <c r="AO1400" s="40"/>
      <c r="AP1400" s="40"/>
      <c r="AQ1400" s="40"/>
      <c r="AR1400" s="31"/>
      <c r="AS1400" s="36">
        <v>0</v>
      </c>
      <c r="AY1400" s="6"/>
      <c r="AZ1400" s="2"/>
      <c r="BA1400" s="2"/>
      <c r="BB1400" s="2"/>
      <c r="BC1400">
        <v>71500</v>
      </c>
      <c r="BD1400">
        <v>56992</v>
      </c>
    </row>
    <row r="1401" spans="3:56" x14ac:dyDescent="0.25">
      <c r="C1401" s="1">
        <v>47021</v>
      </c>
      <c r="D1401" s="36">
        <v>280814.82</v>
      </c>
      <c r="E1401" s="33">
        <v>4.7433333333333296</v>
      </c>
      <c r="F1401" s="33">
        <v>3.8360917777777801</v>
      </c>
      <c r="G1401" s="2">
        <v>0.80873333333333297</v>
      </c>
      <c r="H1401" s="2">
        <v>0.99</v>
      </c>
      <c r="I1401" s="3"/>
      <c r="J1401" s="3"/>
      <c r="K1401" s="3"/>
      <c r="L1401" s="3"/>
      <c r="M1401" s="3"/>
      <c r="N1401" s="3">
        <v>0</v>
      </c>
      <c r="O1401" s="3"/>
      <c r="P1401" s="3">
        <v>0</v>
      </c>
      <c r="Q1401" s="3">
        <v>0</v>
      </c>
      <c r="R1401" s="3">
        <v>0</v>
      </c>
      <c r="S1401" s="3">
        <v>0</v>
      </c>
      <c r="T1401" s="3">
        <v>0</v>
      </c>
      <c r="U1401" s="3"/>
      <c r="V1401" s="3"/>
      <c r="W1401" s="3"/>
      <c r="X1401" s="3"/>
      <c r="Y1401" s="3"/>
      <c r="Z1401" s="3"/>
      <c r="AA1401" s="3"/>
      <c r="AB1401" s="3"/>
      <c r="AC1401" s="3"/>
      <c r="AD1401" s="3"/>
      <c r="AE1401" s="3">
        <v>0</v>
      </c>
      <c r="AF1401" s="3">
        <v>0</v>
      </c>
      <c r="AG1401" s="3"/>
      <c r="AH1401" s="40"/>
      <c r="AI1401" s="40"/>
      <c r="AJ1401" s="40"/>
      <c r="AK1401" s="40"/>
      <c r="AL1401" s="40"/>
      <c r="AM1401" s="40"/>
      <c r="AN1401" s="40"/>
      <c r="AO1401" s="40"/>
      <c r="AP1401" s="40"/>
      <c r="AQ1401" s="40"/>
      <c r="AR1401" s="31"/>
      <c r="AS1401" s="36">
        <v>0</v>
      </c>
      <c r="AY1401" s="6"/>
      <c r="AZ1401" s="2"/>
      <c r="BA1401" s="2"/>
      <c r="BB1401" s="2"/>
      <c r="BC1401">
        <v>71500</v>
      </c>
      <c r="BD1401">
        <v>56992</v>
      </c>
    </row>
    <row r="1402" spans="3:56" x14ac:dyDescent="0.25">
      <c r="C1402" s="1">
        <v>47022</v>
      </c>
      <c r="D1402" s="36">
        <v>280814.82</v>
      </c>
      <c r="E1402" s="33">
        <v>4.7433333333333296</v>
      </c>
      <c r="F1402" s="33">
        <v>3.83603907407407</v>
      </c>
      <c r="G1402" s="2">
        <v>0.80872222222222201</v>
      </c>
      <c r="H1402" s="2">
        <v>0.99</v>
      </c>
      <c r="I1402" s="3"/>
      <c r="J1402" s="3"/>
      <c r="K1402" s="3"/>
      <c r="L1402" s="3"/>
      <c r="M1402" s="3"/>
      <c r="N1402" s="3">
        <v>0</v>
      </c>
      <c r="O1402" s="3"/>
      <c r="P1402" s="3">
        <v>0</v>
      </c>
      <c r="Q1402" s="3">
        <v>0</v>
      </c>
      <c r="R1402" s="3">
        <v>0</v>
      </c>
      <c r="S1402" s="3">
        <v>0</v>
      </c>
      <c r="T1402" s="3">
        <v>0</v>
      </c>
      <c r="U1402" s="3"/>
      <c r="V1402" s="3"/>
      <c r="W1402" s="3"/>
      <c r="X1402" s="3"/>
      <c r="Y1402" s="3"/>
      <c r="Z1402" s="3"/>
      <c r="AA1402" s="3"/>
      <c r="AB1402" s="3"/>
      <c r="AC1402" s="3"/>
      <c r="AD1402" s="3"/>
      <c r="AE1402" s="3">
        <v>0</v>
      </c>
      <c r="AF1402" s="3">
        <v>0</v>
      </c>
      <c r="AG1402" s="3"/>
      <c r="AH1402" s="40"/>
      <c r="AI1402" s="40"/>
      <c r="AJ1402" s="40"/>
      <c r="AK1402" s="40"/>
      <c r="AL1402" s="40"/>
      <c r="AM1402" s="40"/>
      <c r="AN1402" s="40"/>
      <c r="AO1402" s="40"/>
      <c r="AP1402" s="40"/>
      <c r="AQ1402" s="40"/>
      <c r="AR1402" s="31"/>
      <c r="AS1402" s="36">
        <v>0</v>
      </c>
      <c r="AY1402" s="6"/>
      <c r="AZ1402" s="2"/>
      <c r="BA1402" s="2"/>
      <c r="BB1402" s="2"/>
      <c r="BC1402">
        <v>71500</v>
      </c>
      <c r="BD1402">
        <v>56992</v>
      </c>
    </row>
    <row r="1403" spans="3:56" x14ac:dyDescent="0.25">
      <c r="C1403" s="1">
        <v>47023</v>
      </c>
      <c r="D1403" s="36">
        <v>280814.82</v>
      </c>
      <c r="E1403" s="33">
        <v>4.7433333333333296</v>
      </c>
      <c r="F1403" s="33">
        <v>3.83598637037037</v>
      </c>
      <c r="G1403" s="2">
        <v>0.80871111111111105</v>
      </c>
      <c r="H1403" s="2">
        <v>0.99</v>
      </c>
      <c r="I1403" s="3"/>
      <c r="J1403" s="3"/>
      <c r="K1403" s="3"/>
      <c r="L1403" s="3"/>
      <c r="M1403" s="3"/>
      <c r="N1403" s="3">
        <v>0</v>
      </c>
      <c r="O1403" s="3"/>
      <c r="P1403" s="3">
        <v>0</v>
      </c>
      <c r="Q1403" s="3">
        <v>0</v>
      </c>
      <c r="R1403" s="3">
        <v>0</v>
      </c>
      <c r="S1403" s="3">
        <v>0</v>
      </c>
      <c r="T1403" s="3">
        <v>0</v>
      </c>
      <c r="U1403" s="3"/>
      <c r="V1403" s="3"/>
      <c r="W1403" s="3"/>
      <c r="X1403" s="3"/>
      <c r="Y1403" s="3"/>
      <c r="Z1403" s="3"/>
      <c r="AA1403" s="3"/>
      <c r="AB1403" s="3"/>
      <c r="AC1403" s="3"/>
      <c r="AD1403" s="3"/>
      <c r="AE1403" s="3">
        <v>0</v>
      </c>
      <c r="AF1403" s="3">
        <v>0</v>
      </c>
      <c r="AG1403" s="3"/>
      <c r="AH1403" s="40"/>
      <c r="AI1403" s="40"/>
      <c r="AJ1403" s="40"/>
      <c r="AK1403" s="40"/>
      <c r="AL1403" s="40"/>
      <c r="AM1403" s="40"/>
      <c r="AN1403" s="40"/>
      <c r="AO1403" s="40"/>
      <c r="AP1403" s="40"/>
      <c r="AQ1403" s="40"/>
      <c r="AR1403" s="31"/>
      <c r="AS1403" s="36">
        <v>0</v>
      </c>
      <c r="AY1403" s="6"/>
      <c r="AZ1403" s="2"/>
      <c r="BA1403" s="2"/>
      <c r="BB1403" s="2"/>
      <c r="BC1403">
        <v>71500</v>
      </c>
      <c r="BD1403">
        <v>56992</v>
      </c>
    </row>
    <row r="1404" spans="3:56" x14ac:dyDescent="0.25">
      <c r="C1404" s="1">
        <v>47024</v>
      </c>
      <c r="D1404" s="36">
        <v>280814.82</v>
      </c>
      <c r="E1404" s="33">
        <v>4.7433333333333296</v>
      </c>
      <c r="F1404" s="33">
        <v>3.8359336666666701</v>
      </c>
      <c r="G1404" s="2">
        <v>0.80869999999999997</v>
      </c>
      <c r="H1404" s="2">
        <v>0.99</v>
      </c>
      <c r="I1404" s="3"/>
      <c r="J1404" s="3"/>
      <c r="K1404" s="3"/>
      <c r="L1404" s="3"/>
      <c r="M1404" s="3"/>
      <c r="N1404" s="3">
        <v>0</v>
      </c>
      <c r="O1404" s="3"/>
      <c r="P1404" s="3">
        <v>0</v>
      </c>
      <c r="Q1404" s="3">
        <v>0</v>
      </c>
      <c r="R1404" s="3">
        <v>0</v>
      </c>
      <c r="S1404" s="3">
        <v>0</v>
      </c>
      <c r="T1404" s="3">
        <v>0</v>
      </c>
      <c r="U1404" s="3"/>
      <c r="V1404" s="3"/>
      <c r="W1404" s="3"/>
      <c r="X1404" s="3"/>
      <c r="Y1404" s="3"/>
      <c r="Z1404" s="3"/>
      <c r="AA1404" s="3"/>
      <c r="AB1404" s="3"/>
      <c r="AC1404" s="3"/>
      <c r="AD1404" s="3"/>
      <c r="AE1404" s="3">
        <v>0</v>
      </c>
      <c r="AF1404" s="3">
        <v>0</v>
      </c>
      <c r="AG1404" s="3"/>
      <c r="AH1404" s="40"/>
      <c r="AI1404" s="40"/>
      <c r="AJ1404" s="40"/>
      <c r="AK1404" s="40"/>
      <c r="AL1404" s="40"/>
      <c r="AM1404" s="40"/>
      <c r="AN1404" s="40"/>
      <c r="AO1404" s="40"/>
      <c r="AP1404" s="40"/>
      <c r="AQ1404" s="40"/>
      <c r="AR1404" s="31"/>
      <c r="AS1404" s="36">
        <v>0</v>
      </c>
      <c r="AY1404" s="6"/>
      <c r="AZ1404" s="2"/>
      <c r="BA1404" s="2"/>
      <c r="BB1404" s="2"/>
      <c r="BC1404">
        <v>71500</v>
      </c>
      <c r="BD1404">
        <v>56992</v>
      </c>
    </row>
    <row r="1405" spans="3:56" x14ac:dyDescent="0.25">
      <c r="C1405" s="1">
        <v>47025</v>
      </c>
      <c r="D1405" s="36">
        <v>280814.82</v>
      </c>
      <c r="E1405" s="33">
        <v>4.7433333333333296</v>
      </c>
      <c r="F1405" s="33">
        <v>3.83588096296296</v>
      </c>
      <c r="G1405" s="2">
        <v>0.80868888888888901</v>
      </c>
      <c r="H1405" s="2">
        <v>0.99</v>
      </c>
      <c r="I1405" s="3"/>
      <c r="J1405" s="3"/>
      <c r="K1405" s="3"/>
      <c r="L1405" s="3"/>
      <c r="M1405" s="3"/>
      <c r="N1405" s="3">
        <v>0</v>
      </c>
      <c r="O1405" s="3"/>
      <c r="P1405" s="3">
        <v>0</v>
      </c>
      <c r="Q1405" s="3">
        <v>0</v>
      </c>
      <c r="R1405" s="3">
        <v>0</v>
      </c>
      <c r="S1405" s="3">
        <v>0</v>
      </c>
      <c r="T1405" s="3">
        <v>0</v>
      </c>
      <c r="U1405" s="3"/>
      <c r="V1405" s="3"/>
      <c r="W1405" s="3"/>
      <c r="X1405" s="3"/>
      <c r="Y1405" s="3"/>
      <c r="Z1405" s="3"/>
      <c r="AA1405" s="3"/>
      <c r="AB1405" s="3"/>
      <c r="AC1405" s="3"/>
      <c r="AD1405" s="3"/>
      <c r="AE1405" s="3">
        <v>0</v>
      </c>
      <c r="AF1405" s="3">
        <v>0</v>
      </c>
      <c r="AG1405" s="3"/>
      <c r="AH1405" s="40"/>
      <c r="AI1405" s="40"/>
      <c r="AJ1405" s="40"/>
      <c r="AK1405" s="40"/>
      <c r="AL1405" s="40"/>
      <c r="AM1405" s="40"/>
      <c r="AN1405" s="40"/>
      <c r="AO1405" s="40"/>
      <c r="AP1405" s="40"/>
      <c r="AQ1405" s="40"/>
      <c r="AR1405" s="31"/>
      <c r="AS1405" s="36">
        <v>0</v>
      </c>
      <c r="AY1405" s="6"/>
      <c r="AZ1405" s="2"/>
      <c r="BA1405" s="2"/>
      <c r="BB1405" s="2"/>
      <c r="BC1405">
        <v>71500</v>
      </c>
      <c r="BD1405">
        <v>56992</v>
      </c>
    </row>
    <row r="1406" spans="3:56" x14ac:dyDescent="0.25">
      <c r="C1406" s="1">
        <v>47026</v>
      </c>
      <c r="D1406" s="36">
        <v>280814.82</v>
      </c>
      <c r="E1406" s="33">
        <v>4.7433333333333296</v>
      </c>
      <c r="F1406" s="33">
        <v>3.8358282592592601</v>
      </c>
      <c r="G1406" s="2">
        <v>0.80867777777777805</v>
      </c>
      <c r="H1406" s="2">
        <v>0.99</v>
      </c>
      <c r="I1406" s="3"/>
      <c r="J1406" s="3"/>
      <c r="K1406" s="3"/>
      <c r="L1406" s="3"/>
      <c r="M1406" s="3"/>
      <c r="N1406" s="3">
        <v>0</v>
      </c>
      <c r="O1406" s="3"/>
      <c r="P1406" s="3">
        <v>0</v>
      </c>
      <c r="Q1406" s="3">
        <v>0</v>
      </c>
      <c r="R1406" s="3">
        <v>0</v>
      </c>
      <c r="S1406" s="3">
        <v>0</v>
      </c>
      <c r="T1406" s="3">
        <v>0</v>
      </c>
      <c r="U1406" s="3"/>
      <c r="V1406" s="3"/>
      <c r="W1406" s="3"/>
      <c r="X1406" s="3"/>
      <c r="Y1406" s="3"/>
      <c r="Z1406" s="3"/>
      <c r="AA1406" s="3"/>
      <c r="AB1406" s="3"/>
      <c r="AC1406" s="3"/>
      <c r="AD1406" s="3"/>
      <c r="AE1406" s="3">
        <v>0</v>
      </c>
      <c r="AF1406" s="3">
        <v>0</v>
      </c>
      <c r="AG1406" s="3"/>
      <c r="AH1406" s="40"/>
      <c r="AI1406" s="40"/>
      <c r="AJ1406" s="40"/>
      <c r="AK1406" s="40"/>
      <c r="AL1406" s="40"/>
      <c r="AM1406" s="40"/>
      <c r="AN1406" s="40"/>
      <c r="AO1406" s="40"/>
      <c r="AP1406" s="40"/>
      <c r="AQ1406" s="40"/>
      <c r="AR1406" s="31"/>
      <c r="AS1406" s="36">
        <v>0</v>
      </c>
      <c r="AY1406" s="6"/>
      <c r="AZ1406" s="2"/>
      <c r="BA1406" s="2"/>
      <c r="BB1406" s="2"/>
      <c r="BC1406">
        <v>71500</v>
      </c>
      <c r="BD1406">
        <v>56992</v>
      </c>
    </row>
    <row r="1407" spans="3:56" x14ac:dyDescent="0.25">
      <c r="C1407" s="1">
        <v>47027</v>
      </c>
      <c r="D1407" s="36">
        <v>267120.30967741902</v>
      </c>
      <c r="E1407" s="33">
        <v>4.4903225806451603</v>
      </c>
      <c r="F1407" s="33">
        <v>3.6311741935483899</v>
      </c>
      <c r="G1407" s="2">
        <v>0.80866666666666698</v>
      </c>
      <c r="H1407" s="2">
        <v>0.99</v>
      </c>
      <c r="I1407" s="3"/>
      <c r="J1407" s="3"/>
      <c r="K1407" s="3"/>
      <c r="L1407" s="3"/>
      <c r="M1407" s="3"/>
      <c r="N1407" s="3">
        <v>0</v>
      </c>
      <c r="O1407" s="3"/>
      <c r="P1407" s="3">
        <v>0</v>
      </c>
      <c r="Q1407" s="3">
        <v>0</v>
      </c>
      <c r="R1407" s="3">
        <v>0</v>
      </c>
      <c r="S1407" s="3">
        <v>0</v>
      </c>
      <c r="T1407" s="3">
        <v>0</v>
      </c>
      <c r="U1407" s="3"/>
      <c r="V1407" s="3"/>
      <c r="W1407" s="3"/>
      <c r="X1407" s="3"/>
      <c r="Y1407" s="3"/>
      <c r="Z1407" s="3"/>
      <c r="AA1407" s="3"/>
      <c r="AB1407" s="3"/>
      <c r="AC1407" s="3"/>
      <c r="AD1407" s="3"/>
      <c r="AE1407" s="3">
        <v>0</v>
      </c>
      <c r="AF1407" s="3">
        <v>0</v>
      </c>
      <c r="AG1407" s="3"/>
      <c r="AH1407" s="40"/>
      <c r="AI1407" s="40"/>
      <c r="AJ1407" s="40"/>
      <c r="AK1407" s="40"/>
      <c r="AL1407" s="40"/>
      <c r="AM1407" s="40"/>
      <c r="AN1407" s="40"/>
      <c r="AO1407" s="40"/>
      <c r="AP1407" s="40"/>
      <c r="AQ1407" s="40"/>
      <c r="AR1407" s="31"/>
      <c r="AS1407" s="36">
        <v>0</v>
      </c>
      <c r="AY1407" s="6"/>
      <c r="AZ1407" s="2"/>
      <c r="BA1407" s="2"/>
      <c r="BB1407" s="2"/>
      <c r="BC1407">
        <v>71500</v>
      </c>
      <c r="BD1407">
        <v>56992</v>
      </c>
    </row>
    <row r="1408" spans="3:56" x14ac:dyDescent="0.25">
      <c r="C1408" s="1">
        <v>47028</v>
      </c>
      <c r="D1408" s="36">
        <v>267120.30967741902</v>
      </c>
      <c r="E1408" s="33">
        <v>4.4903225806451603</v>
      </c>
      <c r="F1408" s="33">
        <v>3.6311243010752698</v>
      </c>
      <c r="G1408" s="2">
        <v>0.80865555555555602</v>
      </c>
      <c r="H1408" s="2">
        <v>0.99</v>
      </c>
      <c r="I1408" s="3"/>
      <c r="J1408" s="3"/>
      <c r="K1408" s="3"/>
      <c r="L1408" s="3"/>
      <c r="M1408" s="3"/>
      <c r="N1408" s="3">
        <v>0</v>
      </c>
      <c r="O1408" s="3"/>
      <c r="P1408" s="3">
        <v>0</v>
      </c>
      <c r="Q1408" s="3">
        <v>0</v>
      </c>
      <c r="R1408" s="3">
        <v>0</v>
      </c>
      <c r="S1408" s="3">
        <v>0</v>
      </c>
      <c r="T1408" s="3">
        <v>0</v>
      </c>
      <c r="U1408" s="3"/>
      <c r="V1408" s="3"/>
      <c r="W1408" s="3"/>
      <c r="X1408" s="3"/>
      <c r="Y1408" s="3"/>
      <c r="Z1408" s="3"/>
      <c r="AA1408" s="3"/>
      <c r="AB1408" s="3"/>
      <c r="AC1408" s="3"/>
      <c r="AD1408" s="3"/>
      <c r="AE1408" s="3">
        <v>0</v>
      </c>
      <c r="AF1408" s="3">
        <v>0</v>
      </c>
      <c r="AG1408" s="3"/>
      <c r="AH1408" s="40"/>
      <c r="AI1408" s="40"/>
      <c r="AJ1408" s="40"/>
      <c r="AK1408" s="40"/>
      <c r="AL1408" s="40"/>
      <c r="AM1408" s="40"/>
      <c r="AN1408" s="40"/>
      <c r="AO1408" s="40"/>
      <c r="AP1408" s="40"/>
      <c r="AQ1408" s="40"/>
      <c r="AR1408" s="31"/>
      <c r="AS1408" s="36">
        <v>0</v>
      </c>
      <c r="AY1408" s="6"/>
      <c r="AZ1408" s="2"/>
      <c r="BA1408" s="2"/>
      <c r="BB1408" s="2"/>
      <c r="BC1408">
        <v>71500</v>
      </c>
      <c r="BD1408">
        <v>56992</v>
      </c>
    </row>
    <row r="1409" spans="3:56" x14ac:dyDescent="0.25">
      <c r="C1409" s="1">
        <v>47029</v>
      </c>
      <c r="D1409" s="36">
        <v>267120.30967741902</v>
      </c>
      <c r="E1409" s="33">
        <v>4.4903225806451603</v>
      </c>
      <c r="F1409" s="33">
        <v>3.6310744086021498</v>
      </c>
      <c r="G1409" s="2">
        <v>0.80864444444444405</v>
      </c>
      <c r="H1409" s="2">
        <v>0.99</v>
      </c>
      <c r="I1409" s="3"/>
      <c r="J1409" s="3"/>
      <c r="K1409" s="3"/>
      <c r="L1409" s="3"/>
      <c r="M1409" s="3"/>
      <c r="N1409" s="3">
        <v>0</v>
      </c>
      <c r="O1409" s="3"/>
      <c r="P1409" s="3">
        <v>0</v>
      </c>
      <c r="Q1409" s="3">
        <v>0</v>
      </c>
      <c r="R1409" s="3">
        <v>0</v>
      </c>
      <c r="S1409" s="3">
        <v>0</v>
      </c>
      <c r="T1409" s="3">
        <v>0</v>
      </c>
      <c r="U1409" s="3"/>
      <c r="V1409" s="3"/>
      <c r="W1409" s="3"/>
      <c r="X1409" s="3"/>
      <c r="Y1409" s="3"/>
      <c r="Z1409" s="3"/>
      <c r="AA1409" s="3"/>
      <c r="AB1409" s="3"/>
      <c r="AC1409" s="3"/>
      <c r="AD1409" s="3"/>
      <c r="AE1409" s="3">
        <v>0</v>
      </c>
      <c r="AF1409" s="3">
        <v>0</v>
      </c>
      <c r="AG1409" s="3"/>
      <c r="AH1409" s="40"/>
      <c r="AI1409" s="40"/>
      <c r="AJ1409" s="40"/>
      <c r="AK1409" s="40"/>
      <c r="AL1409" s="40"/>
      <c r="AM1409" s="40"/>
      <c r="AN1409" s="40"/>
      <c r="AO1409" s="40"/>
      <c r="AP1409" s="40"/>
      <c r="AQ1409" s="40"/>
      <c r="AR1409" s="31"/>
      <c r="AS1409" s="36">
        <v>0</v>
      </c>
      <c r="AY1409" s="6"/>
      <c r="AZ1409" s="2"/>
      <c r="BA1409" s="2"/>
      <c r="BB1409" s="2"/>
      <c r="BC1409">
        <v>71500</v>
      </c>
      <c r="BD1409">
        <v>56992</v>
      </c>
    </row>
    <row r="1410" spans="3:56" x14ac:dyDescent="0.25">
      <c r="C1410" s="1">
        <v>47030</v>
      </c>
      <c r="D1410" s="36">
        <v>267120.30967741902</v>
      </c>
      <c r="E1410" s="33">
        <v>4.4903225806451603</v>
      </c>
      <c r="F1410" s="33">
        <v>3.6310245161290302</v>
      </c>
      <c r="G1410" s="2">
        <v>0.80863333333333298</v>
      </c>
      <c r="H1410" s="2">
        <v>0.99</v>
      </c>
      <c r="I1410" s="3"/>
      <c r="J1410" s="3"/>
      <c r="K1410" s="3"/>
      <c r="L1410" s="3"/>
      <c r="M1410" s="3"/>
      <c r="N1410" s="3">
        <v>0</v>
      </c>
      <c r="O1410" s="3"/>
      <c r="P1410" s="3">
        <v>0</v>
      </c>
      <c r="Q1410" s="3">
        <v>0</v>
      </c>
      <c r="R1410" s="3">
        <v>0</v>
      </c>
      <c r="S1410" s="3">
        <v>0</v>
      </c>
      <c r="T1410" s="3">
        <v>0</v>
      </c>
      <c r="U1410" s="3"/>
      <c r="V1410" s="3"/>
      <c r="W1410" s="3"/>
      <c r="X1410" s="3"/>
      <c r="Y1410" s="3"/>
      <c r="Z1410" s="3"/>
      <c r="AA1410" s="3"/>
      <c r="AB1410" s="3"/>
      <c r="AC1410" s="3"/>
      <c r="AD1410" s="3"/>
      <c r="AE1410" s="3">
        <v>0</v>
      </c>
      <c r="AF1410" s="3">
        <v>0</v>
      </c>
      <c r="AG1410" s="3"/>
      <c r="AH1410" s="40"/>
      <c r="AI1410" s="40"/>
      <c r="AJ1410" s="40"/>
      <c r="AK1410" s="40"/>
      <c r="AL1410" s="40"/>
      <c r="AM1410" s="40"/>
      <c r="AN1410" s="40"/>
      <c r="AO1410" s="40"/>
      <c r="AP1410" s="40"/>
      <c r="AQ1410" s="40"/>
      <c r="AR1410" s="31"/>
      <c r="AS1410" s="36">
        <v>0</v>
      </c>
      <c r="AY1410" s="6"/>
      <c r="AZ1410" s="2"/>
      <c r="BA1410" s="2"/>
      <c r="BB1410" s="2"/>
      <c r="BC1410">
        <v>71500</v>
      </c>
      <c r="BD1410">
        <v>56992</v>
      </c>
    </row>
    <row r="1411" spans="3:56" x14ac:dyDescent="0.25">
      <c r="C1411" s="1">
        <v>47031</v>
      </c>
      <c r="D1411" s="36">
        <v>267120.30967741902</v>
      </c>
      <c r="E1411" s="33">
        <v>4.4903225806451603</v>
      </c>
      <c r="F1411" s="33">
        <v>3.6309746236559102</v>
      </c>
      <c r="G1411" s="2">
        <v>0.80862222222222202</v>
      </c>
      <c r="H1411" s="2">
        <v>0.99</v>
      </c>
      <c r="I1411" s="3"/>
      <c r="J1411" s="3"/>
      <c r="K1411" s="3"/>
      <c r="L1411" s="3"/>
      <c r="M1411" s="3"/>
      <c r="N1411" s="3">
        <v>0</v>
      </c>
      <c r="O1411" s="3"/>
      <c r="P1411" s="3">
        <v>0</v>
      </c>
      <c r="Q1411" s="3">
        <v>0</v>
      </c>
      <c r="R1411" s="3">
        <v>0</v>
      </c>
      <c r="S1411" s="3">
        <v>0</v>
      </c>
      <c r="T1411" s="3">
        <v>0</v>
      </c>
      <c r="U1411" s="3"/>
      <c r="V1411" s="3"/>
      <c r="W1411" s="3"/>
      <c r="X1411" s="3"/>
      <c r="Y1411" s="3"/>
      <c r="Z1411" s="3"/>
      <c r="AA1411" s="3"/>
      <c r="AB1411" s="3"/>
      <c r="AC1411" s="3"/>
      <c r="AD1411" s="3"/>
      <c r="AE1411" s="3">
        <v>0</v>
      </c>
      <c r="AF1411" s="3">
        <v>0</v>
      </c>
      <c r="AG1411" s="3"/>
      <c r="AH1411" s="40"/>
      <c r="AI1411" s="40"/>
      <c r="AJ1411" s="40"/>
      <c r="AK1411" s="40"/>
      <c r="AL1411" s="40"/>
      <c r="AM1411" s="40"/>
      <c r="AN1411" s="40"/>
      <c r="AO1411" s="40"/>
      <c r="AP1411" s="40"/>
      <c r="AQ1411" s="40"/>
      <c r="AR1411" s="31"/>
      <c r="AS1411" s="36">
        <v>0</v>
      </c>
      <c r="AY1411" s="6"/>
      <c r="AZ1411" s="2"/>
      <c r="BA1411" s="2"/>
      <c r="BB1411" s="2"/>
      <c r="BC1411">
        <v>71500</v>
      </c>
      <c r="BD1411">
        <v>56992</v>
      </c>
    </row>
    <row r="1412" spans="3:56" x14ac:dyDescent="0.25">
      <c r="C1412" s="1">
        <v>47032</v>
      </c>
      <c r="D1412" s="36">
        <v>267120.30967741902</v>
      </c>
      <c r="E1412" s="33">
        <v>4.4903225806451603</v>
      </c>
      <c r="F1412" s="33">
        <v>3.6309247311827999</v>
      </c>
      <c r="G1412" s="2">
        <v>0.80861111111111095</v>
      </c>
      <c r="H1412" s="2">
        <v>0.99</v>
      </c>
      <c r="I1412" s="3"/>
      <c r="J1412" s="3"/>
      <c r="K1412" s="3"/>
      <c r="L1412" s="3"/>
      <c r="M1412" s="3"/>
      <c r="N1412" s="3">
        <v>0</v>
      </c>
      <c r="O1412" s="3"/>
      <c r="P1412" s="3">
        <v>0</v>
      </c>
      <c r="Q1412" s="3">
        <v>0</v>
      </c>
      <c r="R1412" s="3">
        <v>0</v>
      </c>
      <c r="S1412" s="3">
        <v>0</v>
      </c>
      <c r="T1412" s="3">
        <v>0</v>
      </c>
      <c r="U1412" s="3"/>
      <c r="V1412" s="3"/>
      <c r="W1412" s="3"/>
      <c r="X1412" s="3"/>
      <c r="Y1412" s="3"/>
      <c r="Z1412" s="3"/>
      <c r="AA1412" s="3"/>
      <c r="AB1412" s="3"/>
      <c r="AC1412" s="3"/>
      <c r="AD1412" s="3"/>
      <c r="AE1412" s="3">
        <v>0</v>
      </c>
      <c r="AF1412" s="3">
        <v>0</v>
      </c>
      <c r="AG1412" s="3"/>
      <c r="AH1412" s="40"/>
      <c r="AI1412" s="40"/>
      <c r="AJ1412" s="40"/>
      <c r="AK1412" s="40"/>
      <c r="AL1412" s="40"/>
      <c r="AM1412" s="40"/>
      <c r="AN1412" s="40"/>
      <c r="AO1412" s="40"/>
      <c r="AP1412" s="40"/>
      <c r="AQ1412" s="40"/>
      <c r="AR1412" s="31"/>
      <c r="AS1412" s="36">
        <v>0</v>
      </c>
      <c r="AY1412" s="6"/>
      <c r="AZ1412" s="2"/>
      <c r="BA1412" s="2"/>
      <c r="BB1412" s="2"/>
      <c r="BC1412">
        <v>71500</v>
      </c>
      <c r="BD1412">
        <v>56992</v>
      </c>
    </row>
    <row r="1413" spans="3:56" x14ac:dyDescent="0.25">
      <c r="C1413" s="1">
        <v>47033</v>
      </c>
      <c r="D1413" s="36">
        <v>267120.30967741902</v>
      </c>
      <c r="E1413" s="33">
        <v>4.4903225806451603</v>
      </c>
      <c r="F1413" s="33">
        <v>3.6308748387096799</v>
      </c>
      <c r="G1413" s="2">
        <v>0.80859999999999999</v>
      </c>
      <c r="H1413" s="2">
        <v>0.99</v>
      </c>
      <c r="I1413" s="3"/>
      <c r="J1413" s="3"/>
      <c r="K1413" s="3"/>
      <c r="L1413" s="3"/>
      <c r="M1413" s="3"/>
      <c r="N1413" s="3">
        <v>0</v>
      </c>
      <c r="O1413" s="3"/>
      <c r="P1413" s="3">
        <v>0</v>
      </c>
      <c r="Q1413" s="3">
        <v>0</v>
      </c>
      <c r="R1413" s="3">
        <v>0</v>
      </c>
      <c r="S1413" s="3">
        <v>0</v>
      </c>
      <c r="T1413" s="3">
        <v>0</v>
      </c>
      <c r="U1413" s="3"/>
      <c r="V1413" s="3"/>
      <c r="W1413" s="3"/>
      <c r="X1413" s="3"/>
      <c r="Y1413" s="3"/>
      <c r="Z1413" s="3"/>
      <c r="AA1413" s="3"/>
      <c r="AB1413" s="3"/>
      <c r="AC1413" s="3"/>
      <c r="AD1413" s="3"/>
      <c r="AE1413" s="3">
        <v>0</v>
      </c>
      <c r="AF1413" s="3">
        <v>0</v>
      </c>
      <c r="AG1413" s="3"/>
      <c r="AH1413" s="40"/>
      <c r="AI1413" s="40"/>
      <c r="AJ1413" s="40"/>
      <c r="AK1413" s="40"/>
      <c r="AL1413" s="40"/>
      <c r="AM1413" s="40"/>
      <c r="AN1413" s="40"/>
      <c r="AO1413" s="40"/>
      <c r="AP1413" s="40"/>
      <c r="AQ1413" s="40"/>
      <c r="AR1413" s="31"/>
      <c r="AS1413" s="36">
        <v>0</v>
      </c>
      <c r="AY1413" s="6"/>
      <c r="AZ1413" s="2"/>
      <c r="BA1413" s="2"/>
      <c r="BB1413" s="2"/>
      <c r="BC1413">
        <v>71500</v>
      </c>
      <c r="BD1413">
        <v>56992</v>
      </c>
    </row>
    <row r="1414" spans="3:56" x14ac:dyDescent="0.25">
      <c r="C1414" s="1">
        <v>47034</v>
      </c>
      <c r="D1414" s="36">
        <v>267120.30967741902</v>
      </c>
      <c r="E1414" s="33">
        <v>4.4903225806451603</v>
      </c>
      <c r="F1414" s="33">
        <v>3.6308249462365598</v>
      </c>
      <c r="G1414" s="2">
        <v>0.80858888888888902</v>
      </c>
      <c r="H1414" s="2">
        <v>0.99</v>
      </c>
      <c r="I1414" s="3"/>
      <c r="J1414" s="3"/>
      <c r="K1414" s="3"/>
      <c r="L1414" s="3"/>
      <c r="M1414" s="3"/>
      <c r="N1414" s="3">
        <v>0</v>
      </c>
      <c r="O1414" s="3"/>
      <c r="P1414" s="3">
        <v>0</v>
      </c>
      <c r="Q1414" s="3">
        <v>0</v>
      </c>
      <c r="R1414" s="3">
        <v>0</v>
      </c>
      <c r="S1414" s="3">
        <v>0</v>
      </c>
      <c r="T1414" s="3">
        <v>0</v>
      </c>
      <c r="U1414" s="3"/>
      <c r="V1414" s="3"/>
      <c r="W1414" s="3"/>
      <c r="X1414" s="3"/>
      <c r="Y1414" s="3"/>
      <c r="Z1414" s="3"/>
      <c r="AA1414" s="3"/>
      <c r="AB1414" s="3"/>
      <c r="AC1414" s="3"/>
      <c r="AD1414" s="3"/>
      <c r="AE1414" s="3">
        <v>0</v>
      </c>
      <c r="AF1414" s="3">
        <v>0</v>
      </c>
      <c r="AG1414" s="3"/>
      <c r="AH1414" s="40"/>
      <c r="AI1414" s="40"/>
      <c r="AJ1414" s="40"/>
      <c r="AK1414" s="40"/>
      <c r="AL1414" s="40"/>
      <c r="AM1414" s="40"/>
      <c r="AN1414" s="40"/>
      <c r="AO1414" s="40"/>
      <c r="AP1414" s="40"/>
      <c r="AQ1414" s="40"/>
      <c r="AR1414" s="31"/>
      <c r="AS1414" s="36">
        <v>0</v>
      </c>
      <c r="AY1414" s="6"/>
      <c r="AZ1414" s="2"/>
      <c r="BA1414" s="2"/>
      <c r="BB1414" s="2"/>
      <c r="BC1414">
        <v>71500</v>
      </c>
      <c r="BD1414">
        <v>56992</v>
      </c>
    </row>
    <row r="1415" spans="3:56" x14ac:dyDescent="0.25">
      <c r="C1415" s="1">
        <v>47035</v>
      </c>
      <c r="D1415" s="36">
        <v>267120.30967741902</v>
      </c>
      <c r="E1415" s="33">
        <v>4.4903225806451603</v>
      </c>
      <c r="F1415" s="33">
        <v>3.6307750537634398</v>
      </c>
      <c r="G1415" s="2">
        <v>0.80857777777777795</v>
      </c>
      <c r="H1415" s="2">
        <v>0.99</v>
      </c>
      <c r="I1415" s="3"/>
      <c r="J1415" s="3"/>
      <c r="K1415" s="3"/>
      <c r="L1415" s="3"/>
      <c r="M1415" s="3"/>
      <c r="N1415" s="3">
        <v>0</v>
      </c>
      <c r="O1415" s="3"/>
      <c r="P1415" s="3">
        <v>0</v>
      </c>
      <c r="Q1415" s="3">
        <v>0</v>
      </c>
      <c r="R1415" s="3">
        <v>0</v>
      </c>
      <c r="S1415" s="3">
        <v>0</v>
      </c>
      <c r="T1415" s="3">
        <v>0</v>
      </c>
      <c r="U1415" s="3"/>
      <c r="V1415" s="3"/>
      <c r="W1415" s="3"/>
      <c r="X1415" s="3"/>
      <c r="Y1415" s="3"/>
      <c r="Z1415" s="3"/>
      <c r="AA1415" s="3"/>
      <c r="AB1415" s="3"/>
      <c r="AC1415" s="3"/>
      <c r="AD1415" s="3"/>
      <c r="AE1415" s="3">
        <v>0</v>
      </c>
      <c r="AF1415" s="3">
        <v>0</v>
      </c>
      <c r="AG1415" s="3"/>
      <c r="AH1415" s="40"/>
      <c r="AI1415" s="40"/>
      <c r="AJ1415" s="40"/>
      <c r="AK1415" s="40"/>
      <c r="AL1415" s="40"/>
      <c r="AM1415" s="40"/>
      <c r="AN1415" s="40"/>
      <c r="AO1415" s="40"/>
      <c r="AP1415" s="40"/>
      <c r="AQ1415" s="40"/>
      <c r="AR1415" s="31"/>
      <c r="AS1415" s="36">
        <v>0</v>
      </c>
      <c r="AY1415" s="6"/>
      <c r="AZ1415" s="2"/>
      <c r="BA1415" s="2"/>
      <c r="BB1415" s="2"/>
      <c r="BC1415">
        <v>71500</v>
      </c>
      <c r="BD1415">
        <v>56992</v>
      </c>
    </row>
    <row r="1416" spans="3:56" x14ac:dyDescent="0.25">
      <c r="C1416" s="1">
        <v>47036</v>
      </c>
      <c r="D1416" s="36">
        <v>267120.30967741902</v>
      </c>
      <c r="E1416" s="33">
        <v>4.4903225806451603</v>
      </c>
      <c r="F1416" s="33">
        <v>3.6307251612903202</v>
      </c>
      <c r="G1416" s="2">
        <v>0.80856666666666699</v>
      </c>
      <c r="H1416" s="2">
        <v>0.99</v>
      </c>
      <c r="I1416" s="3"/>
      <c r="J1416" s="3"/>
      <c r="K1416" s="3"/>
      <c r="L1416" s="3"/>
      <c r="M1416" s="3"/>
      <c r="N1416" s="3">
        <v>0</v>
      </c>
      <c r="O1416" s="3"/>
      <c r="P1416" s="3">
        <v>0</v>
      </c>
      <c r="Q1416" s="3">
        <v>0</v>
      </c>
      <c r="R1416" s="3">
        <v>0</v>
      </c>
      <c r="S1416" s="3">
        <v>0</v>
      </c>
      <c r="T1416" s="3">
        <v>0</v>
      </c>
      <c r="U1416" s="3"/>
      <c r="V1416" s="3"/>
      <c r="W1416" s="3"/>
      <c r="X1416" s="3"/>
      <c r="Y1416" s="3"/>
      <c r="Z1416" s="3"/>
      <c r="AA1416" s="3"/>
      <c r="AB1416" s="3"/>
      <c r="AC1416" s="3"/>
      <c r="AD1416" s="3"/>
      <c r="AE1416" s="3">
        <v>0</v>
      </c>
      <c r="AF1416" s="3">
        <v>0</v>
      </c>
      <c r="AG1416" s="3"/>
      <c r="AH1416" s="40"/>
      <c r="AI1416" s="40"/>
      <c r="AJ1416" s="40"/>
      <c r="AK1416" s="40"/>
      <c r="AL1416" s="40"/>
      <c r="AM1416" s="40"/>
      <c r="AN1416" s="40"/>
      <c r="AO1416" s="40"/>
      <c r="AP1416" s="40"/>
      <c r="AQ1416" s="40"/>
      <c r="AR1416" s="31"/>
      <c r="AS1416" s="36">
        <v>0</v>
      </c>
      <c r="AY1416" s="6"/>
      <c r="AZ1416" s="2"/>
      <c r="BA1416" s="2"/>
      <c r="BB1416" s="2"/>
      <c r="BC1416">
        <v>71500</v>
      </c>
      <c r="BD1416">
        <v>56992</v>
      </c>
    </row>
    <row r="1417" spans="3:56" x14ac:dyDescent="0.25">
      <c r="C1417" s="1">
        <v>47037</v>
      </c>
      <c r="D1417" s="36">
        <v>267120.30967741902</v>
      </c>
      <c r="E1417" s="33">
        <v>4.4903225806451603</v>
      </c>
      <c r="F1417" s="33">
        <v>3.6306752688172002</v>
      </c>
      <c r="G1417" s="2">
        <v>0.80855555555555603</v>
      </c>
      <c r="H1417" s="2">
        <v>0.99</v>
      </c>
      <c r="I1417" s="3"/>
      <c r="J1417" s="3"/>
      <c r="K1417" s="3"/>
      <c r="L1417" s="3"/>
      <c r="M1417" s="3"/>
      <c r="N1417" s="3">
        <v>0</v>
      </c>
      <c r="O1417" s="3"/>
      <c r="P1417" s="3">
        <v>0</v>
      </c>
      <c r="Q1417" s="3">
        <v>0</v>
      </c>
      <c r="R1417" s="3">
        <v>0</v>
      </c>
      <c r="S1417" s="3">
        <v>0</v>
      </c>
      <c r="T1417" s="3">
        <v>0</v>
      </c>
      <c r="U1417" s="3"/>
      <c r="V1417" s="3"/>
      <c r="W1417" s="3"/>
      <c r="X1417" s="3"/>
      <c r="Y1417" s="3"/>
      <c r="Z1417" s="3"/>
      <c r="AA1417" s="3"/>
      <c r="AB1417" s="3"/>
      <c r="AC1417" s="3"/>
      <c r="AD1417" s="3"/>
      <c r="AE1417" s="3">
        <v>0</v>
      </c>
      <c r="AF1417" s="3">
        <v>0</v>
      </c>
      <c r="AG1417" s="3"/>
      <c r="AH1417" s="40"/>
      <c r="AI1417" s="40"/>
      <c r="AJ1417" s="40"/>
      <c r="AK1417" s="40"/>
      <c r="AL1417" s="40"/>
      <c r="AM1417" s="40"/>
      <c r="AN1417" s="40"/>
      <c r="AO1417" s="40"/>
      <c r="AP1417" s="40"/>
      <c r="AQ1417" s="40"/>
      <c r="AR1417" s="31"/>
      <c r="AS1417" s="36">
        <v>0</v>
      </c>
      <c r="AY1417" s="6"/>
      <c r="AZ1417" s="2"/>
      <c r="BA1417" s="2"/>
      <c r="BB1417" s="2"/>
      <c r="BC1417">
        <v>71500</v>
      </c>
      <c r="BD1417">
        <v>56992</v>
      </c>
    </row>
    <row r="1418" spans="3:56" x14ac:dyDescent="0.25">
      <c r="C1418" s="1">
        <v>47038</v>
      </c>
      <c r="D1418" s="36">
        <v>267120.30967741902</v>
      </c>
      <c r="E1418" s="33">
        <v>4.4903225806451603</v>
      </c>
      <c r="F1418" s="33">
        <v>3.6306253763440899</v>
      </c>
      <c r="G1418" s="2">
        <v>0.80854444444444395</v>
      </c>
      <c r="H1418" s="2">
        <v>0.99</v>
      </c>
      <c r="I1418" s="3"/>
      <c r="J1418" s="3"/>
      <c r="K1418" s="3"/>
      <c r="L1418" s="3"/>
      <c r="M1418" s="3"/>
      <c r="N1418" s="3">
        <v>0</v>
      </c>
      <c r="O1418" s="3"/>
      <c r="P1418" s="3">
        <v>0</v>
      </c>
      <c r="Q1418" s="3">
        <v>0</v>
      </c>
      <c r="R1418" s="3">
        <v>0</v>
      </c>
      <c r="S1418" s="3">
        <v>0</v>
      </c>
      <c r="T1418" s="3">
        <v>0</v>
      </c>
      <c r="U1418" s="3"/>
      <c r="V1418" s="3"/>
      <c r="W1418" s="3"/>
      <c r="X1418" s="3"/>
      <c r="Y1418" s="3"/>
      <c r="Z1418" s="3"/>
      <c r="AA1418" s="3"/>
      <c r="AB1418" s="3"/>
      <c r="AC1418" s="3"/>
      <c r="AD1418" s="3"/>
      <c r="AE1418" s="3">
        <v>0</v>
      </c>
      <c r="AF1418" s="3">
        <v>0</v>
      </c>
      <c r="AG1418" s="3"/>
      <c r="AH1418" s="40"/>
      <c r="AI1418" s="40"/>
      <c r="AJ1418" s="40"/>
      <c r="AK1418" s="40"/>
      <c r="AL1418" s="40"/>
      <c r="AM1418" s="40"/>
      <c r="AN1418" s="40"/>
      <c r="AO1418" s="40"/>
      <c r="AP1418" s="40"/>
      <c r="AQ1418" s="40"/>
      <c r="AR1418" s="31"/>
      <c r="AS1418" s="36">
        <v>0</v>
      </c>
      <c r="AY1418" s="6"/>
      <c r="AZ1418" s="2"/>
      <c r="BA1418" s="2"/>
      <c r="BB1418" s="2"/>
      <c r="BC1418">
        <v>71500</v>
      </c>
      <c r="BD1418">
        <v>56992</v>
      </c>
    </row>
    <row r="1419" spans="3:56" x14ac:dyDescent="0.25">
      <c r="C1419" s="1">
        <v>47039</v>
      </c>
      <c r="D1419" s="36">
        <v>267120.30967741902</v>
      </c>
      <c r="E1419" s="33">
        <v>4.4903225806451603</v>
      </c>
      <c r="F1419" s="33">
        <v>3.6305754838709698</v>
      </c>
      <c r="G1419" s="2">
        <v>0.80853333333333299</v>
      </c>
      <c r="H1419" s="2">
        <v>0.99</v>
      </c>
      <c r="I1419" s="3"/>
      <c r="J1419" s="3"/>
      <c r="K1419" s="3"/>
      <c r="L1419" s="3"/>
      <c r="M1419" s="3"/>
      <c r="N1419" s="3">
        <v>0</v>
      </c>
      <c r="O1419" s="3"/>
      <c r="P1419" s="3">
        <v>0</v>
      </c>
      <c r="Q1419" s="3">
        <v>0</v>
      </c>
      <c r="R1419" s="3">
        <v>0</v>
      </c>
      <c r="S1419" s="3">
        <v>0</v>
      </c>
      <c r="T1419" s="3">
        <v>0</v>
      </c>
      <c r="U1419" s="3"/>
      <c r="V1419" s="3"/>
      <c r="W1419" s="3"/>
      <c r="X1419" s="3"/>
      <c r="Y1419" s="3"/>
      <c r="Z1419" s="3"/>
      <c r="AA1419" s="3"/>
      <c r="AB1419" s="3"/>
      <c r="AC1419" s="3"/>
      <c r="AD1419" s="3"/>
      <c r="AE1419" s="3">
        <v>0</v>
      </c>
      <c r="AF1419" s="3">
        <v>0</v>
      </c>
      <c r="AG1419" s="3"/>
      <c r="AH1419" s="40"/>
      <c r="AI1419" s="40"/>
      <c r="AJ1419" s="40"/>
      <c r="AK1419" s="40"/>
      <c r="AL1419" s="40"/>
      <c r="AM1419" s="40"/>
      <c r="AN1419" s="40"/>
      <c r="AO1419" s="40"/>
      <c r="AP1419" s="40"/>
      <c r="AQ1419" s="40"/>
      <c r="AR1419" s="31"/>
      <c r="AS1419" s="36">
        <v>0</v>
      </c>
      <c r="AY1419" s="6"/>
      <c r="AZ1419" s="2"/>
      <c r="BA1419" s="2"/>
      <c r="BB1419" s="2"/>
      <c r="BC1419">
        <v>71500</v>
      </c>
      <c r="BD1419">
        <v>56992</v>
      </c>
    </row>
    <row r="1420" spans="3:56" x14ac:dyDescent="0.25">
      <c r="C1420" s="1">
        <v>47040</v>
      </c>
      <c r="D1420" s="36">
        <v>267120.30967741902</v>
      </c>
      <c r="E1420" s="33">
        <v>4.4903225806451603</v>
      </c>
      <c r="F1420" s="33">
        <v>3.6305255913978498</v>
      </c>
      <c r="G1420" s="2">
        <v>0.80852222222222203</v>
      </c>
      <c r="H1420" s="2">
        <v>0.99</v>
      </c>
      <c r="I1420" s="3"/>
      <c r="J1420" s="3"/>
      <c r="K1420" s="3"/>
      <c r="L1420" s="3"/>
      <c r="M1420" s="3"/>
      <c r="N1420" s="3">
        <v>0</v>
      </c>
      <c r="O1420" s="3"/>
      <c r="P1420" s="3">
        <v>0</v>
      </c>
      <c r="Q1420" s="3">
        <v>0</v>
      </c>
      <c r="R1420" s="3">
        <v>0</v>
      </c>
      <c r="S1420" s="3">
        <v>0</v>
      </c>
      <c r="T1420" s="3">
        <v>0</v>
      </c>
      <c r="U1420" s="3"/>
      <c r="V1420" s="3"/>
      <c r="W1420" s="3"/>
      <c r="X1420" s="3"/>
      <c r="Y1420" s="3"/>
      <c r="Z1420" s="3"/>
      <c r="AA1420" s="3"/>
      <c r="AB1420" s="3"/>
      <c r="AC1420" s="3"/>
      <c r="AD1420" s="3"/>
      <c r="AE1420" s="3">
        <v>0</v>
      </c>
      <c r="AF1420" s="3">
        <v>0</v>
      </c>
      <c r="AG1420" s="3"/>
      <c r="AH1420" s="40"/>
      <c r="AI1420" s="40"/>
      <c r="AJ1420" s="40"/>
      <c r="AK1420" s="40"/>
      <c r="AL1420" s="40"/>
      <c r="AM1420" s="40"/>
      <c r="AN1420" s="40"/>
      <c r="AO1420" s="40"/>
      <c r="AP1420" s="40"/>
      <c r="AQ1420" s="40"/>
      <c r="AR1420" s="31"/>
      <c r="AS1420" s="36">
        <v>0</v>
      </c>
      <c r="AY1420" s="6"/>
      <c r="AZ1420" s="2"/>
      <c r="BA1420" s="2"/>
      <c r="BB1420" s="2"/>
      <c r="BC1420">
        <v>71500</v>
      </c>
      <c r="BD1420">
        <v>56992</v>
      </c>
    </row>
    <row r="1421" spans="3:56" x14ac:dyDescent="0.25">
      <c r="C1421" s="1">
        <v>47041</v>
      </c>
      <c r="D1421" s="36">
        <v>267120.30967741902</v>
      </c>
      <c r="E1421" s="33">
        <v>4.4903225806451603</v>
      </c>
      <c r="F1421" s="33">
        <v>3.6304756989247302</v>
      </c>
      <c r="G1421" s="2">
        <v>0.80851111111111096</v>
      </c>
      <c r="H1421" s="2">
        <v>0.99</v>
      </c>
      <c r="I1421" s="3"/>
      <c r="J1421" s="3"/>
      <c r="K1421" s="3"/>
      <c r="L1421" s="3"/>
      <c r="M1421" s="3"/>
      <c r="N1421" s="3">
        <v>0</v>
      </c>
      <c r="O1421" s="3"/>
      <c r="P1421" s="3">
        <v>0</v>
      </c>
      <c r="Q1421" s="3">
        <v>0</v>
      </c>
      <c r="R1421" s="3">
        <v>0</v>
      </c>
      <c r="S1421" s="3">
        <v>0</v>
      </c>
      <c r="T1421" s="3">
        <v>0</v>
      </c>
      <c r="U1421" s="3"/>
      <c r="V1421" s="3"/>
      <c r="W1421" s="3"/>
      <c r="X1421" s="3"/>
      <c r="Y1421" s="3"/>
      <c r="Z1421" s="3"/>
      <c r="AA1421" s="3"/>
      <c r="AB1421" s="3"/>
      <c r="AC1421" s="3"/>
      <c r="AD1421" s="3"/>
      <c r="AE1421" s="3">
        <v>0</v>
      </c>
      <c r="AF1421" s="3">
        <v>0</v>
      </c>
      <c r="AG1421" s="3"/>
      <c r="AH1421" s="40"/>
      <c r="AI1421" s="40"/>
      <c r="AJ1421" s="40"/>
      <c r="AK1421" s="40"/>
      <c r="AL1421" s="40"/>
      <c r="AM1421" s="40"/>
      <c r="AN1421" s="40"/>
      <c r="AO1421" s="40"/>
      <c r="AP1421" s="40"/>
      <c r="AQ1421" s="40"/>
      <c r="AR1421" s="31"/>
      <c r="AS1421" s="36">
        <v>0</v>
      </c>
      <c r="AY1421" s="6"/>
      <c r="AZ1421" s="2"/>
      <c r="BA1421" s="2"/>
      <c r="BB1421" s="2"/>
      <c r="BC1421">
        <v>71500</v>
      </c>
      <c r="BD1421">
        <v>56992</v>
      </c>
    </row>
    <row r="1422" spans="3:56" x14ac:dyDescent="0.25">
      <c r="C1422" s="1">
        <v>47042</v>
      </c>
      <c r="D1422" s="36">
        <v>267120.30967741902</v>
      </c>
      <c r="E1422" s="33">
        <v>4.4903225806451603</v>
      </c>
      <c r="F1422" s="33">
        <v>3.6304258064516102</v>
      </c>
      <c r="G1422" s="2">
        <v>0.8085</v>
      </c>
      <c r="H1422" s="2">
        <v>0.99</v>
      </c>
      <c r="I1422" s="3"/>
      <c r="J1422" s="3"/>
      <c r="K1422" s="3"/>
      <c r="L1422" s="3"/>
      <c r="M1422" s="3"/>
      <c r="N1422" s="3">
        <v>0</v>
      </c>
      <c r="O1422" s="3"/>
      <c r="P1422" s="3">
        <v>0</v>
      </c>
      <c r="Q1422" s="3">
        <v>0</v>
      </c>
      <c r="R1422" s="3">
        <v>0</v>
      </c>
      <c r="S1422" s="3">
        <v>0</v>
      </c>
      <c r="T1422" s="3">
        <v>0</v>
      </c>
      <c r="U1422" s="3"/>
      <c r="V1422" s="3"/>
      <c r="W1422" s="3"/>
      <c r="X1422" s="3"/>
      <c r="Y1422" s="3"/>
      <c r="Z1422" s="3"/>
      <c r="AA1422" s="3"/>
      <c r="AB1422" s="3"/>
      <c r="AC1422" s="3"/>
      <c r="AD1422" s="3"/>
      <c r="AE1422" s="3">
        <v>0</v>
      </c>
      <c r="AF1422" s="3">
        <v>0</v>
      </c>
      <c r="AG1422" s="3"/>
      <c r="AH1422" s="40"/>
      <c r="AI1422" s="40"/>
      <c r="AJ1422" s="40"/>
      <c r="AK1422" s="40"/>
      <c r="AL1422" s="40"/>
      <c r="AM1422" s="40"/>
      <c r="AN1422" s="40"/>
      <c r="AO1422" s="40"/>
      <c r="AP1422" s="40"/>
      <c r="AQ1422" s="40"/>
      <c r="AR1422" s="31"/>
      <c r="AS1422" s="36">
        <v>0</v>
      </c>
      <c r="AY1422" s="6"/>
      <c r="AZ1422" s="2"/>
      <c r="BA1422" s="2"/>
      <c r="BB1422" s="2"/>
      <c r="BC1422">
        <v>71500</v>
      </c>
      <c r="BD1422">
        <v>56992</v>
      </c>
    </row>
    <row r="1423" spans="3:56" x14ac:dyDescent="0.25">
      <c r="C1423" s="1">
        <v>47043</v>
      </c>
      <c r="D1423" s="36">
        <v>267120.30967741902</v>
      </c>
      <c r="E1423" s="33">
        <v>4.4903225806451603</v>
      </c>
      <c r="F1423" s="33">
        <v>3.6303759139784901</v>
      </c>
      <c r="G1423" s="2">
        <v>0.80848888888888903</v>
      </c>
      <c r="H1423" s="2">
        <v>0.99</v>
      </c>
      <c r="I1423" s="3"/>
      <c r="J1423" s="3"/>
      <c r="K1423" s="3"/>
      <c r="L1423" s="3"/>
      <c r="M1423" s="3"/>
      <c r="N1423" s="3">
        <v>0</v>
      </c>
      <c r="O1423" s="3"/>
      <c r="P1423" s="3">
        <v>0</v>
      </c>
      <c r="Q1423" s="3">
        <v>0</v>
      </c>
      <c r="R1423" s="3">
        <v>0</v>
      </c>
      <c r="S1423" s="3">
        <v>0</v>
      </c>
      <c r="T1423" s="3">
        <v>0</v>
      </c>
      <c r="U1423" s="3"/>
      <c r="V1423" s="3"/>
      <c r="W1423" s="3"/>
      <c r="X1423" s="3"/>
      <c r="Y1423" s="3"/>
      <c r="Z1423" s="3"/>
      <c r="AA1423" s="3"/>
      <c r="AB1423" s="3"/>
      <c r="AC1423" s="3"/>
      <c r="AD1423" s="3"/>
      <c r="AE1423" s="3">
        <v>0</v>
      </c>
      <c r="AF1423" s="3">
        <v>0</v>
      </c>
      <c r="AG1423" s="3"/>
      <c r="AH1423" s="40"/>
      <c r="AI1423" s="40"/>
      <c r="AJ1423" s="40"/>
      <c r="AK1423" s="40"/>
      <c r="AL1423" s="40"/>
      <c r="AM1423" s="40"/>
      <c r="AN1423" s="40"/>
      <c r="AO1423" s="40"/>
      <c r="AP1423" s="40"/>
      <c r="AQ1423" s="40"/>
      <c r="AR1423" s="31"/>
      <c r="AS1423" s="36">
        <v>0</v>
      </c>
      <c r="AY1423" s="6"/>
      <c r="AZ1423" s="2"/>
      <c r="BA1423" s="2"/>
      <c r="BB1423" s="2"/>
      <c r="BC1423">
        <v>71500</v>
      </c>
      <c r="BD1423">
        <v>56992</v>
      </c>
    </row>
    <row r="1424" spans="3:56" x14ac:dyDescent="0.25">
      <c r="C1424" s="1">
        <v>47044</v>
      </c>
      <c r="D1424" s="36">
        <v>267120.30967741902</v>
      </c>
      <c r="E1424" s="33">
        <v>4.4903225806451603</v>
      </c>
      <c r="F1424" s="33">
        <v>3.6303260215053799</v>
      </c>
      <c r="G1424" s="2">
        <v>0.80847777777777796</v>
      </c>
      <c r="H1424" s="2">
        <v>0.99</v>
      </c>
      <c r="I1424" s="3"/>
      <c r="J1424" s="3"/>
      <c r="K1424" s="3"/>
      <c r="L1424" s="3"/>
      <c r="M1424" s="3"/>
      <c r="N1424" s="3">
        <v>0</v>
      </c>
      <c r="O1424" s="3"/>
      <c r="P1424" s="3">
        <v>0</v>
      </c>
      <c r="Q1424" s="3">
        <v>0</v>
      </c>
      <c r="R1424" s="3">
        <v>0</v>
      </c>
      <c r="S1424" s="3">
        <v>0</v>
      </c>
      <c r="T1424" s="3">
        <v>0</v>
      </c>
      <c r="U1424" s="3"/>
      <c r="V1424" s="3"/>
      <c r="W1424" s="3"/>
      <c r="X1424" s="3"/>
      <c r="Y1424" s="3"/>
      <c r="Z1424" s="3"/>
      <c r="AA1424" s="3"/>
      <c r="AB1424" s="3"/>
      <c r="AC1424" s="3"/>
      <c r="AD1424" s="3"/>
      <c r="AE1424" s="3">
        <v>0</v>
      </c>
      <c r="AF1424" s="3">
        <v>0</v>
      </c>
      <c r="AG1424" s="3"/>
      <c r="AH1424" s="40"/>
      <c r="AI1424" s="40"/>
      <c r="AJ1424" s="40"/>
      <c r="AK1424" s="40"/>
      <c r="AL1424" s="40"/>
      <c r="AM1424" s="40"/>
      <c r="AN1424" s="40"/>
      <c r="AO1424" s="40"/>
      <c r="AP1424" s="40"/>
      <c r="AQ1424" s="40"/>
      <c r="AR1424" s="31"/>
      <c r="AS1424" s="36">
        <v>0</v>
      </c>
      <c r="AY1424" s="6"/>
      <c r="AZ1424" s="2"/>
      <c r="BA1424" s="2"/>
      <c r="BB1424" s="2"/>
      <c r="BC1424">
        <v>71500</v>
      </c>
      <c r="BD1424">
        <v>56992</v>
      </c>
    </row>
    <row r="1425" spans="3:56" x14ac:dyDescent="0.25">
      <c r="C1425" s="1">
        <v>47045</v>
      </c>
      <c r="D1425" s="36">
        <v>267120.30967741902</v>
      </c>
      <c r="E1425" s="33">
        <v>4.4903225806451603</v>
      </c>
      <c r="F1425" s="33">
        <v>3.6302761290322598</v>
      </c>
      <c r="G1425" s="2">
        <v>0.808466666666667</v>
      </c>
      <c r="H1425" s="2">
        <v>0.99</v>
      </c>
      <c r="I1425" s="3"/>
      <c r="J1425" s="3"/>
      <c r="K1425" s="3"/>
      <c r="L1425" s="3"/>
      <c r="M1425" s="3"/>
      <c r="N1425" s="3">
        <v>0</v>
      </c>
      <c r="O1425" s="3"/>
      <c r="P1425" s="3">
        <v>0</v>
      </c>
      <c r="Q1425" s="3">
        <v>0</v>
      </c>
      <c r="R1425" s="3">
        <v>0</v>
      </c>
      <c r="S1425" s="3">
        <v>0</v>
      </c>
      <c r="T1425" s="3">
        <v>0</v>
      </c>
      <c r="U1425" s="3"/>
      <c r="V1425" s="3"/>
      <c r="W1425" s="3"/>
      <c r="X1425" s="3"/>
      <c r="Y1425" s="3"/>
      <c r="Z1425" s="3"/>
      <c r="AA1425" s="3"/>
      <c r="AB1425" s="3"/>
      <c r="AC1425" s="3"/>
      <c r="AD1425" s="3"/>
      <c r="AE1425" s="3">
        <v>0</v>
      </c>
      <c r="AF1425" s="3">
        <v>0</v>
      </c>
      <c r="AG1425" s="3"/>
      <c r="AH1425" s="40"/>
      <c r="AI1425" s="40"/>
      <c r="AJ1425" s="40"/>
      <c r="AK1425" s="40"/>
      <c r="AL1425" s="40"/>
      <c r="AM1425" s="40"/>
      <c r="AN1425" s="40"/>
      <c r="AO1425" s="40"/>
      <c r="AP1425" s="40"/>
      <c r="AQ1425" s="40"/>
      <c r="AR1425" s="31"/>
      <c r="AS1425" s="36">
        <v>0</v>
      </c>
      <c r="AY1425" s="6"/>
      <c r="AZ1425" s="2"/>
      <c r="BA1425" s="2"/>
      <c r="BB1425" s="2"/>
      <c r="BC1425">
        <v>71500</v>
      </c>
      <c r="BD1425">
        <v>56992</v>
      </c>
    </row>
    <row r="1426" spans="3:56" x14ac:dyDescent="0.25">
      <c r="C1426" s="1">
        <v>47046</v>
      </c>
      <c r="D1426" s="36">
        <v>267120.30967741902</v>
      </c>
      <c r="E1426" s="33">
        <v>4.4903225806451603</v>
      </c>
      <c r="F1426" s="33">
        <v>3.6302262365591398</v>
      </c>
      <c r="G1426" s="2">
        <v>0.80845555555555604</v>
      </c>
      <c r="H1426" s="2">
        <v>0.99</v>
      </c>
      <c r="I1426" s="3"/>
      <c r="J1426" s="3"/>
      <c r="K1426" s="3"/>
      <c r="L1426" s="3"/>
      <c r="M1426" s="3"/>
      <c r="N1426" s="3">
        <v>0</v>
      </c>
      <c r="O1426" s="3"/>
      <c r="P1426" s="3">
        <v>0</v>
      </c>
      <c r="Q1426" s="3">
        <v>0</v>
      </c>
      <c r="R1426" s="3">
        <v>0</v>
      </c>
      <c r="S1426" s="3">
        <v>0</v>
      </c>
      <c r="T1426" s="3">
        <v>0</v>
      </c>
      <c r="U1426" s="3"/>
      <c r="V1426" s="3"/>
      <c r="W1426" s="3"/>
      <c r="X1426" s="3"/>
      <c r="Y1426" s="3"/>
      <c r="Z1426" s="3"/>
      <c r="AA1426" s="3"/>
      <c r="AB1426" s="3"/>
      <c r="AC1426" s="3"/>
      <c r="AD1426" s="3"/>
      <c r="AE1426" s="3">
        <v>0</v>
      </c>
      <c r="AF1426" s="3">
        <v>0</v>
      </c>
      <c r="AG1426" s="3"/>
      <c r="AH1426" s="40"/>
      <c r="AI1426" s="40"/>
      <c r="AJ1426" s="40"/>
      <c r="AK1426" s="40"/>
      <c r="AL1426" s="40"/>
      <c r="AM1426" s="40"/>
      <c r="AN1426" s="40"/>
      <c r="AO1426" s="40"/>
      <c r="AP1426" s="40"/>
      <c r="AQ1426" s="40"/>
      <c r="AR1426" s="31"/>
      <c r="AS1426" s="36">
        <v>0</v>
      </c>
      <c r="AY1426" s="6"/>
      <c r="AZ1426" s="2"/>
      <c r="BA1426" s="2"/>
      <c r="BB1426" s="2"/>
      <c r="BC1426">
        <v>71500</v>
      </c>
      <c r="BD1426">
        <v>56992</v>
      </c>
    </row>
    <row r="1427" spans="3:56" x14ac:dyDescent="0.25">
      <c r="C1427" s="1">
        <v>47047</v>
      </c>
      <c r="D1427" s="36">
        <v>267120.30967741902</v>
      </c>
      <c r="E1427" s="33">
        <v>4.4903225806451603</v>
      </c>
      <c r="F1427" s="33">
        <v>3.6301763440860202</v>
      </c>
      <c r="G1427" s="2">
        <v>0.80844444444444397</v>
      </c>
      <c r="H1427" s="2">
        <v>0.99</v>
      </c>
      <c r="I1427" s="3"/>
      <c r="J1427" s="3"/>
      <c r="K1427" s="3"/>
      <c r="L1427" s="3"/>
      <c r="M1427" s="3"/>
      <c r="N1427" s="3">
        <v>0</v>
      </c>
      <c r="O1427" s="3"/>
      <c r="P1427" s="3">
        <v>0</v>
      </c>
      <c r="Q1427" s="3">
        <v>0</v>
      </c>
      <c r="R1427" s="3">
        <v>0</v>
      </c>
      <c r="S1427" s="3">
        <v>0</v>
      </c>
      <c r="T1427" s="3">
        <v>0</v>
      </c>
      <c r="U1427" s="3"/>
      <c r="V1427" s="3"/>
      <c r="W1427" s="3"/>
      <c r="X1427" s="3"/>
      <c r="Y1427" s="3"/>
      <c r="Z1427" s="3"/>
      <c r="AA1427" s="3"/>
      <c r="AB1427" s="3"/>
      <c r="AC1427" s="3"/>
      <c r="AD1427" s="3"/>
      <c r="AE1427" s="3">
        <v>0</v>
      </c>
      <c r="AF1427" s="3">
        <v>0</v>
      </c>
      <c r="AG1427" s="3"/>
      <c r="AH1427" s="40"/>
      <c r="AI1427" s="40"/>
      <c r="AJ1427" s="40"/>
      <c r="AK1427" s="40"/>
      <c r="AL1427" s="40"/>
      <c r="AM1427" s="40"/>
      <c r="AN1427" s="40"/>
      <c r="AO1427" s="40"/>
      <c r="AP1427" s="40"/>
      <c r="AQ1427" s="40"/>
      <c r="AR1427" s="31"/>
      <c r="AS1427" s="36">
        <v>0</v>
      </c>
      <c r="AY1427" s="6"/>
      <c r="AZ1427" s="2"/>
      <c r="BA1427" s="2"/>
      <c r="BB1427" s="2"/>
      <c r="BC1427">
        <v>71500</v>
      </c>
      <c r="BD1427">
        <v>56992</v>
      </c>
    </row>
    <row r="1428" spans="3:56" x14ac:dyDescent="0.25">
      <c r="C1428" s="1">
        <v>47048</v>
      </c>
      <c r="D1428" s="36">
        <v>267120.30967741902</v>
      </c>
      <c r="E1428" s="33">
        <v>4.4903225806451603</v>
      </c>
      <c r="F1428" s="33">
        <v>3.6301264516129002</v>
      </c>
      <c r="G1428" s="2">
        <v>0.808433333333333</v>
      </c>
      <c r="H1428" s="2">
        <v>0.99</v>
      </c>
      <c r="I1428" s="3"/>
      <c r="J1428" s="3"/>
      <c r="K1428" s="3"/>
      <c r="L1428" s="3"/>
      <c r="M1428" s="3"/>
      <c r="N1428" s="3">
        <v>0</v>
      </c>
      <c r="O1428" s="3"/>
      <c r="P1428" s="3">
        <v>0</v>
      </c>
      <c r="Q1428" s="3">
        <v>0</v>
      </c>
      <c r="R1428" s="3">
        <v>0</v>
      </c>
      <c r="S1428" s="3">
        <v>0</v>
      </c>
      <c r="T1428" s="3">
        <v>0</v>
      </c>
      <c r="U1428" s="3"/>
      <c r="V1428" s="3"/>
      <c r="W1428" s="3"/>
      <c r="X1428" s="3"/>
      <c r="Y1428" s="3"/>
      <c r="Z1428" s="3"/>
      <c r="AA1428" s="3"/>
      <c r="AB1428" s="3"/>
      <c r="AC1428" s="3"/>
      <c r="AD1428" s="3"/>
      <c r="AE1428" s="3">
        <v>0</v>
      </c>
      <c r="AF1428" s="3">
        <v>0</v>
      </c>
      <c r="AG1428" s="3"/>
      <c r="AH1428" s="40"/>
      <c r="AI1428" s="40"/>
      <c r="AJ1428" s="40"/>
      <c r="AK1428" s="40"/>
      <c r="AL1428" s="40"/>
      <c r="AM1428" s="40"/>
      <c r="AN1428" s="40"/>
      <c r="AO1428" s="40"/>
      <c r="AP1428" s="40"/>
      <c r="AQ1428" s="40"/>
      <c r="AR1428" s="31"/>
      <c r="AS1428" s="36">
        <v>0</v>
      </c>
      <c r="AY1428" s="6"/>
      <c r="AZ1428" s="2"/>
      <c r="BA1428" s="2"/>
      <c r="BB1428" s="2"/>
      <c r="BC1428">
        <v>71500</v>
      </c>
      <c r="BD1428">
        <v>56992</v>
      </c>
    </row>
    <row r="1429" spans="3:56" x14ac:dyDescent="0.25">
      <c r="C1429" s="1">
        <v>47049</v>
      </c>
      <c r="D1429" s="36">
        <v>267120.30967741902</v>
      </c>
      <c r="E1429" s="33">
        <v>4.4903225806451603</v>
      </c>
      <c r="F1429" s="33">
        <v>3.6300765591397801</v>
      </c>
      <c r="G1429" s="2">
        <v>0.80842222222222204</v>
      </c>
      <c r="H1429" s="2">
        <v>0.99</v>
      </c>
      <c r="I1429" s="3"/>
      <c r="J1429" s="3"/>
      <c r="K1429" s="3"/>
      <c r="L1429" s="3"/>
      <c r="M1429" s="3"/>
      <c r="N1429" s="3">
        <v>0</v>
      </c>
      <c r="O1429" s="3"/>
      <c r="P1429" s="3">
        <v>0</v>
      </c>
      <c r="Q1429" s="3">
        <v>0</v>
      </c>
      <c r="R1429" s="3">
        <v>0</v>
      </c>
      <c r="S1429" s="3">
        <v>0</v>
      </c>
      <c r="T1429" s="3">
        <v>0</v>
      </c>
      <c r="U1429" s="3"/>
      <c r="V1429" s="3"/>
      <c r="W1429" s="3"/>
      <c r="X1429" s="3"/>
      <c r="Y1429" s="3"/>
      <c r="Z1429" s="3"/>
      <c r="AA1429" s="3"/>
      <c r="AB1429" s="3"/>
      <c r="AC1429" s="3"/>
      <c r="AD1429" s="3"/>
      <c r="AE1429" s="3">
        <v>0</v>
      </c>
      <c r="AF1429" s="3">
        <v>0</v>
      </c>
      <c r="AG1429" s="3"/>
      <c r="AH1429" s="40"/>
      <c r="AI1429" s="40"/>
      <c r="AJ1429" s="40"/>
      <c r="AK1429" s="40"/>
      <c r="AL1429" s="40"/>
      <c r="AM1429" s="40"/>
      <c r="AN1429" s="40"/>
      <c r="AO1429" s="40"/>
      <c r="AP1429" s="40"/>
      <c r="AQ1429" s="40"/>
      <c r="AR1429" s="31"/>
      <c r="AS1429" s="36">
        <v>0</v>
      </c>
      <c r="AY1429" s="6"/>
      <c r="AZ1429" s="2"/>
      <c r="BA1429" s="2"/>
      <c r="BB1429" s="2"/>
      <c r="BC1429">
        <v>71500</v>
      </c>
      <c r="BD1429">
        <v>56992</v>
      </c>
    </row>
    <row r="1430" spans="3:56" x14ac:dyDescent="0.25">
      <c r="C1430" s="1">
        <v>47050</v>
      </c>
      <c r="D1430" s="36">
        <v>267120.30967741902</v>
      </c>
      <c r="E1430" s="33">
        <v>4.4903225806451603</v>
      </c>
      <c r="F1430" s="33">
        <v>3.6300266666666698</v>
      </c>
      <c r="G1430" s="2">
        <v>0.80841111111111097</v>
      </c>
      <c r="H1430" s="2">
        <v>0.99</v>
      </c>
      <c r="I1430" s="3"/>
      <c r="J1430" s="3"/>
      <c r="K1430" s="3"/>
      <c r="L1430" s="3"/>
      <c r="M1430" s="3"/>
      <c r="N1430" s="3">
        <v>0</v>
      </c>
      <c r="O1430" s="3"/>
      <c r="P1430" s="3">
        <v>0</v>
      </c>
      <c r="Q1430" s="3">
        <v>0</v>
      </c>
      <c r="R1430" s="3">
        <v>0</v>
      </c>
      <c r="S1430" s="3">
        <v>0</v>
      </c>
      <c r="T1430" s="3">
        <v>0</v>
      </c>
      <c r="U1430" s="3"/>
      <c r="V1430" s="3"/>
      <c r="W1430" s="3"/>
      <c r="X1430" s="3"/>
      <c r="Y1430" s="3"/>
      <c r="Z1430" s="3"/>
      <c r="AA1430" s="3"/>
      <c r="AB1430" s="3"/>
      <c r="AC1430" s="3"/>
      <c r="AD1430" s="3"/>
      <c r="AE1430" s="3">
        <v>0</v>
      </c>
      <c r="AF1430" s="3">
        <v>0</v>
      </c>
      <c r="AG1430" s="3"/>
      <c r="AH1430" s="40"/>
      <c r="AI1430" s="40"/>
      <c r="AJ1430" s="40"/>
      <c r="AK1430" s="40"/>
      <c r="AL1430" s="40"/>
      <c r="AM1430" s="40"/>
      <c r="AN1430" s="40"/>
      <c r="AO1430" s="40"/>
      <c r="AP1430" s="40"/>
      <c r="AQ1430" s="40"/>
      <c r="AR1430" s="31"/>
      <c r="AS1430" s="36">
        <v>0</v>
      </c>
      <c r="AY1430" s="6"/>
      <c r="AZ1430" s="2"/>
      <c r="BA1430" s="2"/>
      <c r="BB1430" s="2"/>
      <c r="BC1430">
        <v>71500</v>
      </c>
      <c r="BD1430">
        <v>56992</v>
      </c>
    </row>
    <row r="1431" spans="3:56" x14ac:dyDescent="0.25">
      <c r="C1431" s="1">
        <v>47051</v>
      </c>
      <c r="D1431" s="36">
        <v>267120.30967741902</v>
      </c>
      <c r="E1431" s="33">
        <v>4.4903225806451603</v>
      </c>
      <c r="F1431" s="33">
        <v>3.6299767741935498</v>
      </c>
      <c r="G1431" s="2">
        <v>0.80840000000000001</v>
      </c>
      <c r="H1431" s="2">
        <v>0.99</v>
      </c>
      <c r="I1431" s="3"/>
      <c r="J1431" s="3"/>
      <c r="K1431" s="3"/>
      <c r="L1431" s="3"/>
      <c r="M1431" s="3"/>
      <c r="N1431" s="3">
        <v>0</v>
      </c>
      <c r="O1431" s="3"/>
      <c r="P1431" s="3">
        <v>0</v>
      </c>
      <c r="Q1431" s="3">
        <v>0</v>
      </c>
      <c r="R1431" s="3">
        <v>0</v>
      </c>
      <c r="S1431" s="3">
        <v>0</v>
      </c>
      <c r="T1431" s="3">
        <v>0</v>
      </c>
      <c r="U1431" s="3"/>
      <c r="V1431" s="3"/>
      <c r="W1431" s="3"/>
      <c r="X1431" s="3"/>
      <c r="Y1431" s="3"/>
      <c r="Z1431" s="3"/>
      <c r="AA1431" s="3"/>
      <c r="AB1431" s="3"/>
      <c r="AC1431" s="3"/>
      <c r="AD1431" s="3"/>
      <c r="AE1431" s="3">
        <v>0</v>
      </c>
      <c r="AF1431" s="3">
        <v>0</v>
      </c>
      <c r="AG1431" s="3"/>
      <c r="AH1431" s="40"/>
      <c r="AI1431" s="40"/>
      <c r="AJ1431" s="40"/>
      <c r="AK1431" s="40"/>
      <c r="AL1431" s="40"/>
      <c r="AM1431" s="40"/>
      <c r="AN1431" s="40"/>
      <c r="AO1431" s="40"/>
      <c r="AP1431" s="40"/>
      <c r="AQ1431" s="40"/>
      <c r="AR1431" s="31"/>
      <c r="AS1431" s="36">
        <v>0</v>
      </c>
      <c r="AY1431" s="6"/>
      <c r="AZ1431" s="2"/>
      <c r="BA1431" s="2"/>
      <c r="BB1431" s="2"/>
      <c r="BC1431">
        <v>71500</v>
      </c>
      <c r="BD1431">
        <v>56992</v>
      </c>
    </row>
    <row r="1432" spans="3:56" x14ac:dyDescent="0.25">
      <c r="C1432" s="1">
        <v>47052</v>
      </c>
      <c r="D1432" s="36">
        <v>267120.30967741902</v>
      </c>
      <c r="E1432" s="33">
        <v>4.4903225806451603</v>
      </c>
      <c r="F1432" s="33">
        <v>3.6299268817204302</v>
      </c>
      <c r="G1432" s="2">
        <v>0.80838888888888905</v>
      </c>
      <c r="H1432" s="2">
        <v>0.99</v>
      </c>
      <c r="I1432" s="3"/>
      <c r="J1432" s="3"/>
      <c r="K1432" s="3"/>
      <c r="L1432" s="3"/>
      <c r="M1432" s="3"/>
      <c r="N1432" s="3">
        <v>0</v>
      </c>
      <c r="O1432" s="3"/>
      <c r="P1432" s="3">
        <v>0</v>
      </c>
      <c r="Q1432" s="3">
        <v>0</v>
      </c>
      <c r="R1432" s="3">
        <v>0</v>
      </c>
      <c r="S1432" s="3">
        <v>0</v>
      </c>
      <c r="T1432" s="3">
        <v>0</v>
      </c>
      <c r="U1432" s="3"/>
      <c r="V1432" s="3"/>
      <c r="W1432" s="3"/>
      <c r="X1432" s="3"/>
      <c r="Y1432" s="3"/>
      <c r="Z1432" s="3"/>
      <c r="AA1432" s="3"/>
      <c r="AB1432" s="3"/>
      <c r="AC1432" s="3"/>
      <c r="AD1432" s="3"/>
      <c r="AE1432" s="3">
        <v>0</v>
      </c>
      <c r="AF1432" s="3">
        <v>0</v>
      </c>
      <c r="AG1432" s="3"/>
      <c r="AH1432" s="40"/>
      <c r="AI1432" s="40"/>
      <c r="AJ1432" s="40"/>
      <c r="AK1432" s="40"/>
      <c r="AL1432" s="40"/>
      <c r="AM1432" s="40"/>
      <c r="AN1432" s="40"/>
      <c r="AO1432" s="40"/>
      <c r="AP1432" s="40"/>
      <c r="AQ1432" s="40"/>
      <c r="AR1432" s="31"/>
      <c r="AS1432" s="36">
        <v>0</v>
      </c>
      <c r="AY1432" s="6"/>
      <c r="AZ1432" s="2"/>
      <c r="BA1432" s="2"/>
      <c r="BB1432" s="2"/>
      <c r="BC1432">
        <v>71500</v>
      </c>
      <c r="BD1432">
        <v>56992</v>
      </c>
    </row>
    <row r="1433" spans="3:56" x14ac:dyDescent="0.25">
      <c r="C1433" s="1">
        <v>47053</v>
      </c>
      <c r="D1433" s="36">
        <v>267120.30967741902</v>
      </c>
      <c r="E1433" s="33">
        <v>4.4903225806451603</v>
      </c>
      <c r="F1433" s="33">
        <v>3.6298769892473102</v>
      </c>
      <c r="G1433" s="2">
        <v>0.80837777777777797</v>
      </c>
      <c r="H1433" s="2">
        <v>0.99</v>
      </c>
      <c r="I1433" s="3"/>
      <c r="J1433" s="3"/>
      <c r="K1433" s="3"/>
      <c r="L1433" s="3"/>
      <c r="M1433" s="3"/>
      <c r="N1433" s="3">
        <v>0</v>
      </c>
      <c r="O1433" s="3"/>
      <c r="P1433" s="3">
        <v>0</v>
      </c>
      <c r="Q1433" s="3">
        <v>0</v>
      </c>
      <c r="R1433" s="3">
        <v>0</v>
      </c>
      <c r="S1433" s="3">
        <v>0</v>
      </c>
      <c r="T1433" s="3">
        <v>0</v>
      </c>
      <c r="U1433" s="3"/>
      <c r="V1433" s="3"/>
      <c r="W1433" s="3"/>
      <c r="X1433" s="3"/>
      <c r="Y1433" s="3"/>
      <c r="Z1433" s="3"/>
      <c r="AA1433" s="3"/>
      <c r="AB1433" s="3"/>
      <c r="AC1433" s="3"/>
      <c r="AD1433" s="3"/>
      <c r="AE1433" s="3">
        <v>0</v>
      </c>
      <c r="AF1433" s="3">
        <v>0</v>
      </c>
      <c r="AG1433" s="3"/>
      <c r="AH1433" s="40"/>
      <c r="AI1433" s="40"/>
      <c r="AJ1433" s="40"/>
      <c r="AK1433" s="40"/>
      <c r="AL1433" s="40"/>
      <c r="AM1433" s="40"/>
      <c r="AN1433" s="40"/>
      <c r="AO1433" s="40"/>
      <c r="AP1433" s="40"/>
      <c r="AQ1433" s="40"/>
      <c r="AR1433" s="31"/>
      <c r="AS1433" s="36">
        <v>0</v>
      </c>
      <c r="AY1433" s="6"/>
      <c r="AZ1433" s="2"/>
      <c r="BA1433" s="2"/>
      <c r="BB1433" s="2"/>
      <c r="BC1433">
        <v>71500</v>
      </c>
      <c r="BD1433">
        <v>56992</v>
      </c>
    </row>
    <row r="1434" spans="3:56" x14ac:dyDescent="0.25">
      <c r="C1434" s="1">
        <v>47054</v>
      </c>
      <c r="D1434" s="36">
        <v>267120.30967741902</v>
      </c>
      <c r="E1434" s="33">
        <v>4.4903225806451603</v>
      </c>
      <c r="F1434" s="33">
        <v>3.6298270967741901</v>
      </c>
      <c r="G1434" s="2">
        <v>0.80836666666666701</v>
      </c>
      <c r="H1434" s="2">
        <v>0.99</v>
      </c>
      <c r="I1434" s="3"/>
      <c r="J1434" s="3"/>
      <c r="K1434" s="3"/>
      <c r="L1434" s="3"/>
      <c r="M1434" s="3"/>
      <c r="N1434" s="3">
        <v>0</v>
      </c>
      <c r="O1434" s="3"/>
      <c r="P1434" s="3">
        <v>0</v>
      </c>
      <c r="Q1434" s="3">
        <v>0</v>
      </c>
      <c r="R1434" s="3">
        <v>0</v>
      </c>
      <c r="S1434" s="3">
        <v>0</v>
      </c>
      <c r="T1434" s="3">
        <v>0</v>
      </c>
      <c r="U1434" s="3"/>
      <c r="V1434" s="3"/>
      <c r="W1434" s="3"/>
      <c r="X1434" s="3"/>
      <c r="Y1434" s="3"/>
      <c r="Z1434" s="3"/>
      <c r="AA1434" s="3"/>
      <c r="AB1434" s="3"/>
      <c r="AC1434" s="3"/>
      <c r="AD1434" s="3"/>
      <c r="AE1434" s="3">
        <v>0</v>
      </c>
      <c r="AF1434" s="3">
        <v>0</v>
      </c>
      <c r="AG1434" s="3"/>
      <c r="AH1434" s="40"/>
      <c r="AI1434" s="40"/>
      <c r="AJ1434" s="40"/>
      <c r="AK1434" s="40"/>
      <c r="AL1434" s="40"/>
      <c r="AM1434" s="40"/>
      <c r="AN1434" s="40"/>
      <c r="AO1434" s="40"/>
      <c r="AP1434" s="40"/>
      <c r="AQ1434" s="40"/>
      <c r="AR1434" s="31"/>
      <c r="AS1434" s="36">
        <v>0</v>
      </c>
      <c r="AY1434" s="6"/>
      <c r="AZ1434" s="2"/>
      <c r="BA1434" s="2"/>
      <c r="BB1434" s="2"/>
      <c r="BC1434">
        <v>71500</v>
      </c>
      <c r="BD1434">
        <v>56992</v>
      </c>
    </row>
    <row r="1435" spans="3:56" x14ac:dyDescent="0.25">
      <c r="C1435" s="1">
        <v>47055</v>
      </c>
      <c r="D1435" s="36">
        <v>267120.30967741902</v>
      </c>
      <c r="E1435" s="33">
        <v>4.4903225806451603</v>
      </c>
      <c r="F1435" s="33">
        <v>3.6297772043010701</v>
      </c>
      <c r="G1435" s="2">
        <v>0.80835555555555505</v>
      </c>
      <c r="H1435" s="2">
        <v>0.99</v>
      </c>
      <c r="I1435" s="3"/>
      <c r="J1435" s="3"/>
      <c r="K1435" s="3"/>
      <c r="L1435" s="3"/>
      <c r="M1435" s="3"/>
      <c r="N1435" s="3">
        <v>0</v>
      </c>
      <c r="O1435" s="3"/>
      <c r="P1435" s="3">
        <v>0</v>
      </c>
      <c r="Q1435" s="3">
        <v>0</v>
      </c>
      <c r="R1435" s="3">
        <v>0</v>
      </c>
      <c r="S1435" s="3">
        <v>0</v>
      </c>
      <c r="T1435" s="3">
        <v>0</v>
      </c>
      <c r="U1435" s="3"/>
      <c r="V1435" s="3"/>
      <c r="W1435" s="3"/>
      <c r="X1435" s="3"/>
      <c r="Y1435" s="3"/>
      <c r="Z1435" s="3"/>
      <c r="AA1435" s="3"/>
      <c r="AB1435" s="3"/>
      <c r="AC1435" s="3"/>
      <c r="AD1435" s="3"/>
      <c r="AE1435" s="3">
        <v>0</v>
      </c>
      <c r="AF1435" s="3">
        <v>0</v>
      </c>
      <c r="AG1435" s="3"/>
      <c r="AH1435" s="40"/>
      <c r="AI1435" s="40"/>
      <c r="AJ1435" s="40"/>
      <c r="AK1435" s="40"/>
      <c r="AL1435" s="40"/>
      <c r="AM1435" s="40"/>
      <c r="AN1435" s="40"/>
      <c r="AO1435" s="40"/>
      <c r="AP1435" s="40"/>
      <c r="AQ1435" s="40"/>
      <c r="AR1435" s="31"/>
      <c r="AS1435" s="36">
        <v>0</v>
      </c>
      <c r="AY1435" s="6"/>
      <c r="AZ1435" s="2"/>
      <c r="BA1435" s="2"/>
      <c r="BB1435" s="2"/>
      <c r="BC1435">
        <v>71500</v>
      </c>
      <c r="BD1435">
        <v>56992</v>
      </c>
    </row>
    <row r="1436" spans="3:56" x14ac:dyDescent="0.25">
      <c r="C1436" s="1">
        <v>47056</v>
      </c>
      <c r="D1436" s="36">
        <v>267120.30967741902</v>
      </c>
      <c r="E1436" s="33">
        <v>4.4903225806451603</v>
      </c>
      <c r="F1436" s="33">
        <v>3.6297273118279598</v>
      </c>
      <c r="G1436" s="2">
        <v>0.80834444444444398</v>
      </c>
      <c r="H1436" s="2">
        <v>0.99</v>
      </c>
      <c r="I1436" s="3"/>
      <c r="J1436" s="3"/>
      <c r="K1436" s="3"/>
      <c r="L1436" s="3"/>
      <c r="M1436" s="3"/>
      <c r="N1436" s="3">
        <v>0</v>
      </c>
      <c r="O1436" s="3"/>
      <c r="P1436" s="3">
        <v>0</v>
      </c>
      <c r="Q1436" s="3">
        <v>0</v>
      </c>
      <c r="R1436" s="3">
        <v>0</v>
      </c>
      <c r="S1436" s="3">
        <v>0</v>
      </c>
      <c r="T1436" s="3">
        <v>0</v>
      </c>
      <c r="U1436" s="3"/>
      <c r="V1436" s="3"/>
      <c r="W1436" s="3"/>
      <c r="X1436" s="3"/>
      <c r="Y1436" s="3"/>
      <c r="Z1436" s="3"/>
      <c r="AA1436" s="3"/>
      <c r="AB1436" s="3"/>
      <c r="AC1436" s="3"/>
      <c r="AD1436" s="3"/>
      <c r="AE1436" s="3">
        <v>0</v>
      </c>
      <c r="AF1436" s="3">
        <v>0</v>
      </c>
      <c r="AG1436" s="3"/>
      <c r="AH1436" s="40"/>
      <c r="AI1436" s="40"/>
      <c r="AJ1436" s="40"/>
      <c r="AK1436" s="40"/>
      <c r="AL1436" s="40"/>
      <c r="AM1436" s="40"/>
      <c r="AN1436" s="40"/>
      <c r="AO1436" s="40"/>
      <c r="AP1436" s="40"/>
      <c r="AQ1436" s="40"/>
      <c r="AR1436" s="31"/>
      <c r="AS1436" s="36">
        <v>0</v>
      </c>
      <c r="AY1436" s="6"/>
      <c r="AZ1436" s="2"/>
      <c r="BA1436" s="2"/>
      <c r="BB1436" s="2"/>
      <c r="BC1436">
        <v>71500</v>
      </c>
      <c r="BD1436">
        <v>56992</v>
      </c>
    </row>
    <row r="1437" spans="3:56" x14ac:dyDescent="0.25">
      <c r="C1437" s="1">
        <v>47057</v>
      </c>
      <c r="D1437" s="36">
        <v>267120.30967741902</v>
      </c>
      <c r="E1437" s="33">
        <v>4.4903225806451603</v>
      </c>
      <c r="F1437" s="33">
        <v>3.6296774193548398</v>
      </c>
      <c r="G1437" s="2">
        <v>0.80833333333333302</v>
      </c>
      <c r="H1437" s="2">
        <v>0.99</v>
      </c>
      <c r="I1437" s="3"/>
      <c r="J1437" s="3"/>
      <c r="K1437" s="3"/>
      <c r="L1437" s="3"/>
      <c r="M1437" s="3"/>
      <c r="N1437" s="3">
        <v>0</v>
      </c>
      <c r="O1437" s="3"/>
      <c r="P1437" s="3">
        <v>0</v>
      </c>
      <c r="Q1437" s="3">
        <v>0</v>
      </c>
      <c r="R1437" s="3">
        <v>0</v>
      </c>
      <c r="S1437" s="3">
        <v>0</v>
      </c>
      <c r="T1437" s="3">
        <v>0</v>
      </c>
      <c r="U1437" s="3"/>
      <c r="V1437" s="3"/>
      <c r="W1437" s="3"/>
      <c r="X1437" s="3"/>
      <c r="Y1437" s="3"/>
      <c r="Z1437" s="3"/>
      <c r="AA1437" s="3"/>
      <c r="AB1437" s="3"/>
      <c r="AC1437" s="3"/>
      <c r="AD1437" s="3"/>
      <c r="AE1437" s="3">
        <v>0</v>
      </c>
      <c r="AF1437" s="3">
        <v>0</v>
      </c>
      <c r="AG1437" s="3"/>
      <c r="AH1437" s="40"/>
      <c r="AI1437" s="40"/>
      <c r="AJ1437" s="40"/>
      <c r="AK1437" s="40"/>
      <c r="AL1437" s="40"/>
      <c r="AM1437" s="40"/>
      <c r="AN1437" s="40"/>
      <c r="AO1437" s="40"/>
      <c r="AP1437" s="40"/>
      <c r="AQ1437" s="40"/>
      <c r="AR1437" s="31"/>
      <c r="AS1437" s="36">
        <v>0</v>
      </c>
      <c r="AY1437" s="6"/>
      <c r="AZ1437" s="2"/>
      <c r="BA1437" s="2"/>
      <c r="BB1437" s="2"/>
      <c r="BC1437">
        <v>71500</v>
      </c>
      <c r="BD1437">
        <v>56992</v>
      </c>
    </row>
    <row r="1438" spans="3:56" x14ac:dyDescent="0.25">
      <c r="C1438" s="1">
        <v>47058</v>
      </c>
      <c r="D1438" s="36">
        <v>247960.808333333</v>
      </c>
      <c r="E1438" s="33">
        <v>4.18333333333333</v>
      </c>
      <c r="F1438" s="33">
        <v>3.3815277777777801</v>
      </c>
      <c r="G1438" s="2">
        <v>0.80833333333333302</v>
      </c>
      <c r="H1438" s="2">
        <v>0.99</v>
      </c>
      <c r="I1438" s="3"/>
      <c r="J1438" s="3"/>
      <c r="K1438" s="3"/>
      <c r="L1438" s="3"/>
      <c r="M1438" s="3"/>
      <c r="N1438" s="3">
        <v>0</v>
      </c>
      <c r="O1438" s="3"/>
      <c r="P1438" s="3">
        <v>0</v>
      </c>
      <c r="Q1438" s="3">
        <v>0</v>
      </c>
      <c r="R1438" s="3">
        <v>0</v>
      </c>
      <c r="S1438" s="3">
        <v>0</v>
      </c>
      <c r="T1438" s="3">
        <v>0</v>
      </c>
      <c r="U1438" s="3"/>
      <c r="V1438" s="3"/>
      <c r="W1438" s="3"/>
      <c r="X1438" s="3"/>
      <c r="Y1438" s="3"/>
      <c r="Z1438" s="3"/>
      <c r="AA1438" s="3"/>
      <c r="AB1438" s="3"/>
      <c r="AC1438" s="3"/>
      <c r="AD1438" s="3"/>
      <c r="AE1438" s="3">
        <v>0</v>
      </c>
      <c r="AF1438" s="3">
        <v>0</v>
      </c>
      <c r="AG1438" s="3"/>
      <c r="AH1438" s="40"/>
      <c r="AI1438" s="40"/>
      <c r="AJ1438" s="40"/>
      <c r="AK1438" s="40"/>
      <c r="AL1438" s="40"/>
      <c r="AM1438" s="40"/>
      <c r="AN1438" s="40"/>
      <c r="AO1438" s="40"/>
      <c r="AP1438" s="40"/>
      <c r="AQ1438" s="40"/>
      <c r="AR1438" s="31"/>
      <c r="AS1438" s="36">
        <v>0</v>
      </c>
      <c r="AY1438" s="6"/>
      <c r="AZ1438" s="2"/>
      <c r="BA1438" s="2"/>
      <c r="BB1438" s="2"/>
      <c r="BC1438">
        <v>71500</v>
      </c>
      <c r="BD1438">
        <v>56992</v>
      </c>
    </row>
    <row r="1439" spans="3:56" x14ac:dyDescent="0.25">
      <c r="C1439" s="1">
        <v>47059</v>
      </c>
      <c r="D1439" s="36">
        <v>247960.808333333</v>
      </c>
      <c r="E1439" s="33">
        <v>4.18333333333333</v>
      </c>
      <c r="F1439" s="33">
        <v>3.3814812962962999</v>
      </c>
      <c r="G1439" s="2">
        <v>0.80832222222222205</v>
      </c>
      <c r="H1439" s="2">
        <v>0.99</v>
      </c>
      <c r="I1439" s="3"/>
      <c r="J1439" s="3"/>
      <c r="K1439" s="3"/>
      <c r="L1439" s="3"/>
      <c r="M1439" s="3"/>
      <c r="N1439" s="3">
        <v>0</v>
      </c>
      <c r="O1439" s="3"/>
      <c r="P1439" s="3">
        <v>0</v>
      </c>
      <c r="Q1439" s="3">
        <v>0</v>
      </c>
      <c r="R1439" s="3">
        <v>0</v>
      </c>
      <c r="S1439" s="3">
        <v>0</v>
      </c>
      <c r="T1439" s="3">
        <v>0</v>
      </c>
      <c r="U1439" s="3"/>
      <c r="V1439" s="3"/>
      <c r="W1439" s="3"/>
      <c r="X1439" s="3"/>
      <c r="Y1439" s="3"/>
      <c r="Z1439" s="3"/>
      <c r="AA1439" s="3"/>
      <c r="AB1439" s="3"/>
      <c r="AC1439" s="3"/>
      <c r="AD1439" s="3"/>
      <c r="AE1439" s="3">
        <v>0</v>
      </c>
      <c r="AF1439" s="3">
        <v>0</v>
      </c>
      <c r="AG1439" s="3"/>
      <c r="AH1439" s="40"/>
      <c r="AI1439" s="40"/>
      <c r="AJ1439" s="40"/>
      <c r="AK1439" s="40"/>
      <c r="AL1439" s="40"/>
      <c r="AM1439" s="40"/>
      <c r="AN1439" s="40"/>
      <c r="AO1439" s="40"/>
      <c r="AP1439" s="40"/>
      <c r="AQ1439" s="40"/>
      <c r="AR1439" s="31"/>
      <c r="AS1439" s="36">
        <v>0</v>
      </c>
      <c r="AY1439" s="6"/>
      <c r="AZ1439" s="2"/>
      <c r="BA1439" s="2"/>
      <c r="BB1439" s="2"/>
      <c r="BC1439">
        <v>71500</v>
      </c>
      <c r="BD1439">
        <v>56992</v>
      </c>
    </row>
    <row r="1440" spans="3:56" x14ac:dyDescent="0.25">
      <c r="C1440" s="1">
        <v>47060</v>
      </c>
      <c r="D1440" s="36">
        <v>247960.808333333</v>
      </c>
      <c r="E1440" s="33">
        <v>4.18333333333333</v>
      </c>
      <c r="F1440" s="33">
        <v>3.3814348148148099</v>
      </c>
      <c r="G1440" s="2">
        <v>0.80831111111111098</v>
      </c>
      <c r="H1440" s="2">
        <v>0.99</v>
      </c>
      <c r="I1440" s="3"/>
      <c r="J1440" s="3"/>
      <c r="K1440" s="3"/>
      <c r="L1440" s="3"/>
      <c r="M1440" s="3"/>
      <c r="N1440" s="3">
        <v>0</v>
      </c>
      <c r="O1440" s="3"/>
      <c r="P1440" s="3">
        <v>0</v>
      </c>
      <c r="Q1440" s="3">
        <v>0</v>
      </c>
      <c r="R1440" s="3">
        <v>0</v>
      </c>
      <c r="S1440" s="3">
        <v>0</v>
      </c>
      <c r="T1440" s="3">
        <v>0</v>
      </c>
      <c r="U1440" s="3"/>
      <c r="V1440" s="3"/>
      <c r="W1440" s="3"/>
      <c r="X1440" s="3"/>
      <c r="Y1440" s="3"/>
      <c r="Z1440" s="3"/>
      <c r="AA1440" s="3"/>
      <c r="AB1440" s="3"/>
      <c r="AC1440" s="3"/>
      <c r="AD1440" s="3"/>
      <c r="AE1440" s="3">
        <v>0</v>
      </c>
      <c r="AF1440" s="3">
        <v>0</v>
      </c>
      <c r="AG1440" s="3"/>
      <c r="AH1440" s="40"/>
      <c r="AI1440" s="40"/>
      <c r="AJ1440" s="40"/>
      <c r="AK1440" s="40"/>
      <c r="AL1440" s="40"/>
      <c r="AM1440" s="40"/>
      <c r="AN1440" s="40"/>
      <c r="AO1440" s="40"/>
      <c r="AP1440" s="40"/>
      <c r="AQ1440" s="40"/>
      <c r="AR1440" s="31"/>
      <c r="AS1440" s="36">
        <v>0</v>
      </c>
      <c r="AY1440" s="6"/>
      <c r="AZ1440" s="2"/>
      <c r="BA1440" s="2"/>
      <c r="BB1440" s="2"/>
      <c r="BC1440">
        <v>71500</v>
      </c>
      <c r="BD1440">
        <v>56992</v>
      </c>
    </row>
    <row r="1441" spans="3:56" x14ac:dyDescent="0.25">
      <c r="C1441" s="1">
        <v>47061</v>
      </c>
      <c r="D1441" s="36">
        <v>247960.808333333</v>
      </c>
      <c r="E1441" s="33">
        <v>4.18333333333333</v>
      </c>
      <c r="F1441" s="33">
        <v>3.3813883333333301</v>
      </c>
      <c r="G1441" s="2">
        <v>0.80830000000000002</v>
      </c>
      <c r="H1441" s="2">
        <v>0.99</v>
      </c>
      <c r="I1441" s="3"/>
      <c r="J1441" s="3"/>
      <c r="K1441" s="3"/>
      <c r="L1441" s="3"/>
      <c r="M1441" s="3"/>
      <c r="N1441" s="3">
        <v>0</v>
      </c>
      <c r="O1441" s="3"/>
      <c r="P1441" s="3">
        <v>0</v>
      </c>
      <c r="Q1441" s="3">
        <v>0</v>
      </c>
      <c r="R1441" s="3">
        <v>0</v>
      </c>
      <c r="S1441" s="3">
        <v>0</v>
      </c>
      <c r="T1441" s="3">
        <v>0</v>
      </c>
      <c r="U1441" s="3"/>
      <c r="V1441" s="3"/>
      <c r="W1441" s="3"/>
      <c r="X1441" s="3"/>
      <c r="Y1441" s="3"/>
      <c r="Z1441" s="3"/>
      <c r="AA1441" s="3"/>
      <c r="AB1441" s="3"/>
      <c r="AC1441" s="3"/>
      <c r="AD1441" s="3"/>
      <c r="AE1441" s="3">
        <v>0</v>
      </c>
      <c r="AF1441" s="3">
        <v>0</v>
      </c>
      <c r="AG1441" s="3"/>
      <c r="AH1441" s="40"/>
      <c r="AI1441" s="40"/>
      <c r="AJ1441" s="40"/>
      <c r="AK1441" s="40"/>
      <c r="AL1441" s="40"/>
      <c r="AM1441" s="40"/>
      <c r="AN1441" s="40"/>
      <c r="AO1441" s="40"/>
      <c r="AP1441" s="40"/>
      <c r="AQ1441" s="40"/>
      <c r="AR1441" s="31"/>
      <c r="AS1441" s="36">
        <v>0</v>
      </c>
      <c r="AY1441" s="6"/>
      <c r="AZ1441" s="2"/>
      <c r="BA1441" s="2"/>
      <c r="BB1441" s="2"/>
      <c r="BC1441">
        <v>71500</v>
      </c>
      <c r="BD1441">
        <v>56992</v>
      </c>
    </row>
    <row r="1442" spans="3:56" x14ac:dyDescent="0.25">
      <c r="C1442" s="1">
        <v>47062</v>
      </c>
      <c r="D1442" s="36">
        <v>247960.808333333</v>
      </c>
      <c r="E1442" s="33">
        <v>4.18333333333333</v>
      </c>
      <c r="F1442" s="33">
        <v>3.3813418518518499</v>
      </c>
      <c r="G1442" s="2">
        <v>0.80828888888888895</v>
      </c>
      <c r="H1442" s="2">
        <v>0.99</v>
      </c>
      <c r="I1442" s="3"/>
      <c r="J1442" s="3"/>
      <c r="K1442" s="3"/>
      <c r="L1442" s="3"/>
      <c r="M1442" s="3"/>
      <c r="N1442" s="3">
        <v>0</v>
      </c>
      <c r="O1442" s="3"/>
      <c r="P1442" s="3">
        <v>0</v>
      </c>
      <c r="Q1442" s="3">
        <v>0</v>
      </c>
      <c r="R1442" s="3">
        <v>0</v>
      </c>
      <c r="S1442" s="3">
        <v>0</v>
      </c>
      <c r="T1442" s="3">
        <v>0</v>
      </c>
      <c r="U1442" s="3"/>
      <c r="V1442" s="3"/>
      <c r="W1442" s="3"/>
      <c r="X1442" s="3"/>
      <c r="Y1442" s="3"/>
      <c r="Z1442" s="3"/>
      <c r="AA1442" s="3"/>
      <c r="AB1442" s="3"/>
      <c r="AC1442" s="3"/>
      <c r="AD1442" s="3"/>
      <c r="AE1442" s="3">
        <v>0</v>
      </c>
      <c r="AF1442" s="3">
        <v>0</v>
      </c>
      <c r="AG1442" s="3"/>
      <c r="AH1442" s="40"/>
      <c r="AI1442" s="40"/>
      <c r="AJ1442" s="40"/>
      <c r="AK1442" s="40"/>
      <c r="AL1442" s="40"/>
      <c r="AM1442" s="40"/>
      <c r="AN1442" s="40"/>
      <c r="AO1442" s="40"/>
      <c r="AP1442" s="40"/>
      <c r="AQ1442" s="40"/>
      <c r="AR1442" s="31"/>
      <c r="AS1442" s="36">
        <v>0</v>
      </c>
      <c r="AY1442" s="6"/>
      <c r="AZ1442" s="2"/>
      <c r="BA1442" s="2"/>
      <c r="BB1442" s="2"/>
      <c r="BC1442">
        <v>71500</v>
      </c>
      <c r="BD1442">
        <v>56992</v>
      </c>
    </row>
    <row r="1443" spans="3:56" x14ac:dyDescent="0.25">
      <c r="C1443" s="1">
        <v>47063</v>
      </c>
      <c r="D1443" s="36">
        <v>247960.808333333</v>
      </c>
      <c r="E1443" s="33">
        <v>4.18333333333333</v>
      </c>
      <c r="F1443" s="33">
        <v>3.3812953703703701</v>
      </c>
      <c r="G1443" s="2">
        <v>0.80827777777777798</v>
      </c>
      <c r="H1443" s="2">
        <v>0.99</v>
      </c>
      <c r="I1443" s="3"/>
      <c r="J1443" s="3"/>
      <c r="K1443" s="3"/>
      <c r="L1443" s="3"/>
      <c r="M1443" s="3"/>
      <c r="N1443" s="3">
        <v>0</v>
      </c>
      <c r="O1443" s="3"/>
      <c r="P1443" s="3">
        <v>0</v>
      </c>
      <c r="Q1443" s="3">
        <v>0</v>
      </c>
      <c r="R1443" s="3">
        <v>0</v>
      </c>
      <c r="S1443" s="3">
        <v>0</v>
      </c>
      <c r="T1443" s="3">
        <v>0</v>
      </c>
      <c r="U1443" s="3"/>
      <c r="V1443" s="3"/>
      <c r="W1443" s="3"/>
      <c r="X1443" s="3"/>
      <c r="Y1443" s="3"/>
      <c r="Z1443" s="3"/>
      <c r="AA1443" s="3"/>
      <c r="AB1443" s="3"/>
      <c r="AC1443" s="3"/>
      <c r="AD1443" s="3"/>
      <c r="AE1443" s="3">
        <v>0</v>
      </c>
      <c r="AF1443" s="3">
        <v>0</v>
      </c>
      <c r="AG1443" s="3"/>
      <c r="AH1443" s="40"/>
      <c r="AI1443" s="40"/>
      <c r="AJ1443" s="40"/>
      <c r="AK1443" s="40"/>
      <c r="AL1443" s="40"/>
      <c r="AM1443" s="40"/>
      <c r="AN1443" s="40"/>
      <c r="AO1443" s="40"/>
      <c r="AP1443" s="40"/>
      <c r="AQ1443" s="40"/>
      <c r="AR1443" s="31"/>
      <c r="AS1443" s="36">
        <v>0</v>
      </c>
      <c r="AY1443" s="6"/>
      <c r="AZ1443" s="2"/>
      <c r="BA1443" s="2"/>
      <c r="BB1443" s="2"/>
      <c r="BC1443">
        <v>71500</v>
      </c>
      <c r="BD1443">
        <v>56992</v>
      </c>
    </row>
    <row r="1444" spans="3:56" x14ac:dyDescent="0.25">
      <c r="C1444" s="1">
        <v>47064</v>
      </c>
      <c r="D1444" s="36">
        <v>247960.808333333</v>
      </c>
      <c r="E1444" s="33">
        <v>4.18333333333333</v>
      </c>
      <c r="F1444" s="33">
        <v>3.3812488888888899</v>
      </c>
      <c r="G1444" s="2">
        <v>0.80826666666666702</v>
      </c>
      <c r="H1444" s="2">
        <v>0.99</v>
      </c>
      <c r="I1444" s="3"/>
      <c r="J1444" s="3"/>
      <c r="K1444" s="3"/>
      <c r="L1444" s="3"/>
      <c r="M1444" s="3"/>
      <c r="N1444" s="3">
        <v>0</v>
      </c>
      <c r="O1444" s="3"/>
      <c r="P1444" s="3">
        <v>0</v>
      </c>
      <c r="Q1444" s="3">
        <v>0</v>
      </c>
      <c r="R1444" s="3">
        <v>0</v>
      </c>
      <c r="S1444" s="3">
        <v>0</v>
      </c>
      <c r="T1444" s="3">
        <v>0</v>
      </c>
      <c r="U1444" s="3"/>
      <c r="V1444" s="3"/>
      <c r="W1444" s="3"/>
      <c r="X1444" s="3"/>
      <c r="Y1444" s="3"/>
      <c r="Z1444" s="3"/>
      <c r="AA1444" s="3"/>
      <c r="AB1444" s="3"/>
      <c r="AC1444" s="3"/>
      <c r="AD1444" s="3"/>
      <c r="AE1444" s="3">
        <v>0</v>
      </c>
      <c r="AF1444" s="3">
        <v>0</v>
      </c>
      <c r="AG1444" s="3"/>
      <c r="AH1444" s="40"/>
      <c r="AI1444" s="40"/>
      <c r="AJ1444" s="40"/>
      <c r="AK1444" s="40"/>
      <c r="AL1444" s="40"/>
      <c r="AM1444" s="40"/>
      <c r="AN1444" s="40"/>
      <c r="AO1444" s="40"/>
      <c r="AP1444" s="40"/>
      <c r="AQ1444" s="40"/>
      <c r="AR1444" s="31"/>
      <c r="AS1444" s="36">
        <v>0</v>
      </c>
      <c r="AY1444" s="6"/>
      <c r="AZ1444" s="2"/>
      <c r="BA1444" s="2"/>
      <c r="BB1444" s="2"/>
      <c r="BC1444">
        <v>71500</v>
      </c>
      <c r="BD1444">
        <v>56992</v>
      </c>
    </row>
    <row r="1445" spans="3:56" x14ac:dyDescent="0.25">
      <c r="C1445" s="1">
        <v>47065</v>
      </c>
      <c r="D1445" s="36">
        <v>247960.808333333</v>
      </c>
      <c r="E1445" s="33">
        <v>4.18333333333333</v>
      </c>
      <c r="F1445" s="33">
        <v>3.3812024074074101</v>
      </c>
      <c r="G1445" s="2">
        <v>0.80825555555555595</v>
      </c>
      <c r="H1445" s="2">
        <v>0.99</v>
      </c>
      <c r="I1445" s="3"/>
      <c r="J1445" s="3"/>
      <c r="K1445" s="3"/>
      <c r="L1445" s="3"/>
      <c r="M1445" s="3"/>
      <c r="N1445" s="3">
        <v>0</v>
      </c>
      <c r="O1445" s="3"/>
      <c r="P1445" s="3">
        <v>0</v>
      </c>
      <c r="Q1445" s="3">
        <v>0</v>
      </c>
      <c r="R1445" s="3">
        <v>0</v>
      </c>
      <c r="S1445" s="3">
        <v>0</v>
      </c>
      <c r="T1445" s="3">
        <v>0</v>
      </c>
      <c r="U1445" s="3"/>
      <c r="V1445" s="3"/>
      <c r="W1445" s="3"/>
      <c r="X1445" s="3"/>
      <c r="Y1445" s="3"/>
      <c r="Z1445" s="3"/>
      <c r="AA1445" s="3"/>
      <c r="AB1445" s="3"/>
      <c r="AC1445" s="3"/>
      <c r="AD1445" s="3"/>
      <c r="AE1445" s="3">
        <v>0</v>
      </c>
      <c r="AF1445" s="3">
        <v>0</v>
      </c>
      <c r="AG1445" s="3"/>
      <c r="AH1445" s="40"/>
      <c r="AI1445" s="40"/>
      <c r="AJ1445" s="40"/>
      <c r="AK1445" s="40"/>
      <c r="AL1445" s="40"/>
      <c r="AM1445" s="40"/>
      <c r="AN1445" s="40"/>
      <c r="AO1445" s="40"/>
      <c r="AP1445" s="40"/>
      <c r="AQ1445" s="40"/>
      <c r="AR1445" s="31"/>
      <c r="AS1445" s="36">
        <v>0</v>
      </c>
      <c r="AY1445" s="6"/>
      <c r="AZ1445" s="2"/>
      <c r="BA1445" s="2"/>
      <c r="BB1445" s="2"/>
      <c r="BC1445">
        <v>71500</v>
      </c>
      <c r="BD1445">
        <v>56992</v>
      </c>
    </row>
    <row r="1446" spans="3:56" x14ac:dyDescent="0.25">
      <c r="C1446" s="1">
        <v>47066</v>
      </c>
      <c r="D1446" s="36">
        <v>247960.808333333</v>
      </c>
      <c r="E1446" s="33">
        <v>4.18333333333333</v>
      </c>
      <c r="F1446" s="33">
        <v>3.3811559259259298</v>
      </c>
      <c r="G1446" s="2">
        <v>0.80824444444444399</v>
      </c>
      <c r="H1446" s="2">
        <v>0.99</v>
      </c>
      <c r="I1446" s="3"/>
      <c r="J1446" s="3"/>
      <c r="K1446" s="3"/>
      <c r="L1446" s="3"/>
      <c r="M1446" s="3"/>
      <c r="N1446" s="3">
        <v>0</v>
      </c>
      <c r="O1446" s="3"/>
      <c r="P1446" s="3">
        <v>0</v>
      </c>
      <c r="Q1446" s="3">
        <v>0</v>
      </c>
      <c r="R1446" s="3">
        <v>0</v>
      </c>
      <c r="S1446" s="3">
        <v>0</v>
      </c>
      <c r="T1446" s="3">
        <v>0</v>
      </c>
      <c r="U1446" s="3"/>
      <c r="V1446" s="3"/>
      <c r="W1446" s="3"/>
      <c r="X1446" s="3"/>
      <c r="Y1446" s="3"/>
      <c r="Z1446" s="3"/>
      <c r="AA1446" s="3"/>
      <c r="AB1446" s="3"/>
      <c r="AC1446" s="3"/>
      <c r="AD1446" s="3"/>
      <c r="AE1446" s="3">
        <v>0</v>
      </c>
      <c r="AF1446" s="3">
        <v>0</v>
      </c>
      <c r="AG1446" s="3"/>
      <c r="AH1446" s="40"/>
      <c r="AI1446" s="40"/>
      <c r="AJ1446" s="40"/>
      <c r="AK1446" s="40"/>
      <c r="AL1446" s="40"/>
      <c r="AM1446" s="40"/>
      <c r="AN1446" s="40"/>
      <c r="AO1446" s="40"/>
      <c r="AP1446" s="40"/>
      <c r="AQ1446" s="40"/>
      <c r="AR1446" s="31"/>
      <c r="AS1446" s="36">
        <v>0</v>
      </c>
      <c r="AY1446" s="6"/>
      <c r="AZ1446" s="2"/>
      <c r="BA1446" s="2"/>
      <c r="BB1446" s="2"/>
      <c r="BC1446">
        <v>71500</v>
      </c>
      <c r="BD1446">
        <v>56992</v>
      </c>
    </row>
    <row r="1447" spans="3:56" x14ac:dyDescent="0.25">
      <c r="C1447" s="1">
        <v>47067</v>
      </c>
      <c r="D1447" s="36">
        <v>247960.808333333</v>
      </c>
      <c r="E1447" s="33">
        <v>4.18333333333333</v>
      </c>
      <c r="F1447" s="33">
        <v>3.3811094444444398</v>
      </c>
      <c r="G1447" s="2">
        <v>0.80823333333333303</v>
      </c>
      <c r="H1447" s="2">
        <v>0.99</v>
      </c>
      <c r="I1447" s="3"/>
      <c r="J1447" s="3"/>
      <c r="K1447" s="3"/>
      <c r="L1447" s="3"/>
      <c r="M1447" s="3"/>
      <c r="N1447" s="3">
        <v>0</v>
      </c>
      <c r="O1447" s="3"/>
      <c r="P1447" s="3">
        <v>0</v>
      </c>
      <c r="Q1447" s="3">
        <v>0</v>
      </c>
      <c r="R1447" s="3">
        <v>0</v>
      </c>
      <c r="S1447" s="3">
        <v>0</v>
      </c>
      <c r="T1447" s="3">
        <v>0</v>
      </c>
      <c r="U1447" s="3"/>
      <c r="V1447" s="3"/>
      <c r="W1447" s="3"/>
      <c r="X1447" s="3"/>
      <c r="Y1447" s="3"/>
      <c r="Z1447" s="3"/>
      <c r="AA1447" s="3"/>
      <c r="AB1447" s="3"/>
      <c r="AC1447" s="3"/>
      <c r="AD1447" s="3"/>
      <c r="AE1447" s="3">
        <v>0</v>
      </c>
      <c r="AF1447" s="3">
        <v>0</v>
      </c>
      <c r="AG1447" s="3"/>
      <c r="AH1447" s="40"/>
      <c r="AI1447" s="40"/>
      <c r="AJ1447" s="40"/>
      <c r="AK1447" s="40"/>
      <c r="AL1447" s="40"/>
      <c r="AM1447" s="40"/>
      <c r="AN1447" s="40"/>
      <c r="AO1447" s="40"/>
      <c r="AP1447" s="40"/>
      <c r="AQ1447" s="40"/>
      <c r="AR1447" s="31"/>
      <c r="AS1447" s="36">
        <v>0</v>
      </c>
      <c r="AY1447" s="6"/>
      <c r="AZ1447" s="2"/>
      <c r="BA1447" s="2"/>
      <c r="BB1447" s="2"/>
      <c r="BC1447">
        <v>71500</v>
      </c>
      <c r="BD1447">
        <v>56992</v>
      </c>
    </row>
    <row r="1448" spans="3:56" x14ac:dyDescent="0.25">
      <c r="C1448" s="1">
        <v>47068</v>
      </c>
      <c r="D1448" s="36">
        <v>247960.808333333</v>
      </c>
      <c r="E1448" s="33">
        <v>4.18333333333333</v>
      </c>
      <c r="F1448" s="33">
        <v>3.3810629629629601</v>
      </c>
      <c r="G1448" s="2">
        <v>0.80822222222222195</v>
      </c>
      <c r="H1448" s="2">
        <v>0.99</v>
      </c>
      <c r="I1448" s="3"/>
      <c r="J1448" s="3"/>
      <c r="K1448" s="3"/>
      <c r="L1448" s="3"/>
      <c r="M1448" s="3"/>
      <c r="N1448" s="3">
        <v>0</v>
      </c>
      <c r="O1448" s="3"/>
      <c r="P1448" s="3">
        <v>0</v>
      </c>
      <c r="Q1448" s="3">
        <v>0</v>
      </c>
      <c r="R1448" s="3">
        <v>0</v>
      </c>
      <c r="S1448" s="3">
        <v>0</v>
      </c>
      <c r="T1448" s="3">
        <v>0</v>
      </c>
      <c r="U1448" s="3"/>
      <c r="V1448" s="3"/>
      <c r="W1448" s="3"/>
      <c r="X1448" s="3"/>
      <c r="Y1448" s="3"/>
      <c r="Z1448" s="3"/>
      <c r="AA1448" s="3"/>
      <c r="AB1448" s="3"/>
      <c r="AC1448" s="3"/>
      <c r="AD1448" s="3"/>
      <c r="AE1448" s="3">
        <v>0</v>
      </c>
      <c r="AF1448" s="3">
        <v>0</v>
      </c>
      <c r="AG1448" s="3"/>
      <c r="AH1448" s="40"/>
      <c r="AI1448" s="40"/>
      <c r="AJ1448" s="40"/>
      <c r="AK1448" s="40"/>
      <c r="AL1448" s="40"/>
      <c r="AM1448" s="40"/>
      <c r="AN1448" s="40"/>
      <c r="AO1448" s="40"/>
      <c r="AP1448" s="40"/>
      <c r="AQ1448" s="40"/>
      <c r="AR1448" s="31"/>
      <c r="AS1448" s="36">
        <v>0</v>
      </c>
      <c r="AY1448" s="6"/>
      <c r="AZ1448" s="2"/>
      <c r="BA1448" s="2"/>
      <c r="BB1448" s="2"/>
      <c r="BC1448">
        <v>71500</v>
      </c>
      <c r="BD1448">
        <v>56992</v>
      </c>
    </row>
    <row r="1449" spans="3:56" x14ac:dyDescent="0.25">
      <c r="C1449" s="1">
        <v>47069</v>
      </c>
      <c r="D1449" s="36">
        <v>247960.808333333</v>
      </c>
      <c r="E1449" s="33">
        <v>4.18333333333333</v>
      </c>
      <c r="F1449" s="33">
        <v>3.3810164814814798</v>
      </c>
      <c r="G1449" s="2">
        <v>0.80821111111111099</v>
      </c>
      <c r="H1449" s="2">
        <v>0.99</v>
      </c>
      <c r="I1449" s="3"/>
      <c r="J1449" s="3"/>
      <c r="K1449" s="3"/>
      <c r="L1449" s="3"/>
      <c r="M1449" s="3"/>
      <c r="N1449" s="3">
        <v>0</v>
      </c>
      <c r="O1449" s="3"/>
      <c r="P1449" s="3">
        <v>0</v>
      </c>
      <c r="Q1449" s="3">
        <v>0</v>
      </c>
      <c r="R1449" s="3">
        <v>0</v>
      </c>
      <c r="S1449" s="3">
        <v>0</v>
      </c>
      <c r="T1449" s="3">
        <v>0</v>
      </c>
      <c r="U1449" s="3"/>
      <c r="V1449" s="3"/>
      <c r="W1449" s="3"/>
      <c r="X1449" s="3"/>
      <c r="Y1449" s="3"/>
      <c r="Z1449" s="3"/>
      <c r="AA1449" s="3"/>
      <c r="AB1449" s="3"/>
      <c r="AC1449" s="3"/>
      <c r="AD1449" s="3"/>
      <c r="AE1449" s="3">
        <v>0</v>
      </c>
      <c r="AF1449" s="3">
        <v>0</v>
      </c>
      <c r="AG1449" s="3"/>
      <c r="AH1449" s="40"/>
      <c r="AI1449" s="40"/>
      <c r="AJ1449" s="40"/>
      <c r="AK1449" s="40"/>
      <c r="AL1449" s="40"/>
      <c r="AM1449" s="40"/>
      <c r="AN1449" s="40"/>
      <c r="AO1449" s="40"/>
      <c r="AP1449" s="40"/>
      <c r="AQ1449" s="40"/>
      <c r="AR1449" s="31"/>
      <c r="AS1449" s="36">
        <v>0</v>
      </c>
      <c r="AY1449" s="6"/>
      <c r="AZ1449" s="2"/>
      <c r="BA1449" s="2"/>
      <c r="BB1449" s="2"/>
      <c r="BC1449">
        <v>71500</v>
      </c>
      <c r="BD1449">
        <v>56992</v>
      </c>
    </row>
    <row r="1450" spans="3:56" x14ac:dyDescent="0.25">
      <c r="C1450" s="1">
        <v>47070</v>
      </c>
      <c r="D1450" s="36">
        <v>247960.808333333</v>
      </c>
      <c r="E1450" s="33">
        <v>4.18333333333333</v>
      </c>
      <c r="F1450" s="33">
        <v>3.38097</v>
      </c>
      <c r="G1450" s="2">
        <v>0.80820000000000003</v>
      </c>
      <c r="H1450" s="2">
        <v>0.99</v>
      </c>
      <c r="I1450" s="3"/>
      <c r="J1450" s="3"/>
      <c r="K1450" s="3"/>
      <c r="L1450" s="3"/>
      <c r="M1450" s="3"/>
      <c r="N1450" s="3">
        <v>0</v>
      </c>
      <c r="O1450" s="3"/>
      <c r="P1450" s="3">
        <v>0</v>
      </c>
      <c r="Q1450" s="3">
        <v>0</v>
      </c>
      <c r="R1450" s="3">
        <v>0</v>
      </c>
      <c r="S1450" s="3">
        <v>0</v>
      </c>
      <c r="T1450" s="3">
        <v>0</v>
      </c>
      <c r="U1450" s="3"/>
      <c r="V1450" s="3"/>
      <c r="W1450" s="3"/>
      <c r="X1450" s="3"/>
      <c r="Y1450" s="3"/>
      <c r="Z1450" s="3"/>
      <c r="AA1450" s="3"/>
      <c r="AB1450" s="3"/>
      <c r="AC1450" s="3"/>
      <c r="AD1450" s="3"/>
      <c r="AE1450" s="3">
        <v>0</v>
      </c>
      <c r="AF1450" s="3">
        <v>0</v>
      </c>
      <c r="AG1450" s="3"/>
      <c r="AH1450" s="40"/>
      <c r="AI1450" s="40"/>
      <c r="AJ1450" s="40"/>
      <c r="AK1450" s="40"/>
      <c r="AL1450" s="40"/>
      <c r="AM1450" s="40"/>
      <c r="AN1450" s="40"/>
      <c r="AO1450" s="40"/>
      <c r="AP1450" s="40"/>
      <c r="AQ1450" s="40"/>
      <c r="AR1450" s="31"/>
      <c r="AS1450" s="36">
        <v>0</v>
      </c>
      <c r="AY1450" s="6"/>
      <c r="AZ1450" s="2"/>
      <c r="BA1450" s="2"/>
      <c r="BB1450" s="2"/>
      <c r="BC1450">
        <v>71500</v>
      </c>
      <c r="BD1450">
        <v>56992</v>
      </c>
    </row>
    <row r="1451" spans="3:56" x14ac:dyDescent="0.25">
      <c r="C1451" s="1">
        <v>47071</v>
      </c>
      <c r="D1451" s="36">
        <v>247960.808333333</v>
      </c>
      <c r="E1451" s="33">
        <v>4.18333333333333</v>
      </c>
      <c r="F1451" s="33">
        <v>3.3809235185185198</v>
      </c>
      <c r="G1451" s="2">
        <v>0.80818888888888896</v>
      </c>
      <c r="H1451" s="2">
        <v>0.99</v>
      </c>
      <c r="I1451" s="3"/>
      <c r="J1451" s="3"/>
      <c r="K1451" s="3"/>
      <c r="L1451" s="3"/>
      <c r="M1451" s="3"/>
      <c r="N1451" s="3">
        <v>0</v>
      </c>
      <c r="O1451" s="3"/>
      <c r="P1451" s="3">
        <v>0</v>
      </c>
      <c r="Q1451" s="3">
        <v>0</v>
      </c>
      <c r="R1451" s="3">
        <v>0</v>
      </c>
      <c r="S1451" s="3">
        <v>0</v>
      </c>
      <c r="T1451" s="3">
        <v>0</v>
      </c>
      <c r="U1451" s="3"/>
      <c r="V1451" s="3"/>
      <c r="W1451" s="3"/>
      <c r="X1451" s="3"/>
      <c r="Y1451" s="3"/>
      <c r="Z1451" s="3"/>
      <c r="AA1451" s="3"/>
      <c r="AB1451" s="3"/>
      <c r="AC1451" s="3"/>
      <c r="AD1451" s="3"/>
      <c r="AE1451" s="3">
        <v>0</v>
      </c>
      <c r="AF1451" s="3">
        <v>0</v>
      </c>
      <c r="AG1451" s="3"/>
      <c r="AH1451" s="40"/>
      <c r="AI1451" s="40"/>
      <c r="AJ1451" s="40"/>
      <c r="AK1451" s="40"/>
      <c r="AL1451" s="40"/>
      <c r="AM1451" s="40"/>
      <c r="AN1451" s="40"/>
      <c r="AO1451" s="40"/>
      <c r="AP1451" s="40"/>
      <c r="AQ1451" s="40"/>
      <c r="AR1451" s="31"/>
      <c r="AS1451" s="36">
        <v>0</v>
      </c>
      <c r="AY1451" s="6"/>
      <c r="AZ1451" s="2"/>
      <c r="BA1451" s="2"/>
      <c r="BB1451" s="2"/>
      <c r="BC1451">
        <v>71500</v>
      </c>
      <c r="BD1451">
        <v>56992</v>
      </c>
    </row>
    <row r="1452" spans="3:56" x14ac:dyDescent="0.25">
      <c r="C1452" s="1">
        <v>47072</v>
      </c>
      <c r="D1452" s="36">
        <v>247960.808333333</v>
      </c>
      <c r="E1452" s="33">
        <v>4.18333333333333</v>
      </c>
      <c r="F1452" s="33">
        <v>3.38087703703704</v>
      </c>
      <c r="G1452" s="2">
        <v>0.80817777777777799</v>
      </c>
      <c r="H1452" s="2">
        <v>0.99</v>
      </c>
      <c r="I1452" s="3"/>
      <c r="J1452" s="3"/>
      <c r="K1452" s="3"/>
      <c r="L1452" s="3"/>
      <c r="M1452" s="3"/>
      <c r="N1452" s="3">
        <v>0</v>
      </c>
      <c r="O1452" s="3"/>
      <c r="P1452" s="3">
        <v>0</v>
      </c>
      <c r="Q1452" s="3">
        <v>0</v>
      </c>
      <c r="R1452" s="3">
        <v>0</v>
      </c>
      <c r="S1452" s="3">
        <v>0</v>
      </c>
      <c r="T1452" s="3">
        <v>0</v>
      </c>
      <c r="U1452" s="3"/>
      <c r="V1452" s="3"/>
      <c r="W1452" s="3"/>
      <c r="X1452" s="3"/>
      <c r="Y1452" s="3"/>
      <c r="Z1452" s="3"/>
      <c r="AA1452" s="3"/>
      <c r="AB1452" s="3"/>
      <c r="AC1452" s="3"/>
      <c r="AD1452" s="3"/>
      <c r="AE1452" s="3">
        <v>0</v>
      </c>
      <c r="AF1452" s="3">
        <v>0</v>
      </c>
      <c r="AG1452" s="3"/>
      <c r="AH1452" s="40"/>
      <c r="AI1452" s="40"/>
      <c r="AJ1452" s="40"/>
      <c r="AK1452" s="40"/>
      <c r="AL1452" s="40"/>
      <c r="AM1452" s="40"/>
      <c r="AN1452" s="40"/>
      <c r="AO1452" s="40"/>
      <c r="AP1452" s="40"/>
      <c r="AQ1452" s="40"/>
      <c r="AR1452" s="31"/>
      <c r="AS1452" s="36">
        <v>0</v>
      </c>
      <c r="AY1452" s="6"/>
      <c r="AZ1452" s="2"/>
      <c r="BA1452" s="2"/>
      <c r="BB1452" s="2"/>
      <c r="BC1452">
        <v>71500</v>
      </c>
      <c r="BD1452">
        <v>56992</v>
      </c>
    </row>
    <row r="1453" spans="3:56" x14ac:dyDescent="0.25">
      <c r="C1453" s="1">
        <v>47073</v>
      </c>
      <c r="D1453" s="36">
        <v>247960.808333333</v>
      </c>
      <c r="E1453" s="33">
        <v>4.18333333333333</v>
      </c>
      <c r="F1453" s="33">
        <v>3.3808305555555598</v>
      </c>
      <c r="G1453" s="2">
        <v>0.80816666666666703</v>
      </c>
      <c r="H1453" s="2">
        <v>0.99</v>
      </c>
      <c r="I1453" s="3"/>
      <c r="J1453" s="3"/>
      <c r="K1453" s="3"/>
      <c r="L1453" s="3"/>
      <c r="M1453" s="3"/>
      <c r="N1453" s="3">
        <v>0</v>
      </c>
      <c r="O1453" s="3"/>
      <c r="P1453" s="3">
        <v>0</v>
      </c>
      <c r="Q1453" s="3">
        <v>0</v>
      </c>
      <c r="R1453" s="3">
        <v>0</v>
      </c>
      <c r="S1453" s="3">
        <v>0</v>
      </c>
      <c r="T1453" s="3">
        <v>0</v>
      </c>
      <c r="U1453" s="3"/>
      <c r="V1453" s="3"/>
      <c r="W1453" s="3"/>
      <c r="X1453" s="3"/>
      <c r="Y1453" s="3"/>
      <c r="Z1453" s="3"/>
      <c r="AA1453" s="3"/>
      <c r="AB1453" s="3"/>
      <c r="AC1453" s="3"/>
      <c r="AD1453" s="3"/>
      <c r="AE1453" s="3">
        <v>0</v>
      </c>
      <c r="AF1453" s="3">
        <v>0</v>
      </c>
      <c r="AG1453" s="3"/>
      <c r="AH1453" s="40"/>
      <c r="AI1453" s="40"/>
      <c r="AJ1453" s="40"/>
      <c r="AK1453" s="40"/>
      <c r="AL1453" s="40"/>
      <c r="AM1453" s="40"/>
      <c r="AN1453" s="40"/>
      <c r="AO1453" s="40"/>
      <c r="AP1453" s="40"/>
      <c r="AQ1453" s="40"/>
      <c r="AR1453" s="31"/>
      <c r="AS1453" s="36">
        <v>0</v>
      </c>
      <c r="AY1453" s="6"/>
      <c r="AZ1453" s="2"/>
      <c r="BA1453" s="2"/>
      <c r="BB1453" s="2"/>
      <c r="BC1453">
        <v>71500</v>
      </c>
      <c r="BD1453">
        <v>56992</v>
      </c>
    </row>
    <row r="1454" spans="3:56" x14ac:dyDescent="0.25">
      <c r="C1454" s="1">
        <v>47074</v>
      </c>
      <c r="D1454" s="36">
        <v>247960.808333333</v>
      </c>
      <c r="E1454" s="33">
        <v>4.18333333333333</v>
      </c>
      <c r="F1454" s="33">
        <v>3.3807840740740698</v>
      </c>
      <c r="G1454" s="2">
        <v>0.80815555555555596</v>
      </c>
      <c r="H1454" s="2">
        <v>0.99</v>
      </c>
      <c r="I1454" s="3"/>
      <c r="J1454" s="3"/>
      <c r="K1454" s="3"/>
      <c r="L1454" s="3"/>
      <c r="M1454" s="3"/>
      <c r="N1454" s="3">
        <v>0</v>
      </c>
      <c r="O1454" s="3"/>
      <c r="P1454" s="3">
        <v>0</v>
      </c>
      <c r="Q1454" s="3">
        <v>0</v>
      </c>
      <c r="R1454" s="3">
        <v>0</v>
      </c>
      <c r="S1454" s="3">
        <v>0</v>
      </c>
      <c r="T1454" s="3">
        <v>0</v>
      </c>
      <c r="U1454" s="3"/>
      <c r="V1454" s="3"/>
      <c r="W1454" s="3"/>
      <c r="X1454" s="3"/>
      <c r="Y1454" s="3"/>
      <c r="Z1454" s="3"/>
      <c r="AA1454" s="3"/>
      <c r="AB1454" s="3"/>
      <c r="AC1454" s="3"/>
      <c r="AD1454" s="3"/>
      <c r="AE1454" s="3">
        <v>0</v>
      </c>
      <c r="AF1454" s="3">
        <v>0</v>
      </c>
      <c r="AG1454" s="3"/>
      <c r="AH1454" s="40"/>
      <c r="AI1454" s="40"/>
      <c r="AJ1454" s="40"/>
      <c r="AK1454" s="40"/>
      <c r="AL1454" s="40"/>
      <c r="AM1454" s="40"/>
      <c r="AN1454" s="40"/>
      <c r="AO1454" s="40"/>
      <c r="AP1454" s="40"/>
      <c r="AQ1454" s="40"/>
      <c r="AR1454" s="31"/>
      <c r="AS1454" s="36">
        <v>0</v>
      </c>
      <c r="AY1454" s="6"/>
      <c r="AZ1454" s="2"/>
      <c r="BA1454" s="2"/>
      <c r="BB1454" s="2"/>
      <c r="BC1454">
        <v>71500</v>
      </c>
      <c r="BD1454">
        <v>56992</v>
      </c>
    </row>
    <row r="1455" spans="3:56" x14ac:dyDescent="0.25">
      <c r="C1455" s="1">
        <v>47075</v>
      </c>
      <c r="D1455" s="36">
        <v>247960.808333333</v>
      </c>
      <c r="E1455" s="33">
        <v>4.18333333333333</v>
      </c>
      <c r="F1455" s="33">
        <v>3.38073759259259</v>
      </c>
      <c r="G1455" s="2">
        <v>0.808144444444444</v>
      </c>
      <c r="H1455" s="2">
        <v>0.99</v>
      </c>
      <c r="I1455" s="3"/>
      <c r="J1455" s="3"/>
      <c r="K1455" s="3"/>
      <c r="L1455" s="3"/>
      <c r="M1455" s="3"/>
      <c r="N1455" s="3">
        <v>0</v>
      </c>
      <c r="O1455" s="3"/>
      <c r="P1455" s="3">
        <v>0</v>
      </c>
      <c r="Q1455" s="3">
        <v>0</v>
      </c>
      <c r="R1455" s="3">
        <v>0</v>
      </c>
      <c r="S1455" s="3">
        <v>0</v>
      </c>
      <c r="T1455" s="3">
        <v>0</v>
      </c>
      <c r="U1455" s="3"/>
      <c r="V1455" s="3"/>
      <c r="W1455" s="3"/>
      <c r="X1455" s="3"/>
      <c r="Y1455" s="3"/>
      <c r="Z1455" s="3"/>
      <c r="AA1455" s="3"/>
      <c r="AB1455" s="3"/>
      <c r="AC1455" s="3"/>
      <c r="AD1455" s="3"/>
      <c r="AE1455" s="3">
        <v>0</v>
      </c>
      <c r="AF1455" s="3">
        <v>0</v>
      </c>
      <c r="AG1455" s="3"/>
      <c r="AH1455" s="40"/>
      <c r="AI1455" s="40"/>
      <c r="AJ1455" s="40"/>
      <c r="AK1455" s="40"/>
      <c r="AL1455" s="40"/>
      <c r="AM1455" s="40"/>
      <c r="AN1455" s="40"/>
      <c r="AO1455" s="40"/>
      <c r="AP1455" s="40"/>
      <c r="AQ1455" s="40"/>
      <c r="AR1455" s="31"/>
      <c r="AS1455" s="36">
        <v>0</v>
      </c>
      <c r="AY1455" s="6"/>
      <c r="AZ1455" s="2"/>
      <c r="BA1455" s="2"/>
      <c r="BB1455" s="2"/>
      <c r="BC1455">
        <v>71500</v>
      </c>
      <c r="BD1455">
        <v>56992</v>
      </c>
    </row>
    <row r="1456" spans="3:56" x14ac:dyDescent="0.25">
      <c r="C1456" s="1">
        <v>47076</v>
      </c>
      <c r="D1456" s="36">
        <v>247960.808333333</v>
      </c>
      <c r="E1456" s="33">
        <v>4.18333333333333</v>
      </c>
      <c r="F1456" s="33">
        <v>3.3806911111111102</v>
      </c>
      <c r="G1456" s="2">
        <v>0.80813333333333304</v>
      </c>
      <c r="H1456" s="2">
        <v>0.99</v>
      </c>
      <c r="I1456" s="3"/>
      <c r="J1456" s="3"/>
      <c r="K1456" s="3"/>
      <c r="L1456" s="3"/>
      <c r="M1456" s="3"/>
      <c r="N1456" s="3">
        <v>0</v>
      </c>
      <c r="O1456" s="3"/>
      <c r="P1456" s="3">
        <v>0</v>
      </c>
      <c r="Q1456" s="3">
        <v>0</v>
      </c>
      <c r="R1456" s="3">
        <v>0</v>
      </c>
      <c r="S1456" s="3">
        <v>0</v>
      </c>
      <c r="T1456" s="3">
        <v>0</v>
      </c>
      <c r="U1456" s="3"/>
      <c r="V1456" s="3"/>
      <c r="W1456" s="3"/>
      <c r="X1456" s="3"/>
      <c r="Y1456" s="3"/>
      <c r="Z1456" s="3"/>
      <c r="AA1456" s="3"/>
      <c r="AB1456" s="3"/>
      <c r="AC1456" s="3"/>
      <c r="AD1456" s="3"/>
      <c r="AE1456" s="3">
        <v>0</v>
      </c>
      <c r="AF1456" s="3">
        <v>0</v>
      </c>
      <c r="AG1456" s="3"/>
      <c r="AH1456" s="40"/>
      <c r="AI1456" s="40"/>
      <c r="AJ1456" s="40"/>
      <c r="AK1456" s="40"/>
      <c r="AL1456" s="40"/>
      <c r="AM1456" s="40"/>
      <c r="AN1456" s="40"/>
      <c r="AO1456" s="40"/>
      <c r="AP1456" s="40"/>
      <c r="AQ1456" s="40"/>
      <c r="AR1456" s="31"/>
      <c r="AS1456" s="36">
        <v>0</v>
      </c>
      <c r="AY1456" s="6"/>
      <c r="AZ1456" s="2"/>
      <c r="BA1456" s="2"/>
      <c r="BB1456" s="2"/>
      <c r="BC1456">
        <v>71500</v>
      </c>
      <c r="BD1456">
        <v>56992</v>
      </c>
    </row>
    <row r="1457" spans="3:56" x14ac:dyDescent="0.25">
      <c r="C1457" s="1">
        <v>47077</v>
      </c>
      <c r="D1457" s="36">
        <v>247960.808333333</v>
      </c>
      <c r="E1457" s="33">
        <v>4.18333333333333</v>
      </c>
      <c r="F1457" s="33">
        <v>3.38064462962963</v>
      </c>
      <c r="G1457" s="2">
        <v>0.80812222222222196</v>
      </c>
      <c r="H1457" s="2">
        <v>0.99</v>
      </c>
      <c r="I1457" s="3"/>
      <c r="J1457" s="3"/>
      <c r="K1457" s="3"/>
      <c r="L1457" s="3"/>
      <c r="M1457" s="3"/>
      <c r="N1457" s="3">
        <v>0</v>
      </c>
      <c r="O1457" s="3"/>
      <c r="P1457" s="3">
        <v>0</v>
      </c>
      <c r="Q1457" s="3">
        <v>0</v>
      </c>
      <c r="R1457" s="3">
        <v>0</v>
      </c>
      <c r="S1457" s="3">
        <v>0</v>
      </c>
      <c r="T1457" s="3">
        <v>0</v>
      </c>
      <c r="U1457" s="3"/>
      <c r="V1457" s="3"/>
      <c r="W1457" s="3"/>
      <c r="X1457" s="3"/>
      <c r="Y1457" s="3"/>
      <c r="Z1457" s="3"/>
      <c r="AA1457" s="3"/>
      <c r="AB1457" s="3"/>
      <c r="AC1457" s="3"/>
      <c r="AD1457" s="3"/>
      <c r="AE1457" s="3">
        <v>0</v>
      </c>
      <c r="AF1457" s="3">
        <v>0</v>
      </c>
      <c r="AG1457" s="3"/>
      <c r="AH1457" s="40"/>
      <c r="AI1457" s="40"/>
      <c r="AJ1457" s="40"/>
      <c r="AK1457" s="40"/>
      <c r="AL1457" s="40"/>
      <c r="AM1457" s="40"/>
      <c r="AN1457" s="40"/>
      <c r="AO1457" s="40"/>
      <c r="AP1457" s="40"/>
      <c r="AQ1457" s="40"/>
      <c r="AR1457" s="31"/>
      <c r="AS1457" s="36">
        <v>0</v>
      </c>
      <c r="AY1457" s="6"/>
      <c r="AZ1457" s="2"/>
      <c r="BA1457" s="2"/>
      <c r="BB1457" s="2"/>
      <c r="BC1457">
        <v>71500</v>
      </c>
      <c r="BD1457">
        <v>56992</v>
      </c>
    </row>
    <row r="1458" spans="3:56" x14ac:dyDescent="0.25">
      <c r="C1458" s="1">
        <v>47078</v>
      </c>
      <c r="D1458" s="36">
        <v>247960.808333333</v>
      </c>
      <c r="E1458" s="33">
        <v>4.18333333333333</v>
      </c>
      <c r="F1458" s="33">
        <v>3.3805981481481502</v>
      </c>
      <c r="G1458" s="2">
        <v>0.808111111111111</v>
      </c>
      <c r="H1458" s="2">
        <v>0.99</v>
      </c>
      <c r="I1458" s="3"/>
      <c r="J1458" s="3"/>
      <c r="K1458" s="3"/>
      <c r="L1458" s="3"/>
      <c r="M1458" s="3"/>
      <c r="N1458" s="3">
        <v>0</v>
      </c>
      <c r="O1458" s="3"/>
      <c r="P1458" s="3">
        <v>0</v>
      </c>
      <c r="Q1458" s="3">
        <v>0</v>
      </c>
      <c r="R1458" s="3">
        <v>0</v>
      </c>
      <c r="S1458" s="3">
        <v>0</v>
      </c>
      <c r="T1458" s="3">
        <v>0</v>
      </c>
      <c r="U1458" s="3"/>
      <c r="V1458" s="3"/>
      <c r="W1458" s="3"/>
      <c r="X1458" s="3"/>
      <c r="Y1458" s="3"/>
      <c r="Z1458" s="3"/>
      <c r="AA1458" s="3"/>
      <c r="AB1458" s="3"/>
      <c r="AC1458" s="3"/>
      <c r="AD1458" s="3"/>
      <c r="AE1458" s="3">
        <v>0</v>
      </c>
      <c r="AF1458" s="3">
        <v>0</v>
      </c>
      <c r="AG1458" s="3"/>
      <c r="AH1458" s="40"/>
      <c r="AI1458" s="40"/>
      <c r="AJ1458" s="40"/>
      <c r="AK1458" s="40"/>
      <c r="AL1458" s="40"/>
      <c r="AM1458" s="40"/>
      <c r="AN1458" s="40"/>
      <c r="AO1458" s="40"/>
      <c r="AP1458" s="40"/>
      <c r="AQ1458" s="40"/>
      <c r="AR1458" s="31"/>
      <c r="AS1458" s="36">
        <v>0</v>
      </c>
      <c r="AY1458" s="6"/>
      <c r="AZ1458" s="2"/>
      <c r="BA1458" s="2"/>
      <c r="BB1458" s="2"/>
      <c r="BC1458">
        <v>71500</v>
      </c>
      <c r="BD1458">
        <v>56992</v>
      </c>
    </row>
    <row r="1459" spans="3:56" x14ac:dyDescent="0.25">
      <c r="C1459" s="1">
        <v>47079</v>
      </c>
      <c r="D1459" s="36">
        <v>247960.808333333</v>
      </c>
      <c r="E1459" s="33">
        <v>4.18333333333333</v>
      </c>
      <c r="F1459" s="33">
        <v>3.38055166666667</v>
      </c>
      <c r="G1459" s="2">
        <v>0.80810000000000004</v>
      </c>
      <c r="H1459" s="2">
        <v>0.99</v>
      </c>
      <c r="I1459" s="3"/>
      <c r="J1459" s="3"/>
      <c r="K1459" s="3"/>
      <c r="L1459" s="3"/>
      <c r="M1459" s="3"/>
      <c r="N1459" s="3">
        <v>0</v>
      </c>
      <c r="O1459" s="3"/>
      <c r="P1459" s="3">
        <v>0</v>
      </c>
      <c r="Q1459" s="3">
        <v>0</v>
      </c>
      <c r="R1459" s="3">
        <v>0</v>
      </c>
      <c r="S1459" s="3">
        <v>0</v>
      </c>
      <c r="T1459" s="3">
        <v>0</v>
      </c>
      <c r="U1459" s="3"/>
      <c r="V1459" s="3"/>
      <c r="W1459" s="3"/>
      <c r="X1459" s="3"/>
      <c r="Y1459" s="3"/>
      <c r="Z1459" s="3"/>
      <c r="AA1459" s="3"/>
      <c r="AB1459" s="3"/>
      <c r="AC1459" s="3"/>
      <c r="AD1459" s="3"/>
      <c r="AE1459" s="3">
        <v>0</v>
      </c>
      <c r="AF1459" s="3">
        <v>0</v>
      </c>
      <c r="AG1459" s="3"/>
      <c r="AH1459" s="40"/>
      <c r="AI1459" s="40"/>
      <c r="AJ1459" s="40"/>
      <c r="AK1459" s="40"/>
      <c r="AL1459" s="40"/>
      <c r="AM1459" s="40"/>
      <c r="AN1459" s="40"/>
      <c r="AO1459" s="40"/>
      <c r="AP1459" s="40"/>
      <c r="AQ1459" s="40"/>
      <c r="AR1459" s="31"/>
      <c r="AS1459" s="36">
        <v>0</v>
      </c>
      <c r="AY1459" s="6"/>
      <c r="AZ1459" s="2"/>
      <c r="BA1459" s="2"/>
      <c r="BB1459" s="2"/>
      <c r="BC1459">
        <v>71500</v>
      </c>
      <c r="BD1459">
        <v>56992</v>
      </c>
    </row>
    <row r="1460" spans="3:56" x14ac:dyDescent="0.25">
      <c r="C1460" s="1">
        <v>47080</v>
      </c>
      <c r="D1460" s="36">
        <v>247960.808333333</v>
      </c>
      <c r="E1460" s="33">
        <v>4.18333333333333</v>
      </c>
      <c r="F1460" s="33">
        <v>3.3805051851851902</v>
      </c>
      <c r="G1460" s="2">
        <v>0.80808888888888897</v>
      </c>
      <c r="H1460" s="2">
        <v>0.99</v>
      </c>
      <c r="I1460" s="3"/>
      <c r="J1460" s="3"/>
      <c r="K1460" s="3"/>
      <c r="L1460" s="3"/>
      <c r="M1460" s="3"/>
      <c r="N1460" s="3">
        <v>0</v>
      </c>
      <c r="O1460" s="3"/>
      <c r="P1460" s="3">
        <v>0</v>
      </c>
      <c r="Q1460" s="3">
        <v>0</v>
      </c>
      <c r="R1460" s="3">
        <v>0</v>
      </c>
      <c r="S1460" s="3">
        <v>0</v>
      </c>
      <c r="T1460" s="3">
        <v>0</v>
      </c>
      <c r="U1460" s="3"/>
      <c r="V1460" s="3"/>
      <c r="W1460" s="3"/>
      <c r="X1460" s="3"/>
      <c r="Y1460" s="3"/>
      <c r="Z1460" s="3"/>
      <c r="AA1460" s="3"/>
      <c r="AB1460" s="3"/>
      <c r="AC1460" s="3"/>
      <c r="AD1460" s="3"/>
      <c r="AE1460" s="3">
        <v>0</v>
      </c>
      <c r="AF1460" s="3">
        <v>0</v>
      </c>
      <c r="AG1460" s="3"/>
      <c r="AH1460" s="40"/>
      <c r="AI1460" s="40"/>
      <c r="AJ1460" s="40"/>
      <c r="AK1460" s="40"/>
      <c r="AL1460" s="40"/>
      <c r="AM1460" s="40"/>
      <c r="AN1460" s="40"/>
      <c r="AO1460" s="40"/>
      <c r="AP1460" s="40"/>
      <c r="AQ1460" s="40"/>
      <c r="AR1460" s="31"/>
      <c r="AS1460" s="36">
        <v>0</v>
      </c>
      <c r="AY1460" s="6"/>
      <c r="AZ1460" s="2"/>
      <c r="BA1460" s="2"/>
      <c r="BB1460" s="2"/>
      <c r="BC1460">
        <v>71500</v>
      </c>
      <c r="BD1460">
        <v>56992</v>
      </c>
    </row>
    <row r="1461" spans="3:56" x14ac:dyDescent="0.25">
      <c r="C1461" s="1">
        <v>47081</v>
      </c>
      <c r="D1461" s="36">
        <v>247960.808333333</v>
      </c>
      <c r="E1461" s="33">
        <v>4.18333333333333</v>
      </c>
      <c r="F1461" s="33">
        <v>3.3804587037037002</v>
      </c>
      <c r="G1461" s="2">
        <v>0.80807777777777801</v>
      </c>
      <c r="H1461" s="2">
        <v>0.99</v>
      </c>
      <c r="I1461" s="3"/>
      <c r="J1461" s="3"/>
      <c r="K1461" s="3"/>
      <c r="L1461" s="3"/>
      <c r="M1461" s="3"/>
      <c r="N1461" s="3">
        <v>0</v>
      </c>
      <c r="O1461" s="3"/>
      <c r="P1461" s="3">
        <v>0</v>
      </c>
      <c r="Q1461" s="3">
        <v>0</v>
      </c>
      <c r="R1461" s="3">
        <v>0</v>
      </c>
      <c r="S1461" s="3">
        <v>0</v>
      </c>
      <c r="T1461" s="3">
        <v>0</v>
      </c>
      <c r="U1461" s="3"/>
      <c r="V1461" s="3"/>
      <c r="W1461" s="3"/>
      <c r="X1461" s="3"/>
      <c r="Y1461" s="3"/>
      <c r="Z1461" s="3"/>
      <c r="AA1461" s="3"/>
      <c r="AB1461" s="3"/>
      <c r="AC1461" s="3"/>
      <c r="AD1461" s="3"/>
      <c r="AE1461" s="3">
        <v>0</v>
      </c>
      <c r="AF1461" s="3">
        <v>0</v>
      </c>
      <c r="AG1461" s="3"/>
      <c r="AH1461" s="40"/>
      <c r="AI1461" s="40"/>
      <c r="AJ1461" s="40"/>
      <c r="AK1461" s="40"/>
      <c r="AL1461" s="40"/>
      <c r="AM1461" s="40"/>
      <c r="AN1461" s="40"/>
      <c r="AO1461" s="40"/>
      <c r="AP1461" s="40"/>
      <c r="AQ1461" s="40"/>
      <c r="AR1461" s="31"/>
      <c r="AS1461" s="36">
        <v>0</v>
      </c>
      <c r="AY1461" s="6"/>
      <c r="AZ1461" s="2"/>
      <c r="BA1461" s="2"/>
      <c r="BB1461" s="2"/>
      <c r="BC1461">
        <v>71500</v>
      </c>
      <c r="BD1461">
        <v>56992</v>
      </c>
    </row>
    <row r="1462" spans="3:56" x14ac:dyDescent="0.25">
      <c r="C1462" s="1">
        <v>47082</v>
      </c>
      <c r="D1462" s="36">
        <v>247960.808333333</v>
      </c>
      <c r="E1462" s="33">
        <v>4.18333333333333</v>
      </c>
      <c r="F1462" s="33">
        <v>3.3804122222222199</v>
      </c>
      <c r="G1462" s="2">
        <v>0.80806666666666704</v>
      </c>
      <c r="H1462" s="2">
        <v>0.99</v>
      </c>
      <c r="I1462" s="3"/>
      <c r="J1462" s="3"/>
      <c r="K1462" s="3"/>
      <c r="L1462" s="3"/>
      <c r="M1462" s="3"/>
      <c r="N1462" s="3">
        <v>0</v>
      </c>
      <c r="O1462" s="3"/>
      <c r="P1462" s="3">
        <v>0</v>
      </c>
      <c r="Q1462" s="3">
        <v>0</v>
      </c>
      <c r="R1462" s="3">
        <v>0</v>
      </c>
      <c r="S1462" s="3">
        <v>0</v>
      </c>
      <c r="T1462" s="3">
        <v>0</v>
      </c>
      <c r="U1462" s="3"/>
      <c r="V1462" s="3"/>
      <c r="W1462" s="3"/>
      <c r="X1462" s="3"/>
      <c r="Y1462" s="3"/>
      <c r="Z1462" s="3"/>
      <c r="AA1462" s="3"/>
      <c r="AB1462" s="3"/>
      <c r="AC1462" s="3"/>
      <c r="AD1462" s="3"/>
      <c r="AE1462" s="3">
        <v>0</v>
      </c>
      <c r="AF1462" s="3">
        <v>0</v>
      </c>
      <c r="AG1462" s="3"/>
      <c r="AH1462" s="40"/>
      <c r="AI1462" s="40"/>
      <c r="AJ1462" s="40"/>
      <c r="AK1462" s="40"/>
      <c r="AL1462" s="40"/>
      <c r="AM1462" s="40"/>
      <c r="AN1462" s="40"/>
      <c r="AO1462" s="40"/>
      <c r="AP1462" s="40"/>
      <c r="AQ1462" s="40"/>
      <c r="AR1462" s="31"/>
      <c r="AS1462" s="36">
        <v>0</v>
      </c>
      <c r="AY1462" s="6"/>
      <c r="AZ1462" s="2"/>
      <c r="BA1462" s="2"/>
      <c r="BB1462" s="2"/>
      <c r="BC1462">
        <v>71500</v>
      </c>
      <c r="BD1462">
        <v>56992</v>
      </c>
    </row>
    <row r="1463" spans="3:56" x14ac:dyDescent="0.25">
      <c r="C1463" s="1">
        <v>47083</v>
      </c>
      <c r="D1463" s="36">
        <v>247960.808333333</v>
      </c>
      <c r="E1463" s="33">
        <v>4.18333333333333</v>
      </c>
      <c r="F1463" s="33">
        <v>3.3803657407407401</v>
      </c>
      <c r="G1463" s="2">
        <v>0.80805555555555597</v>
      </c>
      <c r="H1463" s="2">
        <v>0.99</v>
      </c>
      <c r="I1463" s="3"/>
      <c r="J1463" s="3"/>
      <c r="K1463" s="3"/>
      <c r="L1463" s="3"/>
      <c r="M1463" s="3"/>
      <c r="N1463" s="3">
        <v>0</v>
      </c>
      <c r="O1463" s="3"/>
      <c r="P1463" s="3">
        <v>0</v>
      </c>
      <c r="Q1463" s="3">
        <v>0</v>
      </c>
      <c r="R1463" s="3">
        <v>0</v>
      </c>
      <c r="S1463" s="3">
        <v>0</v>
      </c>
      <c r="T1463" s="3">
        <v>0</v>
      </c>
      <c r="U1463" s="3"/>
      <c r="V1463" s="3"/>
      <c r="W1463" s="3"/>
      <c r="X1463" s="3"/>
      <c r="Y1463" s="3"/>
      <c r="Z1463" s="3"/>
      <c r="AA1463" s="3"/>
      <c r="AB1463" s="3"/>
      <c r="AC1463" s="3"/>
      <c r="AD1463" s="3"/>
      <c r="AE1463" s="3">
        <v>0</v>
      </c>
      <c r="AF1463" s="3">
        <v>0</v>
      </c>
      <c r="AG1463" s="3"/>
      <c r="AH1463" s="40"/>
      <c r="AI1463" s="40"/>
      <c r="AJ1463" s="40"/>
      <c r="AK1463" s="40"/>
      <c r="AL1463" s="40"/>
      <c r="AM1463" s="40"/>
      <c r="AN1463" s="40"/>
      <c r="AO1463" s="40"/>
      <c r="AP1463" s="40"/>
      <c r="AQ1463" s="40"/>
      <c r="AR1463" s="31"/>
      <c r="AS1463" s="36">
        <v>0</v>
      </c>
      <c r="AY1463" s="6"/>
      <c r="AZ1463" s="2"/>
      <c r="BA1463" s="2"/>
      <c r="BB1463" s="2"/>
      <c r="BC1463">
        <v>71500</v>
      </c>
      <c r="BD1463">
        <v>56992</v>
      </c>
    </row>
    <row r="1464" spans="3:56" x14ac:dyDescent="0.25">
      <c r="C1464" s="1">
        <v>47084</v>
      </c>
      <c r="D1464" s="36">
        <v>247960.808333333</v>
      </c>
      <c r="E1464" s="33">
        <v>4.18333333333333</v>
      </c>
      <c r="F1464" s="33">
        <v>3.3803192592592599</v>
      </c>
      <c r="G1464" s="2">
        <v>0.80804444444444401</v>
      </c>
      <c r="H1464" s="2">
        <v>0.99</v>
      </c>
      <c r="I1464" s="3"/>
      <c r="J1464" s="3"/>
      <c r="K1464" s="3"/>
      <c r="L1464" s="3"/>
      <c r="M1464" s="3"/>
      <c r="N1464" s="3">
        <v>0</v>
      </c>
      <c r="O1464" s="3"/>
      <c r="P1464" s="3">
        <v>0</v>
      </c>
      <c r="Q1464" s="3">
        <v>0</v>
      </c>
      <c r="R1464" s="3">
        <v>0</v>
      </c>
      <c r="S1464" s="3">
        <v>0</v>
      </c>
      <c r="T1464" s="3">
        <v>0</v>
      </c>
      <c r="U1464" s="3"/>
      <c r="V1464" s="3"/>
      <c r="W1464" s="3"/>
      <c r="X1464" s="3"/>
      <c r="Y1464" s="3"/>
      <c r="Z1464" s="3"/>
      <c r="AA1464" s="3"/>
      <c r="AB1464" s="3"/>
      <c r="AC1464" s="3"/>
      <c r="AD1464" s="3"/>
      <c r="AE1464" s="3">
        <v>0</v>
      </c>
      <c r="AF1464" s="3">
        <v>0</v>
      </c>
      <c r="AG1464" s="3"/>
      <c r="AH1464" s="40"/>
      <c r="AI1464" s="40"/>
      <c r="AJ1464" s="40"/>
      <c r="AK1464" s="40"/>
      <c r="AL1464" s="40"/>
      <c r="AM1464" s="40"/>
      <c r="AN1464" s="40"/>
      <c r="AO1464" s="40"/>
      <c r="AP1464" s="40"/>
      <c r="AQ1464" s="40"/>
      <c r="AR1464" s="31"/>
      <c r="AS1464" s="36">
        <v>0</v>
      </c>
      <c r="AY1464" s="6"/>
      <c r="AZ1464" s="2"/>
      <c r="BA1464" s="2"/>
      <c r="BB1464" s="2"/>
      <c r="BC1464">
        <v>71500</v>
      </c>
      <c r="BD1464">
        <v>56992</v>
      </c>
    </row>
    <row r="1465" spans="3:56" x14ac:dyDescent="0.25">
      <c r="C1465" s="1">
        <v>47085</v>
      </c>
      <c r="D1465" s="36">
        <v>247960.808333333</v>
      </c>
      <c r="E1465" s="33">
        <v>4.18333333333333</v>
      </c>
      <c r="F1465" s="33">
        <v>3.3802727777777801</v>
      </c>
      <c r="G1465" s="2">
        <v>0.80803333333333305</v>
      </c>
      <c r="H1465" s="2">
        <v>0.99</v>
      </c>
      <c r="I1465" s="3"/>
      <c r="J1465" s="3"/>
      <c r="K1465" s="3"/>
      <c r="L1465" s="3"/>
      <c r="M1465" s="3"/>
      <c r="N1465" s="3">
        <v>0</v>
      </c>
      <c r="O1465" s="3"/>
      <c r="P1465" s="3">
        <v>0</v>
      </c>
      <c r="Q1465" s="3">
        <v>0</v>
      </c>
      <c r="R1465" s="3">
        <v>0</v>
      </c>
      <c r="S1465" s="3">
        <v>0</v>
      </c>
      <c r="T1465" s="3">
        <v>0</v>
      </c>
      <c r="U1465" s="3"/>
      <c r="V1465" s="3"/>
      <c r="W1465" s="3"/>
      <c r="X1465" s="3"/>
      <c r="Y1465" s="3"/>
      <c r="Z1465" s="3"/>
      <c r="AA1465" s="3"/>
      <c r="AB1465" s="3"/>
      <c r="AC1465" s="3"/>
      <c r="AD1465" s="3"/>
      <c r="AE1465" s="3">
        <v>0</v>
      </c>
      <c r="AF1465" s="3">
        <v>0</v>
      </c>
      <c r="AG1465" s="3"/>
      <c r="AH1465" s="40"/>
      <c r="AI1465" s="40"/>
      <c r="AJ1465" s="40"/>
      <c r="AK1465" s="40"/>
      <c r="AL1465" s="40"/>
      <c r="AM1465" s="40"/>
      <c r="AN1465" s="40"/>
      <c r="AO1465" s="40"/>
      <c r="AP1465" s="40"/>
      <c r="AQ1465" s="40"/>
      <c r="AR1465" s="31"/>
      <c r="AS1465" s="36">
        <v>0</v>
      </c>
      <c r="AY1465" s="6"/>
      <c r="AZ1465" s="2"/>
      <c r="BA1465" s="2"/>
      <c r="BB1465" s="2"/>
      <c r="BC1465">
        <v>71500</v>
      </c>
      <c r="BD1465">
        <v>56992</v>
      </c>
    </row>
    <row r="1466" spans="3:56" x14ac:dyDescent="0.25">
      <c r="C1466" s="1">
        <v>47086</v>
      </c>
      <c r="D1466" s="36">
        <v>247960.808333333</v>
      </c>
      <c r="E1466" s="33">
        <v>4.18333333333333</v>
      </c>
      <c r="F1466" s="33">
        <v>3.3802262962962999</v>
      </c>
      <c r="G1466" s="2">
        <v>0.80802222222222198</v>
      </c>
      <c r="H1466" s="2">
        <v>0.99</v>
      </c>
      <c r="I1466" s="3"/>
      <c r="J1466" s="3"/>
      <c r="K1466" s="3"/>
      <c r="L1466" s="3"/>
      <c r="M1466" s="3"/>
      <c r="N1466" s="3">
        <v>0</v>
      </c>
      <c r="O1466" s="3"/>
      <c r="P1466" s="3">
        <v>0</v>
      </c>
      <c r="Q1466" s="3">
        <v>0</v>
      </c>
      <c r="R1466" s="3">
        <v>0</v>
      </c>
      <c r="S1466" s="3">
        <v>0</v>
      </c>
      <c r="T1466" s="3">
        <v>0</v>
      </c>
      <c r="U1466" s="3"/>
      <c r="V1466" s="3"/>
      <c r="W1466" s="3"/>
      <c r="X1466" s="3"/>
      <c r="Y1466" s="3"/>
      <c r="Z1466" s="3"/>
      <c r="AA1466" s="3"/>
      <c r="AB1466" s="3"/>
      <c r="AC1466" s="3"/>
      <c r="AD1466" s="3"/>
      <c r="AE1466" s="3">
        <v>0</v>
      </c>
      <c r="AF1466" s="3">
        <v>0</v>
      </c>
      <c r="AG1466" s="3"/>
      <c r="AH1466" s="40"/>
      <c r="AI1466" s="40"/>
      <c r="AJ1466" s="40"/>
      <c r="AK1466" s="40"/>
      <c r="AL1466" s="40"/>
      <c r="AM1466" s="40"/>
      <c r="AN1466" s="40"/>
      <c r="AO1466" s="40"/>
      <c r="AP1466" s="40"/>
      <c r="AQ1466" s="40"/>
      <c r="AR1466" s="31"/>
      <c r="AS1466" s="36">
        <v>0</v>
      </c>
      <c r="AY1466" s="6"/>
      <c r="AZ1466" s="2"/>
      <c r="BA1466" s="2"/>
      <c r="BB1466" s="2"/>
      <c r="BC1466">
        <v>71500</v>
      </c>
      <c r="BD1466">
        <v>56992</v>
      </c>
    </row>
    <row r="1467" spans="3:56" x14ac:dyDescent="0.25">
      <c r="C1467" s="1">
        <v>47087</v>
      </c>
      <c r="D1467" s="36">
        <v>247960.808333333</v>
      </c>
      <c r="E1467" s="33">
        <v>4.18333333333333</v>
      </c>
      <c r="F1467" s="33">
        <v>3.3801798148148201</v>
      </c>
      <c r="G1467" s="2">
        <v>0.80801111111111101</v>
      </c>
      <c r="H1467" s="2">
        <v>0.99</v>
      </c>
      <c r="I1467" s="3"/>
      <c r="J1467" s="3"/>
      <c r="K1467" s="3"/>
      <c r="L1467" s="3"/>
      <c r="M1467" s="3"/>
      <c r="N1467" s="3">
        <v>0</v>
      </c>
      <c r="O1467" s="3"/>
      <c r="P1467" s="3">
        <v>0</v>
      </c>
      <c r="Q1467" s="3">
        <v>0</v>
      </c>
      <c r="R1467" s="3">
        <v>0</v>
      </c>
      <c r="S1467" s="3">
        <v>0</v>
      </c>
      <c r="T1467" s="3">
        <v>0</v>
      </c>
      <c r="U1467" s="3"/>
      <c r="V1467" s="3"/>
      <c r="W1467" s="3"/>
      <c r="X1467" s="3"/>
      <c r="Y1467" s="3"/>
      <c r="Z1467" s="3"/>
      <c r="AA1467" s="3"/>
      <c r="AB1467" s="3"/>
      <c r="AC1467" s="3"/>
      <c r="AD1467" s="3"/>
      <c r="AE1467" s="3">
        <v>0</v>
      </c>
      <c r="AF1467" s="3">
        <v>0</v>
      </c>
      <c r="AG1467" s="3"/>
      <c r="AH1467" s="40"/>
      <c r="AI1467" s="40"/>
      <c r="AJ1467" s="40"/>
      <c r="AK1467" s="40"/>
      <c r="AL1467" s="40"/>
      <c r="AM1467" s="40"/>
      <c r="AN1467" s="40"/>
      <c r="AO1467" s="40"/>
      <c r="AP1467" s="40"/>
      <c r="AQ1467" s="40"/>
      <c r="AR1467" s="31"/>
      <c r="AS1467" s="36">
        <v>0</v>
      </c>
      <c r="AY1467" s="6"/>
      <c r="AZ1467" s="2"/>
      <c r="BA1467" s="2"/>
      <c r="BB1467" s="2"/>
      <c r="BC1467">
        <v>71500</v>
      </c>
      <c r="BD1467">
        <v>56992</v>
      </c>
    </row>
    <row r="1468" spans="3:56" x14ac:dyDescent="0.25">
      <c r="C1468" s="1">
        <v>47088</v>
      </c>
      <c r="D1468" s="36">
        <v>235895.33709677399</v>
      </c>
      <c r="E1468" s="33">
        <v>4.1709677419354803</v>
      </c>
      <c r="F1468" s="33">
        <v>3.3701419354838702</v>
      </c>
      <c r="G1468" s="2">
        <v>0.80800000000000005</v>
      </c>
      <c r="H1468" s="2">
        <v>0.99</v>
      </c>
      <c r="I1468" s="3"/>
      <c r="J1468" s="3"/>
      <c r="K1468" s="3"/>
      <c r="L1468" s="3"/>
      <c r="M1468" s="3"/>
      <c r="N1468" s="3">
        <v>0</v>
      </c>
      <c r="O1468" s="3"/>
      <c r="P1468" s="3">
        <v>0</v>
      </c>
      <c r="Q1468" s="3">
        <v>0</v>
      </c>
      <c r="R1468" s="3">
        <v>0</v>
      </c>
      <c r="S1468" s="3">
        <v>0</v>
      </c>
      <c r="T1468" s="3">
        <v>0</v>
      </c>
      <c r="U1468" s="3"/>
      <c r="V1468" s="3"/>
      <c r="W1468" s="3"/>
      <c r="X1468" s="3"/>
      <c r="Y1468" s="3"/>
      <c r="Z1468" s="3"/>
      <c r="AA1468" s="3"/>
      <c r="AB1468" s="3"/>
      <c r="AC1468" s="3"/>
      <c r="AD1468" s="3"/>
      <c r="AE1468" s="3">
        <v>0</v>
      </c>
      <c r="AF1468" s="3">
        <v>0</v>
      </c>
      <c r="AG1468" s="3"/>
      <c r="AH1468" s="40"/>
      <c r="AI1468" s="40"/>
      <c r="AJ1468" s="40"/>
      <c r="AK1468" s="40"/>
      <c r="AL1468" s="40"/>
      <c r="AM1468" s="40"/>
      <c r="AN1468" s="40"/>
      <c r="AO1468" s="40"/>
      <c r="AP1468" s="40"/>
      <c r="AQ1468" s="40"/>
      <c r="AR1468" s="31"/>
      <c r="AS1468" s="36">
        <v>0</v>
      </c>
      <c r="AY1468" s="6"/>
      <c r="AZ1468" s="2"/>
      <c r="BA1468" s="2"/>
      <c r="BB1468" s="2"/>
      <c r="BC1468">
        <v>71500</v>
      </c>
      <c r="BD1468">
        <v>56992</v>
      </c>
    </row>
    <row r="1469" spans="3:56" x14ac:dyDescent="0.25">
      <c r="C1469" s="1">
        <v>47089</v>
      </c>
      <c r="D1469" s="36">
        <v>235895.33709677399</v>
      </c>
      <c r="E1469" s="33">
        <v>4.1709677419354803</v>
      </c>
      <c r="F1469" s="33">
        <v>3.3700955913978499</v>
      </c>
      <c r="G1469" s="2">
        <v>0.80798888888888898</v>
      </c>
      <c r="H1469" s="2">
        <v>0.99</v>
      </c>
      <c r="I1469" s="3"/>
      <c r="J1469" s="3"/>
      <c r="K1469" s="3"/>
      <c r="L1469" s="3"/>
      <c r="M1469" s="3"/>
      <c r="N1469" s="3">
        <v>0</v>
      </c>
      <c r="O1469" s="3"/>
      <c r="P1469" s="3">
        <v>0</v>
      </c>
      <c r="Q1469" s="3">
        <v>0</v>
      </c>
      <c r="R1469" s="3">
        <v>0</v>
      </c>
      <c r="S1469" s="3">
        <v>0</v>
      </c>
      <c r="T1469" s="3">
        <v>0</v>
      </c>
      <c r="U1469" s="3"/>
      <c r="V1469" s="3"/>
      <c r="W1469" s="3"/>
      <c r="X1469" s="3"/>
      <c r="Y1469" s="3"/>
      <c r="Z1469" s="3"/>
      <c r="AA1469" s="3"/>
      <c r="AB1469" s="3"/>
      <c r="AC1469" s="3"/>
      <c r="AD1469" s="3"/>
      <c r="AE1469" s="3">
        <v>0</v>
      </c>
      <c r="AF1469" s="3">
        <v>0</v>
      </c>
      <c r="AG1469" s="3"/>
      <c r="AH1469" s="40"/>
      <c r="AI1469" s="40"/>
      <c r="AJ1469" s="40"/>
      <c r="AK1469" s="40"/>
      <c r="AL1469" s="40"/>
      <c r="AM1469" s="40"/>
      <c r="AN1469" s="40"/>
      <c r="AO1469" s="40"/>
      <c r="AP1469" s="40"/>
      <c r="AQ1469" s="40"/>
      <c r="AR1469" s="31"/>
      <c r="AS1469" s="36">
        <v>0</v>
      </c>
      <c r="AY1469" s="6"/>
      <c r="AZ1469" s="2"/>
      <c r="BA1469" s="2"/>
      <c r="BB1469" s="2"/>
      <c r="BC1469">
        <v>71500</v>
      </c>
      <c r="BD1469">
        <v>56992</v>
      </c>
    </row>
    <row r="1470" spans="3:56" x14ac:dyDescent="0.25">
      <c r="C1470" s="1">
        <v>47090</v>
      </c>
      <c r="D1470" s="36">
        <v>235895.33709677399</v>
      </c>
      <c r="E1470" s="33">
        <v>4.1709677419354803</v>
      </c>
      <c r="F1470" s="33">
        <v>3.37004924731183</v>
      </c>
      <c r="G1470" s="2">
        <v>0.80797777777777802</v>
      </c>
      <c r="H1470" s="2">
        <v>0.99</v>
      </c>
      <c r="I1470" s="3"/>
      <c r="J1470" s="3"/>
      <c r="K1470" s="3"/>
      <c r="L1470" s="3"/>
      <c r="M1470" s="3"/>
      <c r="N1470" s="3">
        <v>0</v>
      </c>
      <c r="O1470" s="3"/>
      <c r="P1470" s="3">
        <v>0</v>
      </c>
      <c r="Q1470" s="3">
        <v>0</v>
      </c>
      <c r="R1470" s="3">
        <v>0</v>
      </c>
      <c r="S1470" s="3">
        <v>0</v>
      </c>
      <c r="T1470" s="3">
        <v>0</v>
      </c>
      <c r="U1470" s="3"/>
      <c r="V1470" s="3"/>
      <c r="W1470" s="3"/>
      <c r="X1470" s="3"/>
      <c r="Y1470" s="3"/>
      <c r="Z1470" s="3"/>
      <c r="AA1470" s="3"/>
      <c r="AB1470" s="3"/>
      <c r="AC1470" s="3"/>
      <c r="AD1470" s="3"/>
      <c r="AE1470" s="3">
        <v>0</v>
      </c>
      <c r="AF1470" s="3">
        <v>0</v>
      </c>
      <c r="AG1470" s="3"/>
      <c r="AH1470" s="40"/>
      <c r="AI1470" s="40"/>
      <c r="AJ1470" s="40"/>
      <c r="AK1470" s="40"/>
      <c r="AL1470" s="40"/>
      <c r="AM1470" s="40"/>
      <c r="AN1470" s="40"/>
      <c r="AO1470" s="40"/>
      <c r="AP1470" s="40"/>
      <c r="AQ1470" s="40"/>
      <c r="AR1470" s="31"/>
      <c r="AS1470" s="36">
        <v>0</v>
      </c>
      <c r="AY1470" s="6"/>
      <c r="AZ1470" s="2"/>
      <c r="BA1470" s="2"/>
      <c r="BB1470" s="2"/>
      <c r="BC1470">
        <v>71500</v>
      </c>
      <c r="BD1470">
        <v>56992</v>
      </c>
    </row>
    <row r="1471" spans="3:56" x14ac:dyDescent="0.25">
      <c r="C1471" s="1">
        <v>47091</v>
      </c>
      <c r="D1471" s="36">
        <v>235895.33709677399</v>
      </c>
      <c r="E1471" s="33">
        <v>4.1709677419354803</v>
      </c>
      <c r="F1471" s="33">
        <v>3.3700029032258101</v>
      </c>
      <c r="G1471" s="2">
        <v>0.80796666666666705</v>
      </c>
      <c r="H1471" s="2">
        <v>0.99</v>
      </c>
      <c r="I1471" s="3"/>
      <c r="J1471" s="3"/>
      <c r="K1471" s="3"/>
      <c r="L1471" s="3"/>
      <c r="M1471" s="3"/>
      <c r="N1471" s="3">
        <v>0</v>
      </c>
      <c r="O1471" s="3"/>
      <c r="P1471" s="3">
        <v>0</v>
      </c>
      <c r="Q1471" s="3">
        <v>0</v>
      </c>
      <c r="R1471" s="3">
        <v>0</v>
      </c>
      <c r="S1471" s="3">
        <v>0</v>
      </c>
      <c r="T1471" s="3">
        <v>0</v>
      </c>
      <c r="U1471" s="3"/>
      <c r="V1471" s="3"/>
      <c r="W1471" s="3"/>
      <c r="X1471" s="3"/>
      <c r="Y1471" s="3"/>
      <c r="Z1471" s="3"/>
      <c r="AA1471" s="3"/>
      <c r="AB1471" s="3"/>
      <c r="AC1471" s="3"/>
      <c r="AD1471" s="3"/>
      <c r="AE1471" s="3">
        <v>0</v>
      </c>
      <c r="AF1471" s="3">
        <v>0</v>
      </c>
      <c r="AG1471" s="3"/>
      <c r="AH1471" s="40"/>
      <c r="AI1471" s="40"/>
      <c r="AJ1471" s="40"/>
      <c r="AK1471" s="40"/>
      <c r="AL1471" s="40"/>
      <c r="AM1471" s="40"/>
      <c r="AN1471" s="40"/>
      <c r="AO1471" s="40"/>
      <c r="AP1471" s="40"/>
      <c r="AQ1471" s="40"/>
      <c r="AR1471" s="31"/>
      <c r="AS1471" s="36">
        <v>0</v>
      </c>
      <c r="AY1471" s="6"/>
      <c r="AZ1471" s="2"/>
      <c r="BA1471" s="2"/>
      <c r="BB1471" s="2"/>
      <c r="BC1471">
        <v>71500</v>
      </c>
      <c r="BD1471">
        <v>56992</v>
      </c>
    </row>
    <row r="1472" spans="3:56" x14ac:dyDescent="0.25">
      <c r="C1472" s="1">
        <v>47092</v>
      </c>
      <c r="D1472" s="36">
        <v>235895.33709677399</v>
      </c>
      <c r="E1472" s="33">
        <v>4.1709677419354803</v>
      </c>
      <c r="F1472" s="33">
        <v>3.36995655913978</v>
      </c>
      <c r="G1472" s="2">
        <v>0.80795555555555598</v>
      </c>
      <c r="H1472" s="2">
        <v>0.99</v>
      </c>
      <c r="I1472" s="3"/>
      <c r="J1472" s="3"/>
      <c r="K1472" s="3"/>
      <c r="L1472" s="3"/>
      <c r="M1472" s="3"/>
      <c r="N1472" s="3">
        <v>0</v>
      </c>
      <c r="O1472" s="3"/>
      <c r="P1472" s="3">
        <v>0</v>
      </c>
      <c r="Q1472" s="3">
        <v>0</v>
      </c>
      <c r="R1472" s="3">
        <v>0</v>
      </c>
      <c r="S1472" s="3">
        <v>0</v>
      </c>
      <c r="T1472" s="3">
        <v>0</v>
      </c>
      <c r="U1472" s="3"/>
      <c r="V1472" s="3"/>
      <c r="W1472" s="3"/>
      <c r="X1472" s="3"/>
      <c r="Y1472" s="3"/>
      <c r="Z1472" s="3"/>
      <c r="AA1472" s="3"/>
      <c r="AB1472" s="3"/>
      <c r="AC1472" s="3"/>
      <c r="AD1472" s="3"/>
      <c r="AE1472" s="3">
        <v>0</v>
      </c>
      <c r="AF1472" s="3">
        <v>0</v>
      </c>
      <c r="AG1472" s="3"/>
      <c r="AH1472" s="40"/>
      <c r="AI1472" s="40"/>
      <c r="AJ1472" s="40"/>
      <c r="AK1472" s="40"/>
      <c r="AL1472" s="40"/>
      <c r="AM1472" s="40"/>
      <c r="AN1472" s="40"/>
      <c r="AO1472" s="40"/>
      <c r="AP1472" s="40"/>
      <c r="AQ1472" s="40"/>
      <c r="AR1472" s="31"/>
      <c r="AS1472" s="36">
        <v>0</v>
      </c>
      <c r="AY1472" s="6"/>
      <c r="AZ1472" s="2"/>
      <c r="BA1472" s="2"/>
      <c r="BB1472" s="2"/>
      <c r="BC1472">
        <v>71500</v>
      </c>
      <c r="BD1472">
        <v>56992</v>
      </c>
    </row>
    <row r="1473" spans="3:56" x14ac:dyDescent="0.25">
      <c r="C1473" s="1">
        <v>47093</v>
      </c>
      <c r="D1473" s="36">
        <v>235895.33709677399</v>
      </c>
      <c r="E1473" s="33">
        <v>4.1709677419354803</v>
      </c>
      <c r="F1473" s="33">
        <v>3.3699102150537601</v>
      </c>
      <c r="G1473" s="2">
        <v>0.80794444444444402</v>
      </c>
      <c r="H1473" s="2">
        <v>0.99</v>
      </c>
      <c r="I1473" s="3"/>
      <c r="J1473" s="3"/>
      <c r="K1473" s="3"/>
      <c r="L1473" s="3"/>
      <c r="M1473" s="3"/>
      <c r="N1473" s="3">
        <v>0</v>
      </c>
      <c r="O1473" s="3"/>
      <c r="P1473" s="3">
        <v>0</v>
      </c>
      <c r="Q1473" s="3">
        <v>0</v>
      </c>
      <c r="R1473" s="3">
        <v>0</v>
      </c>
      <c r="S1473" s="3">
        <v>0</v>
      </c>
      <c r="T1473" s="3">
        <v>0</v>
      </c>
      <c r="U1473" s="3"/>
      <c r="V1473" s="3"/>
      <c r="W1473" s="3"/>
      <c r="X1473" s="3"/>
      <c r="Y1473" s="3"/>
      <c r="Z1473" s="3"/>
      <c r="AA1473" s="3"/>
      <c r="AB1473" s="3"/>
      <c r="AC1473" s="3"/>
      <c r="AD1473" s="3"/>
      <c r="AE1473" s="3">
        <v>0</v>
      </c>
      <c r="AF1473" s="3">
        <v>0</v>
      </c>
      <c r="AG1473" s="3"/>
      <c r="AH1473" s="40"/>
      <c r="AI1473" s="40"/>
      <c r="AJ1473" s="40"/>
      <c r="AK1473" s="40"/>
      <c r="AL1473" s="40"/>
      <c r="AM1473" s="40"/>
      <c r="AN1473" s="40"/>
      <c r="AO1473" s="40"/>
      <c r="AP1473" s="40"/>
      <c r="AQ1473" s="40"/>
      <c r="AR1473" s="31"/>
      <c r="AS1473" s="36">
        <v>0</v>
      </c>
      <c r="AY1473" s="6"/>
      <c r="AZ1473" s="2"/>
      <c r="BA1473" s="2"/>
      <c r="BB1473" s="2"/>
      <c r="BC1473">
        <v>71500</v>
      </c>
      <c r="BD1473">
        <v>56992</v>
      </c>
    </row>
    <row r="1474" spans="3:56" x14ac:dyDescent="0.25">
      <c r="C1474" s="1">
        <v>47094</v>
      </c>
      <c r="D1474" s="36">
        <v>235895.33709677399</v>
      </c>
      <c r="E1474" s="33">
        <v>4.1709677419354803</v>
      </c>
      <c r="F1474" s="33">
        <v>3.3698638709677402</v>
      </c>
      <c r="G1474" s="2">
        <v>0.80793333333333295</v>
      </c>
      <c r="H1474" s="2">
        <v>0.99</v>
      </c>
      <c r="I1474" s="3"/>
      <c r="J1474" s="3"/>
      <c r="K1474" s="3"/>
      <c r="L1474" s="3"/>
      <c r="M1474" s="3"/>
      <c r="N1474" s="3">
        <v>0</v>
      </c>
      <c r="O1474" s="3"/>
      <c r="P1474" s="3">
        <v>0</v>
      </c>
      <c r="Q1474" s="3">
        <v>0</v>
      </c>
      <c r="R1474" s="3">
        <v>0</v>
      </c>
      <c r="S1474" s="3">
        <v>0</v>
      </c>
      <c r="T1474" s="3">
        <v>0</v>
      </c>
      <c r="U1474" s="3"/>
      <c r="V1474" s="3"/>
      <c r="W1474" s="3"/>
      <c r="X1474" s="3"/>
      <c r="Y1474" s="3"/>
      <c r="Z1474" s="3"/>
      <c r="AA1474" s="3"/>
      <c r="AB1474" s="3"/>
      <c r="AC1474" s="3"/>
      <c r="AD1474" s="3"/>
      <c r="AE1474" s="3">
        <v>0</v>
      </c>
      <c r="AF1474" s="3">
        <v>0</v>
      </c>
      <c r="AG1474" s="3"/>
      <c r="AH1474" s="40"/>
      <c r="AI1474" s="40"/>
      <c r="AJ1474" s="40"/>
      <c r="AK1474" s="40"/>
      <c r="AL1474" s="40"/>
      <c r="AM1474" s="40"/>
      <c r="AN1474" s="40"/>
      <c r="AO1474" s="40"/>
      <c r="AP1474" s="40"/>
      <c r="AQ1474" s="40"/>
      <c r="AR1474" s="31"/>
      <c r="AS1474" s="36">
        <v>0</v>
      </c>
      <c r="AY1474" s="6"/>
      <c r="AZ1474" s="2"/>
      <c r="BA1474" s="2"/>
      <c r="BB1474" s="2"/>
      <c r="BC1474">
        <v>71500</v>
      </c>
      <c r="BD1474">
        <v>56992</v>
      </c>
    </row>
    <row r="1475" spans="3:56" x14ac:dyDescent="0.25">
      <c r="C1475" s="1">
        <v>47095</v>
      </c>
      <c r="D1475" s="36">
        <v>235895.33709677399</v>
      </c>
      <c r="E1475" s="33">
        <v>4.1709677419354803</v>
      </c>
      <c r="F1475" s="33">
        <v>3.3698175268817199</v>
      </c>
      <c r="G1475" s="2">
        <v>0.80792222222222199</v>
      </c>
      <c r="H1475" s="2">
        <v>0.99</v>
      </c>
      <c r="I1475" s="3"/>
      <c r="J1475" s="3"/>
      <c r="K1475" s="3"/>
      <c r="L1475" s="3"/>
      <c r="M1475" s="3"/>
      <c r="N1475" s="3">
        <v>0</v>
      </c>
      <c r="O1475" s="3"/>
      <c r="P1475" s="3">
        <v>0</v>
      </c>
      <c r="Q1475" s="3">
        <v>0</v>
      </c>
      <c r="R1475" s="3">
        <v>0</v>
      </c>
      <c r="S1475" s="3">
        <v>0</v>
      </c>
      <c r="T1475" s="3">
        <v>0</v>
      </c>
      <c r="U1475" s="3"/>
      <c r="V1475" s="3"/>
      <c r="W1475" s="3"/>
      <c r="X1475" s="3"/>
      <c r="Y1475" s="3"/>
      <c r="Z1475" s="3"/>
      <c r="AA1475" s="3"/>
      <c r="AB1475" s="3"/>
      <c r="AC1475" s="3"/>
      <c r="AD1475" s="3"/>
      <c r="AE1475" s="3">
        <v>0</v>
      </c>
      <c r="AF1475" s="3">
        <v>0</v>
      </c>
      <c r="AG1475" s="3"/>
      <c r="AH1475" s="40"/>
      <c r="AI1475" s="40"/>
      <c r="AJ1475" s="40"/>
      <c r="AK1475" s="40"/>
      <c r="AL1475" s="40"/>
      <c r="AM1475" s="40"/>
      <c r="AN1475" s="40"/>
      <c r="AO1475" s="40"/>
      <c r="AP1475" s="40"/>
      <c r="AQ1475" s="40"/>
      <c r="AR1475" s="31"/>
      <c r="AS1475" s="36">
        <v>0</v>
      </c>
      <c r="AY1475" s="6"/>
      <c r="AZ1475" s="2"/>
      <c r="BA1475" s="2"/>
      <c r="BB1475" s="2"/>
      <c r="BC1475">
        <v>71500</v>
      </c>
      <c r="BD1475">
        <v>56992</v>
      </c>
    </row>
    <row r="1476" spans="3:56" x14ac:dyDescent="0.25">
      <c r="C1476" s="1">
        <v>47096</v>
      </c>
      <c r="D1476" s="36">
        <v>235895.33709677399</v>
      </c>
      <c r="E1476" s="33">
        <v>4.1709677419354803</v>
      </c>
      <c r="F1476" s="33">
        <v>3.3697711827957</v>
      </c>
      <c r="G1476" s="2">
        <v>0.80791111111111102</v>
      </c>
      <c r="H1476" s="2">
        <v>0.99</v>
      </c>
      <c r="I1476" s="3"/>
      <c r="J1476" s="3"/>
      <c r="K1476" s="3"/>
      <c r="L1476" s="3"/>
      <c r="M1476" s="3"/>
      <c r="N1476" s="3">
        <v>0</v>
      </c>
      <c r="O1476" s="3"/>
      <c r="P1476" s="3">
        <v>0</v>
      </c>
      <c r="Q1476" s="3">
        <v>0</v>
      </c>
      <c r="R1476" s="3">
        <v>0</v>
      </c>
      <c r="S1476" s="3">
        <v>0</v>
      </c>
      <c r="T1476" s="3">
        <v>0</v>
      </c>
      <c r="U1476" s="3"/>
      <c r="V1476" s="3"/>
      <c r="W1476" s="3"/>
      <c r="X1476" s="3"/>
      <c r="Y1476" s="3"/>
      <c r="Z1476" s="3"/>
      <c r="AA1476" s="3"/>
      <c r="AB1476" s="3"/>
      <c r="AC1476" s="3"/>
      <c r="AD1476" s="3"/>
      <c r="AE1476" s="3">
        <v>0</v>
      </c>
      <c r="AF1476" s="3">
        <v>0</v>
      </c>
      <c r="AG1476" s="3"/>
      <c r="AH1476" s="40"/>
      <c r="AI1476" s="40"/>
      <c r="AJ1476" s="40"/>
      <c r="AK1476" s="40"/>
      <c r="AL1476" s="40"/>
      <c r="AM1476" s="40"/>
      <c r="AN1476" s="40"/>
      <c r="AO1476" s="40"/>
      <c r="AP1476" s="40"/>
      <c r="AQ1476" s="40"/>
      <c r="AR1476" s="31"/>
      <c r="AS1476" s="36">
        <v>0</v>
      </c>
      <c r="AY1476" s="6"/>
      <c r="AZ1476" s="2"/>
      <c r="BA1476" s="2"/>
      <c r="BB1476" s="2"/>
      <c r="BC1476">
        <v>71500</v>
      </c>
      <c r="BD1476">
        <v>56992</v>
      </c>
    </row>
    <row r="1477" spans="3:56" x14ac:dyDescent="0.25">
      <c r="C1477" s="1">
        <v>47097</v>
      </c>
      <c r="D1477" s="36">
        <v>235895.33709677399</v>
      </c>
      <c r="E1477" s="33">
        <v>4.1709677419354803</v>
      </c>
      <c r="F1477" s="33">
        <v>3.3697248387096801</v>
      </c>
      <c r="G1477" s="2">
        <v>0.80789999999999995</v>
      </c>
      <c r="H1477" s="2">
        <v>0.99</v>
      </c>
      <c r="I1477" s="3"/>
      <c r="J1477" s="3"/>
      <c r="K1477" s="3"/>
      <c r="L1477" s="3"/>
      <c r="M1477" s="3"/>
      <c r="N1477" s="3">
        <v>0</v>
      </c>
      <c r="O1477" s="3"/>
      <c r="P1477" s="3">
        <v>0</v>
      </c>
      <c r="Q1477" s="3">
        <v>0</v>
      </c>
      <c r="R1477" s="3">
        <v>0</v>
      </c>
      <c r="S1477" s="3">
        <v>0</v>
      </c>
      <c r="T1477" s="3">
        <v>0</v>
      </c>
      <c r="U1477" s="3"/>
      <c r="V1477" s="3"/>
      <c r="W1477" s="3"/>
      <c r="X1477" s="3"/>
      <c r="Y1477" s="3"/>
      <c r="Z1477" s="3"/>
      <c r="AA1477" s="3"/>
      <c r="AB1477" s="3"/>
      <c r="AC1477" s="3"/>
      <c r="AD1477" s="3"/>
      <c r="AE1477" s="3">
        <v>0</v>
      </c>
      <c r="AF1477" s="3">
        <v>0</v>
      </c>
      <c r="AG1477" s="3"/>
      <c r="AH1477" s="40"/>
      <c r="AI1477" s="40"/>
      <c r="AJ1477" s="40"/>
      <c r="AK1477" s="40"/>
      <c r="AL1477" s="40"/>
      <c r="AM1477" s="40"/>
      <c r="AN1477" s="40"/>
      <c r="AO1477" s="40"/>
      <c r="AP1477" s="40"/>
      <c r="AQ1477" s="40"/>
      <c r="AR1477" s="31"/>
      <c r="AS1477" s="36">
        <v>0</v>
      </c>
      <c r="AY1477" s="6"/>
      <c r="AZ1477" s="2"/>
      <c r="BA1477" s="2"/>
      <c r="BB1477" s="2"/>
      <c r="BC1477">
        <v>71500</v>
      </c>
      <c r="BD1477">
        <v>56992</v>
      </c>
    </row>
    <row r="1478" spans="3:56" x14ac:dyDescent="0.25">
      <c r="C1478" s="1">
        <v>47098</v>
      </c>
      <c r="D1478" s="36">
        <v>235895.33709677399</v>
      </c>
      <c r="E1478" s="33">
        <v>4.1709677419354803</v>
      </c>
      <c r="F1478" s="33">
        <v>3.3696784946236602</v>
      </c>
      <c r="G1478" s="2">
        <v>0.80788888888888899</v>
      </c>
      <c r="H1478" s="2">
        <v>0.99</v>
      </c>
      <c r="I1478" s="3"/>
      <c r="J1478" s="3"/>
      <c r="K1478" s="3"/>
      <c r="L1478" s="3"/>
      <c r="M1478" s="3"/>
      <c r="N1478" s="3">
        <v>0</v>
      </c>
      <c r="O1478" s="3"/>
      <c r="P1478" s="3">
        <v>0</v>
      </c>
      <c r="Q1478" s="3">
        <v>0</v>
      </c>
      <c r="R1478" s="3">
        <v>0</v>
      </c>
      <c r="S1478" s="3">
        <v>0</v>
      </c>
      <c r="T1478" s="3">
        <v>0</v>
      </c>
      <c r="U1478" s="3"/>
      <c r="V1478" s="3"/>
      <c r="W1478" s="3"/>
      <c r="X1478" s="3"/>
      <c r="Y1478" s="3"/>
      <c r="Z1478" s="3"/>
      <c r="AA1478" s="3"/>
      <c r="AB1478" s="3"/>
      <c r="AC1478" s="3"/>
      <c r="AD1478" s="3"/>
      <c r="AE1478" s="3">
        <v>0</v>
      </c>
      <c r="AF1478" s="3">
        <v>0</v>
      </c>
      <c r="AG1478" s="3"/>
      <c r="AH1478" s="40"/>
      <c r="AI1478" s="40"/>
      <c r="AJ1478" s="40"/>
      <c r="AK1478" s="40"/>
      <c r="AL1478" s="40"/>
      <c r="AM1478" s="40"/>
      <c r="AN1478" s="40"/>
      <c r="AO1478" s="40"/>
      <c r="AP1478" s="40"/>
      <c r="AQ1478" s="40"/>
      <c r="AR1478" s="31"/>
      <c r="AS1478" s="36">
        <v>0</v>
      </c>
      <c r="AY1478" s="6"/>
      <c r="AZ1478" s="2"/>
      <c r="BA1478" s="2"/>
      <c r="BB1478" s="2"/>
      <c r="BC1478">
        <v>71500</v>
      </c>
      <c r="BD1478">
        <v>56992</v>
      </c>
    </row>
    <row r="1479" spans="3:56" x14ac:dyDescent="0.25">
      <c r="C1479" s="1">
        <v>47099</v>
      </c>
      <c r="D1479" s="36">
        <v>235895.33709677399</v>
      </c>
      <c r="E1479" s="33">
        <v>4.1709677419354803</v>
      </c>
      <c r="F1479" s="33">
        <v>3.3696321505376301</v>
      </c>
      <c r="G1479" s="2">
        <v>0.80787777777777803</v>
      </c>
      <c r="H1479" s="2">
        <v>0.99</v>
      </c>
      <c r="I1479" s="3"/>
      <c r="J1479" s="3"/>
      <c r="K1479" s="3"/>
      <c r="L1479" s="3"/>
      <c r="M1479" s="3"/>
      <c r="N1479" s="3">
        <v>0</v>
      </c>
      <c r="O1479" s="3"/>
      <c r="P1479" s="3">
        <v>0</v>
      </c>
      <c r="Q1479" s="3">
        <v>0</v>
      </c>
      <c r="R1479" s="3">
        <v>0</v>
      </c>
      <c r="S1479" s="3">
        <v>0</v>
      </c>
      <c r="T1479" s="3">
        <v>0</v>
      </c>
      <c r="U1479" s="3"/>
      <c r="V1479" s="3"/>
      <c r="W1479" s="3"/>
      <c r="X1479" s="3"/>
      <c r="Y1479" s="3"/>
      <c r="Z1479" s="3"/>
      <c r="AA1479" s="3"/>
      <c r="AB1479" s="3"/>
      <c r="AC1479" s="3"/>
      <c r="AD1479" s="3"/>
      <c r="AE1479" s="3">
        <v>0</v>
      </c>
      <c r="AF1479" s="3">
        <v>0</v>
      </c>
      <c r="AG1479" s="3"/>
      <c r="AH1479" s="40"/>
      <c r="AI1479" s="40"/>
      <c r="AJ1479" s="40"/>
      <c r="AK1479" s="40"/>
      <c r="AL1479" s="40"/>
      <c r="AM1479" s="40"/>
      <c r="AN1479" s="40"/>
      <c r="AO1479" s="40"/>
      <c r="AP1479" s="40"/>
      <c r="AQ1479" s="40"/>
      <c r="AR1479" s="31"/>
      <c r="AS1479" s="36">
        <v>0</v>
      </c>
      <c r="AY1479" s="6"/>
      <c r="AZ1479" s="2"/>
      <c r="BA1479" s="2"/>
      <c r="BB1479" s="2"/>
      <c r="BC1479">
        <v>71500</v>
      </c>
      <c r="BD1479">
        <v>56992</v>
      </c>
    </row>
    <row r="1480" spans="3:56" x14ac:dyDescent="0.25">
      <c r="C1480" s="1">
        <v>47100</v>
      </c>
      <c r="D1480" s="36">
        <v>235895.33709677399</v>
      </c>
      <c r="E1480" s="33">
        <v>4.1709677419354803</v>
      </c>
      <c r="F1480" s="33">
        <v>3.3695858064516102</v>
      </c>
      <c r="G1480" s="2">
        <v>0.80786666666666695</v>
      </c>
      <c r="H1480" s="2">
        <v>0.99</v>
      </c>
      <c r="I1480" s="3"/>
      <c r="J1480" s="3"/>
      <c r="K1480" s="3"/>
      <c r="L1480" s="3"/>
      <c r="M1480" s="3"/>
      <c r="N1480" s="3">
        <v>0</v>
      </c>
      <c r="O1480" s="3"/>
      <c r="P1480" s="3">
        <v>0</v>
      </c>
      <c r="Q1480" s="3">
        <v>0</v>
      </c>
      <c r="R1480" s="3">
        <v>0</v>
      </c>
      <c r="S1480" s="3">
        <v>0</v>
      </c>
      <c r="T1480" s="3">
        <v>0</v>
      </c>
      <c r="U1480" s="3"/>
      <c r="V1480" s="3"/>
      <c r="W1480" s="3"/>
      <c r="X1480" s="3"/>
      <c r="Y1480" s="3"/>
      <c r="Z1480" s="3"/>
      <c r="AA1480" s="3"/>
      <c r="AB1480" s="3"/>
      <c r="AC1480" s="3"/>
      <c r="AD1480" s="3"/>
      <c r="AE1480" s="3">
        <v>0</v>
      </c>
      <c r="AF1480" s="3">
        <v>0</v>
      </c>
      <c r="AG1480" s="3"/>
      <c r="AH1480" s="40"/>
      <c r="AI1480" s="40"/>
      <c r="AJ1480" s="40"/>
      <c r="AK1480" s="40"/>
      <c r="AL1480" s="40"/>
      <c r="AM1480" s="40"/>
      <c r="AN1480" s="40"/>
      <c r="AO1480" s="40"/>
      <c r="AP1480" s="40"/>
      <c r="AQ1480" s="40"/>
      <c r="AR1480" s="31"/>
      <c r="AS1480" s="36">
        <v>0</v>
      </c>
      <c r="AY1480" s="6"/>
      <c r="AZ1480" s="2"/>
      <c r="BA1480" s="2"/>
      <c r="BB1480" s="2"/>
      <c r="BC1480">
        <v>71500</v>
      </c>
      <c r="BD1480">
        <v>56992</v>
      </c>
    </row>
    <row r="1481" spans="3:56" x14ac:dyDescent="0.25">
      <c r="C1481" s="1">
        <v>47101</v>
      </c>
      <c r="D1481" s="36">
        <v>235895.33709677399</v>
      </c>
      <c r="E1481" s="33">
        <v>4.1709677419354803</v>
      </c>
      <c r="F1481" s="33">
        <v>3.3695394623655899</v>
      </c>
      <c r="G1481" s="2">
        <v>0.80785555555555599</v>
      </c>
      <c r="H1481" s="2">
        <v>0.99</v>
      </c>
      <c r="I1481" s="3"/>
      <c r="J1481" s="3"/>
      <c r="K1481" s="3"/>
      <c r="L1481" s="3"/>
      <c r="M1481" s="3"/>
      <c r="N1481" s="3">
        <v>0</v>
      </c>
      <c r="O1481" s="3"/>
      <c r="P1481" s="3">
        <v>0</v>
      </c>
      <c r="Q1481" s="3">
        <v>0</v>
      </c>
      <c r="R1481" s="3">
        <v>0</v>
      </c>
      <c r="S1481" s="3">
        <v>0</v>
      </c>
      <c r="T1481" s="3">
        <v>0</v>
      </c>
      <c r="U1481" s="3"/>
      <c r="V1481" s="3"/>
      <c r="W1481" s="3"/>
      <c r="X1481" s="3"/>
      <c r="Y1481" s="3"/>
      <c r="Z1481" s="3"/>
      <c r="AA1481" s="3"/>
      <c r="AB1481" s="3"/>
      <c r="AC1481" s="3"/>
      <c r="AD1481" s="3"/>
      <c r="AE1481" s="3">
        <v>0</v>
      </c>
      <c r="AF1481" s="3">
        <v>0</v>
      </c>
      <c r="AG1481" s="3"/>
      <c r="AH1481" s="40"/>
      <c r="AI1481" s="40"/>
      <c r="AJ1481" s="40"/>
      <c r="AK1481" s="40"/>
      <c r="AL1481" s="40"/>
      <c r="AM1481" s="40"/>
      <c r="AN1481" s="40"/>
      <c r="AO1481" s="40"/>
      <c r="AP1481" s="40"/>
      <c r="AQ1481" s="40"/>
      <c r="AR1481" s="31"/>
      <c r="AS1481" s="36">
        <v>0</v>
      </c>
      <c r="AY1481" s="6"/>
      <c r="AZ1481" s="2"/>
      <c r="BA1481" s="2"/>
      <c r="BB1481" s="2"/>
      <c r="BC1481">
        <v>71500</v>
      </c>
      <c r="BD1481">
        <v>56992</v>
      </c>
    </row>
    <row r="1482" spans="3:56" x14ac:dyDescent="0.25">
      <c r="C1482" s="1">
        <v>47102</v>
      </c>
      <c r="D1482" s="36">
        <v>235895.33709677399</v>
      </c>
      <c r="E1482" s="33">
        <v>4.1709677419354803</v>
      </c>
      <c r="F1482" s="33">
        <v>3.36949311827957</v>
      </c>
      <c r="G1482" s="2">
        <v>0.80784444444444403</v>
      </c>
      <c r="H1482" s="2">
        <v>0.99</v>
      </c>
      <c r="I1482" s="3"/>
      <c r="J1482" s="3"/>
      <c r="K1482" s="3"/>
      <c r="L1482" s="3"/>
      <c r="M1482" s="3"/>
      <c r="N1482" s="3">
        <v>0</v>
      </c>
      <c r="O1482" s="3"/>
      <c r="P1482" s="3">
        <v>0</v>
      </c>
      <c r="Q1482" s="3">
        <v>0</v>
      </c>
      <c r="R1482" s="3">
        <v>0</v>
      </c>
      <c r="S1482" s="3">
        <v>0</v>
      </c>
      <c r="T1482" s="3">
        <v>0</v>
      </c>
      <c r="U1482" s="3"/>
      <c r="V1482" s="3"/>
      <c r="W1482" s="3"/>
      <c r="X1482" s="3"/>
      <c r="Y1482" s="3"/>
      <c r="Z1482" s="3"/>
      <c r="AA1482" s="3"/>
      <c r="AB1482" s="3"/>
      <c r="AC1482" s="3"/>
      <c r="AD1482" s="3"/>
      <c r="AE1482" s="3">
        <v>0</v>
      </c>
      <c r="AF1482" s="3">
        <v>0</v>
      </c>
      <c r="AG1482" s="3"/>
      <c r="AH1482" s="40"/>
      <c r="AI1482" s="40"/>
      <c r="AJ1482" s="40"/>
      <c r="AK1482" s="40"/>
      <c r="AL1482" s="40"/>
      <c r="AM1482" s="40"/>
      <c r="AN1482" s="40"/>
      <c r="AO1482" s="40"/>
      <c r="AP1482" s="40"/>
      <c r="AQ1482" s="40"/>
      <c r="AR1482" s="31"/>
      <c r="AS1482" s="36">
        <v>0</v>
      </c>
      <c r="AY1482" s="6"/>
      <c r="AZ1482" s="2"/>
      <c r="BA1482" s="2"/>
      <c r="BB1482" s="2"/>
      <c r="BC1482">
        <v>71500</v>
      </c>
      <c r="BD1482">
        <v>56992</v>
      </c>
    </row>
    <row r="1483" spans="3:56" x14ac:dyDescent="0.25">
      <c r="C1483" s="1">
        <v>47103</v>
      </c>
      <c r="D1483" s="36">
        <v>235895.33709677399</v>
      </c>
      <c r="E1483" s="33">
        <v>4.1709677419354803</v>
      </c>
      <c r="F1483" s="33">
        <v>3.3694467741935501</v>
      </c>
      <c r="G1483" s="2">
        <v>0.80783333333333296</v>
      </c>
      <c r="H1483" s="2">
        <v>0.99</v>
      </c>
      <c r="I1483" s="3"/>
      <c r="J1483" s="3"/>
      <c r="K1483" s="3"/>
      <c r="L1483" s="3"/>
      <c r="M1483" s="3"/>
      <c r="N1483" s="3">
        <v>0</v>
      </c>
      <c r="O1483" s="3"/>
      <c r="P1483" s="3">
        <v>0</v>
      </c>
      <c r="Q1483" s="3">
        <v>0</v>
      </c>
      <c r="R1483" s="3">
        <v>0</v>
      </c>
      <c r="S1483" s="3">
        <v>0</v>
      </c>
      <c r="T1483" s="3">
        <v>0</v>
      </c>
      <c r="U1483" s="3"/>
      <c r="V1483" s="3"/>
      <c r="W1483" s="3"/>
      <c r="X1483" s="3"/>
      <c r="Y1483" s="3"/>
      <c r="Z1483" s="3"/>
      <c r="AA1483" s="3"/>
      <c r="AB1483" s="3"/>
      <c r="AC1483" s="3"/>
      <c r="AD1483" s="3"/>
      <c r="AE1483" s="3">
        <v>0</v>
      </c>
      <c r="AF1483" s="3">
        <v>0</v>
      </c>
      <c r="AG1483" s="3"/>
      <c r="AH1483" s="40"/>
      <c r="AI1483" s="40"/>
      <c r="AJ1483" s="40"/>
      <c r="AK1483" s="40"/>
      <c r="AL1483" s="40"/>
      <c r="AM1483" s="40"/>
      <c r="AN1483" s="40"/>
      <c r="AO1483" s="40"/>
      <c r="AP1483" s="40"/>
      <c r="AQ1483" s="40"/>
      <c r="AR1483" s="31"/>
      <c r="AS1483" s="36">
        <v>0</v>
      </c>
      <c r="AY1483" s="6"/>
      <c r="AZ1483" s="2"/>
      <c r="BA1483" s="2"/>
      <c r="BB1483" s="2"/>
      <c r="BC1483">
        <v>71500</v>
      </c>
      <c r="BD1483">
        <v>56992</v>
      </c>
    </row>
    <row r="1484" spans="3:56" x14ac:dyDescent="0.25">
      <c r="C1484" s="1">
        <v>47104</v>
      </c>
      <c r="D1484" s="36">
        <v>235895.33709677399</v>
      </c>
      <c r="E1484" s="33">
        <v>4.1709677419354803</v>
      </c>
      <c r="F1484" s="33">
        <v>3.3694004301075302</v>
      </c>
      <c r="G1484" s="2">
        <v>0.807822222222222</v>
      </c>
      <c r="H1484" s="2">
        <v>0.99</v>
      </c>
      <c r="I1484" s="3"/>
      <c r="J1484" s="3"/>
      <c r="K1484" s="3"/>
      <c r="L1484" s="3"/>
      <c r="M1484" s="3"/>
      <c r="N1484" s="3">
        <v>0</v>
      </c>
      <c r="O1484" s="3"/>
      <c r="P1484" s="3">
        <v>0</v>
      </c>
      <c r="Q1484" s="3">
        <v>0</v>
      </c>
      <c r="R1484" s="3">
        <v>0</v>
      </c>
      <c r="S1484" s="3">
        <v>0</v>
      </c>
      <c r="T1484" s="3">
        <v>0</v>
      </c>
      <c r="U1484" s="3"/>
      <c r="V1484" s="3"/>
      <c r="W1484" s="3"/>
      <c r="X1484" s="3"/>
      <c r="Y1484" s="3"/>
      <c r="Z1484" s="3"/>
      <c r="AA1484" s="3"/>
      <c r="AB1484" s="3"/>
      <c r="AC1484" s="3"/>
      <c r="AD1484" s="3"/>
      <c r="AE1484" s="3">
        <v>0</v>
      </c>
      <c r="AF1484" s="3">
        <v>0</v>
      </c>
      <c r="AG1484" s="3"/>
      <c r="AH1484" s="40"/>
      <c r="AI1484" s="40"/>
      <c r="AJ1484" s="40"/>
      <c r="AK1484" s="40"/>
      <c r="AL1484" s="40"/>
      <c r="AM1484" s="40"/>
      <c r="AN1484" s="40"/>
      <c r="AO1484" s="40"/>
      <c r="AP1484" s="40"/>
      <c r="AQ1484" s="40"/>
      <c r="AR1484" s="31"/>
      <c r="AS1484" s="36">
        <v>0</v>
      </c>
      <c r="AY1484" s="6"/>
      <c r="AZ1484" s="2"/>
      <c r="BA1484" s="2"/>
      <c r="BB1484" s="2"/>
      <c r="BC1484">
        <v>71500</v>
      </c>
      <c r="BD1484">
        <v>56992</v>
      </c>
    </row>
    <row r="1485" spans="3:56" x14ac:dyDescent="0.25">
      <c r="C1485" s="1">
        <v>47105</v>
      </c>
      <c r="D1485" s="36">
        <v>235895.33709677399</v>
      </c>
      <c r="E1485" s="33">
        <v>4.1709677419354803</v>
      </c>
      <c r="F1485" s="33">
        <v>3.3693540860215099</v>
      </c>
      <c r="G1485" s="2">
        <v>0.80781111111111104</v>
      </c>
      <c r="H1485" s="2">
        <v>0.99</v>
      </c>
      <c r="I1485" s="3"/>
      <c r="J1485" s="3"/>
      <c r="K1485" s="3"/>
      <c r="L1485" s="3"/>
      <c r="M1485" s="3"/>
      <c r="N1485" s="3">
        <v>0</v>
      </c>
      <c r="O1485" s="3"/>
      <c r="P1485" s="3">
        <v>0</v>
      </c>
      <c r="Q1485" s="3">
        <v>0</v>
      </c>
      <c r="R1485" s="3">
        <v>0</v>
      </c>
      <c r="S1485" s="3">
        <v>0</v>
      </c>
      <c r="T1485" s="3">
        <v>0</v>
      </c>
      <c r="U1485" s="3"/>
      <c r="V1485" s="3"/>
      <c r="W1485" s="3"/>
      <c r="X1485" s="3"/>
      <c r="Y1485" s="3"/>
      <c r="Z1485" s="3"/>
      <c r="AA1485" s="3"/>
      <c r="AB1485" s="3"/>
      <c r="AC1485" s="3"/>
      <c r="AD1485" s="3"/>
      <c r="AE1485" s="3">
        <v>0</v>
      </c>
      <c r="AF1485" s="3">
        <v>0</v>
      </c>
      <c r="AG1485" s="3"/>
      <c r="AH1485" s="40"/>
      <c r="AI1485" s="40"/>
      <c r="AJ1485" s="40"/>
      <c r="AK1485" s="40"/>
      <c r="AL1485" s="40"/>
      <c r="AM1485" s="40"/>
      <c r="AN1485" s="40"/>
      <c r="AO1485" s="40"/>
      <c r="AP1485" s="40"/>
      <c r="AQ1485" s="40"/>
      <c r="AR1485" s="31"/>
      <c r="AS1485" s="36">
        <v>0</v>
      </c>
      <c r="AY1485" s="6"/>
      <c r="AZ1485" s="2"/>
      <c r="BA1485" s="2"/>
      <c r="BB1485" s="2"/>
      <c r="BC1485">
        <v>71500</v>
      </c>
      <c r="BD1485">
        <v>56992</v>
      </c>
    </row>
    <row r="1486" spans="3:56" x14ac:dyDescent="0.25">
      <c r="C1486" s="1">
        <v>47106</v>
      </c>
      <c r="D1486" s="36">
        <v>235895.33709677399</v>
      </c>
      <c r="E1486" s="33">
        <v>4.1709677419354803</v>
      </c>
      <c r="F1486" s="33">
        <v>3.3693077419354802</v>
      </c>
      <c r="G1486" s="2">
        <v>0.80779999999999996</v>
      </c>
      <c r="H1486" s="2">
        <v>0.99</v>
      </c>
      <c r="I1486" s="3"/>
      <c r="J1486" s="3"/>
      <c r="K1486" s="3"/>
      <c r="L1486" s="3"/>
      <c r="M1486" s="3"/>
      <c r="N1486" s="3">
        <v>0</v>
      </c>
      <c r="O1486" s="3"/>
      <c r="P1486" s="3">
        <v>0</v>
      </c>
      <c r="Q1486" s="3">
        <v>0</v>
      </c>
      <c r="R1486" s="3">
        <v>0</v>
      </c>
      <c r="S1486" s="3">
        <v>0</v>
      </c>
      <c r="T1486" s="3">
        <v>0</v>
      </c>
      <c r="U1486" s="3"/>
      <c r="V1486" s="3"/>
      <c r="W1486" s="3"/>
      <c r="X1486" s="3"/>
      <c r="Y1486" s="3"/>
      <c r="Z1486" s="3"/>
      <c r="AA1486" s="3"/>
      <c r="AB1486" s="3"/>
      <c r="AC1486" s="3"/>
      <c r="AD1486" s="3"/>
      <c r="AE1486" s="3">
        <v>0</v>
      </c>
      <c r="AF1486" s="3">
        <v>0</v>
      </c>
      <c r="AG1486" s="3"/>
      <c r="AH1486" s="40"/>
      <c r="AI1486" s="40"/>
      <c r="AJ1486" s="40"/>
      <c r="AK1486" s="40"/>
      <c r="AL1486" s="40"/>
      <c r="AM1486" s="40"/>
      <c r="AN1486" s="40"/>
      <c r="AO1486" s="40"/>
      <c r="AP1486" s="40"/>
      <c r="AQ1486" s="40"/>
      <c r="AR1486" s="31"/>
      <c r="AS1486" s="36">
        <v>0</v>
      </c>
      <c r="AY1486" s="6"/>
      <c r="AZ1486" s="2"/>
      <c r="BA1486" s="2"/>
      <c r="BB1486" s="2"/>
      <c r="BC1486">
        <v>71500</v>
      </c>
      <c r="BD1486">
        <v>56992</v>
      </c>
    </row>
    <row r="1487" spans="3:56" x14ac:dyDescent="0.25">
      <c r="C1487" s="1">
        <v>47107</v>
      </c>
      <c r="D1487" s="36">
        <v>235895.33709677399</v>
      </c>
      <c r="E1487" s="33">
        <v>4.1709677419354803</v>
      </c>
      <c r="F1487" s="33">
        <v>3.3692613978494599</v>
      </c>
      <c r="G1487" s="2">
        <v>0.807788888888889</v>
      </c>
      <c r="H1487" s="2">
        <v>0.99</v>
      </c>
      <c r="I1487" s="3"/>
      <c r="J1487" s="3"/>
      <c r="K1487" s="3"/>
      <c r="L1487" s="3"/>
      <c r="M1487" s="3"/>
      <c r="N1487" s="3">
        <v>0</v>
      </c>
      <c r="O1487" s="3"/>
      <c r="P1487" s="3">
        <v>0</v>
      </c>
      <c r="Q1487" s="3">
        <v>0</v>
      </c>
      <c r="R1487" s="3">
        <v>0</v>
      </c>
      <c r="S1487" s="3">
        <v>0</v>
      </c>
      <c r="T1487" s="3">
        <v>0</v>
      </c>
      <c r="U1487" s="3"/>
      <c r="V1487" s="3"/>
      <c r="W1487" s="3"/>
      <c r="X1487" s="3"/>
      <c r="Y1487" s="3"/>
      <c r="Z1487" s="3"/>
      <c r="AA1487" s="3"/>
      <c r="AB1487" s="3"/>
      <c r="AC1487" s="3"/>
      <c r="AD1487" s="3"/>
      <c r="AE1487" s="3">
        <v>0</v>
      </c>
      <c r="AF1487" s="3">
        <v>0</v>
      </c>
      <c r="AG1487" s="3"/>
      <c r="AH1487" s="40"/>
      <c r="AI1487" s="40"/>
      <c r="AJ1487" s="40"/>
      <c r="AK1487" s="40"/>
      <c r="AL1487" s="40"/>
      <c r="AM1487" s="40"/>
      <c r="AN1487" s="40"/>
      <c r="AO1487" s="40"/>
      <c r="AP1487" s="40"/>
      <c r="AQ1487" s="40"/>
      <c r="AR1487" s="31"/>
      <c r="AS1487" s="36">
        <v>0</v>
      </c>
      <c r="AY1487" s="6"/>
      <c r="AZ1487" s="2"/>
      <c r="BA1487" s="2"/>
      <c r="BB1487" s="2"/>
      <c r="BC1487">
        <v>71500</v>
      </c>
      <c r="BD1487">
        <v>56992</v>
      </c>
    </row>
    <row r="1488" spans="3:56" x14ac:dyDescent="0.25">
      <c r="C1488" s="1">
        <v>47108</v>
      </c>
      <c r="D1488" s="36">
        <v>235895.33709677399</v>
      </c>
      <c r="E1488" s="33">
        <v>4.1709677419354803</v>
      </c>
      <c r="F1488" s="33">
        <v>3.36921505376344</v>
      </c>
      <c r="G1488" s="2">
        <v>0.80777777777777804</v>
      </c>
      <c r="H1488" s="2">
        <v>0.99</v>
      </c>
      <c r="I1488" s="3"/>
      <c r="J1488" s="3"/>
      <c r="K1488" s="3"/>
      <c r="L1488" s="3"/>
      <c r="M1488" s="3"/>
      <c r="N1488" s="3">
        <v>0</v>
      </c>
      <c r="O1488" s="3"/>
      <c r="P1488" s="3">
        <v>0</v>
      </c>
      <c r="Q1488" s="3">
        <v>0</v>
      </c>
      <c r="R1488" s="3">
        <v>0</v>
      </c>
      <c r="S1488" s="3">
        <v>0</v>
      </c>
      <c r="T1488" s="3">
        <v>0</v>
      </c>
      <c r="U1488" s="3"/>
      <c r="V1488" s="3"/>
      <c r="W1488" s="3"/>
      <c r="X1488" s="3"/>
      <c r="Y1488" s="3"/>
      <c r="Z1488" s="3"/>
      <c r="AA1488" s="3"/>
      <c r="AB1488" s="3"/>
      <c r="AC1488" s="3"/>
      <c r="AD1488" s="3"/>
      <c r="AE1488" s="3">
        <v>0</v>
      </c>
      <c r="AF1488" s="3">
        <v>0</v>
      </c>
      <c r="AG1488" s="3"/>
      <c r="AH1488" s="40"/>
      <c r="AI1488" s="40"/>
      <c r="AJ1488" s="40"/>
      <c r="AK1488" s="40"/>
      <c r="AL1488" s="40"/>
      <c r="AM1488" s="40"/>
      <c r="AN1488" s="40"/>
      <c r="AO1488" s="40"/>
      <c r="AP1488" s="40"/>
      <c r="AQ1488" s="40"/>
      <c r="AR1488" s="31"/>
      <c r="AS1488" s="36">
        <v>0</v>
      </c>
      <c r="AY1488" s="6"/>
      <c r="AZ1488" s="2"/>
      <c r="BA1488" s="2"/>
      <c r="BB1488" s="2"/>
      <c r="BC1488">
        <v>71500</v>
      </c>
      <c r="BD1488">
        <v>56992</v>
      </c>
    </row>
    <row r="1489" spans="3:56" x14ac:dyDescent="0.25">
      <c r="C1489" s="1">
        <v>47109</v>
      </c>
      <c r="D1489" s="36">
        <v>235895.33709677399</v>
      </c>
      <c r="E1489" s="33">
        <v>4.1709677419354803</v>
      </c>
      <c r="F1489" s="33">
        <v>3.3691687096774201</v>
      </c>
      <c r="G1489" s="2">
        <v>0.80776666666666697</v>
      </c>
      <c r="H1489" s="2">
        <v>0.99</v>
      </c>
      <c r="I1489" s="3"/>
      <c r="J1489" s="3"/>
      <c r="K1489" s="3"/>
      <c r="L1489" s="3"/>
      <c r="M1489" s="3"/>
      <c r="N1489" s="3">
        <v>0</v>
      </c>
      <c r="O1489" s="3"/>
      <c r="P1489" s="3">
        <v>0</v>
      </c>
      <c r="Q1489" s="3">
        <v>0</v>
      </c>
      <c r="R1489" s="3">
        <v>0</v>
      </c>
      <c r="S1489" s="3">
        <v>0</v>
      </c>
      <c r="T1489" s="3">
        <v>0</v>
      </c>
      <c r="U1489" s="3"/>
      <c r="V1489" s="3"/>
      <c r="W1489" s="3"/>
      <c r="X1489" s="3"/>
      <c r="Y1489" s="3"/>
      <c r="Z1489" s="3"/>
      <c r="AA1489" s="3"/>
      <c r="AB1489" s="3"/>
      <c r="AC1489" s="3"/>
      <c r="AD1489" s="3"/>
      <c r="AE1489" s="3">
        <v>0</v>
      </c>
      <c r="AF1489" s="3">
        <v>0</v>
      </c>
      <c r="AG1489" s="3"/>
      <c r="AH1489" s="40"/>
      <c r="AI1489" s="40"/>
      <c r="AJ1489" s="40"/>
      <c r="AK1489" s="40"/>
      <c r="AL1489" s="40"/>
      <c r="AM1489" s="40"/>
      <c r="AN1489" s="40"/>
      <c r="AO1489" s="40"/>
      <c r="AP1489" s="40"/>
      <c r="AQ1489" s="40"/>
      <c r="AR1489" s="31"/>
      <c r="AS1489" s="36">
        <v>0</v>
      </c>
      <c r="AY1489" s="6"/>
      <c r="AZ1489" s="2"/>
      <c r="BA1489" s="2"/>
      <c r="BB1489" s="2"/>
      <c r="BC1489">
        <v>71500</v>
      </c>
      <c r="BD1489">
        <v>56992</v>
      </c>
    </row>
    <row r="1490" spans="3:56" x14ac:dyDescent="0.25">
      <c r="C1490" s="1">
        <v>47110</v>
      </c>
      <c r="D1490" s="36">
        <v>235895.33709677399</v>
      </c>
      <c r="E1490" s="33">
        <v>4.1709677419354803</v>
      </c>
      <c r="F1490" s="33">
        <v>3.3691223655914002</v>
      </c>
      <c r="G1490" s="2">
        <v>0.807755555555556</v>
      </c>
      <c r="H1490" s="2">
        <v>0.99</v>
      </c>
      <c r="I1490" s="3"/>
      <c r="J1490" s="3"/>
      <c r="K1490" s="3"/>
      <c r="L1490" s="3"/>
      <c r="M1490" s="3"/>
      <c r="N1490" s="3">
        <v>0</v>
      </c>
      <c r="O1490" s="3"/>
      <c r="P1490" s="3">
        <v>0</v>
      </c>
      <c r="Q1490" s="3">
        <v>0</v>
      </c>
      <c r="R1490" s="3">
        <v>0</v>
      </c>
      <c r="S1490" s="3">
        <v>0</v>
      </c>
      <c r="T1490" s="3">
        <v>0</v>
      </c>
      <c r="U1490" s="3"/>
      <c r="V1490" s="3"/>
      <c r="W1490" s="3"/>
      <c r="X1490" s="3"/>
      <c r="Y1490" s="3"/>
      <c r="Z1490" s="3"/>
      <c r="AA1490" s="3"/>
      <c r="AB1490" s="3"/>
      <c r="AC1490" s="3"/>
      <c r="AD1490" s="3"/>
      <c r="AE1490" s="3">
        <v>0</v>
      </c>
      <c r="AF1490" s="3">
        <v>0</v>
      </c>
      <c r="AG1490" s="3"/>
      <c r="AH1490" s="40"/>
      <c r="AI1490" s="40"/>
      <c r="AJ1490" s="40"/>
      <c r="AK1490" s="40"/>
      <c r="AL1490" s="40"/>
      <c r="AM1490" s="40"/>
      <c r="AN1490" s="40"/>
      <c r="AO1490" s="40"/>
      <c r="AP1490" s="40"/>
      <c r="AQ1490" s="40"/>
      <c r="AR1490" s="31"/>
      <c r="AS1490" s="36">
        <v>0</v>
      </c>
      <c r="AY1490" s="6"/>
      <c r="AZ1490" s="2"/>
      <c r="BA1490" s="2"/>
      <c r="BB1490" s="2"/>
      <c r="BC1490">
        <v>71500</v>
      </c>
      <c r="BD1490">
        <v>56992</v>
      </c>
    </row>
    <row r="1491" spans="3:56" x14ac:dyDescent="0.25">
      <c r="C1491" s="1">
        <v>47111</v>
      </c>
      <c r="D1491" s="36">
        <v>235895.33709677399</v>
      </c>
      <c r="E1491" s="33">
        <v>4.1709677419354803</v>
      </c>
      <c r="F1491" s="33">
        <v>3.3690760215053799</v>
      </c>
      <c r="G1491" s="2">
        <v>0.80774444444444404</v>
      </c>
      <c r="H1491" s="2">
        <v>0.99</v>
      </c>
      <c r="I1491" s="3"/>
      <c r="J1491" s="3"/>
      <c r="K1491" s="3"/>
      <c r="L1491" s="3"/>
      <c r="M1491" s="3"/>
      <c r="N1491" s="3">
        <v>0</v>
      </c>
      <c r="O1491" s="3"/>
      <c r="P1491" s="3">
        <v>0</v>
      </c>
      <c r="Q1491" s="3">
        <v>0</v>
      </c>
      <c r="R1491" s="3">
        <v>0</v>
      </c>
      <c r="S1491" s="3">
        <v>0</v>
      </c>
      <c r="T1491" s="3">
        <v>0</v>
      </c>
      <c r="U1491" s="3"/>
      <c r="V1491" s="3"/>
      <c r="W1491" s="3"/>
      <c r="X1491" s="3"/>
      <c r="Y1491" s="3"/>
      <c r="Z1491" s="3"/>
      <c r="AA1491" s="3"/>
      <c r="AB1491" s="3"/>
      <c r="AC1491" s="3"/>
      <c r="AD1491" s="3"/>
      <c r="AE1491" s="3">
        <v>0</v>
      </c>
      <c r="AF1491" s="3">
        <v>0</v>
      </c>
      <c r="AG1491" s="3"/>
      <c r="AH1491" s="40"/>
      <c r="AI1491" s="40"/>
      <c r="AJ1491" s="40"/>
      <c r="AK1491" s="40"/>
      <c r="AL1491" s="40"/>
      <c r="AM1491" s="40"/>
      <c r="AN1491" s="40"/>
      <c r="AO1491" s="40"/>
      <c r="AP1491" s="40"/>
      <c r="AQ1491" s="40"/>
      <c r="AR1491" s="31"/>
      <c r="AS1491" s="36">
        <v>0</v>
      </c>
      <c r="AY1491" s="6"/>
      <c r="AZ1491" s="2"/>
      <c r="BA1491" s="2"/>
      <c r="BB1491" s="2"/>
      <c r="BC1491">
        <v>71500</v>
      </c>
      <c r="BD1491">
        <v>56992</v>
      </c>
    </row>
    <row r="1492" spans="3:56" x14ac:dyDescent="0.25">
      <c r="C1492" s="1">
        <v>47112</v>
      </c>
      <c r="D1492" s="36">
        <v>235895.33709677399</v>
      </c>
      <c r="E1492" s="33">
        <v>4.1709677419354803</v>
      </c>
      <c r="F1492" s="33">
        <v>3.3690296774193502</v>
      </c>
      <c r="G1492" s="2">
        <v>0.80773333333333297</v>
      </c>
      <c r="H1492" s="2">
        <v>0.99</v>
      </c>
      <c r="I1492" s="3"/>
      <c r="J1492" s="3"/>
      <c r="K1492" s="3"/>
      <c r="L1492" s="3"/>
      <c r="M1492" s="3"/>
      <c r="N1492" s="3">
        <v>0</v>
      </c>
      <c r="O1492" s="3"/>
      <c r="P1492" s="3">
        <v>0</v>
      </c>
      <c r="Q1492" s="3">
        <v>0</v>
      </c>
      <c r="R1492" s="3">
        <v>0</v>
      </c>
      <c r="S1492" s="3">
        <v>0</v>
      </c>
      <c r="T1492" s="3">
        <v>0</v>
      </c>
      <c r="U1492" s="3"/>
      <c r="V1492" s="3"/>
      <c r="W1492" s="3"/>
      <c r="X1492" s="3"/>
      <c r="Y1492" s="3"/>
      <c r="Z1492" s="3"/>
      <c r="AA1492" s="3"/>
      <c r="AB1492" s="3"/>
      <c r="AC1492" s="3"/>
      <c r="AD1492" s="3"/>
      <c r="AE1492" s="3">
        <v>0</v>
      </c>
      <c r="AF1492" s="3">
        <v>0</v>
      </c>
      <c r="AG1492" s="3"/>
      <c r="AH1492" s="40"/>
      <c r="AI1492" s="40"/>
      <c r="AJ1492" s="40"/>
      <c r="AK1492" s="40"/>
      <c r="AL1492" s="40"/>
      <c r="AM1492" s="40"/>
      <c r="AN1492" s="40"/>
      <c r="AO1492" s="40"/>
      <c r="AP1492" s="40"/>
      <c r="AQ1492" s="40"/>
      <c r="AR1492" s="31"/>
      <c r="AS1492" s="36">
        <v>0</v>
      </c>
      <c r="AY1492" s="6"/>
      <c r="AZ1492" s="2"/>
      <c r="BA1492" s="2"/>
      <c r="BB1492" s="2"/>
      <c r="BC1492">
        <v>71500</v>
      </c>
      <c r="BD1492">
        <v>56992</v>
      </c>
    </row>
    <row r="1493" spans="3:56" x14ac:dyDescent="0.25">
      <c r="C1493" s="1">
        <v>47113</v>
      </c>
      <c r="D1493" s="36">
        <v>235895.33709677399</v>
      </c>
      <c r="E1493" s="33">
        <v>4.1709677419354803</v>
      </c>
      <c r="F1493" s="33">
        <v>3.3689833333333299</v>
      </c>
      <c r="G1493" s="2">
        <v>0.80772222222222201</v>
      </c>
      <c r="H1493" s="2">
        <v>0.99</v>
      </c>
      <c r="I1493" s="3"/>
      <c r="J1493" s="3"/>
      <c r="K1493" s="3"/>
      <c r="L1493" s="3"/>
      <c r="M1493" s="3"/>
      <c r="N1493" s="3">
        <v>0</v>
      </c>
      <c r="O1493" s="3"/>
      <c r="P1493" s="3">
        <v>0</v>
      </c>
      <c r="Q1493" s="3">
        <v>0</v>
      </c>
      <c r="R1493" s="3">
        <v>0</v>
      </c>
      <c r="S1493" s="3">
        <v>0</v>
      </c>
      <c r="T1493" s="3">
        <v>0</v>
      </c>
      <c r="U1493" s="3"/>
      <c r="V1493" s="3"/>
      <c r="W1493" s="3"/>
      <c r="X1493" s="3"/>
      <c r="Y1493" s="3"/>
      <c r="Z1493" s="3"/>
      <c r="AA1493" s="3"/>
      <c r="AB1493" s="3"/>
      <c r="AC1493" s="3"/>
      <c r="AD1493" s="3"/>
      <c r="AE1493" s="3">
        <v>0</v>
      </c>
      <c r="AF1493" s="3">
        <v>0</v>
      </c>
      <c r="AG1493" s="3"/>
      <c r="AH1493" s="40"/>
      <c r="AI1493" s="40"/>
      <c r="AJ1493" s="40"/>
      <c r="AK1493" s="40"/>
      <c r="AL1493" s="40"/>
      <c r="AM1493" s="40"/>
      <c r="AN1493" s="40"/>
      <c r="AO1493" s="40"/>
      <c r="AP1493" s="40"/>
      <c r="AQ1493" s="40"/>
      <c r="AR1493" s="31"/>
      <c r="AS1493" s="36">
        <v>0</v>
      </c>
      <c r="AY1493" s="6"/>
      <c r="AZ1493" s="2"/>
      <c r="BA1493" s="2"/>
      <c r="BB1493" s="2"/>
      <c r="BC1493">
        <v>71500</v>
      </c>
      <c r="BD1493">
        <v>56992</v>
      </c>
    </row>
    <row r="1494" spans="3:56" x14ac:dyDescent="0.25">
      <c r="C1494" s="1">
        <v>47114</v>
      </c>
      <c r="D1494" s="36">
        <v>235895.33709677399</v>
      </c>
      <c r="E1494" s="33">
        <v>4.1709677419354803</v>
      </c>
      <c r="F1494" s="33">
        <v>3.36893698924731</v>
      </c>
      <c r="G1494" s="2">
        <v>0.80771111111111105</v>
      </c>
      <c r="H1494" s="2">
        <v>0.99</v>
      </c>
      <c r="I1494" s="3"/>
      <c r="J1494" s="3"/>
      <c r="K1494" s="3"/>
      <c r="L1494" s="3"/>
      <c r="M1494" s="3"/>
      <c r="N1494" s="3">
        <v>0</v>
      </c>
      <c r="O1494" s="3"/>
      <c r="P1494" s="3">
        <v>0</v>
      </c>
      <c r="Q1494" s="3">
        <v>0</v>
      </c>
      <c r="R1494" s="3">
        <v>0</v>
      </c>
      <c r="S1494" s="3">
        <v>0</v>
      </c>
      <c r="T1494" s="3">
        <v>0</v>
      </c>
      <c r="U1494" s="3"/>
      <c r="V1494" s="3"/>
      <c r="W1494" s="3"/>
      <c r="X1494" s="3"/>
      <c r="Y1494" s="3"/>
      <c r="Z1494" s="3"/>
      <c r="AA1494" s="3"/>
      <c r="AB1494" s="3"/>
      <c r="AC1494" s="3"/>
      <c r="AD1494" s="3"/>
      <c r="AE1494" s="3">
        <v>0</v>
      </c>
      <c r="AF1494" s="3">
        <v>0</v>
      </c>
      <c r="AG1494" s="3"/>
      <c r="AH1494" s="40"/>
      <c r="AI1494" s="40"/>
      <c r="AJ1494" s="40"/>
      <c r="AK1494" s="40"/>
      <c r="AL1494" s="40"/>
      <c r="AM1494" s="40"/>
      <c r="AN1494" s="40"/>
      <c r="AO1494" s="40"/>
      <c r="AP1494" s="40"/>
      <c r="AQ1494" s="40"/>
      <c r="AR1494" s="31"/>
      <c r="AS1494" s="36">
        <v>0</v>
      </c>
      <c r="AY1494" s="6"/>
      <c r="AZ1494" s="2"/>
      <c r="BA1494" s="2"/>
      <c r="BB1494" s="2"/>
      <c r="BC1494">
        <v>71500</v>
      </c>
      <c r="BD1494">
        <v>56992</v>
      </c>
    </row>
    <row r="1495" spans="3:56" x14ac:dyDescent="0.25">
      <c r="C1495" s="1">
        <v>47115</v>
      </c>
      <c r="D1495" s="36">
        <v>235895.33709677399</v>
      </c>
      <c r="E1495" s="33">
        <v>4.1709677419354803</v>
      </c>
      <c r="F1495" s="33">
        <v>3.3688906451612901</v>
      </c>
      <c r="G1495" s="2">
        <v>0.80769999999999997</v>
      </c>
      <c r="H1495" s="2">
        <v>0.99</v>
      </c>
      <c r="I1495" s="3"/>
      <c r="J1495" s="3"/>
      <c r="K1495" s="3"/>
      <c r="L1495" s="3"/>
      <c r="M1495" s="3"/>
      <c r="N1495" s="3">
        <v>0</v>
      </c>
      <c r="O1495" s="3"/>
      <c r="P1495" s="3">
        <v>0</v>
      </c>
      <c r="Q1495" s="3">
        <v>0</v>
      </c>
      <c r="R1495" s="3">
        <v>0</v>
      </c>
      <c r="S1495" s="3">
        <v>0</v>
      </c>
      <c r="T1495" s="3">
        <v>0</v>
      </c>
      <c r="U1495" s="3"/>
      <c r="V1495" s="3"/>
      <c r="W1495" s="3"/>
      <c r="X1495" s="3"/>
      <c r="Y1495" s="3"/>
      <c r="Z1495" s="3"/>
      <c r="AA1495" s="3"/>
      <c r="AB1495" s="3"/>
      <c r="AC1495" s="3"/>
      <c r="AD1495" s="3"/>
      <c r="AE1495" s="3">
        <v>0</v>
      </c>
      <c r="AF1495" s="3">
        <v>0</v>
      </c>
      <c r="AG1495" s="3"/>
      <c r="AH1495" s="40"/>
      <c r="AI1495" s="40"/>
      <c r="AJ1495" s="40"/>
      <c r="AK1495" s="40"/>
      <c r="AL1495" s="40"/>
      <c r="AM1495" s="40"/>
      <c r="AN1495" s="40"/>
      <c r="AO1495" s="40"/>
      <c r="AP1495" s="40"/>
      <c r="AQ1495" s="40"/>
      <c r="AR1495" s="31"/>
      <c r="AS1495" s="36">
        <v>0</v>
      </c>
      <c r="AY1495" s="6"/>
      <c r="AZ1495" s="2"/>
      <c r="BA1495" s="2"/>
      <c r="BB1495" s="2"/>
      <c r="BC1495">
        <v>71500</v>
      </c>
      <c r="BD1495">
        <v>56992</v>
      </c>
    </row>
    <row r="1496" spans="3:56" x14ac:dyDescent="0.25">
      <c r="C1496" s="1">
        <v>47116</v>
      </c>
      <c r="D1496" s="36">
        <v>235895.33709677399</v>
      </c>
      <c r="E1496" s="33">
        <v>4.1709677419354803</v>
      </c>
      <c r="F1496" s="33">
        <v>3.3688443010752702</v>
      </c>
      <c r="G1496" s="2">
        <v>0.80768888888888901</v>
      </c>
      <c r="H1496" s="2">
        <v>0.99</v>
      </c>
      <c r="I1496" s="3"/>
      <c r="J1496" s="3"/>
      <c r="K1496" s="3"/>
      <c r="L1496" s="3"/>
      <c r="M1496" s="3"/>
      <c r="N1496" s="3">
        <v>0</v>
      </c>
      <c r="O1496" s="3"/>
      <c r="P1496" s="3">
        <v>0</v>
      </c>
      <c r="Q1496" s="3">
        <v>0</v>
      </c>
      <c r="R1496" s="3">
        <v>0</v>
      </c>
      <c r="S1496" s="3">
        <v>0</v>
      </c>
      <c r="T1496" s="3">
        <v>0</v>
      </c>
      <c r="U1496" s="3"/>
      <c r="V1496" s="3"/>
      <c r="W1496" s="3"/>
      <c r="X1496" s="3"/>
      <c r="Y1496" s="3"/>
      <c r="Z1496" s="3"/>
      <c r="AA1496" s="3"/>
      <c r="AB1496" s="3"/>
      <c r="AC1496" s="3"/>
      <c r="AD1496" s="3"/>
      <c r="AE1496" s="3">
        <v>0</v>
      </c>
      <c r="AF1496" s="3">
        <v>0</v>
      </c>
      <c r="AG1496" s="3"/>
      <c r="AH1496" s="40"/>
      <c r="AI1496" s="40"/>
      <c r="AJ1496" s="40"/>
      <c r="AK1496" s="40"/>
      <c r="AL1496" s="40"/>
      <c r="AM1496" s="40"/>
      <c r="AN1496" s="40"/>
      <c r="AO1496" s="40"/>
      <c r="AP1496" s="40"/>
      <c r="AQ1496" s="40"/>
      <c r="AR1496" s="31"/>
      <c r="AS1496" s="36">
        <v>0</v>
      </c>
      <c r="AY1496" s="6"/>
      <c r="AZ1496" s="2"/>
      <c r="BA1496" s="2"/>
      <c r="BB1496" s="2"/>
      <c r="BC1496">
        <v>71500</v>
      </c>
      <c r="BD1496">
        <v>56992</v>
      </c>
    </row>
    <row r="1497" spans="3:56" x14ac:dyDescent="0.25">
      <c r="C1497" s="1">
        <v>47117</v>
      </c>
      <c r="D1497" s="36">
        <v>235895.33709677399</v>
      </c>
      <c r="E1497" s="33">
        <v>4.1709677419354803</v>
      </c>
      <c r="F1497" s="33">
        <v>3.3687979569892499</v>
      </c>
      <c r="G1497" s="2">
        <v>0.80767777777777805</v>
      </c>
      <c r="H1497" s="2">
        <v>0.99</v>
      </c>
      <c r="I1497" s="3"/>
      <c r="J1497" s="3"/>
      <c r="K1497" s="3"/>
      <c r="L1497" s="3"/>
      <c r="M1497" s="3"/>
      <c r="N1497" s="3">
        <v>0</v>
      </c>
      <c r="O1497" s="3"/>
      <c r="P1497" s="3">
        <v>0</v>
      </c>
      <c r="Q1497" s="3">
        <v>0</v>
      </c>
      <c r="R1497" s="3">
        <v>0</v>
      </c>
      <c r="S1497" s="3">
        <v>0</v>
      </c>
      <c r="T1497" s="3">
        <v>0</v>
      </c>
      <c r="U1497" s="3"/>
      <c r="V1497" s="3"/>
      <c r="W1497" s="3"/>
      <c r="X1497" s="3"/>
      <c r="Y1497" s="3"/>
      <c r="Z1497" s="3"/>
      <c r="AA1497" s="3"/>
      <c r="AB1497" s="3"/>
      <c r="AC1497" s="3"/>
      <c r="AD1497" s="3"/>
      <c r="AE1497" s="3">
        <v>0</v>
      </c>
      <c r="AF1497" s="3">
        <v>0</v>
      </c>
      <c r="AG1497" s="3"/>
      <c r="AH1497" s="40"/>
      <c r="AI1497" s="40"/>
      <c r="AJ1497" s="40"/>
      <c r="AK1497" s="40"/>
      <c r="AL1497" s="40"/>
      <c r="AM1497" s="40"/>
      <c r="AN1497" s="40"/>
      <c r="AO1497" s="40"/>
      <c r="AP1497" s="40"/>
      <c r="AQ1497" s="40"/>
      <c r="AR1497" s="31"/>
      <c r="AS1497" s="36">
        <v>0</v>
      </c>
      <c r="AY1497" s="6"/>
      <c r="AZ1497" s="2"/>
      <c r="BA1497" s="2"/>
      <c r="BB1497" s="2"/>
      <c r="BC1497">
        <v>71500</v>
      </c>
      <c r="BD1497">
        <v>56992</v>
      </c>
    </row>
    <row r="1498" spans="3:56" x14ac:dyDescent="0.25">
      <c r="C1498" s="1">
        <v>47118</v>
      </c>
      <c r="D1498" s="36">
        <v>235895.33709677399</v>
      </c>
      <c r="E1498" s="33">
        <v>4.1709677419354803</v>
      </c>
      <c r="F1498" s="33">
        <v>3.36875161290323</v>
      </c>
      <c r="G1498" s="2">
        <v>0.80766666666666698</v>
      </c>
      <c r="H1498" s="2">
        <v>0.99</v>
      </c>
      <c r="I1498" s="3"/>
      <c r="J1498" s="3"/>
      <c r="K1498" s="3"/>
      <c r="L1498" s="3"/>
      <c r="M1498" s="3"/>
      <c r="N1498" s="3">
        <v>0</v>
      </c>
      <c r="O1498" s="3"/>
      <c r="P1498" s="3">
        <v>0</v>
      </c>
      <c r="Q1498" s="3">
        <v>0</v>
      </c>
      <c r="R1498" s="3">
        <v>0</v>
      </c>
      <c r="S1498" s="3">
        <v>0</v>
      </c>
      <c r="T1498" s="3">
        <v>0</v>
      </c>
      <c r="U1498" s="3"/>
      <c r="V1498" s="3"/>
      <c r="W1498" s="3"/>
      <c r="X1498" s="3"/>
      <c r="Y1498" s="3"/>
      <c r="Z1498" s="3"/>
      <c r="AA1498" s="3"/>
      <c r="AB1498" s="3"/>
      <c r="AC1498" s="3"/>
      <c r="AD1498" s="3"/>
      <c r="AE1498" s="3">
        <v>0</v>
      </c>
      <c r="AF1498" s="3">
        <v>0</v>
      </c>
      <c r="AG1498" s="3"/>
      <c r="AH1498" s="40"/>
      <c r="AI1498" s="40"/>
      <c r="AJ1498" s="40"/>
      <c r="AK1498" s="40"/>
      <c r="AL1498" s="40"/>
      <c r="AM1498" s="40"/>
      <c r="AN1498" s="40"/>
      <c r="AO1498" s="40"/>
      <c r="AP1498" s="40"/>
      <c r="AQ1498" s="40"/>
      <c r="AR1498" s="31"/>
      <c r="AS1498" s="36">
        <v>0</v>
      </c>
      <c r="AY1498" s="6"/>
      <c r="AZ1498" s="2"/>
      <c r="BA1498" s="2"/>
      <c r="BB1498" s="2"/>
      <c r="BC1498">
        <v>71500</v>
      </c>
      <c r="BD1498">
        <v>56992</v>
      </c>
    </row>
    <row r="1499" spans="3:56" x14ac:dyDescent="0.25">
      <c r="C1499" s="1">
        <v>47119</v>
      </c>
      <c r="D1499" s="36">
        <v>249932.632258064</v>
      </c>
      <c r="E1499" s="33">
        <v>4.2064516129032299</v>
      </c>
      <c r="F1499" s="33">
        <v>3.3974107526881698</v>
      </c>
      <c r="G1499" s="2">
        <v>0.80766666666666698</v>
      </c>
      <c r="H1499" s="2">
        <v>0.99</v>
      </c>
      <c r="I1499" s="3"/>
      <c r="J1499" s="3"/>
      <c r="K1499" s="3"/>
      <c r="L1499" s="3"/>
      <c r="M1499" s="3"/>
      <c r="N1499" s="3">
        <v>0</v>
      </c>
      <c r="O1499" s="3"/>
      <c r="P1499" s="3">
        <v>0</v>
      </c>
      <c r="Q1499" s="3">
        <v>0</v>
      </c>
      <c r="R1499" s="3">
        <v>0</v>
      </c>
      <c r="S1499" s="3">
        <v>0</v>
      </c>
      <c r="T1499" s="3">
        <v>0</v>
      </c>
      <c r="U1499" s="3"/>
      <c r="V1499" s="3"/>
      <c r="W1499" s="3"/>
      <c r="X1499" s="3"/>
      <c r="Y1499" s="3"/>
      <c r="Z1499" s="3"/>
      <c r="AA1499" s="3"/>
      <c r="AB1499" s="3"/>
      <c r="AC1499" s="3"/>
      <c r="AD1499" s="3"/>
      <c r="AE1499" s="3">
        <v>0</v>
      </c>
      <c r="AF1499" s="3">
        <v>0</v>
      </c>
      <c r="AG1499" s="3"/>
      <c r="AH1499" s="40"/>
      <c r="AI1499" s="40"/>
      <c r="AJ1499" s="40"/>
      <c r="AK1499" s="40"/>
      <c r="AL1499" s="40"/>
      <c r="AM1499" s="40"/>
      <c r="AN1499" s="40"/>
      <c r="AO1499" s="40"/>
      <c r="AP1499" s="40"/>
      <c r="AQ1499" s="40"/>
      <c r="AR1499" s="31"/>
      <c r="AS1499" s="36">
        <v>0</v>
      </c>
      <c r="AY1499" s="6"/>
      <c r="AZ1499" s="2"/>
      <c r="BA1499" s="2"/>
      <c r="BB1499" s="2"/>
      <c r="BC1499">
        <v>71500</v>
      </c>
      <c r="BD1499">
        <v>56992</v>
      </c>
    </row>
    <row r="1500" spans="3:56" x14ac:dyDescent="0.25">
      <c r="C1500" s="1">
        <v>47120</v>
      </c>
      <c r="D1500" s="36">
        <v>249932.632258064</v>
      </c>
      <c r="E1500" s="33">
        <v>4.2064516129032299</v>
      </c>
      <c r="F1500" s="33">
        <v>3.3973640143369201</v>
      </c>
      <c r="G1500" s="2">
        <v>0.80765555555555602</v>
      </c>
      <c r="H1500" s="2">
        <v>0.99</v>
      </c>
      <c r="I1500" s="3"/>
      <c r="J1500" s="3"/>
      <c r="K1500" s="3"/>
      <c r="L1500" s="3"/>
      <c r="M1500" s="3"/>
      <c r="N1500" s="3">
        <v>0</v>
      </c>
      <c r="O1500" s="3"/>
      <c r="P1500" s="3">
        <v>0</v>
      </c>
      <c r="Q1500" s="3">
        <v>0</v>
      </c>
      <c r="R1500" s="3">
        <v>0</v>
      </c>
      <c r="S1500" s="3">
        <v>0</v>
      </c>
      <c r="T1500" s="3">
        <v>0</v>
      </c>
      <c r="U1500" s="3"/>
      <c r="V1500" s="3"/>
      <c r="W1500" s="3"/>
      <c r="X1500" s="3"/>
      <c r="Y1500" s="3"/>
      <c r="Z1500" s="3"/>
      <c r="AA1500" s="3"/>
      <c r="AB1500" s="3"/>
      <c r="AC1500" s="3"/>
      <c r="AD1500" s="3"/>
      <c r="AE1500" s="3">
        <v>0</v>
      </c>
      <c r="AF1500" s="3">
        <v>0</v>
      </c>
      <c r="AG1500" s="3"/>
      <c r="AH1500" s="40"/>
      <c r="AI1500" s="40"/>
      <c r="AJ1500" s="40"/>
      <c r="AK1500" s="40"/>
      <c r="AL1500" s="40"/>
      <c r="AM1500" s="40"/>
      <c r="AN1500" s="40"/>
      <c r="AO1500" s="40"/>
      <c r="AP1500" s="40"/>
      <c r="AQ1500" s="40"/>
      <c r="AR1500" s="31"/>
      <c r="AS1500" s="36">
        <v>0</v>
      </c>
      <c r="AY1500" s="6"/>
      <c r="AZ1500" s="2"/>
      <c r="BA1500" s="2"/>
      <c r="BB1500" s="2"/>
      <c r="BC1500">
        <v>71500</v>
      </c>
      <c r="BD1500">
        <v>56992</v>
      </c>
    </row>
    <row r="1501" spans="3:56" x14ac:dyDescent="0.25">
      <c r="C1501" s="1">
        <v>47121</v>
      </c>
      <c r="D1501" s="36">
        <v>249932.632258064</v>
      </c>
      <c r="E1501" s="33">
        <v>4.2064516129032299</v>
      </c>
      <c r="F1501" s="33">
        <v>3.3973172759856598</v>
      </c>
      <c r="G1501" s="2">
        <v>0.80764444444444405</v>
      </c>
      <c r="H1501" s="2">
        <v>0.99</v>
      </c>
      <c r="I1501" s="3"/>
      <c r="J1501" s="3"/>
      <c r="K1501" s="3"/>
      <c r="L1501" s="3"/>
      <c r="M1501" s="3"/>
      <c r="N1501" s="3">
        <v>0</v>
      </c>
      <c r="O1501" s="3"/>
      <c r="P1501" s="3">
        <v>0</v>
      </c>
      <c r="Q1501" s="3">
        <v>0</v>
      </c>
      <c r="R1501" s="3">
        <v>0</v>
      </c>
      <c r="S1501" s="3">
        <v>0</v>
      </c>
      <c r="T1501" s="3">
        <v>0</v>
      </c>
      <c r="U1501" s="3"/>
      <c r="V1501" s="3"/>
      <c r="W1501" s="3"/>
      <c r="X1501" s="3"/>
      <c r="Y1501" s="3"/>
      <c r="Z1501" s="3"/>
      <c r="AA1501" s="3"/>
      <c r="AB1501" s="3"/>
      <c r="AC1501" s="3"/>
      <c r="AD1501" s="3"/>
      <c r="AE1501" s="3">
        <v>0</v>
      </c>
      <c r="AF1501" s="3">
        <v>0</v>
      </c>
      <c r="AG1501" s="3"/>
      <c r="AH1501" s="40"/>
      <c r="AI1501" s="40"/>
      <c r="AJ1501" s="40"/>
      <c r="AK1501" s="40"/>
      <c r="AL1501" s="40"/>
      <c r="AM1501" s="40"/>
      <c r="AN1501" s="40"/>
      <c r="AO1501" s="40"/>
      <c r="AP1501" s="40"/>
      <c r="AQ1501" s="40"/>
      <c r="AR1501" s="31"/>
      <c r="AS1501" s="36">
        <v>0</v>
      </c>
      <c r="AY1501" s="6"/>
      <c r="AZ1501" s="2"/>
      <c r="BA1501" s="2"/>
      <c r="BB1501" s="2"/>
      <c r="BC1501">
        <v>71500</v>
      </c>
      <c r="BD1501">
        <v>56992</v>
      </c>
    </row>
    <row r="1502" spans="3:56" x14ac:dyDescent="0.25">
      <c r="C1502" s="1">
        <v>47122</v>
      </c>
      <c r="D1502" s="36">
        <v>249932.632258064</v>
      </c>
      <c r="E1502" s="33">
        <v>4.2064516129032299</v>
      </c>
      <c r="F1502" s="33">
        <v>3.3972705376344101</v>
      </c>
      <c r="G1502" s="2">
        <v>0.80763333333333298</v>
      </c>
      <c r="H1502" s="2">
        <v>0.99</v>
      </c>
      <c r="I1502" s="3"/>
      <c r="J1502" s="3"/>
      <c r="K1502" s="3"/>
      <c r="L1502" s="3"/>
      <c r="M1502" s="3"/>
      <c r="N1502" s="3">
        <v>0</v>
      </c>
      <c r="O1502" s="3"/>
      <c r="P1502" s="3">
        <v>0</v>
      </c>
      <c r="Q1502" s="3">
        <v>0</v>
      </c>
      <c r="R1502" s="3">
        <v>0</v>
      </c>
      <c r="S1502" s="3">
        <v>0</v>
      </c>
      <c r="T1502" s="3">
        <v>0</v>
      </c>
      <c r="U1502" s="3"/>
      <c r="V1502" s="3"/>
      <c r="W1502" s="3"/>
      <c r="X1502" s="3"/>
      <c r="Y1502" s="3"/>
      <c r="Z1502" s="3"/>
      <c r="AA1502" s="3"/>
      <c r="AB1502" s="3"/>
      <c r="AC1502" s="3"/>
      <c r="AD1502" s="3"/>
      <c r="AE1502" s="3">
        <v>0</v>
      </c>
      <c r="AF1502" s="3">
        <v>0</v>
      </c>
      <c r="AG1502" s="3"/>
      <c r="AH1502" s="40"/>
      <c r="AI1502" s="40"/>
      <c r="AJ1502" s="40"/>
      <c r="AK1502" s="40"/>
      <c r="AL1502" s="40"/>
      <c r="AM1502" s="40"/>
      <c r="AN1502" s="40"/>
      <c r="AO1502" s="40"/>
      <c r="AP1502" s="40"/>
      <c r="AQ1502" s="40"/>
      <c r="AR1502" s="31"/>
      <c r="AS1502" s="36">
        <v>0</v>
      </c>
      <c r="AY1502" s="6"/>
      <c r="AZ1502" s="2"/>
      <c r="BA1502" s="2"/>
      <c r="BB1502" s="2"/>
      <c r="BC1502">
        <v>71500</v>
      </c>
      <c r="BD1502">
        <v>56992</v>
      </c>
    </row>
    <row r="1503" spans="3:56" x14ac:dyDescent="0.25">
      <c r="C1503" s="1">
        <v>47123</v>
      </c>
      <c r="D1503" s="36">
        <v>249932.632258064</v>
      </c>
      <c r="E1503" s="33">
        <v>4.2064516129032299</v>
      </c>
      <c r="F1503" s="33">
        <v>3.3972237992831502</v>
      </c>
      <c r="G1503" s="2">
        <v>0.80762222222222202</v>
      </c>
      <c r="H1503" s="2">
        <v>0.99</v>
      </c>
      <c r="I1503" s="3"/>
      <c r="J1503" s="3"/>
      <c r="K1503" s="3"/>
      <c r="L1503" s="3"/>
      <c r="M1503" s="3"/>
      <c r="N1503" s="3">
        <v>0</v>
      </c>
      <c r="O1503" s="3"/>
      <c r="P1503" s="3">
        <v>0</v>
      </c>
      <c r="Q1503" s="3">
        <v>0</v>
      </c>
      <c r="R1503" s="3">
        <v>0</v>
      </c>
      <c r="S1503" s="3">
        <v>0</v>
      </c>
      <c r="T1503" s="3">
        <v>0</v>
      </c>
      <c r="U1503" s="3"/>
      <c r="V1503" s="3"/>
      <c r="W1503" s="3"/>
      <c r="X1503" s="3"/>
      <c r="Y1503" s="3"/>
      <c r="Z1503" s="3"/>
      <c r="AA1503" s="3"/>
      <c r="AB1503" s="3"/>
      <c r="AC1503" s="3"/>
      <c r="AD1503" s="3"/>
      <c r="AE1503" s="3">
        <v>0</v>
      </c>
      <c r="AF1503" s="3">
        <v>0</v>
      </c>
      <c r="AG1503" s="3"/>
      <c r="AH1503" s="40"/>
      <c r="AI1503" s="40"/>
      <c r="AJ1503" s="40"/>
      <c r="AK1503" s="40"/>
      <c r="AL1503" s="40"/>
      <c r="AM1503" s="40"/>
      <c r="AN1503" s="40"/>
      <c r="AO1503" s="40"/>
      <c r="AP1503" s="40"/>
      <c r="AQ1503" s="40"/>
      <c r="AR1503" s="31"/>
      <c r="AS1503" s="36">
        <v>0</v>
      </c>
      <c r="AY1503" s="6"/>
      <c r="AZ1503" s="2"/>
      <c r="BA1503" s="2"/>
      <c r="BB1503" s="2"/>
      <c r="BC1503">
        <v>71500</v>
      </c>
      <c r="BD1503">
        <v>56992</v>
      </c>
    </row>
    <row r="1504" spans="3:56" x14ac:dyDescent="0.25">
      <c r="C1504" s="1">
        <v>47124</v>
      </c>
      <c r="D1504" s="36">
        <v>249932.632258064</v>
      </c>
      <c r="E1504" s="33">
        <v>4.2064516129032299</v>
      </c>
      <c r="F1504" s="33">
        <v>3.3971770609319001</v>
      </c>
      <c r="G1504" s="2">
        <v>0.80761111111111095</v>
      </c>
      <c r="H1504" s="2">
        <v>0.99</v>
      </c>
      <c r="I1504" s="3"/>
      <c r="J1504" s="3"/>
      <c r="K1504" s="3"/>
      <c r="L1504" s="3"/>
      <c r="M1504" s="3"/>
      <c r="N1504" s="3">
        <v>0</v>
      </c>
      <c r="O1504" s="3"/>
      <c r="P1504" s="3">
        <v>0</v>
      </c>
      <c r="Q1504" s="3">
        <v>0</v>
      </c>
      <c r="R1504" s="3">
        <v>0</v>
      </c>
      <c r="S1504" s="3">
        <v>0</v>
      </c>
      <c r="T1504" s="3">
        <v>0</v>
      </c>
      <c r="U1504" s="3"/>
      <c r="V1504" s="3"/>
      <c r="W1504" s="3"/>
      <c r="X1504" s="3"/>
      <c r="Y1504" s="3"/>
      <c r="Z1504" s="3"/>
      <c r="AA1504" s="3"/>
      <c r="AB1504" s="3"/>
      <c r="AC1504" s="3"/>
      <c r="AD1504" s="3"/>
      <c r="AE1504" s="3">
        <v>0</v>
      </c>
      <c r="AF1504" s="3">
        <v>0</v>
      </c>
      <c r="AG1504" s="3"/>
      <c r="AH1504" s="40"/>
      <c r="AI1504" s="40"/>
      <c r="AJ1504" s="40"/>
      <c r="AK1504" s="40"/>
      <c r="AL1504" s="40"/>
      <c r="AM1504" s="40"/>
      <c r="AN1504" s="40"/>
      <c r="AO1504" s="40"/>
      <c r="AP1504" s="40"/>
      <c r="AQ1504" s="40"/>
      <c r="AR1504" s="31"/>
      <c r="AS1504" s="36">
        <v>0</v>
      </c>
      <c r="AY1504" s="6"/>
      <c r="AZ1504" s="2"/>
      <c r="BA1504" s="2"/>
      <c r="BB1504" s="2"/>
      <c r="BC1504">
        <v>71500</v>
      </c>
      <c r="BD1504">
        <v>56992</v>
      </c>
    </row>
    <row r="1505" spans="3:56" x14ac:dyDescent="0.25">
      <c r="C1505" s="1">
        <v>47125</v>
      </c>
      <c r="D1505" s="36">
        <v>249932.632258064</v>
      </c>
      <c r="E1505" s="33">
        <v>4.2064516129032299</v>
      </c>
      <c r="F1505" s="33">
        <v>3.39713032258065</v>
      </c>
      <c r="G1505" s="2">
        <v>0.80759999999999998</v>
      </c>
      <c r="H1505" s="2">
        <v>0.99</v>
      </c>
      <c r="I1505" s="3"/>
      <c r="J1505" s="3"/>
      <c r="K1505" s="3"/>
      <c r="L1505" s="3"/>
      <c r="M1505" s="3"/>
      <c r="N1505" s="3">
        <v>0</v>
      </c>
      <c r="O1505" s="3"/>
      <c r="P1505" s="3">
        <v>0</v>
      </c>
      <c r="Q1505" s="3">
        <v>0</v>
      </c>
      <c r="R1505" s="3">
        <v>0</v>
      </c>
      <c r="S1505" s="3">
        <v>0</v>
      </c>
      <c r="T1505" s="3">
        <v>0</v>
      </c>
      <c r="U1505" s="3"/>
      <c r="V1505" s="3"/>
      <c r="W1505" s="3"/>
      <c r="X1505" s="3"/>
      <c r="Y1505" s="3"/>
      <c r="Z1505" s="3"/>
      <c r="AA1505" s="3"/>
      <c r="AB1505" s="3"/>
      <c r="AC1505" s="3"/>
      <c r="AD1505" s="3"/>
      <c r="AE1505" s="3">
        <v>0</v>
      </c>
      <c r="AF1505" s="3">
        <v>0</v>
      </c>
      <c r="AG1505" s="3"/>
      <c r="AH1505" s="40"/>
      <c r="AI1505" s="40"/>
      <c r="AJ1505" s="40"/>
      <c r="AK1505" s="40"/>
      <c r="AL1505" s="40"/>
      <c r="AM1505" s="40"/>
      <c r="AN1505" s="40"/>
      <c r="AO1505" s="40"/>
      <c r="AP1505" s="40"/>
      <c r="AQ1505" s="40"/>
      <c r="AR1505" s="31"/>
      <c r="AS1505" s="36">
        <v>0</v>
      </c>
      <c r="AY1505" s="6"/>
      <c r="AZ1505" s="2"/>
      <c r="BA1505" s="2"/>
      <c r="BB1505" s="2"/>
      <c r="BC1505">
        <v>71500</v>
      </c>
      <c r="BD1505">
        <v>56992</v>
      </c>
    </row>
    <row r="1506" spans="3:56" x14ac:dyDescent="0.25">
      <c r="C1506" s="1">
        <v>47126</v>
      </c>
      <c r="D1506" s="36">
        <v>249932.632258064</v>
      </c>
      <c r="E1506" s="33">
        <v>4.2064516129032299</v>
      </c>
      <c r="F1506" s="33">
        <v>3.3970835842293901</v>
      </c>
      <c r="G1506" s="2">
        <v>0.80758888888888902</v>
      </c>
      <c r="H1506" s="2">
        <v>0.99</v>
      </c>
      <c r="I1506" s="3"/>
      <c r="J1506" s="3"/>
      <c r="K1506" s="3"/>
      <c r="L1506" s="3"/>
      <c r="M1506" s="3"/>
      <c r="N1506" s="3">
        <v>0</v>
      </c>
      <c r="O1506" s="3"/>
      <c r="P1506" s="3">
        <v>0</v>
      </c>
      <c r="Q1506" s="3">
        <v>0</v>
      </c>
      <c r="R1506" s="3">
        <v>0</v>
      </c>
      <c r="S1506" s="3">
        <v>0</v>
      </c>
      <c r="T1506" s="3">
        <v>0</v>
      </c>
      <c r="U1506" s="3"/>
      <c r="V1506" s="3"/>
      <c r="W1506" s="3"/>
      <c r="X1506" s="3"/>
      <c r="Y1506" s="3"/>
      <c r="Z1506" s="3"/>
      <c r="AA1506" s="3"/>
      <c r="AB1506" s="3"/>
      <c r="AC1506" s="3"/>
      <c r="AD1506" s="3"/>
      <c r="AE1506" s="3">
        <v>0</v>
      </c>
      <c r="AF1506" s="3">
        <v>0</v>
      </c>
      <c r="AG1506" s="3"/>
      <c r="AH1506" s="40"/>
      <c r="AI1506" s="40"/>
      <c r="AJ1506" s="40"/>
      <c r="AK1506" s="40"/>
      <c r="AL1506" s="40"/>
      <c r="AM1506" s="40"/>
      <c r="AN1506" s="40"/>
      <c r="AO1506" s="40"/>
      <c r="AP1506" s="40"/>
      <c r="AQ1506" s="40"/>
      <c r="AR1506" s="31"/>
      <c r="AS1506" s="36">
        <v>0</v>
      </c>
      <c r="AY1506" s="6"/>
      <c r="AZ1506" s="2"/>
      <c r="BA1506" s="2"/>
      <c r="BB1506" s="2"/>
      <c r="BC1506">
        <v>71500</v>
      </c>
      <c r="BD1506">
        <v>56992</v>
      </c>
    </row>
    <row r="1507" spans="3:56" x14ac:dyDescent="0.25">
      <c r="C1507" s="1">
        <v>47127</v>
      </c>
      <c r="D1507" s="36">
        <v>249932.632258064</v>
      </c>
      <c r="E1507" s="33">
        <v>4.2064516129032299</v>
      </c>
      <c r="F1507" s="33">
        <v>3.3970368458781399</v>
      </c>
      <c r="G1507" s="2">
        <v>0.80757777777777795</v>
      </c>
      <c r="H1507" s="2">
        <v>0.99</v>
      </c>
      <c r="I1507" s="3"/>
      <c r="J1507" s="3"/>
      <c r="K1507" s="3"/>
      <c r="L1507" s="3"/>
      <c r="M1507" s="3"/>
      <c r="N1507" s="3">
        <v>0</v>
      </c>
      <c r="O1507" s="3"/>
      <c r="P1507" s="3">
        <v>0</v>
      </c>
      <c r="Q1507" s="3">
        <v>0</v>
      </c>
      <c r="R1507" s="3">
        <v>0</v>
      </c>
      <c r="S1507" s="3">
        <v>0</v>
      </c>
      <c r="T1507" s="3">
        <v>0</v>
      </c>
      <c r="U1507" s="3"/>
      <c r="V1507" s="3"/>
      <c r="W1507" s="3"/>
      <c r="X1507" s="3"/>
      <c r="Y1507" s="3"/>
      <c r="Z1507" s="3"/>
      <c r="AA1507" s="3"/>
      <c r="AB1507" s="3"/>
      <c r="AC1507" s="3"/>
      <c r="AD1507" s="3"/>
      <c r="AE1507" s="3">
        <v>0</v>
      </c>
      <c r="AF1507" s="3">
        <v>0</v>
      </c>
      <c r="AG1507" s="3"/>
      <c r="AH1507" s="40"/>
      <c r="AI1507" s="40"/>
      <c r="AJ1507" s="40"/>
      <c r="AK1507" s="40"/>
      <c r="AL1507" s="40"/>
      <c r="AM1507" s="40"/>
      <c r="AN1507" s="40"/>
      <c r="AO1507" s="40"/>
      <c r="AP1507" s="40"/>
      <c r="AQ1507" s="40"/>
      <c r="AR1507" s="31"/>
      <c r="AS1507" s="36">
        <v>0</v>
      </c>
      <c r="AY1507" s="6"/>
      <c r="AZ1507" s="2"/>
      <c r="BA1507" s="2"/>
      <c r="BB1507" s="2"/>
      <c r="BC1507">
        <v>71500</v>
      </c>
      <c r="BD1507">
        <v>56992</v>
      </c>
    </row>
    <row r="1508" spans="3:56" x14ac:dyDescent="0.25">
      <c r="C1508" s="1">
        <v>47128</v>
      </c>
      <c r="D1508" s="36">
        <v>249932.632258064</v>
      </c>
      <c r="E1508" s="33">
        <v>4.2064516129032299</v>
      </c>
      <c r="F1508" s="33">
        <v>3.39699010752688</v>
      </c>
      <c r="G1508" s="2">
        <v>0.80756666666666699</v>
      </c>
      <c r="H1508" s="2">
        <v>0.99</v>
      </c>
      <c r="I1508" s="3"/>
      <c r="J1508" s="3"/>
      <c r="K1508" s="3"/>
      <c r="L1508" s="3"/>
      <c r="M1508" s="3"/>
      <c r="N1508" s="3">
        <v>0</v>
      </c>
      <c r="O1508" s="3"/>
      <c r="P1508" s="3">
        <v>0</v>
      </c>
      <c r="Q1508" s="3">
        <v>0</v>
      </c>
      <c r="R1508" s="3">
        <v>0</v>
      </c>
      <c r="S1508" s="3">
        <v>0</v>
      </c>
      <c r="T1508" s="3">
        <v>0</v>
      </c>
      <c r="U1508" s="3"/>
      <c r="V1508" s="3"/>
      <c r="W1508" s="3"/>
      <c r="X1508" s="3"/>
      <c r="Y1508" s="3"/>
      <c r="Z1508" s="3"/>
      <c r="AA1508" s="3"/>
      <c r="AB1508" s="3"/>
      <c r="AC1508" s="3"/>
      <c r="AD1508" s="3"/>
      <c r="AE1508" s="3">
        <v>0</v>
      </c>
      <c r="AF1508" s="3">
        <v>0</v>
      </c>
      <c r="AG1508" s="3"/>
      <c r="AH1508" s="40"/>
      <c r="AI1508" s="40"/>
      <c r="AJ1508" s="40"/>
      <c r="AK1508" s="40"/>
      <c r="AL1508" s="40"/>
      <c r="AM1508" s="40"/>
      <c r="AN1508" s="40"/>
      <c r="AO1508" s="40"/>
      <c r="AP1508" s="40"/>
      <c r="AQ1508" s="40"/>
      <c r="AR1508" s="31"/>
      <c r="AS1508" s="36">
        <v>0</v>
      </c>
      <c r="AY1508" s="6"/>
      <c r="AZ1508" s="2"/>
      <c r="BA1508" s="2"/>
      <c r="BB1508" s="2"/>
      <c r="BC1508">
        <v>71500</v>
      </c>
      <c r="BD1508">
        <v>56992</v>
      </c>
    </row>
    <row r="1509" spans="3:56" x14ac:dyDescent="0.25">
      <c r="C1509" s="1">
        <v>47129</v>
      </c>
      <c r="D1509" s="36">
        <v>249932.632258064</v>
      </c>
      <c r="E1509" s="33">
        <v>4.2064516129032299</v>
      </c>
      <c r="F1509" s="33">
        <v>3.3969433691756299</v>
      </c>
      <c r="G1509" s="2">
        <v>0.80755555555555603</v>
      </c>
      <c r="H1509" s="2">
        <v>0.99</v>
      </c>
      <c r="I1509" s="3"/>
      <c r="J1509" s="3"/>
      <c r="K1509" s="3"/>
      <c r="L1509" s="3"/>
      <c r="M1509" s="3"/>
      <c r="N1509" s="3">
        <v>0</v>
      </c>
      <c r="O1509" s="3"/>
      <c r="P1509" s="3">
        <v>0</v>
      </c>
      <c r="Q1509" s="3">
        <v>0</v>
      </c>
      <c r="R1509" s="3">
        <v>0</v>
      </c>
      <c r="S1509" s="3">
        <v>0</v>
      </c>
      <c r="T1509" s="3">
        <v>0</v>
      </c>
      <c r="U1509" s="3"/>
      <c r="V1509" s="3"/>
      <c r="W1509" s="3"/>
      <c r="X1509" s="3"/>
      <c r="Y1509" s="3"/>
      <c r="Z1509" s="3"/>
      <c r="AA1509" s="3"/>
      <c r="AB1509" s="3"/>
      <c r="AC1509" s="3"/>
      <c r="AD1509" s="3"/>
      <c r="AE1509" s="3">
        <v>0</v>
      </c>
      <c r="AF1509" s="3">
        <v>0</v>
      </c>
      <c r="AG1509" s="3"/>
      <c r="AH1509" s="40"/>
      <c r="AI1509" s="40"/>
      <c r="AJ1509" s="40"/>
      <c r="AK1509" s="40"/>
      <c r="AL1509" s="40"/>
      <c r="AM1509" s="40"/>
      <c r="AN1509" s="40"/>
      <c r="AO1509" s="40"/>
      <c r="AP1509" s="40"/>
      <c r="AQ1509" s="40"/>
      <c r="AR1509" s="31"/>
      <c r="AS1509" s="36">
        <v>0</v>
      </c>
      <c r="AY1509" s="6"/>
      <c r="AZ1509" s="2"/>
      <c r="BA1509" s="2"/>
      <c r="BB1509" s="2"/>
      <c r="BC1509">
        <v>71500</v>
      </c>
      <c r="BD1509">
        <v>56992</v>
      </c>
    </row>
    <row r="1510" spans="3:56" x14ac:dyDescent="0.25">
      <c r="C1510" s="1">
        <v>47130</v>
      </c>
      <c r="D1510" s="36">
        <v>249932.632258064</v>
      </c>
      <c r="E1510" s="33">
        <v>4.2064516129032299</v>
      </c>
      <c r="F1510" s="33">
        <v>3.39689663082437</v>
      </c>
      <c r="G1510" s="2">
        <v>0.80754444444444395</v>
      </c>
      <c r="H1510" s="2">
        <v>0.99</v>
      </c>
      <c r="I1510" s="3"/>
      <c r="J1510" s="3"/>
      <c r="K1510" s="3"/>
      <c r="L1510" s="3"/>
      <c r="M1510" s="3"/>
      <c r="N1510" s="3">
        <v>0</v>
      </c>
      <c r="O1510" s="3"/>
      <c r="P1510" s="3">
        <v>0</v>
      </c>
      <c r="Q1510" s="3">
        <v>0</v>
      </c>
      <c r="R1510" s="3">
        <v>0</v>
      </c>
      <c r="S1510" s="3">
        <v>0</v>
      </c>
      <c r="T1510" s="3">
        <v>0</v>
      </c>
      <c r="U1510" s="3"/>
      <c r="V1510" s="3"/>
      <c r="W1510" s="3"/>
      <c r="X1510" s="3"/>
      <c r="Y1510" s="3"/>
      <c r="Z1510" s="3"/>
      <c r="AA1510" s="3"/>
      <c r="AB1510" s="3"/>
      <c r="AC1510" s="3"/>
      <c r="AD1510" s="3"/>
      <c r="AE1510" s="3">
        <v>0</v>
      </c>
      <c r="AF1510" s="3">
        <v>0</v>
      </c>
      <c r="AG1510" s="3"/>
      <c r="AH1510" s="40"/>
      <c r="AI1510" s="40"/>
      <c r="AJ1510" s="40"/>
      <c r="AK1510" s="40"/>
      <c r="AL1510" s="40"/>
      <c r="AM1510" s="40"/>
      <c r="AN1510" s="40"/>
      <c r="AO1510" s="40"/>
      <c r="AP1510" s="40"/>
      <c r="AQ1510" s="40"/>
      <c r="AR1510" s="31"/>
      <c r="AS1510" s="36">
        <v>0</v>
      </c>
      <c r="AY1510" s="6"/>
      <c r="AZ1510" s="2"/>
      <c r="BA1510" s="2"/>
      <c r="BB1510" s="2"/>
      <c r="BC1510">
        <v>71500</v>
      </c>
      <c r="BD1510">
        <v>56992</v>
      </c>
    </row>
    <row r="1511" spans="3:56" x14ac:dyDescent="0.25">
      <c r="C1511" s="1">
        <v>47131</v>
      </c>
      <c r="D1511" s="36">
        <v>249932.632258064</v>
      </c>
      <c r="E1511" s="33">
        <v>4.2064516129032299</v>
      </c>
      <c r="F1511" s="33">
        <v>3.3968498924731199</v>
      </c>
      <c r="G1511" s="2">
        <v>0.80753333333333299</v>
      </c>
      <c r="H1511" s="2">
        <v>0.99</v>
      </c>
      <c r="I1511" s="3"/>
      <c r="J1511" s="3"/>
      <c r="K1511" s="3"/>
      <c r="L1511" s="3"/>
      <c r="M1511" s="3"/>
      <c r="N1511" s="3">
        <v>0</v>
      </c>
      <c r="O1511" s="3"/>
      <c r="P1511" s="3">
        <v>0</v>
      </c>
      <c r="Q1511" s="3">
        <v>0</v>
      </c>
      <c r="R1511" s="3">
        <v>0</v>
      </c>
      <c r="S1511" s="3">
        <v>0</v>
      </c>
      <c r="T1511" s="3">
        <v>0</v>
      </c>
      <c r="U1511" s="3"/>
      <c r="V1511" s="3"/>
      <c r="W1511" s="3"/>
      <c r="X1511" s="3"/>
      <c r="Y1511" s="3"/>
      <c r="Z1511" s="3"/>
      <c r="AA1511" s="3"/>
      <c r="AB1511" s="3"/>
      <c r="AC1511" s="3"/>
      <c r="AD1511" s="3"/>
      <c r="AE1511" s="3">
        <v>0</v>
      </c>
      <c r="AF1511" s="3">
        <v>0</v>
      </c>
      <c r="AG1511" s="3"/>
      <c r="AH1511" s="40"/>
      <c r="AI1511" s="40"/>
      <c r="AJ1511" s="40"/>
      <c r="AK1511" s="40"/>
      <c r="AL1511" s="40"/>
      <c r="AM1511" s="40"/>
      <c r="AN1511" s="40"/>
      <c r="AO1511" s="40"/>
      <c r="AP1511" s="40"/>
      <c r="AQ1511" s="40"/>
      <c r="AR1511" s="31"/>
      <c r="AS1511" s="36">
        <v>0</v>
      </c>
      <c r="AY1511" s="6"/>
      <c r="AZ1511" s="2"/>
      <c r="BA1511" s="2"/>
      <c r="BB1511" s="2"/>
      <c r="BC1511">
        <v>71500</v>
      </c>
      <c r="BD1511">
        <v>56992</v>
      </c>
    </row>
    <row r="1512" spans="3:56" x14ac:dyDescent="0.25">
      <c r="C1512" s="1">
        <v>47132</v>
      </c>
      <c r="D1512" s="36">
        <v>249932.632258064</v>
      </c>
      <c r="E1512" s="33">
        <v>4.2064516129032299</v>
      </c>
      <c r="F1512" s="33">
        <v>3.39680315412186</v>
      </c>
      <c r="G1512" s="2">
        <v>0.80752222222222203</v>
      </c>
      <c r="H1512" s="2">
        <v>0.99</v>
      </c>
      <c r="I1512" s="3"/>
      <c r="J1512" s="3"/>
      <c r="K1512" s="3"/>
      <c r="L1512" s="3"/>
      <c r="M1512" s="3"/>
      <c r="N1512" s="3">
        <v>0</v>
      </c>
      <c r="O1512" s="3"/>
      <c r="P1512" s="3">
        <v>0</v>
      </c>
      <c r="Q1512" s="3">
        <v>0</v>
      </c>
      <c r="R1512" s="3">
        <v>0</v>
      </c>
      <c r="S1512" s="3">
        <v>0</v>
      </c>
      <c r="T1512" s="3">
        <v>0</v>
      </c>
      <c r="U1512" s="3"/>
      <c r="V1512" s="3"/>
      <c r="W1512" s="3"/>
      <c r="X1512" s="3"/>
      <c r="Y1512" s="3"/>
      <c r="Z1512" s="3"/>
      <c r="AA1512" s="3"/>
      <c r="AB1512" s="3"/>
      <c r="AC1512" s="3"/>
      <c r="AD1512" s="3"/>
      <c r="AE1512" s="3">
        <v>0</v>
      </c>
      <c r="AF1512" s="3">
        <v>0</v>
      </c>
      <c r="AG1512" s="3"/>
      <c r="AH1512" s="40"/>
      <c r="AI1512" s="40"/>
      <c r="AJ1512" s="40"/>
      <c r="AK1512" s="40"/>
      <c r="AL1512" s="40"/>
      <c r="AM1512" s="40"/>
      <c r="AN1512" s="40"/>
      <c r="AO1512" s="40"/>
      <c r="AP1512" s="40"/>
      <c r="AQ1512" s="40"/>
      <c r="AR1512" s="31"/>
      <c r="AS1512" s="36">
        <v>0</v>
      </c>
      <c r="AY1512" s="6"/>
      <c r="AZ1512" s="2"/>
      <c r="BA1512" s="2"/>
      <c r="BB1512" s="2"/>
      <c r="BC1512">
        <v>71500</v>
      </c>
      <c r="BD1512">
        <v>56992</v>
      </c>
    </row>
    <row r="1513" spans="3:56" x14ac:dyDescent="0.25">
      <c r="C1513" s="1">
        <v>47133</v>
      </c>
      <c r="D1513" s="36">
        <v>249932.632258064</v>
      </c>
      <c r="E1513" s="33">
        <v>4.2064516129032299</v>
      </c>
      <c r="F1513" s="33">
        <v>3.3967564157706098</v>
      </c>
      <c r="G1513" s="2">
        <v>0.80751111111111096</v>
      </c>
      <c r="H1513" s="2">
        <v>0.99</v>
      </c>
      <c r="I1513" s="3"/>
      <c r="J1513" s="3"/>
      <c r="K1513" s="3"/>
      <c r="L1513" s="3"/>
      <c r="M1513" s="3"/>
      <c r="N1513" s="3">
        <v>0</v>
      </c>
      <c r="O1513" s="3"/>
      <c r="P1513" s="3">
        <v>0</v>
      </c>
      <c r="Q1513" s="3">
        <v>0</v>
      </c>
      <c r="R1513" s="3">
        <v>0</v>
      </c>
      <c r="S1513" s="3">
        <v>0</v>
      </c>
      <c r="T1513" s="3">
        <v>0</v>
      </c>
      <c r="U1513" s="3"/>
      <c r="V1513" s="3"/>
      <c r="W1513" s="3"/>
      <c r="X1513" s="3"/>
      <c r="Y1513" s="3"/>
      <c r="Z1513" s="3"/>
      <c r="AA1513" s="3"/>
      <c r="AB1513" s="3"/>
      <c r="AC1513" s="3"/>
      <c r="AD1513" s="3"/>
      <c r="AE1513" s="3">
        <v>0</v>
      </c>
      <c r="AF1513" s="3">
        <v>0</v>
      </c>
      <c r="AG1513" s="3"/>
      <c r="AH1513" s="40"/>
      <c r="AI1513" s="40"/>
      <c r="AJ1513" s="40"/>
      <c r="AK1513" s="40"/>
      <c r="AL1513" s="40"/>
      <c r="AM1513" s="40"/>
      <c r="AN1513" s="40"/>
      <c r="AO1513" s="40"/>
      <c r="AP1513" s="40"/>
      <c r="AQ1513" s="40"/>
      <c r="AR1513" s="31"/>
      <c r="AS1513" s="36">
        <v>0</v>
      </c>
      <c r="AY1513" s="6"/>
      <c r="AZ1513" s="2"/>
      <c r="BA1513" s="2"/>
      <c r="BB1513" s="2"/>
      <c r="BC1513">
        <v>71500</v>
      </c>
      <c r="BD1513">
        <v>56992</v>
      </c>
    </row>
    <row r="1514" spans="3:56" x14ac:dyDescent="0.25">
      <c r="C1514" s="1">
        <v>47134</v>
      </c>
      <c r="D1514" s="36">
        <v>249932.632258064</v>
      </c>
      <c r="E1514" s="33">
        <v>4.2064516129032299</v>
      </c>
      <c r="F1514" s="33">
        <v>3.3967096774193601</v>
      </c>
      <c r="G1514" s="2">
        <v>0.8075</v>
      </c>
      <c r="H1514" s="2">
        <v>0.99</v>
      </c>
      <c r="I1514" s="3"/>
      <c r="J1514" s="3"/>
      <c r="K1514" s="3"/>
      <c r="L1514" s="3"/>
      <c r="M1514" s="3"/>
      <c r="N1514" s="3">
        <v>0</v>
      </c>
      <c r="O1514" s="3"/>
      <c r="P1514" s="3">
        <v>0</v>
      </c>
      <c r="Q1514" s="3">
        <v>0</v>
      </c>
      <c r="R1514" s="3">
        <v>0</v>
      </c>
      <c r="S1514" s="3">
        <v>0</v>
      </c>
      <c r="T1514" s="3">
        <v>0</v>
      </c>
      <c r="U1514" s="3"/>
      <c r="V1514" s="3"/>
      <c r="W1514" s="3"/>
      <c r="X1514" s="3"/>
      <c r="Y1514" s="3"/>
      <c r="Z1514" s="3"/>
      <c r="AA1514" s="3"/>
      <c r="AB1514" s="3"/>
      <c r="AC1514" s="3"/>
      <c r="AD1514" s="3"/>
      <c r="AE1514" s="3">
        <v>0</v>
      </c>
      <c r="AF1514" s="3">
        <v>0</v>
      </c>
      <c r="AG1514" s="3"/>
      <c r="AH1514" s="40"/>
      <c r="AI1514" s="40"/>
      <c r="AJ1514" s="40"/>
      <c r="AK1514" s="40"/>
      <c r="AL1514" s="40"/>
      <c r="AM1514" s="40"/>
      <c r="AN1514" s="40"/>
      <c r="AO1514" s="40"/>
      <c r="AP1514" s="40"/>
      <c r="AQ1514" s="40"/>
      <c r="AR1514" s="31"/>
      <c r="AS1514" s="36">
        <v>0</v>
      </c>
      <c r="AY1514" s="6"/>
      <c r="AZ1514" s="2"/>
      <c r="BA1514" s="2"/>
      <c r="BB1514" s="2"/>
      <c r="BC1514">
        <v>71500</v>
      </c>
      <c r="BD1514">
        <v>56992</v>
      </c>
    </row>
    <row r="1515" spans="3:56" x14ac:dyDescent="0.25">
      <c r="C1515" s="1">
        <v>47135</v>
      </c>
      <c r="D1515" s="36">
        <v>249932.632258064</v>
      </c>
      <c r="E1515" s="33">
        <v>4.2064516129032299</v>
      </c>
      <c r="F1515" s="33">
        <v>3.3966629390680998</v>
      </c>
      <c r="G1515" s="2">
        <v>0.80748888888888903</v>
      </c>
      <c r="H1515" s="2">
        <v>0.99</v>
      </c>
      <c r="I1515" s="3"/>
      <c r="J1515" s="3"/>
      <c r="K1515" s="3"/>
      <c r="L1515" s="3"/>
      <c r="M1515" s="3"/>
      <c r="N1515" s="3">
        <v>0</v>
      </c>
      <c r="O1515" s="3"/>
      <c r="P1515" s="3">
        <v>0</v>
      </c>
      <c r="Q1515" s="3">
        <v>0</v>
      </c>
      <c r="R1515" s="3">
        <v>0</v>
      </c>
      <c r="S1515" s="3">
        <v>0</v>
      </c>
      <c r="T1515" s="3">
        <v>0</v>
      </c>
      <c r="U1515" s="3"/>
      <c r="V1515" s="3"/>
      <c r="W1515" s="3"/>
      <c r="X1515" s="3"/>
      <c r="Y1515" s="3"/>
      <c r="Z1515" s="3"/>
      <c r="AA1515" s="3"/>
      <c r="AB1515" s="3"/>
      <c r="AC1515" s="3"/>
      <c r="AD1515" s="3"/>
      <c r="AE1515" s="3">
        <v>0</v>
      </c>
      <c r="AF1515" s="3">
        <v>0</v>
      </c>
      <c r="AG1515" s="3"/>
      <c r="AH1515" s="40"/>
      <c r="AI1515" s="40"/>
      <c r="AJ1515" s="40"/>
      <c r="AK1515" s="40"/>
      <c r="AL1515" s="40"/>
      <c r="AM1515" s="40"/>
      <c r="AN1515" s="40"/>
      <c r="AO1515" s="40"/>
      <c r="AP1515" s="40"/>
      <c r="AQ1515" s="40"/>
      <c r="AR1515" s="31"/>
      <c r="AS1515" s="36">
        <v>0</v>
      </c>
      <c r="AY1515" s="6"/>
      <c r="AZ1515" s="2"/>
      <c r="BA1515" s="2"/>
      <c r="BB1515" s="2"/>
      <c r="BC1515">
        <v>71500</v>
      </c>
      <c r="BD1515">
        <v>56992</v>
      </c>
    </row>
    <row r="1516" spans="3:56" x14ac:dyDescent="0.25">
      <c r="C1516" s="1">
        <v>47136</v>
      </c>
      <c r="D1516" s="36">
        <v>249932.632258064</v>
      </c>
      <c r="E1516" s="33">
        <v>4.2064516129032299</v>
      </c>
      <c r="F1516" s="33">
        <v>3.3966162007168501</v>
      </c>
      <c r="G1516" s="2">
        <v>0.80747777777777796</v>
      </c>
      <c r="H1516" s="2">
        <v>0.99</v>
      </c>
      <c r="I1516" s="3"/>
      <c r="J1516" s="3"/>
      <c r="K1516" s="3"/>
      <c r="L1516" s="3"/>
      <c r="M1516" s="3"/>
      <c r="N1516" s="3">
        <v>0</v>
      </c>
      <c r="O1516" s="3"/>
      <c r="P1516" s="3">
        <v>0</v>
      </c>
      <c r="Q1516" s="3">
        <v>0</v>
      </c>
      <c r="R1516" s="3">
        <v>0</v>
      </c>
      <c r="S1516" s="3">
        <v>0</v>
      </c>
      <c r="T1516" s="3">
        <v>0</v>
      </c>
      <c r="U1516" s="3"/>
      <c r="V1516" s="3"/>
      <c r="W1516" s="3"/>
      <c r="X1516" s="3"/>
      <c r="Y1516" s="3"/>
      <c r="Z1516" s="3"/>
      <c r="AA1516" s="3"/>
      <c r="AB1516" s="3"/>
      <c r="AC1516" s="3"/>
      <c r="AD1516" s="3"/>
      <c r="AE1516" s="3">
        <v>0</v>
      </c>
      <c r="AF1516" s="3">
        <v>0</v>
      </c>
      <c r="AG1516" s="3"/>
      <c r="AH1516" s="40"/>
      <c r="AI1516" s="40"/>
      <c r="AJ1516" s="40"/>
      <c r="AK1516" s="40"/>
      <c r="AL1516" s="40"/>
      <c r="AM1516" s="40"/>
      <c r="AN1516" s="40"/>
      <c r="AO1516" s="40"/>
      <c r="AP1516" s="40"/>
      <c r="AQ1516" s="40"/>
      <c r="AR1516" s="31"/>
      <c r="AS1516" s="36">
        <v>0</v>
      </c>
      <c r="AY1516" s="6"/>
      <c r="AZ1516" s="2"/>
      <c r="BA1516" s="2"/>
      <c r="BB1516" s="2"/>
      <c r="BC1516">
        <v>71500</v>
      </c>
      <c r="BD1516">
        <v>56992</v>
      </c>
    </row>
    <row r="1517" spans="3:56" x14ac:dyDescent="0.25">
      <c r="C1517" s="1">
        <v>47137</v>
      </c>
      <c r="D1517" s="36">
        <v>249932.632258064</v>
      </c>
      <c r="E1517" s="33">
        <v>4.2064516129032299</v>
      </c>
      <c r="F1517" s="33">
        <v>3.3965694623655902</v>
      </c>
      <c r="G1517" s="2">
        <v>0.807466666666667</v>
      </c>
      <c r="H1517" s="2">
        <v>0.99</v>
      </c>
      <c r="I1517" s="3"/>
      <c r="J1517" s="3"/>
      <c r="K1517" s="3"/>
      <c r="L1517" s="3"/>
      <c r="M1517" s="3"/>
      <c r="N1517" s="3">
        <v>0</v>
      </c>
      <c r="O1517" s="3"/>
      <c r="P1517" s="3">
        <v>0</v>
      </c>
      <c r="Q1517" s="3">
        <v>0</v>
      </c>
      <c r="R1517" s="3">
        <v>0</v>
      </c>
      <c r="S1517" s="3">
        <v>0</v>
      </c>
      <c r="T1517" s="3">
        <v>0</v>
      </c>
      <c r="U1517" s="3"/>
      <c r="V1517" s="3"/>
      <c r="W1517" s="3"/>
      <c r="X1517" s="3"/>
      <c r="Y1517" s="3"/>
      <c r="Z1517" s="3"/>
      <c r="AA1517" s="3"/>
      <c r="AB1517" s="3"/>
      <c r="AC1517" s="3"/>
      <c r="AD1517" s="3"/>
      <c r="AE1517" s="3">
        <v>0</v>
      </c>
      <c r="AF1517" s="3">
        <v>0</v>
      </c>
      <c r="AG1517" s="3"/>
      <c r="AH1517" s="40"/>
      <c r="AI1517" s="40"/>
      <c r="AJ1517" s="40"/>
      <c r="AK1517" s="40"/>
      <c r="AL1517" s="40"/>
      <c r="AM1517" s="40"/>
      <c r="AN1517" s="40"/>
      <c r="AO1517" s="40"/>
      <c r="AP1517" s="40"/>
      <c r="AQ1517" s="40"/>
      <c r="AR1517" s="31"/>
      <c r="AS1517" s="36">
        <v>0</v>
      </c>
      <c r="AY1517" s="6"/>
      <c r="AZ1517" s="2"/>
      <c r="BA1517" s="2"/>
      <c r="BB1517" s="2"/>
      <c r="BC1517">
        <v>71500</v>
      </c>
      <c r="BD1517">
        <v>56992</v>
      </c>
    </row>
    <row r="1518" spans="3:56" x14ac:dyDescent="0.25">
      <c r="C1518" s="1">
        <v>47138</v>
      </c>
      <c r="D1518" s="36">
        <v>249932.632258064</v>
      </c>
      <c r="E1518" s="33">
        <v>4.2064516129032299</v>
      </c>
      <c r="F1518" s="33">
        <v>3.3965227240143401</v>
      </c>
      <c r="G1518" s="2">
        <v>0.80745555555555604</v>
      </c>
      <c r="H1518" s="2">
        <v>0.99</v>
      </c>
      <c r="I1518" s="3"/>
      <c r="J1518" s="3"/>
      <c r="K1518" s="3"/>
      <c r="L1518" s="3"/>
      <c r="M1518" s="3"/>
      <c r="N1518" s="3">
        <v>0</v>
      </c>
      <c r="O1518" s="3"/>
      <c r="P1518" s="3">
        <v>0</v>
      </c>
      <c r="Q1518" s="3">
        <v>0</v>
      </c>
      <c r="R1518" s="3">
        <v>0</v>
      </c>
      <c r="S1518" s="3">
        <v>0</v>
      </c>
      <c r="T1518" s="3">
        <v>0</v>
      </c>
      <c r="U1518" s="3"/>
      <c r="V1518" s="3"/>
      <c r="W1518" s="3"/>
      <c r="X1518" s="3"/>
      <c r="Y1518" s="3"/>
      <c r="Z1518" s="3"/>
      <c r="AA1518" s="3"/>
      <c r="AB1518" s="3"/>
      <c r="AC1518" s="3"/>
      <c r="AD1518" s="3"/>
      <c r="AE1518" s="3">
        <v>0</v>
      </c>
      <c r="AF1518" s="3">
        <v>0</v>
      </c>
      <c r="AG1518" s="3"/>
      <c r="AH1518" s="40"/>
      <c r="AI1518" s="40"/>
      <c r="AJ1518" s="40"/>
      <c r="AK1518" s="40"/>
      <c r="AL1518" s="40"/>
      <c r="AM1518" s="40"/>
      <c r="AN1518" s="40"/>
      <c r="AO1518" s="40"/>
      <c r="AP1518" s="40"/>
      <c r="AQ1518" s="40"/>
      <c r="AR1518" s="31"/>
      <c r="AS1518" s="36">
        <v>0</v>
      </c>
      <c r="AY1518" s="6"/>
      <c r="AZ1518" s="2"/>
      <c r="BA1518" s="2"/>
      <c r="BB1518" s="2"/>
      <c r="BC1518">
        <v>71500</v>
      </c>
      <c r="BD1518">
        <v>56992</v>
      </c>
    </row>
    <row r="1519" spans="3:56" x14ac:dyDescent="0.25">
      <c r="C1519" s="1">
        <v>47139</v>
      </c>
      <c r="D1519" s="36">
        <v>249932.632258064</v>
      </c>
      <c r="E1519" s="33">
        <v>4.2064516129032299</v>
      </c>
      <c r="F1519" s="33">
        <v>3.3964759856630802</v>
      </c>
      <c r="G1519" s="2">
        <v>0.80744444444444397</v>
      </c>
      <c r="H1519" s="2">
        <v>0.99</v>
      </c>
      <c r="I1519" s="3"/>
      <c r="J1519" s="3"/>
      <c r="K1519" s="3"/>
      <c r="L1519" s="3"/>
      <c r="M1519" s="3"/>
      <c r="N1519" s="3">
        <v>0</v>
      </c>
      <c r="O1519" s="3"/>
      <c r="P1519" s="3">
        <v>0</v>
      </c>
      <c r="Q1519" s="3">
        <v>0</v>
      </c>
      <c r="R1519" s="3">
        <v>0</v>
      </c>
      <c r="S1519" s="3">
        <v>0</v>
      </c>
      <c r="T1519" s="3">
        <v>0</v>
      </c>
      <c r="U1519" s="3"/>
      <c r="V1519" s="3"/>
      <c r="W1519" s="3"/>
      <c r="X1519" s="3"/>
      <c r="Y1519" s="3"/>
      <c r="Z1519" s="3"/>
      <c r="AA1519" s="3"/>
      <c r="AB1519" s="3"/>
      <c r="AC1519" s="3"/>
      <c r="AD1519" s="3"/>
      <c r="AE1519" s="3">
        <v>0</v>
      </c>
      <c r="AF1519" s="3">
        <v>0</v>
      </c>
      <c r="AG1519" s="3"/>
      <c r="AH1519" s="40"/>
      <c r="AI1519" s="40"/>
      <c r="AJ1519" s="40"/>
      <c r="AK1519" s="40"/>
      <c r="AL1519" s="40"/>
      <c r="AM1519" s="40"/>
      <c r="AN1519" s="40"/>
      <c r="AO1519" s="40"/>
      <c r="AP1519" s="40"/>
      <c r="AQ1519" s="40"/>
      <c r="AR1519" s="31"/>
      <c r="AS1519" s="36">
        <v>0</v>
      </c>
      <c r="AY1519" s="6"/>
      <c r="AZ1519" s="2"/>
      <c r="BA1519" s="2"/>
      <c r="BB1519" s="2"/>
      <c r="BC1519">
        <v>71500</v>
      </c>
      <c r="BD1519">
        <v>56992</v>
      </c>
    </row>
    <row r="1520" spans="3:56" x14ac:dyDescent="0.25">
      <c r="C1520" s="1">
        <v>47140</v>
      </c>
      <c r="D1520" s="36">
        <v>249932.632258064</v>
      </c>
      <c r="E1520" s="33">
        <v>4.2064516129032299</v>
      </c>
      <c r="F1520" s="33">
        <v>3.39642924731183</v>
      </c>
      <c r="G1520" s="2">
        <v>0.807433333333333</v>
      </c>
      <c r="H1520" s="2">
        <v>0.99</v>
      </c>
      <c r="I1520" s="3"/>
      <c r="J1520" s="3"/>
      <c r="K1520" s="3"/>
      <c r="L1520" s="3"/>
      <c r="M1520" s="3"/>
      <c r="N1520" s="3">
        <v>0</v>
      </c>
      <c r="O1520" s="3"/>
      <c r="P1520" s="3">
        <v>0</v>
      </c>
      <c r="Q1520" s="3">
        <v>0</v>
      </c>
      <c r="R1520" s="3">
        <v>0</v>
      </c>
      <c r="S1520" s="3">
        <v>0</v>
      </c>
      <c r="T1520" s="3">
        <v>0</v>
      </c>
      <c r="U1520" s="3"/>
      <c r="V1520" s="3"/>
      <c r="W1520" s="3"/>
      <c r="X1520" s="3"/>
      <c r="Y1520" s="3"/>
      <c r="Z1520" s="3"/>
      <c r="AA1520" s="3"/>
      <c r="AB1520" s="3"/>
      <c r="AC1520" s="3"/>
      <c r="AD1520" s="3"/>
      <c r="AE1520" s="3">
        <v>0</v>
      </c>
      <c r="AF1520" s="3">
        <v>0</v>
      </c>
      <c r="AG1520" s="3"/>
      <c r="AH1520" s="40"/>
      <c r="AI1520" s="40"/>
      <c r="AJ1520" s="40"/>
      <c r="AK1520" s="40"/>
      <c r="AL1520" s="40"/>
      <c r="AM1520" s="40"/>
      <c r="AN1520" s="40"/>
      <c r="AO1520" s="40"/>
      <c r="AP1520" s="40"/>
      <c r="AQ1520" s="40"/>
      <c r="AR1520" s="31"/>
      <c r="AS1520" s="36">
        <v>0</v>
      </c>
      <c r="AY1520" s="6"/>
      <c r="AZ1520" s="2"/>
      <c r="BA1520" s="2"/>
      <c r="BB1520" s="2"/>
      <c r="BC1520">
        <v>71500</v>
      </c>
      <c r="BD1520">
        <v>56992</v>
      </c>
    </row>
    <row r="1521" spans="3:56" x14ac:dyDescent="0.25">
      <c r="C1521" s="1">
        <v>47141</v>
      </c>
      <c r="D1521" s="36">
        <v>249932.632258064</v>
      </c>
      <c r="E1521" s="33">
        <v>4.2064516129032299</v>
      </c>
      <c r="F1521" s="33">
        <v>3.3963825089605701</v>
      </c>
      <c r="G1521" s="2">
        <v>0.80742222222222204</v>
      </c>
      <c r="H1521" s="2">
        <v>0.99</v>
      </c>
      <c r="I1521" s="3"/>
      <c r="J1521" s="3"/>
      <c r="K1521" s="3"/>
      <c r="L1521" s="3"/>
      <c r="M1521" s="3"/>
      <c r="N1521" s="3">
        <v>0</v>
      </c>
      <c r="O1521" s="3"/>
      <c r="P1521" s="3">
        <v>0</v>
      </c>
      <c r="Q1521" s="3">
        <v>0</v>
      </c>
      <c r="R1521" s="3">
        <v>0</v>
      </c>
      <c r="S1521" s="3">
        <v>0</v>
      </c>
      <c r="T1521" s="3">
        <v>0</v>
      </c>
      <c r="U1521" s="3"/>
      <c r="V1521" s="3"/>
      <c r="W1521" s="3"/>
      <c r="X1521" s="3"/>
      <c r="Y1521" s="3"/>
      <c r="Z1521" s="3"/>
      <c r="AA1521" s="3"/>
      <c r="AB1521" s="3"/>
      <c r="AC1521" s="3"/>
      <c r="AD1521" s="3"/>
      <c r="AE1521" s="3">
        <v>0</v>
      </c>
      <c r="AF1521" s="3">
        <v>0</v>
      </c>
      <c r="AG1521" s="3"/>
      <c r="AH1521" s="40"/>
      <c r="AI1521" s="40"/>
      <c r="AJ1521" s="40"/>
      <c r="AK1521" s="40"/>
      <c r="AL1521" s="40"/>
      <c r="AM1521" s="40"/>
      <c r="AN1521" s="40"/>
      <c r="AO1521" s="40"/>
      <c r="AP1521" s="40"/>
      <c r="AQ1521" s="40"/>
      <c r="AR1521" s="31"/>
      <c r="AS1521" s="36">
        <v>0</v>
      </c>
      <c r="AY1521" s="6"/>
      <c r="AZ1521" s="2"/>
      <c r="BA1521" s="2"/>
      <c r="BB1521" s="2"/>
      <c r="BC1521">
        <v>71500</v>
      </c>
      <c r="BD1521">
        <v>56992</v>
      </c>
    </row>
    <row r="1522" spans="3:56" x14ac:dyDescent="0.25">
      <c r="C1522" s="1">
        <v>47142</v>
      </c>
      <c r="D1522" s="36">
        <v>249932.632258064</v>
      </c>
      <c r="E1522" s="33">
        <v>4.2064516129032299</v>
      </c>
      <c r="F1522" s="33">
        <v>3.39633577060932</v>
      </c>
      <c r="G1522" s="2">
        <v>0.80741111111111097</v>
      </c>
      <c r="H1522" s="2">
        <v>0.99</v>
      </c>
      <c r="I1522" s="3"/>
      <c r="J1522" s="3"/>
      <c r="K1522" s="3"/>
      <c r="L1522" s="3"/>
      <c r="M1522" s="3"/>
      <c r="N1522" s="3">
        <v>0</v>
      </c>
      <c r="O1522" s="3"/>
      <c r="P1522" s="3">
        <v>0</v>
      </c>
      <c r="Q1522" s="3">
        <v>0</v>
      </c>
      <c r="R1522" s="3">
        <v>0</v>
      </c>
      <c r="S1522" s="3">
        <v>0</v>
      </c>
      <c r="T1522" s="3">
        <v>0</v>
      </c>
      <c r="U1522" s="3"/>
      <c r="V1522" s="3"/>
      <c r="W1522" s="3"/>
      <c r="X1522" s="3"/>
      <c r="Y1522" s="3"/>
      <c r="Z1522" s="3"/>
      <c r="AA1522" s="3"/>
      <c r="AB1522" s="3"/>
      <c r="AC1522" s="3"/>
      <c r="AD1522" s="3"/>
      <c r="AE1522" s="3">
        <v>0</v>
      </c>
      <c r="AF1522" s="3">
        <v>0</v>
      </c>
      <c r="AG1522" s="3"/>
      <c r="AH1522" s="40"/>
      <c r="AI1522" s="40"/>
      <c r="AJ1522" s="40"/>
      <c r="AK1522" s="40"/>
      <c r="AL1522" s="40"/>
      <c r="AM1522" s="40"/>
      <c r="AN1522" s="40"/>
      <c r="AO1522" s="40"/>
      <c r="AP1522" s="40"/>
      <c r="AQ1522" s="40"/>
      <c r="AR1522" s="31"/>
      <c r="AS1522" s="36">
        <v>0</v>
      </c>
      <c r="AY1522" s="6"/>
      <c r="AZ1522" s="2"/>
      <c r="BA1522" s="2"/>
      <c r="BB1522" s="2"/>
      <c r="BC1522">
        <v>71500</v>
      </c>
      <c r="BD1522">
        <v>56992</v>
      </c>
    </row>
    <row r="1523" spans="3:56" x14ac:dyDescent="0.25">
      <c r="C1523" s="1">
        <v>47143</v>
      </c>
      <c r="D1523" s="36">
        <v>249932.632258064</v>
      </c>
      <c r="E1523" s="33">
        <v>4.2064516129032299</v>
      </c>
      <c r="F1523" s="33">
        <v>3.3962890322580601</v>
      </c>
      <c r="G1523" s="2">
        <v>0.80740000000000001</v>
      </c>
      <c r="H1523" s="2">
        <v>0.99</v>
      </c>
      <c r="I1523" s="3"/>
      <c r="J1523" s="3"/>
      <c r="K1523" s="3"/>
      <c r="L1523" s="3"/>
      <c r="M1523" s="3"/>
      <c r="N1523" s="3">
        <v>0</v>
      </c>
      <c r="O1523" s="3"/>
      <c r="P1523" s="3">
        <v>0</v>
      </c>
      <c r="Q1523" s="3">
        <v>0</v>
      </c>
      <c r="R1523" s="3">
        <v>0</v>
      </c>
      <c r="S1523" s="3">
        <v>0</v>
      </c>
      <c r="T1523" s="3">
        <v>0</v>
      </c>
      <c r="U1523" s="3"/>
      <c r="V1523" s="3"/>
      <c r="W1523" s="3"/>
      <c r="X1523" s="3"/>
      <c r="Y1523" s="3"/>
      <c r="Z1523" s="3"/>
      <c r="AA1523" s="3"/>
      <c r="AB1523" s="3"/>
      <c r="AC1523" s="3"/>
      <c r="AD1523" s="3"/>
      <c r="AE1523" s="3">
        <v>0</v>
      </c>
      <c r="AF1523" s="3">
        <v>0</v>
      </c>
      <c r="AG1523" s="3"/>
      <c r="AH1523" s="40"/>
      <c r="AI1523" s="40"/>
      <c r="AJ1523" s="40"/>
      <c r="AK1523" s="40"/>
      <c r="AL1523" s="40"/>
      <c r="AM1523" s="40"/>
      <c r="AN1523" s="40"/>
      <c r="AO1523" s="40"/>
      <c r="AP1523" s="40"/>
      <c r="AQ1523" s="40"/>
      <c r="AR1523" s="31"/>
      <c r="AS1523" s="36">
        <v>0</v>
      </c>
      <c r="AY1523" s="6"/>
      <c r="AZ1523" s="2"/>
      <c r="BA1523" s="2"/>
      <c r="BB1523" s="2"/>
      <c r="BC1523">
        <v>71500</v>
      </c>
      <c r="BD1523">
        <v>56992</v>
      </c>
    </row>
    <row r="1524" spans="3:56" x14ac:dyDescent="0.25">
      <c r="C1524" s="1">
        <v>47144</v>
      </c>
      <c r="D1524" s="36">
        <v>249932.632258064</v>
      </c>
      <c r="E1524" s="33">
        <v>4.2064516129032299</v>
      </c>
      <c r="F1524" s="33">
        <v>3.39624229390681</v>
      </c>
      <c r="G1524" s="2">
        <v>0.80738888888888904</v>
      </c>
      <c r="H1524" s="2">
        <v>0.99</v>
      </c>
      <c r="I1524" s="3"/>
      <c r="J1524" s="3"/>
      <c r="K1524" s="3"/>
      <c r="L1524" s="3"/>
      <c r="M1524" s="3"/>
      <c r="N1524" s="3">
        <v>0</v>
      </c>
      <c r="O1524" s="3"/>
      <c r="P1524" s="3">
        <v>0</v>
      </c>
      <c r="Q1524" s="3">
        <v>0</v>
      </c>
      <c r="R1524" s="3">
        <v>0</v>
      </c>
      <c r="S1524" s="3">
        <v>0</v>
      </c>
      <c r="T1524" s="3">
        <v>0</v>
      </c>
      <c r="U1524" s="3"/>
      <c r="V1524" s="3"/>
      <c r="W1524" s="3"/>
      <c r="X1524" s="3"/>
      <c r="Y1524" s="3"/>
      <c r="Z1524" s="3"/>
      <c r="AA1524" s="3"/>
      <c r="AB1524" s="3"/>
      <c r="AC1524" s="3"/>
      <c r="AD1524" s="3"/>
      <c r="AE1524" s="3">
        <v>0</v>
      </c>
      <c r="AF1524" s="3">
        <v>0</v>
      </c>
      <c r="AG1524" s="3"/>
      <c r="AH1524" s="40"/>
      <c r="AI1524" s="40"/>
      <c r="AJ1524" s="40"/>
      <c r="AK1524" s="40"/>
      <c r="AL1524" s="40"/>
      <c r="AM1524" s="40"/>
      <c r="AN1524" s="40"/>
      <c r="AO1524" s="40"/>
      <c r="AP1524" s="40"/>
      <c r="AQ1524" s="40"/>
      <c r="AR1524" s="31"/>
      <c r="AS1524" s="36">
        <v>0</v>
      </c>
      <c r="AY1524" s="6"/>
      <c r="AZ1524" s="2"/>
      <c r="BA1524" s="2"/>
      <c r="BB1524" s="2"/>
      <c r="BC1524">
        <v>71500</v>
      </c>
      <c r="BD1524">
        <v>56992</v>
      </c>
    </row>
    <row r="1525" spans="3:56" x14ac:dyDescent="0.25">
      <c r="C1525" s="1">
        <v>47145</v>
      </c>
      <c r="D1525" s="36">
        <v>249932.632258064</v>
      </c>
      <c r="E1525" s="33">
        <v>4.2064516129032299</v>
      </c>
      <c r="F1525" s="33">
        <v>3.3961955555555599</v>
      </c>
      <c r="G1525" s="2">
        <v>0.80737777777777797</v>
      </c>
      <c r="H1525" s="2">
        <v>0.99</v>
      </c>
      <c r="I1525" s="3"/>
      <c r="J1525" s="3"/>
      <c r="K1525" s="3"/>
      <c r="L1525" s="3"/>
      <c r="M1525" s="3"/>
      <c r="N1525" s="3">
        <v>0</v>
      </c>
      <c r="O1525" s="3"/>
      <c r="P1525" s="3">
        <v>0</v>
      </c>
      <c r="Q1525" s="3">
        <v>0</v>
      </c>
      <c r="R1525" s="3">
        <v>0</v>
      </c>
      <c r="S1525" s="3">
        <v>0</v>
      </c>
      <c r="T1525" s="3">
        <v>0</v>
      </c>
      <c r="U1525" s="3"/>
      <c r="V1525" s="3"/>
      <c r="W1525" s="3"/>
      <c r="X1525" s="3"/>
      <c r="Y1525" s="3"/>
      <c r="Z1525" s="3"/>
      <c r="AA1525" s="3"/>
      <c r="AB1525" s="3"/>
      <c r="AC1525" s="3"/>
      <c r="AD1525" s="3"/>
      <c r="AE1525" s="3">
        <v>0</v>
      </c>
      <c r="AF1525" s="3">
        <v>0</v>
      </c>
      <c r="AG1525" s="3"/>
      <c r="AH1525" s="40"/>
      <c r="AI1525" s="40"/>
      <c r="AJ1525" s="40"/>
      <c r="AK1525" s="40"/>
      <c r="AL1525" s="40"/>
      <c r="AM1525" s="40"/>
      <c r="AN1525" s="40"/>
      <c r="AO1525" s="40"/>
      <c r="AP1525" s="40"/>
      <c r="AQ1525" s="40"/>
      <c r="AR1525" s="31"/>
      <c r="AS1525" s="36">
        <v>0</v>
      </c>
      <c r="AY1525" s="6"/>
      <c r="AZ1525" s="2"/>
      <c r="BA1525" s="2"/>
      <c r="BB1525" s="2"/>
      <c r="BC1525">
        <v>71500</v>
      </c>
      <c r="BD1525">
        <v>56992</v>
      </c>
    </row>
    <row r="1526" spans="3:56" x14ac:dyDescent="0.25">
      <c r="C1526" s="1">
        <v>47146</v>
      </c>
      <c r="D1526" s="36">
        <v>249932.632258064</v>
      </c>
      <c r="E1526" s="33">
        <v>4.2064516129032299</v>
      </c>
      <c r="F1526" s="33">
        <v>3.3961488172043</v>
      </c>
      <c r="G1526" s="2">
        <v>0.80736666666666701</v>
      </c>
      <c r="H1526" s="2">
        <v>0.99</v>
      </c>
      <c r="I1526" s="3"/>
      <c r="J1526" s="3"/>
      <c r="K1526" s="3"/>
      <c r="L1526" s="3"/>
      <c r="M1526" s="3"/>
      <c r="N1526" s="3">
        <v>0</v>
      </c>
      <c r="O1526" s="3"/>
      <c r="P1526" s="3">
        <v>0</v>
      </c>
      <c r="Q1526" s="3">
        <v>0</v>
      </c>
      <c r="R1526" s="3">
        <v>0</v>
      </c>
      <c r="S1526" s="3">
        <v>0</v>
      </c>
      <c r="T1526" s="3">
        <v>0</v>
      </c>
      <c r="U1526" s="3"/>
      <c r="V1526" s="3"/>
      <c r="W1526" s="3"/>
      <c r="X1526" s="3"/>
      <c r="Y1526" s="3"/>
      <c r="Z1526" s="3"/>
      <c r="AA1526" s="3"/>
      <c r="AB1526" s="3"/>
      <c r="AC1526" s="3"/>
      <c r="AD1526" s="3"/>
      <c r="AE1526" s="3">
        <v>0</v>
      </c>
      <c r="AF1526" s="3">
        <v>0</v>
      </c>
      <c r="AG1526" s="3"/>
      <c r="AH1526" s="40"/>
      <c r="AI1526" s="40"/>
      <c r="AJ1526" s="40"/>
      <c r="AK1526" s="40"/>
      <c r="AL1526" s="40"/>
      <c r="AM1526" s="40"/>
      <c r="AN1526" s="40"/>
      <c r="AO1526" s="40"/>
      <c r="AP1526" s="40"/>
      <c r="AQ1526" s="40"/>
      <c r="AR1526" s="31"/>
      <c r="AS1526" s="36">
        <v>0</v>
      </c>
      <c r="AY1526" s="6"/>
      <c r="AZ1526" s="2"/>
      <c r="BA1526" s="2"/>
      <c r="BB1526" s="2"/>
      <c r="BC1526">
        <v>71500</v>
      </c>
      <c r="BD1526">
        <v>56992</v>
      </c>
    </row>
    <row r="1527" spans="3:56" x14ac:dyDescent="0.25">
      <c r="C1527" s="1">
        <v>47147</v>
      </c>
      <c r="D1527" s="36">
        <v>249932.632258064</v>
      </c>
      <c r="E1527" s="33">
        <v>4.2064516129032299</v>
      </c>
      <c r="F1527" s="33">
        <v>3.3961020788530498</v>
      </c>
      <c r="G1527" s="2">
        <v>0.80735555555555505</v>
      </c>
      <c r="H1527" s="2">
        <v>0.99</v>
      </c>
      <c r="I1527" s="3"/>
      <c r="J1527" s="3"/>
      <c r="K1527" s="3"/>
      <c r="L1527" s="3"/>
      <c r="M1527" s="3"/>
      <c r="N1527" s="3">
        <v>0</v>
      </c>
      <c r="O1527" s="3"/>
      <c r="P1527" s="3">
        <v>0</v>
      </c>
      <c r="Q1527" s="3">
        <v>0</v>
      </c>
      <c r="R1527" s="3">
        <v>0</v>
      </c>
      <c r="S1527" s="3">
        <v>0</v>
      </c>
      <c r="T1527" s="3">
        <v>0</v>
      </c>
      <c r="U1527" s="3"/>
      <c r="V1527" s="3"/>
      <c r="W1527" s="3"/>
      <c r="X1527" s="3"/>
      <c r="Y1527" s="3"/>
      <c r="Z1527" s="3"/>
      <c r="AA1527" s="3"/>
      <c r="AB1527" s="3"/>
      <c r="AC1527" s="3"/>
      <c r="AD1527" s="3"/>
      <c r="AE1527" s="3">
        <v>0</v>
      </c>
      <c r="AF1527" s="3">
        <v>0</v>
      </c>
      <c r="AG1527" s="3"/>
      <c r="AH1527" s="40"/>
      <c r="AI1527" s="40"/>
      <c r="AJ1527" s="40"/>
      <c r="AK1527" s="40"/>
      <c r="AL1527" s="40"/>
      <c r="AM1527" s="40"/>
      <c r="AN1527" s="40"/>
      <c r="AO1527" s="40"/>
      <c r="AP1527" s="40"/>
      <c r="AQ1527" s="40"/>
      <c r="AR1527" s="31"/>
      <c r="AS1527" s="36">
        <v>0</v>
      </c>
      <c r="AY1527" s="6"/>
      <c r="AZ1527" s="2"/>
      <c r="BA1527" s="2"/>
      <c r="BB1527" s="2"/>
      <c r="BC1527">
        <v>71500</v>
      </c>
      <c r="BD1527">
        <v>56992</v>
      </c>
    </row>
    <row r="1528" spans="3:56" x14ac:dyDescent="0.25">
      <c r="C1528" s="1">
        <v>47148</v>
      </c>
      <c r="D1528" s="36">
        <v>249932.632258064</v>
      </c>
      <c r="E1528" s="33">
        <v>4.2064516129032299</v>
      </c>
      <c r="F1528" s="33">
        <v>3.3960553405017899</v>
      </c>
      <c r="G1528" s="2">
        <v>0.80734444444444398</v>
      </c>
      <c r="H1528" s="2">
        <v>0.99</v>
      </c>
      <c r="I1528" s="3"/>
      <c r="J1528" s="3"/>
      <c r="K1528" s="3"/>
      <c r="L1528" s="3"/>
      <c r="M1528" s="3"/>
      <c r="N1528" s="3">
        <v>0</v>
      </c>
      <c r="O1528" s="3"/>
      <c r="P1528" s="3">
        <v>0</v>
      </c>
      <c r="Q1528" s="3">
        <v>0</v>
      </c>
      <c r="R1528" s="3">
        <v>0</v>
      </c>
      <c r="S1528" s="3">
        <v>0</v>
      </c>
      <c r="T1528" s="3">
        <v>0</v>
      </c>
      <c r="U1528" s="3"/>
      <c r="V1528" s="3"/>
      <c r="W1528" s="3"/>
      <c r="X1528" s="3"/>
      <c r="Y1528" s="3"/>
      <c r="Z1528" s="3"/>
      <c r="AA1528" s="3"/>
      <c r="AB1528" s="3"/>
      <c r="AC1528" s="3"/>
      <c r="AD1528" s="3"/>
      <c r="AE1528" s="3">
        <v>0</v>
      </c>
      <c r="AF1528" s="3">
        <v>0</v>
      </c>
      <c r="AG1528" s="3"/>
      <c r="AH1528" s="40"/>
      <c r="AI1528" s="40"/>
      <c r="AJ1528" s="40"/>
      <c r="AK1528" s="40"/>
      <c r="AL1528" s="40"/>
      <c r="AM1528" s="40"/>
      <c r="AN1528" s="40"/>
      <c r="AO1528" s="40"/>
      <c r="AP1528" s="40"/>
      <c r="AQ1528" s="40"/>
      <c r="AR1528" s="31"/>
      <c r="AS1528" s="36">
        <v>0</v>
      </c>
      <c r="AY1528" s="6"/>
      <c r="AZ1528" s="2"/>
      <c r="BA1528" s="2"/>
      <c r="BB1528" s="2"/>
      <c r="BC1528">
        <v>71500</v>
      </c>
      <c r="BD1528">
        <v>56992</v>
      </c>
    </row>
    <row r="1529" spans="3:56" x14ac:dyDescent="0.25">
      <c r="C1529" s="1">
        <v>47149</v>
      </c>
      <c r="D1529" s="36">
        <v>249932.632258064</v>
      </c>
      <c r="E1529" s="33">
        <v>4.2064516129032299</v>
      </c>
      <c r="F1529" s="33">
        <v>3.3960086021505398</v>
      </c>
      <c r="G1529" s="2">
        <v>0.80733333333333301</v>
      </c>
      <c r="H1529" s="2">
        <v>0.99</v>
      </c>
      <c r="I1529" s="3"/>
      <c r="J1529" s="3"/>
      <c r="K1529" s="3"/>
      <c r="L1529" s="3"/>
      <c r="M1529" s="3"/>
      <c r="N1529" s="3">
        <v>0</v>
      </c>
      <c r="O1529" s="3"/>
      <c r="P1529" s="3">
        <v>0</v>
      </c>
      <c r="Q1529" s="3">
        <v>0</v>
      </c>
      <c r="R1529" s="3">
        <v>0</v>
      </c>
      <c r="S1529" s="3">
        <v>0</v>
      </c>
      <c r="T1529" s="3">
        <v>0</v>
      </c>
      <c r="U1529" s="3"/>
      <c r="V1529" s="3"/>
      <c r="W1529" s="3"/>
      <c r="X1529" s="3"/>
      <c r="Y1529" s="3"/>
      <c r="Z1529" s="3"/>
      <c r="AA1529" s="3"/>
      <c r="AB1529" s="3"/>
      <c r="AC1529" s="3"/>
      <c r="AD1529" s="3"/>
      <c r="AE1529" s="3">
        <v>0</v>
      </c>
      <c r="AF1529" s="3">
        <v>0</v>
      </c>
      <c r="AG1529" s="3"/>
      <c r="AH1529" s="40"/>
      <c r="AI1529" s="40"/>
      <c r="AJ1529" s="40"/>
      <c r="AK1529" s="40"/>
      <c r="AL1529" s="40"/>
      <c r="AM1529" s="40"/>
      <c r="AN1529" s="40"/>
      <c r="AO1529" s="40"/>
      <c r="AP1529" s="40"/>
      <c r="AQ1529" s="40"/>
      <c r="AR1529" s="31"/>
      <c r="AS1529" s="36">
        <v>0</v>
      </c>
      <c r="AY1529" s="6"/>
      <c r="AZ1529" s="2"/>
      <c r="BA1529" s="2"/>
      <c r="BB1529" s="2"/>
      <c r="BC1529">
        <v>71500</v>
      </c>
      <c r="BD1529">
        <v>56992</v>
      </c>
    </row>
    <row r="1530" spans="3:56" x14ac:dyDescent="0.25">
      <c r="C1530" s="1">
        <v>47150</v>
      </c>
      <c r="D1530" s="36">
        <v>266565.27857142902</v>
      </c>
      <c r="E1530" s="33">
        <v>4.5857142857142899</v>
      </c>
      <c r="F1530" s="33">
        <v>3.7021999999999999</v>
      </c>
      <c r="G1530" s="2">
        <v>0.80733333333333301</v>
      </c>
      <c r="H1530" s="2">
        <v>0.99</v>
      </c>
      <c r="I1530" s="3"/>
      <c r="J1530" s="3"/>
      <c r="K1530" s="3"/>
      <c r="L1530" s="3"/>
      <c r="M1530" s="3"/>
      <c r="N1530" s="3">
        <v>0</v>
      </c>
      <c r="O1530" s="3"/>
      <c r="P1530" s="3">
        <v>0</v>
      </c>
      <c r="Q1530" s="3">
        <v>0</v>
      </c>
      <c r="R1530" s="3">
        <v>0</v>
      </c>
      <c r="S1530" s="3">
        <v>0</v>
      </c>
      <c r="T1530" s="3">
        <v>0</v>
      </c>
      <c r="U1530" s="3"/>
      <c r="V1530" s="3"/>
      <c r="W1530" s="3"/>
      <c r="X1530" s="3"/>
      <c r="Y1530" s="3"/>
      <c r="Z1530" s="3"/>
      <c r="AA1530" s="3"/>
      <c r="AB1530" s="3"/>
      <c r="AC1530" s="3"/>
      <c r="AD1530" s="3"/>
      <c r="AE1530" s="3">
        <v>0</v>
      </c>
      <c r="AF1530" s="3">
        <v>0</v>
      </c>
      <c r="AG1530" s="3"/>
      <c r="AH1530" s="40"/>
      <c r="AI1530" s="40"/>
      <c r="AJ1530" s="40"/>
      <c r="AK1530" s="40"/>
      <c r="AL1530" s="40"/>
      <c r="AM1530" s="40"/>
      <c r="AN1530" s="40"/>
      <c r="AO1530" s="40"/>
      <c r="AP1530" s="40"/>
      <c r="AQ1530" s="40"/>
      <c r="AR1530" s="31"/>
      <c r="AS1530" s="36">
        <v>0</v>
      </c>
      <c r="AY1530" s="6"/>
      <c r="AZ1530" s="2"/>
      <c r="BA1530" s="2"/>
      <c r="BB1530" s="2"/>
      <c r="BC1530">
        <v>71500</v>
      </c>
      <c r="BD1530">
        <v>56992</v>
      </c>
    </row>
    <row r="1531" spans="3:56" x14ac:dyDescent="0.25">
      <c r="C1531" s="1">
        <v>47151</v>
      </c>
      <c r="D1531" s="36">
        <v>266565.27857142902</v>
      </c>
      <c r="E1531" s="33">
        <v>4.5857142857142899</v>
      </c>
      <c r="F1531" s="33">
        <v>3.7021490476190499</v>
      </c>
      <c r="G1531" s="2">
        <v>0.80732222222222205</v>
      </c>
      <c r="H1531" s="2">
        <v>0.99</v>
      </c>
      <c r="I1531" s="3"/>
      <c r="J1531" s="3"/>
      <c r="K1531" s="3"/>
      <c r="L1531" s="3"/>
      <c r="M1531" s="3"/>
      <c r="N1531" s="3">
        <v>0</v>
      </c>
      <c r="O1531" s="3"/>
      <c r="P1531" s="3">
        <v>0</v>
      </c>
      <c r="Q1531" s="3">
        <v>0</v>
      </c>
      <c r="R1531" s="3">
        <v>0</v>
      </c>
      <c r="S1531" s="3">
        <v>0</v>
      </c>
      <c r="T1531" s="3">
        <v>0</v>
      </c>
      <c r="U1531" s="3"/>
      <c r="V1531" s="3"/>
      <c r="W1531" s="3"/>
      <c r="X1531" s="3"/>
      <c r="Y1531" s="3"/>
      <c r="Z1531" s="3"/>
      <c r="AA1531" s="3"/>
      <c r="AB1531" s="3"/>
      <c r="AC1531" s="3"/>
      <c r="AD1531" s="3"/>
      <c r="AE1531" s="3">
        <v>0</v>
      </c>
      <c r="AF1531" s="3">
        <v>0</v>
      </c>
      <c r="AG1531" s="3"/>
      <c r="AH1531" s="40"/>
      <c r="AI1531" s="40"/>
      <c r="AJ1531" s="40"/>
      <c r="AK1531" s="40"/>
      <c r="AL1531" s="40"/>
      <c r="AM1531" s="40"/>
      <c r="AN1531" s="40"/>
      <c r="AO1531" s="40"/>
      <c r="AP1531" s="40"/>
      <c r="AQ1531" s="40"/>
      <c r="AR1531" s="31"/>
      <c r="AS1531" s="36">
        <v>0</v>
      </c>
      <c r="AY1531" s="6"/>
      <c r="AZ1531" s="2"/>
      <c r="BA1531" s="2"/>
      <c r="BB1531" s="2"/>
      <c r="BC1531">
        <v>71500</v>
      </c>
      <c r="BD1531">
        <v>56992</v>
      </c>
    </row>
    <row r="1532" spans="3:56" x14ac:dyDescent="0.25">
      <c r="C1532" s="1">
        <v>47152</v>
      </c>
      <c r="D1532" s="36">
        <v>266565.27857142902</v>
      </c>
      <c r="E1532" s="33">
        <v>4.5857142857142899</v>
      </c>
      <c r="F1532" s="33">
        <v>3.7020980952381</v>
      </c>
      <c r="G1532" s="2">
        <v>0.80731111111111098</v>
      </c>
      <c r="H1532" s="2">
        <v>0.99</v>
      </c>
      <c r="I1532" s="3"/>
      <c r="J1532" s="3"/>
      <c r="K1532" s="3"/>
      <c r="L1532" s="3"/>
      <c r="M1532" s="3"/>
      <c r="N1532" s="3">
        <v>0</v>
      </c>
      <c r="O1532" s="3"/>
      <c r="P1532" s="3">
        <v>0</v>
      </c>
      <c r="Q1532" s="3">
        <v>0</v>
      </c>
      <c r="R1532" s="3">
        <v>0</v>
      </c>
      <c r="S1532" s="3">
        <v>0</v>
      </c>
      <c r="T1532" s="3">
        <v>0</v>
      </c>
      <c r="U1532" s="3"/>
      <c r="V1532" s="3"/>
      <c r="W1532" s="3"/>
      <c r="X1532" s="3"/>
      <c r="Y1532" s="3"/>
      <c r="Z1532" s="3"/>
      <c r="AA1532" s="3"/>
      <c r="AB1532" s="3"/>
      <c r="AC1532" s="3"/>
      <c r="AD1532" s="3"/>
      <c r="AE1532" s="3">
        <v>0</v>
      </c>
      <c r="AF1532" s="3">
        <v>0</v>
      </c>
      <c r="AG1532" s="3"/>
      <c r="AH1532" s="40"/>
      <c r="AI1532" s="40"/>
      <c r="AJ1532" s="40"/>
      <c r="AK1532" s="40"/>
      <c r="AL1532" s="40"/>
      <c r="AM1532" s="40"/>
      <c r="AN1532" s="40"/>
      <c r="AO1532" s="40"/>
      <c r="AP1532" s="40"/>
      <c r="AQ1532" s="40"/>
      <c r="AR1532" s="31"/>
      <c r="AS1532" s="36">
        <v>0</v>
      </c>
      <c r="AY1532" s="6"/>
      <c r="AZ1532" s="2"/>
      <c r="BA1532" s="2"/>
      <c r="BB1532" s="2"/>
      <c r="BC1532">
        <v>71500</v>
      </c>
      <c r="BD1532">
        <v>56992</v>
      </c>
    </row>
    <row r="1533" spans="3:56" x14ac:dyDescent="0.25">
      <c r="C1533" s="1">
        <v>47153</v>
      </c>
      <c r="D1533" s="36">
        <v>266565.27857142902</v>
      </c>
      <c r="E1533" s="33">
        <v>4.5857142857142899</v>
      </c>
      <c r="F1533" s="33">
        <v>3.7020471428571402</v>
      </c>
      <c r="G1533" s="2">
        <v>0.80730000000000002</v>
      </c>
      <c r="H1533" s="2">
        <v>0.99</v>
      </c>
      <c r="I1533" s="3"/>
      <c r="J1533" s="3"/>
      <c r="K1533" s="3"/>
      <c r="L1533" s="3"/>
      <c r="M1533" s="3"/>
      <c r="N1533" s="3">
        <v>0</v>
      </c>
      <c r="O1533" s="3"/>
      <c r="P1533" s="3">
        <v>0</v>
      </c>
      <c r="Q1533" s="3">
        <v>0</v>
      </c>
      <c r="R1533" s="3">
        <v>0</v>
      </c>
      <c r="S1533" s="3">
        <v>0</v>
      </c>
      <c r="T1533" s="3">
        <v>0</v>
      </c>
      <c r="U1533" s="3"/>
      <c r="V1533" s="3"/>
      <c r="W1533" s="3"/>
      <c r="X1533" s="3"/>
      <c r="Y1533" s="3"/>
      <c r="Z1533" s="3"/>
      <c r="AA1533" s="3"/>
      <c r="AB1533" s="3"/>
      <c r="AC1533" s="3"/>
      <c r="AD1533" s="3"/>
      <c r="AE1533" s="3">
        <v>0</v>
      </c>
      <c r="AF1533" s="3">
        <v>0</v>
      </c>
      <c r="AG1533" s="3"/>
      <c r="AH1533" s="40"/>
      <c r="AI1533" s="40"/>
      <c r="AJ1533" s="40"/>
      <c r="AK1533" s="40"/>
      <c r="AL1533" s="40"/>
      <c r="AM1533" s="40"/>
      <c r="AN1533" s="40"/>
      <c r="AO1533" s="40"/>
      <c r="AP1533" s="40"/>
      <c r="AQ1533" s="40"/>
      <c r="AR1533" s="31"/>
      <c r="AS1533" s="36">
        <v>0</v>
      </c>
      <c r="AY1533" s="6"/>
      <c r="AZ1533" s="2"/>
      <c r="BA1533" s="2"/>
      <c r="BB1533" s="2"/>
      <c r="BC1533">
        <v>71500</v>
      </c>
      <c r="BD1533">
        <v>56992</v>
      </c>
    </row>
    <row r="1534" spans="3:56" x14ac:dyDescent="0.25">
      <c r="C1534" s="1">
        <v>47154</v>
      </c>
      <c r="D1534" s="36">
        <v>266565.27857142902</v>
      </c>
      <c r="E1534" s="33">
        <v>4.5857142857142899</v>
      </c>
      <c r="F1534" s="33">
        <v>3.7019961904761902</v>
      </c>
      <c r="G1534" s="2">
        <v>0.80728888888888894</v>
      </c>
      <c r="H1534" s="2">
        <v>0.99</v>
      </c>
      <c r="I1534" s="3"/>
      <c r="J1534" s="3"/>
      <c r="K1534" s="3"/>
      <c r="L1534" s="3"/>
      <c r="M1534" s="3"/>
      <c r="N1534" s="3">
        <v>0</v>
      </c>
      <c r="O1534" s="3"/>
      <c r="P1534" s="3">
        <v>0</v>
      </c>
      <c r="Q1534" s="3">
        <v>0</v>
      </c>
      <c r="R1534" s="3">
        <v>0</v>
      </c>
      <c r="S1534" s="3">
        <v>0</v>
      </c>
      <c r="T1534" s="3">
        <v>0</v>
      </c>
      <c r="U1534" s="3"/>
      <c r="V1534" s="3"/>
      <c r="W1534" s="3"/>
      <c r="X1534" s="3"/>
      <c r="Y1534" s="3"/>
      <c r="Z1534" s="3"/>
      <c r="AA1534" s="3"/>
      <c r="AB1534" s="3"/>
      <c r="AC1534" s="3"/>
      <c r="AD1534" s="3"/>
      <c r="AE1534" s="3">
        <v>0</v>
      </c>
      <c r="AF1534" s="3">
        <v>0</v>
      </c>
      <c r="AG1534" s="3"/>
      <c r="AH1534" s="40"/>
      <c r="AI1534" s="40"/>
      <c r="AJ1534" s="40"/>
      <c r="AK1534" s="40"/>
      <c r="AL1534" s="40"/>
      <c r="AM1534" s="40"/>
      <c r="AN1534" s="40"/>
      <c r="AO1534" s="40"/>
      <c r="AP1534" s="40"/>
      <c r="AQ1534" s="40"/>
      <c r="AR1534" s="31"/>
      <c r="AS1534" s="36">
        <v>0</v>
      </c>
      <c r="AY1534" s="6"/>
      <c r="AZ1534" s="2"/>
      <c r="BA1534" s="2"/>
      <c r="BB1534" s="2"/>
      <c r="BC1534">
        <v>71500</v>
      </c>
      <c r="BD1534">
        <v>56992</v>
      </c>
    </row>
    <row r="1535" spans="3:56" x14ac:dyDescent="0.25">
      <c r="C1535" s="1">
        <v>47155</v>
      </c>
      <c r="D1535" s="36">
        <v>266565.27857142902</v>
      </c>
      <c r="E1535" s="33">
        <v>4.5857142857142899</v>
      </c>
      <c r="F1535" s="33">
        <v>3.7019452380952398</v>
      </c>
      <c r="G1535" s="2">
        <v>0.80727777777777798</v>
      </c>
      <c r="H1535" s="2">
        <v>0.99</v>
      </c>
      <c r="I1535" s="3"/>
      <c r="J1535" s="3"/>
      <c r="K1535" s="3"/>
      <c r="L1535" s="3"/>
      <c r="M1535" s="3"/>
      <c r="N1535" s="3">
        <v>0</v>
      </c>
      <c r="O1535" s="3"/>
      <c r="P1535" s="3">
        <v>0</v>
      </c>
      <c r="Q1535" s="3">
        <v>0</v>
      </c>
      <c r="R1535" s="3">
        <v>0</v>
      </c>
      <c r="S1535" s="3">
        <v>0</v>
      </c>
      <c r="T1535" s="3">
        <v>0</v>
      </c>
      <c r="U1535" s="3"/>
      <c r="V1535" s="3"/>
      <c r="W1535" s="3"/>
      <c r="X1535" s="3"/>
      <c r="Y1535" s="3"/>
      <c r="Z1535" s="3"/>
      <c r="AA1535" s="3"/>
      <c r="AB1535" s="3"/>
      <c r="AC1535" s="3"/>
      <c r="AD1535" s="3"/>
      <c r="AE1535" s="3">
        <v>0</v>
      </c>
      <c r="AF1535" s="3">
        <v>0</v>
      </c>
      <c r="AG1535" s="3"/>
      <c r="AH1535" s="40"/>
      <c r="AI1535" s="40"/>
      <c r="AJ1535" s="40"/>
      <c r="AK1535" s="40"/>
      <c r="AL1535" s="40"/>
      <c r="AM1535" s="40"/>
      <c r="AN1535" s="40"/>
      <c r="AO1535" s="40"/>
      <c r="AP1535" s="40"/>
      <c r="AQ1535" s="40"/>
      <c r="AR1535" s="31"/>
      <c r="AS1535" s="36">
        <v>0</v>
      </c>
      <c r="AY1535" s="6"/>
      <c r="AZ1535" s="2"/>
      <c r="BA1535" s="2"/>
      <c r="BB1535" s="2"/>
      <c r="BC1535">
        <v>71500</v>
      </c>
      <c r="BD1535">
        <v>56992</v>
      </c>
    </row>
    <row r="1536" spans="3:56" x14ac:dyDescent="0.25">
      <c r="C1536" s="1">
        <v>47156</v>
      </c>
      <c r="D1536" s="36">
        <v>266565.27857142902</v>
      </c>
      <c r="E1536" s="33">
        <v>4.5857142857142899</v>
      </c>
      <c r="F1536" s="33">
        <v>3.7018942857142898</v>
      </c>
      <c r="G1536" s="2">
        <v>0.80726666666666702</v>
      </c>
      <c r="H1536" s="2">
        <v>0.99</v>
      </c>
      <c r="I1536" s="3"/>
      <c r="J1536" s="3"/>
      <c r="K1536" s="3"/>
      <c r="L1536" s="3"/>
      <c r="M1536" s="3"/>
      <c r="N1536" s="3">
        <v>0</v>
      </c>
      <c r="O1536" s="3"/>
      <c r="P1536" s="3">
        <v>0</v>
      </c>
      <c r="Q1536" s="3">
        <v>0</v>
      </c>
      <c r="R1536" s="3">
        <v>0</v>
      </c>
      <c r="S1536" s="3">
        <v>0</v>
      </c>
      <c r="T1536" s="3">
        <v>0</v>
      </c>
      <c r="U1536" s="3"/>
      <c r="V1536" s="3"/>
      <c r="W1536" s="3"/>
      <c r="X1536" s="3"/>
      <c r="Y1536" s="3"/>
      <c r="Z1536" s="3"/>
      <c r="AA1536" s="3"/>
      <c r="AB1536" s="3"/>
      <c r="AC1536" s="3"/>
      <c r="AD1536" s="3"/>
      <c r="AE1536" s="3">
        <v>0</v>
      </c>
      <c r="AF1536" s="3">
        <v>0</v>
      </c>
      <c r="AG1536" s="3"/>
      <c r="AH1536" s="40"/>
      <c r="AI1536" s="40"/>
      <c r="AJ1536" s="40"/>
      <c r="AK1536" s="40"/>
      <c r="AL1536" s="40"/>
      <c r="AM1536" s="40"/>
      <c r="AN1536" s="40"/>
      <c r="AO1536" s="40"/>
      <c r="AP1536" s="40"/>
      <c r="AQ1536" s="40"/>
      <c r="AR1536" s="31"/>
      <c r="AS1536" s="36">
        <v>0</v>
      </c>
      <c r="AY1536" s="6"/>
      <c r="AZ1536" s="2"/>
      <c r="BA1536" s="2"/>
      <c r="BB1536" s="2"/>
      <c r="BC1536">
        <v>71500</v>
      </c>
      <c r="BD1536">
        <v>56992</v>
      </c>
    </row>
    <row r="1537" spans="3:56" x14ac:dyDescent="0.25">
      <c r="C1537" s="1">
        <v>47157</v>
      </c>
      <c r="D1537" s="36">
        <v>266565.27857142902</v>
      </c>
      <c r="E1537" s="33">
        <v>4.5857142857142899</v>
      </c>
      <c r="F1537" s="33">
        <v>3.70184333333333</v>
      </c>
      <c r="G1537" s="2">
        <v>0.80725555555555595</v>
      </c>
      <c r="H1537" s="2">
        <v>0.99</v>
      </c>
      <c r="I1537" s="3"/>
      <c r="J1537" s="3"/>
      <c r="K1537" s="3"/>
      <c r="L1537" s="3"/>
      <c r="M1537" s="3"/>
      <c r="N1537" s="3">
        <v>0</v>
      </c>
      <c r="O1537" s="3"/>
      <c r="P1537" s="3">
        <v>0</v>
      </c>
      <c r="Q1537" s="3">
        <v>0</v>
      </c>
      <c r="R1537" s="3">
        <v>0</v>
      </c>
      <c r="S1537" s="3">
        <v>0</v>
      </c>
      <c r="T1537" s="3">
        <v>0</v>
      </c>
      <c r="U1537" s="3"/>
      <c r="V1537" s="3"/>
      <c r="W1537" s="3"/>
      <c r="X1537" s="3"/>
      <c r="Y1537" s="3"/>
      <c r="Z1537" s="3"/>
      <c r="AA1537" s="3"/>
      <c r="AB1537" s="3"/>
      <c r="AC1537" s="3"/>
      <c r="AD1537" s="3"/>
      <c r="AE1537" s="3">
        <v>0</v>
      </c>
      <c r="AF1537" s="3">
        <v>0</v>
      </c>
      <c r="AG1537" s="3"/>
      <c r="AH1537" s="40"/>
      <c r="AI1537" s="40"/>
      <c r="AJ1537" s="40"/>
      <c r="AK1537" s="40"/>
      <c r="AL1537" s="40"/>
      <c r="AM1537" s="40"/>
      <c r="AN1537" s="40"/>
      <c r="AO1537" s="40"/>
      <c r="AP1537" s="40"/>
      <c r="AQ1537" s="40"/>
      <c r="AR1537" s="31"/>
      <c r="AS1537" s="36">
        <v>0</v>
      </c>
      <c r="AY1537" s="6"/>
      <c r="AZ1537" s="2"/>
      <c r="BA1537" s="2"/>
      <c r="BB1537" s="2"/>
      <c r="BC1537">
        <v>71500</v>
      </c>
      <c r="BD1537">
        <v>56992</v>
      </c>
    </row>
    <row r="1538" spans="3:56" x14ac:dyDescent="0.25">
      <c r="C1538" s="1">
        <v>47158</v>
      </c>
      <c r="D1538" s="36">
        <v>266565.27857142902</v>
      </c>
      <c r="E1538" s="33">
        <v>4.5857142857142899</v>
      </c>
      <c r="F1538" s="33">
        <v>3.7017923809523801</v>
      </c>
      <c r="G1538" s="2">
        <v>0.80724444444444399</v>
      </c>
      <c r="H1538" s="2">
        <v>0.99</v>
      </c>
      <c r="I1538" s="3"/>
      <c r="J1538" s="3"/>
      <c r="K1538" s="3"/>
      <c r="L1538" s="3"/>
      <c r="M1538" s="3"/>
      <c r="N1538" s="3">
        <v>0</v>
      </c>
      <c r="O1538" s="3"/>
      <c r="P1538" s="3">
        <v>0</v>
      </c>
      <c r="Q1538" s="3">
        <v>0</v>
      </c>
      <c r="R1538" s="3">
        <v>0</v>
      </c>
      <c r="S1538" s="3">
        <v>0</v>
      </c>
      <c r="T1538" s="3">
        <v>0</v>
      </c>
      <c r="U1538" s="3"/>
      <c r="V1538" s="3"/>
      <c r="W1538" s="3"/>
      <c r="X1538" s="3"/>
      <c r="Y1538" s="3"/>
      <c r="Z1538" s="3"/>
      <c r="AA1538" s="3"/>
      <c r="AB1538" s="3"/>
      <c r="AC1538" s="3"/>
      <c r="AD1538" s="3"/>
      <c r="AE1538" s="3">
        <v>0</v>
      </c>
      <c r="AF1538" s="3">
        <v>0</v>
      </c>
      <c r="AG1538" s="3"/>
      <c r="AH1538" s="40"/>
      <c r="AI1538" s="40"/>
      <c r="AJ1538" s="40"/>
      <c r="AK1538" s="40"/>
      <c r="AL1538" s="40"/>
      <c r="AM1538" s="40"/>
      <c r="AN1538" s="40"/>
      <c r="AO1538" s="40"/>
      <c r="AP1538" s="40"/>
      <c r="AQ1538" s="40"/>
      <c r="AR1538" s="31"/>
      <c r="AS1538" s="36">
        <v>0</v>
      </c>
      <c r="AY1538" s="6"/>
      <c r="AZ1538" s="2"/>
      <c r="BA1538" s="2"/>
      <c r="BB1538" s="2"/>
      <c r="BC1538">
        <v>71500</v>
      </c>
      <c r="BD1538">
        <v>56992</v>
      </c>
    </row>
    <row r="1539" spans="3:56" x14ac:dyDescent="0.25">
      <c r="C1539" s="1">
        <v>47159</v>
      </c>
      <c r="D1539" s="36">
        <v>266565.27857142902</v>
      </c>
      <c r="E1539" s="33">
        <v>4.5857142857142899</v>
      </c>
      <c r="F1539" s="33">
        <v>3.7017414285714301</v>
      </c>
      <c r="G1539" s="2">
        <v>0.80723333333333303</v>
      </c>
      <c r="H1539" s="2">
        <v>0.99</v>
      </c>
      <c r="I1539" s="3"/>
      <c r="J1539" s="3"/>
      <c r="K1539" s="3"/>
      <c r="L1539" s="3"/>
      <c r="M1539" s="3"/>
      <c r="N1539" s="3">
        <v>0</v>
      </c>
      <c r="O1539" s="3"/>
      <c r="P1539" s="3">
        <v>0</v>
      </c>
      <c r="Q1539" s="3">
        <v>0</v>
      </c>
      <c r="R1539" s="3">
        <v>0</v>
      </c>
      <c r="S1539" s="3">
        <v>0</v>
      </c>
      <c r="T1539" s="3">
        <v>0</v>
      </c>
      <c r="U1539" s="3"/>
      <c r="V1539" s="3"/>
      <c r="W1539" s="3"/>
      <c r="X1539" s="3"/>
      <c r="Y1539" s="3"/>
      <c r="Z1539" s="3"/>
      <c r="AA1539" s="3"/>
      <c r="AB1539" s="3"/>
      <c r="AC1539" s="3"/>
      <c r="AD1539" s="3"/>
      <c r="AE1539" s="3">
        <v>0</v>
      </c>
      <c r="AF1539" s="3">
        <v>0</v>
      </c>
      <c r="AG1539" s="3"/>
      <c r="AH1539" s="40"/>
      <c r="AI1539" s="40"/>
      <c r="AJ1539" s="40"/>
      <c r="AK1539" s="40"/>
      <c r="AL1539" s="40"/>
      <c r="AM1539" s="40"/>
      <c r="AN1539" s="40"/>
      <c r="AO1539" s="40"/>
      <c r="AP1539" s="40"/>
      <c r="AQ1539" s="40"/>
      <c r="AR1539" s="31"/>
      <c r="AS1539" s="36">
        <v>0</v>
      </c>
      <c r="AY1539" s="6"/>
      <c r="AZ1539" s="2"/>
      <c r="BA1539" s="2"/>
      <c r="BB1539" s="2"/>
      <c r="BC1539">
        <v>71500</v>
      </c>
      <c r="BD1539">
        <v>56992</v>
      </c>
    </row>
    <row r="1540" spans="3:56" x14ac:dyDescent="0.25">
      <c r="C1540" s="1">
        <v>47160</v>
      </c>
      <c r="D1540" s="36">
        <v>266565.27857142902</v>
      </c>
      <c r="E1540" s="33">
        <v>4.5857142857142899</v>
      </c>
      <c r="F1540" s="33">
        <v>3.7016904761904801</v>
      </c>
      <c r="G1540" s="2">
        <v>0.80722222222222195</v>
      </c>
      <c r="H1540" s="2">
        <v>0.99</v>
      </c>
      <c r="I1540" s="3"/>
      <c r="J1540" s="3"/>
      <c r="K1540" s="3"/>
      <c r="L1540" s="3"/>
      <c r="M1540" s="3"/>
      <c r="N1540" s="3">
        <v>0</v>
      </c>
      <c r="O1540" s="3"/>
      <c r="P1540" s="3">
        <v>0</v>
      </c>
      <c r="Q1540" s="3">
        <v>0</v>
      </c>
      <c r="R1540" s="3">
        <v>0</v>
      </c>
      <c r="S1540" s="3">
        <v>0</v>
      </c>
      <c r="T1540" s="3">
        <v>0</v>
      </c>
      <c r="U1540" s="3"/>
      <c r="V1540" s="3"/>
      <c r="W1540" s="3"/>
      <c r="X1540" s="3"/>
      <c r="Y1540" s="3"/>
      <c r="Z1540" s="3"/>
      <c r="AA1540" s="3"/>
      <c r="AB1540" s="3"/>
      <c r="AC1540" s="3"/>
      <c r="AD1540" s="3"/>
      <c r="AE1540" s="3">
        <v>0</v>
      </c>
      <c r="AF1540" s="3">
        <v>0</v>
      </c>
      <c r="AG1540" s="3"/>
      <c r="AH1540" s="40"/>
      <c r="AI1540" s="40"/>
      <c r="AJ1540" s="40"/>
      <c r="AK1540" s="40"/>
      <c r="AL1540" s="40"/>
      <c r="AM1540" s="40"/>
      <c r="AN1540" s="40"/>
      <c r="AO1540" s="40"/>
      <c r="AP1540" s="40"/>
      <c r="AQ1540" s="40"/>
      <c r="AR1540" s="31"/>
      <c r="AS1540" s="36">
        <v>0</v>
      </c>
      <c r="AY1540" s="6"/>
      <c r="AZ1540" s="2"/>
      <c r="BA1540" s="2"/>
      <c r="BB1540" s="2"/>
      <c r="BC1540">
        <v>71500</v>
      </c>
      <c r="BD1540">
        <v>56992</v>
      </c>
    </row>
    <row r="1541" spans="3:56" x14ac:dyDescent="0.25">
      <c r="C1541" s="1">
        <v>47161</v>
      </c>
      <c r="D1541" s="36">
        <v>266565.27857142902</v>
      </c>
      <c r="E1541" s="33">
        <v>4.5857142857142899</v>
      </c>
      <c r="F1541" s="33">
        <v>3.7016395238095199</v>
      </c>
      <c r="G1541" s="2">
        <v>0.80721111111111099</v>
      </c>
      <c r="H1541" s="2">
        <v>0.99</v>
      </c>
      <c r="I1541" s="3"/>
      <c r="J1541" s="3"/>
      <c r="K1541" s="3"/>
      <c r="L1541" s="3"/>
      <c r="M1541" s="3"/>
      <c r="N1541" s="3">
        <v>0</v>
      </c>
      <c r="O1541" s="3"/>
      <c r="P1541" s="3">
        <v>0</v>
      </c>
      <c r="Q1541" s="3">
        <v>0</v>
      </c>
      <c r="R1541" s="3">
        <v>0</v>
      </c>
      <c r="S1541" s="3">
        <v>0</v>
      </c>
      <c r="T1541" s="3">
        <v>0</v>
      </c>
      <c r="U1541" s="3"/>
      <c r="V1541" s="3"/>
      <c r="W1541" s="3"/>
      <c r="X1541" s="3"/>
      <c r="Y1541" s="3"/>
      <c r="Z1541" s="3"/>
      <c r="AA1541" s="3"/>
      <c r="AB1541" s="3"/>
      <c r="AC1541" s="3"/>
      <c r="AD1541" s="3"/>
      <c r="AE1541" s="3">
        <v>0</v>
      </c>
      <c r="AF1541" s="3">
        <v>0</v>
      </c>
      <c r="AG1541" s="3"/>
      <c r="AH1541" s="40"/>
      <c r="AI1541" s="40"/>
      <c r="AJ1541" s="40"/>
      <c r="AK1541" s="40"/>
      <c r="AL1541" s="40"/>
      <c r="AM1541" s="40"/>
      <c r="AN1541" s="40"/>
      <c r="AO1541" s="40"/>
      <c r="AP1541" s="40"/>
      <c r="AQ1541" s="40"/>
      <c r="AR1541" s="31"/>
      <c r="AS1541" s="36">
        <v>0</v>
      </c>
      <c r="AY1541" s="6"/>
      <c r="AZ1541" s="2"/>
      <c r="BA1541" s="2"/>
      <c r="BB1541" s="2"/>
      <c r="BC1541">
        <v>71500</v>
      </c>
      <c r="BD1541">
        <v>56992</v>
      </c>
    </row>
    <row r="1542" spans="3:56" x14ac:dyDescent="0.25">
      <c r="C1542" s="1">
        <v>47162</v>
      </c>
      <c r="D1542" s="36">
        <v>266565.27857142902</v>
      </c>
      <c r="E1542" s="33">
        <v>4.5857142857142899</v>
      </c>
      <c r="F1542" s="33">
        <v>3.7015885714285699</v>
      </c>
      <c r="G1542" s="2">
        <v>0.80720000000000003</v>
      </c>
      <c r="H1542" s="2">
        <v>0.99</v>
      </c>
      <c r="I1542" s="3"/>
      <c r="J1542" s="3"/>
      <c r="K1542" s="3"/>
      <c r="L1542" s="3"/>
      <c r="M1542" s="3"/>
      <c r="N1542" s="3">
        <v>0</v>
      </c>
      <c r="O1542" s="3"/>
      <c r="P1542" s="3">
        <v>0</v>
      </c>
      <c r="Q1542" s="3">
        <v>0</v>
      </c>
      <c r="R1542" s="3">
        <v>0</v>
      </c>
      <c r="S1542" s="3">
        <v>0</v>
      </c>
      <c r="T1542" s="3">
        <v>0</v>
      </c>
      <c r="U1542" s="3"/>
      <c r="V1542" s="3"/>
      <c r="W1542" s="3"/>
      <c r="X1542" s="3"/>
      <c r="Y1542" s="3"/>
      <c r="Z1542" s="3"/>
      <c r="AA1542" s="3"/>
      <c r="AB1542" s="3"/>
      <c r="AC1542" s="3"/>
      <c r="AD1542" s="3"/>
      <c r="AE1542" s="3">
        <v>0</v>
      </c>
      <c r="AF1542" s="3">
        <v>0</v>
      </c>
      <c r="AG1542" s="3"/>
      <c r="AH1542" s="40"/>
      <c r="AI1542" s="40"/>
      <c r="AJ1542" s="40"/>
      <c r="AK1542" s="40"/>
      <c r="AL1542" s="40"/>
      <c r="AM1542" s="40"/>
      <c r="AN1542" s="40"/>
      <c r="AO1542" s="40"/>
      <c r="AP1542" s="40"/>
      <c r="AQ1542" s="40"/>
      <c r="AR1542" s="31"/>
      <c r="AS1542" s="36">
        <v>0</v>
      </c>
      <c r="AY1542" s="6"/>
      <c r="AZ1542" s="2"/>
      <c r="BA1542" s="2"/>
      <c r="BB1542" s="2"/>
      <c r="BC1542">
        <v>71500</v>
      </c>
      <c r="BD1542">
        <v>56992</v>
      </c>
    </row>
    <row r="1543" spans="3:56" x14ac:dyDescent="0.25">
      <c r="C1543" s="1">
        <v>47163</v>
      </c>
      <c r="D1543" s="36">
        <v>266565.27857142902</v>
      </c>
      <c r="E1543" s="33">
        <v>4.5857142857142899</v>
      </c>
      <c r="F1543" s="33">
        <v>3.7015376190476199</v>
      </c>
      <c r="G1543" s="2">
        <v>0.80718888888888896</v>
      </c>
      <c r="H1543" s="2">
        <v>0.99</v>
      </c>
      <c r="I1543" s="3"/>
      <c r="J1543" s="3"/>
      <c r="K1543" s="3"/>
      <c r="L1543" s="3"/>
      <c r="M1543" s="3"/>
      <c r="N1543" s="3">
        <v>0</v>
      </c>
      <c r="O1543" s="3"/>
      <c r="P1543" s="3">
        <v>0</v>
      </c>
      <c r="Q1543" s="3">
        <v>0</v>
      </c>
      <c r="R1543" s="3">
        <v>0</v>
      </c>
      <c r="S1543" s="3">
        <v>0</v>
      </c>
      <c r="T1543" s="3">
        <v>0</v>
      </c>
      <c r="U1543" s="3"/>
      <c r="V1543" s="3"/>
      <c r="W1543" s="3"/>
      <c r="X1543" s="3"/>
      <c r="Y1543" s="3"/>
      <c r="Z1543" s="3"/>
      <c r="AA1543" s="3"/>
      <c r="AB1543" s="3"/>
      <c r="AC1543" s="3"/>
      <c r="AD1543" s="3"/>
      <c r="AE1543" s="3">
        <v>0</v>
      </c>
      <c r="AF1543" s="3">
        <v>0</v>
      </c>
      <c r="AG1543" s="3"/>
      <c r="AH1543" s="40"/>
      <c r="AI1543" s="40"/>
      <c r="AJ1543" s="40"/>
      <c r="AK1543" s="40"/>
      <c r="AL1543" s="40"/>
      <c r="AM1543" s="40"/>
      <c r="AN1543" s="40"/>
      <c r="AO1543" s="40"/>
      <c r="AP1543" s="40"/>
      <c r="AQ1543" s="40"/>
      <c r="AR1543" s="31"/>
      <c r="AS1543" s="36">
        <v>0</v>
      </c>
      <c r="AY1543" s="6"/>
      <c r="AZ1543" s="2"/>
      <c r="BA1543" s="2"/>
      <c r="BB1543" s="2"/>
      <c r="BC1543">
        <v>71500</v>
      </c>
      <c r="BD1543">
        <v>56992</v>
      </c>
    </row>
    <row r="1544" spans="3:56" x14ac:dyDescent="0.25">
      <c r="C1544" s="1">
        <v>47164</v>
      </c>
      <c r="D1544" s="36">
        <v>266565.27857142902</v>
      </c>
      <c r="E1544" s="33">
        <v>4.5857142857142899</v>
      </c>
      <c r="F1544" s="33">
        <v>3.7014866666666699</v>
      </c>
      <c r="G1544" s="2">
        <v>0.80717777777777799</v>
      </c>
      <c r="H1544" s="2">
        <v>0.99</v>
      </c>
      <c r="I1544" s="3"/>
      <c r="J1544" s="3"/>
      <c r="K1544" s="3"/>
      <c r="L1544" s="3"/>
      <c r="M1544" s="3"/>
      <c r="N1544" s="3">
        <v>0</v>
      </c>
      <c r="O1544" s="3"/>
      <c r="P1544" s="3">
        <v>0</v>
      </c>
      <c r="Q1544" s="3">
        <v>0</v>
      </c>
      <c r="R1544" s="3">
        <v>0</v>
      </c>
      <c r="S1544" s="3">
        <v>0</v>
      </c>
      <c r="T1544" s="3">
        <v>0</v>
      </c>
      <c r="U1544" s="3"/>
      <c r="V1544" s="3"/>
      <c r="W1544" s="3"/>
      <c r="X1544" s="3"/>
      <c r="Y1544" s="3"/>
      <c r="Z1544" s="3"/>
      <c r="AA1544" s="3"/>
      <c r="AB1544" s="3"/>
      <c r="AC1544" s="3"/>
      <c r="AD1544" s="3"/>
      <c r="AE1544" s="3">
        <v>0</v>
      </c>
      <c r="AF1544" s="3">
        <v>0</v>
      </c>
      <c r="AG1544" s="3"/>
      <c r="AH1544" s="40"/>
      <c r="AI1544" s="40"/>
      <c r="AJ1544" s="40"/>
      <c r="AK1544" s="40"/>
      <c r="AL1544" s="40"/>
      <c r="AM1544" s="40"/>
      <c r="AN1544" s="40"/>
      <c r="AO1544" s="40"/>
      <c r="AP1544" s="40"/>
      <c r="AQ1544" s="40"/>
      <c r="AR1544" s="31"/>
      <c r="AS1544" s="36">
        <v>0</v>
      </c>
      <c r="AY1544" s="6"/>
      <c r="AZ1544" s="2"/>
      <c r="BA1544" s="2"/>
      <c r="BB1544" s="2"/>
      <c r="BC1544">
        <v>71500</v>
      </c>
      <c r="BD1544">
        <v>56992</v>
      </c>
    </row>
    <row r="1545" spans="3:56" x14ac:dyDescent="0.25">
      <c r="C1545" s="1">
        <v>47165</v>
      </c>
      <c r="D1545" s="36">
        <v>266565.27857142902</v>
      </c>
      <c r="E1545" s="33">
        <v>4.5857142857142899</v>
      </c>
      <c r="F1545" s="33">
        <v>3.7014357142857199</v>
      </c>
      <c r="G1545" s="2">
        <v>0.80716666666666703</v>
      </c>
      <c r="H1545" s="2">
        <v>0.99</v>
      </c>
      <c r="I1545" s="3"/>
      <c r="J1545" s="3"/>
      <c r="K1545" s="3"/>
      <c r="L1545" s="3"/>
      <c r="M1545" s="3"/>
      <c r="N1545" s="3">
        <v>0</v>
      </c>
      <c r="O1545" s="3"/>
      <c r="P1545" s="3">
        <v>0</v>
      </c>
      <c r="Q1545" s="3">
        <v>0</v>
      </c>
      <c r="R1545" s="3">
        <v>0</v>
      </c>
      <c r="S1545" s="3">
        <v>0</v>
      </c>
      <c r="T1545" s="3">
        <v>0</v>
      </c>
      <c r="U1545" s="3"/>
      <c r="V1545" s="3"/>
      <c r="W1545" s="3"/>
      <c r="X1545" s="3"/>
      <c r="Y1545" s="3"/>
      <c r="Z1545" s="3"/>
      <c r="AA1545" s="3"/>
      <c r="AB1545" s="3"/>
      <c r="AC1545" s="3"/>
      <c r="AD1545" s="3"/>
      <c r="AE1545" s="3">
        <v>0</v>
      </c>
      <c r="AF1545" s="3">
        <v>0</v>
      </c>
      <c r="AG1545" s="3"/>
      <c r="AH1545" s="40"/>
      <c r="AI1545" s="40"/>
      <c r="AJ1545" s="40"/>
      <c r="AK1545" s="40"/>
      <c r="AL1545" s="40"/>
      <c r="AM1545" s="40"/>
      <c r="AN1545" s="40"/>
      <c r="AO1545" s="40"/>
      <c r="AP1545" s="40"/>
      <c r="AQ1545" s="40"/>
      <c r="AR1545" s="31"/>
      <c r="AS1545" s="36">
        <v>0</v>
      </c>
      <c r="AY1545" s="6"/>
      <c r="AZ1545" s="2"/>
      <c r="BA1545" s="2"/>
      <c r="BB1545" s="2"/>
      <c r="BC1545">
        <v>71500</v>
      </c>
      <c r="BD1545">
        <v>56992</v>
      </c>
    </row>
    <row r="1546" spans="3:56" x14ac:dyDescent="0.25">
      <c r="C1546" s="1">
        <v>47166</v>
      </c>
      <c r="D1546" s="36">
        <v>266565.27857142902</v>
      </c>
      <c r="E1546" s="33">
        <v>4.5857142857142899</v>
      </c>
      <c r="F1546" s="33">
        <v>3.7013847619047602</v>
      </c>
      <c r="G1546" s="2">
        <v>0.80715555555555596</v>
      </c>
      <c r="H1546" s="2">
        <v>0.99</v>
      </c>
      <c r="I1546" s="3"/>
      <c r="J1546" s="3"/>
      <c r="K1546" s="3"/>
      <c r="L1546" s="3"/>
      <c r="M1546" s="3"/>
      <c r="N1546" s="3">
        <v>0</v>
      </c>
      <c r="O1546" s="3"/>
      <c r="P1546" s="3">
        <v>0</v>
      </c>
      <c r="Q1546" s="3">
        <v>0</v>
      </c>
      <c r="R1546" s="3">
        <v>0</v>
      </c>
      <c r="S1546" s="3">
        <v>0</v>
      </c>
      <c r="T1546" s="3">
        <v>0</v>
      </c>
      <c r="U1546" s="3"/>
      <c r="V1546" s="3"/>
      <c r="W1546" s="3"/>
      <c r="X1546" s="3"/>
      <c r="Y1546" s="3"/>
      <c r="Z1546" s="3"/>
      <c r="AA1546" s="3"/>
      <c r="AB1546" s="3"/>
      <c r="AC1546" s="3"/>
      <c r="AD1546" s="3"/>
      <c r="AE1546" s="3">
        <v>0</v>
      </c>
      <c r="AF1546" s="3">
        <v>0</v>
      </c>
      <c r="AG1546" s="3"/>
      <c r="AH1546" s="40"/>
      <c r="AI1546" s="40"/>
      <c r="AJ1546" s="40"/>
      <c r="AK1546" s="40"/>
      <c r="AL1546" s="40"/>
      <c r="AM1546" s="40"/>
      <c r="AN1546" s="40"/>
      <c r="AO1546" s="40"/>
      <c r="AP1546" s="40"/>
      <c r="AQ1546" s="40"/>
      <c r="AR1546" s="31"/>
      <c r="AS1546" s="36">
        <v>0</v>
      </c>
      <c r="AY1546" s="6"/>
      <c r="AZ1546" s="2"/>
      <c r="BA1546" s="2"/>
      <c r="BB1546" s="2"/>
      <c r="BC1546">
        <v>71500</v>
      </c>
      <c r="BD1546">
        <v>56992</v>
      </c>
    </row>
    <row r="1547" spans="3:56" x14ac:dyDescent="0.25">
      <c r="C1547" s="1">
        <v>47167</v>
      </c>
      <c r="D1547" s="36">
        <v>266565.27857142902</v>
      </c>
      <c r="E1547" s="33">
        <v>4.5857142857142899</v>
      </c>
      <c r="F1547" s="33">
        <v>3.7013338095238102</v>
      </c>
      <c r="G1547" s="2">
        <v>0.807144444444444</v>
      </c>
      <c r="H1547" s="2">
        <v>0.99</v>
      </c>
      <c r="I1547" s="3"/>
      <c r="J1547" s="3"/>
      <c r="K1547" s="3"/>
      <c r="L1547" s="3"/>
      <c r="M1547" s="3"/>
      <c r="N1547" s="3">
        <v>0</v>
      </c>
      <c r="O1547" s="3"/>
      <c r="P1547" s="3">
        <v>0</v>
      </c>
      <c r="Q1547" s="3">
        <v>0</v>
      </c>
      <c r="R1547" s="3">
        <v>0</v>
      </c>
      <c r="S1547" s="3">
        <v>0</v>
      </c>
      <c r="T1547" s="3">
        <v>0</v>
      </c>
      <c r="U1547" s="3"/>
      <c r="V1547" s="3"/>
      <c r="W1547" s="3"/>
      <c r="X1547" s="3"/>
      <c r="Y1547" s="3"/>
      <c r="Z1547" s="3"/>
      <c r="AA1547" s="3"/>
      <c r="AB1547" s="3"/>
      <c r="AC1547" s="3"/>
      <c r="AD1547" s="3"/>
      <c r="AE1547" s="3">
        <v>0</v>
      </c>
      <c r="AF1547" s="3">
        <v>0</v>
      </c>
      <c r="AG1547" s="3"/>
      <c r="AH1547" s="40"/>
      <c r="AI1547" s="40"/>
      <c r="AJ1547" s="40"/>
      <c r="AK1547" s="40"/>
      <c r="AL1547" s="40"/>
      <c r="AM1547" s="40"/>
      <c r="AN1547" s="40"/>
      <c r="AO1547" s="40"/>
      <c r="AP1547" s="40"/>
      <c r="AQ1547" s="40"/>
      <c r="AR1547" s="31"/>
      <c r="AS1547" s="36">
        <v>0</v>
      </c>
      <c r="AY1547" s="6"/>
      <c r="AZ1547" s="2"/>
      <c r="BA1547" s="2"/>
      <c r="BB1547" s="2"/>
      <c r="BC1547">
        <v>71500</v>
      </c>
      <c r="BD1547">
        <v>56992</v>
      </c>
    </row>
    <row r="1548" spans="3:56" x14ac:dyDescent="0.25">
      <c r="C1548" s="1">
        <v>47168</v>
      </c>
      <c r="D1548" s="36">
        <v>266565.27857142902</v>
      </c>
      <c r="E1548" s="33">
        <v>4.5857142857142899</v>
      </c>
      <c r="F1548" s="33">
        <v>3.7012828571428602</v>
      </c>
      <c r="G1548" s="2">
        <v>0.80713333333333304</v>
      </c>
      <c r="H1548" s="2">
        <v>0.99</v>
      </c>
      <c r="I1548" s="3"/>
      <c r="J1548" s="3"/>
      <c r="K1548" s="3"/>
      <c r="L1548" s="3"/>
      <c r="M1548" s="3"/>
      <c r="N1548" s="3">
        <v>0</v>
      </c>
      <c r="O1548" s="3"/>
      <c r="P1548" s="3">
        <v>0</v>
      </c>
      <c r="Q1548" s="3">
        <v>0</v>
      </c>
      <c r="R1548" s="3">
        <v>0</v>
      </c>
      <c r="S1548" s="3">
        <v>0</v>
      </c>
      <c r="T1548" s="3">
        <v>0</v>
      </c>
      <c r="U1548" s="3"/>
      <c r="V1548" s="3"/>
      <c r="W1548" s="3"/>
      <c r="X1548" s="3"/>
      <c r="Y1548" s="3"/>
      <c r="Z1548" s="3"/>
      <c r="AA1548" s="3"/>
      <c r="AB1548" s="3"/>
      <c r="AC1548" s="3"/>
      <c r="AD1548" s="3"/>
      <c r="AE1548" s="3">
        <v>0</v>
      </c>
      <c r="AF1548" s="3">
        <v>0</v>
      </c>
      <c r="AG1548" s="3"/>
      <c r="AH1548" s="40"/>
      <c r="AI1548" s="40"/>
      <c r="AJ1548" s="40"/>
      <c r="AK1548" s="40"/>
      <c r="AL1548" s="40"/>
      <c r="AM1548" s="40"/>
      <c r="AN1548" s="40"/>
      <c r="AO1548" s="40"/>
      <c r="AP1548" s="40"/>
      <c r="AQ1548" s="40"/>
      <c r="AR1548" s="31"/>
      <c r="AS1548" s="36">
        <v>0</v>
      </c>
      <c r="AY1548" s="6"/>
      <c r="AZ1548" s="2"/>
      <c r="BA1548" s="2"/>
      <c r="BB1548" s="2"/>
      <c r="BC1548">
        <v>71500</v>
      </c>
      <c r="BD1548">
        <v>56992</v>
      </c>
    </row>
    <row r="1549" spans="3:56" x14ac:dyDescent="0.25">
      <c r="C1549" s="1">
        <v>47169</v>
      </c>
      <c r="D1549" s="36">
        <v>266565.27857142902</v>
      </c>
      <c r="E1549" s="33">
        <v>4.5857142857142899</v>
      </c>
      <c r="F1549" s="33">
        <v>3.7012319047619</v>
      </c>
      <c r="G1549" s="2">
        <v>0.80712222222222196</v>
      </c>
      <c r="H1549" s="2">
        <v>0.99</v>
      </c>
      <c r="I1549" s="3"/>
      <c r="J1549" s="3"/>
      <c r="K1549" s="3"/>
      <c r="L1549" s="3"/>
      <c r="M1549" s="3"/>
      <c r="N1549" s="3">
        <v>0</v>
      </c>
      <c r="O1549" s="3"/>
      <c r="P1549" s="3">
        <v>0</v>
      </c>
      <c r="Q1549" s="3">
        <v>0</v>
      </c>
      <c r="R1549" s="3">
        <v>0</v>
      </c>
      <c r="S1549" s="3">
        <v>0</v>
      </c>
      <c r="T1549" s="3">
        <v>0</v>
      </c>
      <c r="U1549" s="3"/>
      <c r="V1549" s="3"/>
      <c r="W1549" s="3"/>
      <c r="X1549" s="3"/>
      <c r="Y1549" s="3"/>
      <c r="Z1549" s="3"/>
      <c r="AA1549" s="3"/>
      <c r="AB1549" s="3"/>
      <c r="AC1549" s="3"/>
      <c r="AD1549" s="3"/>
      <c r="AE1549" s="3">
        <v>0</v>
      </c>
      <c r="AF1549" s="3">
        <v>0</v>
      </c>
      <c r="AG1549" s="3"/>
      <c r="AH1549" s="40"/>
      <c r="AI1549" s="40"/>
      <c r="AJ1549" s="40"/>
      <c r="AK1549" s="40"/>
      <c r="AL1549" s="40"/>
      <c r="AM1549" s="40"/>
      <c r="AN1549" s="40"/>
      <c r="AO1549" s="40"/>
      <c r="AP1549" s="40"/>
      <c r="AQ1549" s="40"/>
      <c r="AR1549" s="31"/>
      <c r="AS1549" s="36">
        <v>0</v>
      </c>
      <c r="AY1549" s="6"/>
      <c r="AZ1549" s="2"/>
      <c r="BA1549" s="2"/>
      <c r="BB1549" s="2"/>
      <c r="BC1549">
        <v>71500</v>
      </c>
      <c r="BD1549">
        <v>56992</v>
      </c>
    </row>
    <row r="1550" spans="3:56" x14ac:dyDescent="0.25">
      <c r="C1550" s="1">
        <v>47170</v>
      </c>
      <c r="D1550" s="36">
        <v>266565.27857142902</v>
      </c>
      <c r="E1550" s="33">
        <v>4.5857142857142899</v>
      </c>
      <c r="F1550" s="33">
        <v>3.70118095238095</v>
      </c>
      <c r="G1550" s="2">
        <v>0.807111111111111</v>
      </c>
      <c r="H1550" s="2">
        <v>0.99</v>
      </c>
      <c r="I1550" s="3"/>
      <c r="J1550" s="3"/>
      <c r="K1550" s="3"/>
      <c r="L1550" s="3"/>
      <c r="M1550" s="3"/>
      <c r="N1550" s="3">
        <v>0</v>
      </c>
      <c r="O1550" s="3"/>
      <c r="P1550" s="3">
        <v>0</v>
      </c>
      <c r="Q1550" s="3">
        <v>0</v>
      </c>
      <c r="R1550" s="3">
        <v>0</v>
      </c>
      <c r="S1550" s="3">
        <v>0</v>
      </c>
      <c r="T1550" s="3">
        <v>0</v>
      </c>
      <c r="U1550" s="3"/>
      <c r="V1550" s="3"/>
      <c r="W1550" s="3"/>
      <c r="X1550" s="3"/>
      <c r="Y1550" s="3"/>
      <c r="Z1550" s="3"/>
      <c r="AA1550" s="3"/>
      <c r="AB1550" s="3"/>
      <c r="AC1550" s="3"/>
      <c r="AD1550" s="3"/>
      <c r="AE1550" s="3">
        <v>0</v>
      </c>
      <c r="AF1550" s="3">
        <v>0</v>
      </c>
      <c r="AG1550" s="3"/>
      <c r="AH1550" s="40"/>
      <c r="AI1550" s="40"/>
      <c r="AJ1550" s="40"/>
      <c r="AK1550" s="40"/>
      <c r="AL1550" s="40"/>
      <c r="AM1550" s="40"/>
      <c r="AN1550" s="40"/>
      <c r="AO1550" s="40"/>
      <c r="AP1550" s="40"/>
      <c r="AQ1550" s="40"/>
      <c r="AR1550" s="31"/>
      <c r="AS1550" s="36">
        <v>0</v>
      </c>
      <c r="AY1550" s="6"/>
      <c r="AZ1550" s="2"/>
      <c r="BA1550" s="2"/>
      <c r="BB1550" s="2"/>
      <c r="BC1550">
        <v>71500</v>
      </c>
      <c r="BD1550">
        <v>56992</v>
      </c>
    </row>
    <row r="1551" spans="3:56" x14ac:dyDescent="0.25">
      <c r="C1551" s="1">
        <v>47171</v>
      </c>
      <c r="D1551" s="36">
        <v>266565.27857142902</v>
      </c>
      <c r="E1551" s="33">
        <v>4.5857142857142899</v>
      </c>
      <c r="F1551" s="33">
        <v>3.70113</v>
      </c>
      <c r="G1551" s="2">
        <v>0.80710000000000004</v>
      </c>
      <c r="H1551" s="2">
        <v>0.99</v>
      </c>
      <c r="I1551" s="3"/>
      <c r="J1551" s="3"/>
      <c r="K1551" s="3"/>
      <c r="L1551" s="3"/>
      <c r="M1551" s="3"/>
      <c r="N1551" s="3">
        <v>0</v>
      </c>
      <c r="O1551" s="3"/>
      <c r="P1551" s="3">
        <v>0</v>
      </c>
      <c r="Q1551" s="3">
        <v>0</v>
      </c>
      <c r="R1551" s="3">
        <v>0</v>
      </c>
      <c r="S1551" s="3">
        <v>0</v>
      </c>
      <c r="T1551" s="3">
        <v>0</v>
      </c>
      <c r="U1551" s="3"/>
      <c r="V1551" s="3"/>
      <c r="W1551" s="3"/>
      <c r="X1551" s="3"/>
      <c r="Y1551" s="3"/>
      <c r="Z1551" s="3"/>
      <c r="AA1551" s="3"/>
      <c r="AB1551" s="3"/>
      <c r="AC1551" s="3"/>
      <c r="AD1551" s="3"/>
      <c r="AE1551" s="3">
        <v>0</v>
      </c>
      <c r="AF1551" s="3">
        <v>0</v>
      </c>
      <c r="AG1551" s="3"/>
      <c r="AH1551" s="40"/>
      <c r="AI1551" s="40"/>
      <c r="AJ1551" s="40"/>
      <c r="AK1551" s="40"/>
      <c r="AL1551" s="40"/>
      <c r="AM1551" s="40"/>
      <c r="AN1551" s="40"/>
      <c r="AO1551" s="40"/>
      <c r="AP1551" s="40"/>
      <c r="AQ1551" s="40"/>
      <c r="AR1551" s="31"/>
      <c r="AS1551" s="36">
        <v>0</v>
      </c>
      <c r="AY1551" s="6"/>
      <c r="AZ1551" s="2"/>
      <c r="BA1551" s="2"/>
      <c r="BB1551" s="2"/>
      <c r="BC1551">
        <v>71500</v>
      </c>
      <c r="BD1551">
        <v>56992</v>
      </c>
    </row>
    <row r="1552" spans="3:56" x14ac:dyDescent="0.25">
      <c r="C1552" s="1">
        <v>47172</v>
      </c>
      <c r="D1552" s="36">
        <v>266565.27857142902</v>
      </c>
      <c r="E1552" s="33">
        <v>4.5857142857142899</v>
      </c>
      <c r="F1552" s="33">
        <v>3.70107904761905</v>
      </c>
      <c r="G1552" s="2">
        <v>0.80708888888888897</v>
      </c>
      <c r="H1552" s="2">
        <v>0.99</v>
      </c>
      <c r="I1552" s="3"/>
      <c r="J1552" s="3"/>
      <c r="K1552" s="3"/>
      <c r="L1552" s="3"/>
      <c r="M1552" s="3"/>
      <c r="N1552" s="3">
        <v>0</v>
      </c>
      <c r="O1552" s="3"/>
      <c r="P1552" s="3">
        <v>0</v>
      </c>
      <c r="Q1552" s="3">
        <v>0</v>
      </c>
      <c r="R1552" s="3">
        <v>0</v>
      </c>
      <c r="S1552" s="3">
        <v>0</v>
      </c>
      <c r="T1552" s="3">
        <v>0</v>
      </c>
      <c r="U1552" s="3"/>
      <c r="V1552" s="3"/>
      <c r="W1552" s="3"/>
      <c r="X1552" s="3"/>
      <c r="Y1552" s="3"/>
      <c r="Z1552" s="3"/>
      <c r="AA1552" s="3"/>
      <c r="AB1552" s="3"/>
      <c r="AC1552" s="3"/>
      <c r="AD1552" s="3"/>
      <c r="AE1552" s="3">
        <v>0</v>
      </c>
      <c r="AF1552" s="3">
        <v>0</v>
      </c>
      <c r="AG1552" s="3"/>
      <c r="AH1552" s="40"/>
      <c r="AI1552" s="40"/>
      <c r="AJ1552" s="40"/>
      <c r="AK1552" s="40"/>
      <c r="AL1552" s="40"/>
      <c r="AM1552" s="40"/>
      <c r="AN1552" s="40"/>
      <c r="AO1552" s="40"/>
      <c r="AP1552" s="40"/>
      <c r="AQ1552" s="40"/>
      <c r="AR1552" s="31"/>
      <c r="AS1552" s="36">
        <v>0</v>
      </c>
      <c r="AY1552" s="6"/>
      <c r="AZ1552" s="2"/>
      <c r="BA1552" s="2"/>
      <c r="BB1552" s="2"/>
      <c r="BC1552">
        <v>71500</v>
      </c>
      <c r="BD1552">
        <v>56992</v>
      </c>
    </row>
    <row r="1553" spans="3:56" x14ac:dyDescent="0.25">
      <c r="C1553" s="1">
        <v>47173</v>
      </c>
      <c r="D1553" s="36">
        <v>266565.27857142902</v>
      </c>
      <c r="E1553" s="33">
        <v>4.5857142857142899</v>
      </c>
      <c r="F1553" s="33">
        <v>3.7010280952381001</v>
      </c>
      <c r="G1553" s="2">
        <v>0.807077777777778</v>
      </c>
      <c r="H1553" s="2">
        <v>0.99</v>
      </c>
      <c r="I1553" s="3"/>
      <c r="J1553" s="3"/>
      <c r="K1553" s="3"/>
      <c r="L1553" s="3"/>
      <c r="M1553" s="3"/>
      <c r="N1553" s="3">
        <v>0</v>
      </c>
      <c r="O1553" s="3"/>
      <c r="P1553" s="3">
        <v>0</v>
      </c>
      <c r="Q1553" s="3">
        <v>0</v>
      </c>
      <c r="R1553" s="3">
        <v>0</v>
      </c>
      <c r="S1553" s="3">
        <v>0</v>
      </c>
      <c r="T1553" s="3">
        <v>0</v>
      </c>
      <c r="U1553" s="3"/>
      <c r="V1553" s="3"/>
      <c r="W1553" s="3"/>
      <c r="X1553" s="3"/>
      <c r="Y1553" s="3"/>
      <c r="Z1553" s="3"/>
      <c r="AA1553" s="3"/>
      <c r="AB1553" s="3"/>
      <c r="AC1553" s="3"/>
      <c r="AD1553" s="3"/>
      <c r="AE1553" s="3">
        <v>0</v>
      </c>
      <c r="AF1553" s="3">
        <v>0</v>
      </c>
      <c r="AG1553" s="3"/>
      <c r="AH1553" s="40"/>
      <c r="AI1553" s="40"/>
      <c r="AJ1553" s="40"/>
      <c r="AK1553" s="40"/>
      <c r="AL1553" s="40"/>
      <c r="AM1553" s="40"/>
      <c r="AN1553" s="40"/>
      <c r="AO1553" s="40"/>
      <c r="AP1553" s="40"/>
      <c r="AQ1553" s="40"/>
      <c r="AR1553" s="31"/>
      <c r="AS1553" s="36">
        <v>0</v>
      </c>
      <c r="AY1553" s="6"/>
      <c r="AZ1553" s="2"/>
      <c r="BA1553" s="2"/>
      <c r="BB1553" s="2"/>
      <c r="BC1553">
        <v>71500</v>
      </c>
      <c r="BD1553">
        <v>56992</v>
      </c>
    </row>
    <row r="1554" spans="3:56" x14ac:dyDescent="0.25">
      <c r="C1554" s="1">
        <v>47174</v>
      </c>
      <c r="D1554" s="36">
        <v>266565.27857142902</v>
      </c>
      <c r="E1554" s="33">
        <v>4.5857142857142899</v>
      </c>
      <c r="F1554" s="33">
        <v>3.7009771428571399</v>
      </c>
      <c r="G1554" s="2">
        <v>0.80706666666666704</v>
      </c>
      <c r="H1554" s="2">
        <v>0.99</v>
      </c>
      <c r="I1554" s="3"/>
      <c r="J1554" s="3"/>
      <c r="K1554" s="3"/>
      <c r="L1554" s="3"/>
      <c r="M1554" s="3"/>
      <c r="N1554" s="3">
        <v>0</v>
      </c>
      <c r="O1554" s="3"/>
      <c r="P1554" s="3">
        <v>0</v>
      </c>
      <c r="Q1554" s="3">
        <v>0</v>
      </c>
      <c r="R1554" s="3">
        <v>0</v>
      </c>
      <c r="S1554" s="3">
        <v>0</v>
      </c>
      <c r="T1554" s="3">
        <v>0</v>
      </c>
      <c r="U1554" s="3"/>
      <c r="V1554" s="3"/>
      <c r="W1554" s="3"/>
      <c r="X1554" s="3"/>
      <c r="Y1554" s="3"/>
      <c r="Z1554" s="3"/>
      <c r="AA1554" s="3"/>
      <c r="AB1554" s="3"/>
      <c r="AC1554" s="3"/>
      <c r="AD1554" s="3"/>
      <c r="AE1554" s="3">
        <v>0</v>
      </c>
      <c r="AF1554" s="3">
        <v>0</v>
      </c>
      <c r="AG1554" s="3"/>
      <c r="AH1554" s="40"/>
      <c r="AI1554" s="40"/>
      <c r="AJ1554" s="40"/>
      <c r="AK1554" s="40"/>
      <c r="AL1554" s="40"/>
      <c r="AM1554" s="40"/>
      <c r="AN1554" s="40"/>
      <c r="AO1554" s="40"/>
      <c r="AP1554" s="40"/>
      <c r="AQ1554" s="40"/>
      <c r="AR1554" s="31"/>
      <c r="AS1554" s="36">
        <v>0</v>
      </c>
      <c r="AY1554" s="6"/>
      <c r="AZ1554" s="2"/>
      <c r="BA1554" s="2"/>
      <c r="BB1554" s="2"/>
      <c r="BC1554">
        <v>71500</v>
      </c>
      <c r="BD1554">
        <v>56992</v>
      </c>
    </row>
    <row r="1555" spans="3:56" x14ac:dyDescent="0.25">
      <c r="C1555" s="1">
        <v>47175</v>
      </c>
      <c r="D1555" s="36">
        <v>266565.27857142902</v>
      </c>
      <c r="E1555" s="33">
        <v>4.5857142857142899</v>
      </c>
      <c r="F1555" s="33">
        <v>3.7009261904761899</v>
      </c>
      <c r="G1555" s="2">
        <v>0.80705555555555597</v>
      </c>
      <c r="H1555" s="2">
        <v>0.99</v>
      </c>
      <c r="I1555" s="3"/>
      <c r="J1555" s="3"/>
      <c r="K1555" s="3"/>
      <c r="L1555" s="3"/>
      <c r="M1555" s="3"/>
      <c r="N1555" s="3">
        <v>0</v>
      </c>
      <c r="O1555" s="3"/>
      <c r="P1555" s="3">
        <v>0</v>
      </c>
      <c r="Q1555" s="3">
        <v>0</v>
      </c>
      <c r="R1555" s="3">
        <v>0</v>
      </c>
      <c r="S1555" s="3">
        <v>0</v>
      </c>
      <c r="T1555" s="3">
        <v>0</v>
      </c>
      <c r="U1555" s="3"/>
      <c r="V1555" s="3"/>
      <c r="W1555" s="3"/>
      <c r="X1555" s="3"/>
      <c r="Y1555" s="3"/>
      <c r="Z1555" s="3"/>
      <c r="AA1555" s="3"/>
      <c r="AB1555" s="3"/>
      <c r="AC1555" s="3"/>
      <c r="AD1555" s="3"/>
      <c r="AE1555" s="3">
        <v>0</v>
      </c>
      <c r="AF1555" s="3">
        <v>0</v>
      </c>
      <c r="AG1555" s="3"/>
      <c r="AH1555" s="40"/>
      <c r="AI1555" s="40"/>
      <c r="AJ1555" s="40"/>
      <c r="AK1555" s="40"/>
      <c r="AL1555" s="40"/>
      <c r="AM1555" s="40"/>
      <c r="AN1555" s="40"/>
      <c r="AO1555" s="40"/>
      <c r="AP1555" s="40"/>
      <c r="AQ1555" s="40"/>
      <c r="AR1555" s="31"/>
      <c r="AS1555" s="36">
        <v>0</v>
      </c>
      <c r="AY1555" s="6"/>
      <c r="AZ1555" s="2"/>
      <c r="BA1555" s="2"/>
      <c r="BB1555" s="2"/>
      <c r="BC1555">
        <v>71500</v>
      </c>
      <c r="BD1555">
        <v>56992</v>
      </c>
    </row>
    <row r="1556" spans="3:56" x14ac:dyDescent="0.25">
      <c r="C1556" s="1">
        <v>47176</v>
      </c>
      <c r="D1556" s="36">
        <v>266565.27857142902</v>
      </c>
      <c r="E1556" s="33">
        <v>4.5857142857142899</v>
      </c>
      <c r="F1556" s="33">
        <v>3.7008752380952399</v>
      </c>
      <c r="G1556" s="2">
        <v>0.80704444444444401</v>
      </c>
      <c r="H1556" s="2">
        <v>0.99</v>
      </c>
      <c r="I1556" s="3"/>
      <c r="J1556" s="3"/>
      <c r="K1556" s="3"/>
      <c r="L1556" s="3"/>
      <c r="M1556" s="3"/>
      <c r="N1556" s="3">
        <v>0</v>
      </c>
      <c r="O1556" s="3"/>
      <c r="P1556" s="3">
        <v>0</v>
      </c>
      <c r="Q1556" s="3">
        <v>0</v>
      </c>
      <c r="R1556" s="3">
        <v>0</v>
      </c>
      <c r="S1556" s="3">
        <v>0</v>
      </c>
      <c r="T1556" s="3">
        <v>0</v>
      </c>
      <c r="U1556" s="3"/>
      <c r="V1556" s="3"/>
      <c r="W1556" s="3"/>
      <c r="X1556" s="3"/>
      <c r="Y1556" s="3"/>
      <c r="Z1556" s="3"/>
      <c r="AA1556" s="3"/>
      <c r="AB1556" s="3"/>
      <c r="AC1556" s="3"/>
      <c r="AD1556" s="3"/>
      <c r="AE1556" s="3">
        <v>0</v>
      </c>
      <c r="AF1556" s="3">
        <v>0</v>
      </c>
      <c r="AG1556" s="3"/>
      <c r="AH1556" s="40"/>
      <c r="AI1556" s="40"/>
      <c r="AJ1556" s="40"/>
      <c r="AK1556" s="40"/>
      <c r="AL1556" s="40"/>
      <c r="AM1556" s="40"/>
      <c r="AN1556" s="40"/>
      <c r="AO1556" s="40"/>
      <c r="AP1556" s="40"/>
      <c r="AQ1556" s="40"/>
      <c r="AR1556" s="31"/>
      <c r="AS1556" s="36">
        <v>0</v>
      </c>
      <c r="AY1556" s="6"/>
      <c r="AZ1556" s="2"/>
      <c r="BA1556" s="2"/>
      <c r="BB1556" s="2"/>
      <c r="BC1556">
        <v>71500</v>
      </c>
      <c r="BD1556">
        <v>56992</v>
      </c>
    </row>
    <row r="1557" spans="3:56" x14ac:dyDescent="0.25">
      <c r="C1557" s="1">
        <v>47177</v>
      </c>
      <c r="D1557" s="36">
        <v>266565.27857142902</v>
      </c>
      <c r="E1557" s="33">
        <v>4.5857142857142899</v>
      </c>
      <c r="F1557" s="33">
        <v>3.7008242857142899</v>
      </c>
      <c r="G1557" s="2">
        <v>0.80703333333333305</v>
      </c>
      <c r="H1557" s="2">
        <v>0.99</v>
      </c>
      <c r="I1557" s="3"/>
      <c r="J1557" s="3"/>
      <c r="K1557" s="3"/>
      <c r="L1557" s="3"/>
      <c r="M1557" s="3"/>
      <c r="N1557" s="3">
        <v>0</v>
      </c>
      <c r="O1557" s="3"/>
      <c r="P1557" s="3">
        <v>0</v>
      </c>
      <c r="Q1557" s="3">
        <v>0</v>
      </c>
      <c r="R1557" s="3">
        <v>0</v>
      </c>
      <c r="S1557" s="3">
        <v>0</v>
      </c>
      <c r="T1557" s="3">
        <v>0</v>
      </c>
      <c r="U1557" s="3"/>
      <c r="V1557" s="3"/>
      <c r="W1557" s="3"/>
      <c r="X1557" s="3"/>
      <c r="Y1557" s="3"/>
      <c r="Z1557" s="3"/>
      <c r="AA1557" s="3"/>
      <c r="AB1557" s="3"/>
      <c r="AC1557" s="3"/>
      <c r="AD1557" s="3"/>
      <c r="AE1557" s="3">
        <v>0</v>
      </c>
      <c r="AF1557" s="3">
        <v>0</v>
      </c>
      <c r="AG1557" s="3"/>
      <c r="AH1557" s="40"/>
      <c r="AI1557" s="40"/>
      <c r="AJ1557" s="40"/>
      <c r="AK1557" s="40"/>
      <c r="AL1557" s="40"/>
      <c r="AM1557" s="40"/>
      <c r="AN1557" s="40"/>
      <c r="AO1557" s="40"/>
      <c r="AP1557" s="40"/>
      <c r="AQ1557" s="40"/>
      <c r="AR1557" s="31"/>
      <c r="AS1557" s="36">
        <v>0</v>
      </c>
      <c r="AY1557" s="6"/>
      <c r="AZ1557" s="2"/>
      <c r="BA1557" s="2"/>
      <c r="BB1557" s="2"/>
      <c r="BC1557">
        <v>71500</v>
      </c>
      <c r="BD1557">
        <v>56992</v>
      </c>
    </row>
    <row r="1558" spans="3:56" x14ac:dyDescent="0.25">
      <c r="C1558" s="1">
        <v>47178</v>
      </c>
      <c r="D1558" s="36">
        <v>269369.09999999998</v>
      </c>
      <c r="E1558" s="33">
        <v>4.5999999999999996</v>
      </c>
      <c r="F1558" s="33">
        <v>3.7122000000000002</v>
      </c>
      <c r="G1558" s="2">
        <v>0.80700000000000005</v>
      </c>
      <c r="H1558" s="2">
        <v>0.99</v>
      </c>
      <c r="I1558" s="3"/>
      <c r="J1558" s="3"/>
      <c r="K1558" s="3"/>
      <c r="L1558" s="3"/>
      <c r="M1558" s="3"/>
      <c r="N1558" s="3">
        <v>0</v>
      </c>
      <c r="O1558" s="3"/>
      <c r="P1558" s="3">
        <v>0</v>
      </c>
      <c r="Q1558" s="3">
        <v>0</v>
      </c>
      <c r="R1558" s="3">
        <v>0</v>
      </c>
      <c r="S1558" s="3">
        <v>0</v>
      </c>
      <c r="T1558" s="3">
        <v>0</v>
      </c>
      <c r="U1558" s="3"/>
      <c r="V1558" s="3"/>
      <c r="W1558" s="3"/>
      <c r="X1558" s="3"/>
      <c r="Y1558" s="3"/>
      <c r="Z1558" s="3"/>
      <c r="AA1558" s="3"/>
      <c r="AB1558" s="3"/>
      <c r="AC1558" s="3"/>
      <c r="AD1558" s="3"/>
      <c r="AE1558" s="3">
        <v>0</v>
      </c>
      <c r="AF1558" s="3">
        <v>0</v>
      </c>
      <c r="AG1558" s="3"/>
      <c r="AH1558" s="40"/>
      <c r="AI1558" s="40"/>
      <c r="AJ1558" s="40"/>
      <c r="AK1558" s="40"/>
      <c r="AL1558" s="40"/>
      <c r="AM1558" s="40"/>
      <c r="AN1558" s="40"/>
      <c r="AO1558" s="40"/>
      <c r="AP1558" s="40"/>
      <c r="AQ1558" s="40"/>
      <c r="AR1558" s="31"/>
      <c r="AS1558" s="36">
        <v>0</v>
      </c>
      <c r="AY1558" s="6"/>
      <c r="AZ1558" s="2"/>
      <c r="BA1558" s="2"/>
      <c r="BB1558" s="2"/>
      <c r="BC1558">
        <v>71500</v>
      </c>
      <c r="BD1558">
        <v>56992</v>
      </c>
    </row>
    <row r="1559" spans="3:56" x14ac:dyDescent="0.25">
      <c r="C1559" s="1">
        <v>47179</v>
      </c>
      <c r="D1559" s="36">
        <v>269369.09999999998</v>
      </c>
      <c r="E1559" s="33">
        <v>4.5999999999999996</v>
      </c>
      <c r="F1559" s="33">
        <v>3.7121488888888901</v>
      </c>
      <c r="G1559" s="2">
        <v>0.80698888888888898</v>
      </c>
      <c r="H1559" s="2">
        <v>0.99</v>
      </c>
      <c r="I1559" s="3"/>
      <c r="J1559" s="3"/>
      <c r="K1559" s="3"/>
      <c r="L1559" s="3"/>
      <c r="M1559" s="3"/>
      <c r="N1559" s="3">
        <v>0</v>
      </c>
      <c r="O1559" s="3"/>
      <c r="P1559" s="3">
        <v>0</v>
      </c>
      <c r="Q1559" s="3">
        <v>0</v>
      </c>
      <c r="R1559" s="3">
        <v>0</v>
      </c>
      <c r="S1559" s="3">
        <v>0</v>
      </c>
      <c r="T1559" s="3">
        <v>0</v>
      </c>
      <c r="U1559" s="3"/>
      <c r="V1559" s="3"/>
      <c r="W1559" s="3"/>
      <c r="X1559" s="3"/>
      <c r="Y1559" s="3"/>
      <c r="Z1559" s="3"/>
      <c r="AA1559" s="3"/>
      <c r="AB1559" s="3"/>
      <c r="AC1559" s="3"/>
      <c r="AD1559" s="3"/>
      <c r="AE1559" s="3">
        <v>0</v>
      </c>
      <c r="AF1559" s="3">
        <v>0</v>
      </c>
      <c r="AG1559" s="3"/>
      <c r="AH1559" s="40"/>
      <c r="AI1559" s="40"/>
      <c r="AJ1559" s="40"/>
      <c r="AK1559" s="40"/>
      <c r="AL1559" s="40"/>
      <c r="AM1559" s="40"/>
      <c r="AN1559" s="40"/>
      <c r="AO1559" s="40"/>
      <c r="AP1559" s="40"/>
      <c r="AQ1559" s="40"/>
      <c r="AR1559" s="31"/>
      <c r="AS1559" s="36">
        <v>0</v>
      </c>
      <c r="AY1559" s="6"/>
      <c r="AZ1559" s="2"/>
      <c r="BA1559" s="2"/>
      <c r="BB1559" s="2"/>
      <c r="BC1559">
        <v>71500</v>
      </c>
      <c r="BD1559">
        <v>56992</v>
      </c>
    </row>
    <row r="1560" spans="3:56" x14ac:dyDescent="0.25">
      <c r="C1560" s="1">
        <v>47180</v>
      </c>
      <c r="D1560" s="36">
        <v>269369.09999999998</v>
      </c>
      <c r="E1560" s="33">
        <v>4.5999999999999996</v>
      </c>
      <c r="F1560" s="33">
        <v>3.7120977777777799</v>
      </c>
      <c r="G1560" s="2">
        <v>0.80697777777777802</v>
      </c>
      <c r="H1560" s="2">
        <v>0.99</v>
      </c>
      <c r="I1560" s="3"/>
      <c r="J1560" s="3"/>
      <c r="K1560" s="3"/>
      <c r="L1560" s="3"/>
      <c r="M1560" s="3"/>
      <c r="N1560" s="3">
        <v>0</v>
      </c>
      <c r="O1560" s="3"/>
      <c r="P1560" s="3">
        <v>0</v>
      </c>
      <c r="Q1560" s="3">
        <v>0</v>
      </c>
      <c r="R1560" s="3">
        <v>0</v>
      </c>
      <c r="S1560" s="3">
        <v>0</v>
      </c>
      <c r="T1560" s="3">
        <v>0</v>
      </c>
      <c r="U1560" s="3"/>
      <c r="V1560" s="3"/>
      <c r="W1560" s="3"/>
      <c r="X1560" s="3"/>
      <c r="Y1560" s="3"/>
      <c r="Z1560" s="3"/>
      <c r="AA1560" s="3"/>
      <c r="AB1560" s="3"/>
      <c r="AC1560" s="3"/>
      <c r="AD1560" s="3"/>
      <c r="AE1560" s="3">
        <v>0</v>
      </c>
      <c r="AF1560" s="3">
        <v>0</v>
      </c>
      <c r="AG1560" s="3"/>
      <c r="AH1560" s="40"/>
      <c r="AI1560" s="40"/>
      <c r="AJ1560" s="40"/>
      <c r="AK1560" s="40"/>
      <c r="AL1560" s="40"/>
      <c r="AM1560" s="40"/>
      <c r="AN1560" s="40"/>
      <c r="AO1560" s="40"/>
      <c r="AP1560" s="40"/>
      <c r="AQ1560" s="40"/>
      <c r="AR1560" s="31"/>
      <c r="AS1560" s="36">
        <v>0</v>
      </c>
      <c r="AY1560" s="6"/>
      <c r="AZ1560" s="2"/>
      <c r="BA1560" s="2"/>
      <c r="BB1560" s="2"/>
      <c r="BC1560">
        <v>71500</v>
      </c>
      <c r="BD1560">
        <v>56992</v>
      </c>
    </row>
    <row r="1561" spans="3:56" x14ac:dyDescent="0.25">
      <c r="C1561" s="1">
        <v>47181</v>
      </c>
      <c r="D1561" s="36">
        <v>269369.09999999998</v>
      </c>
      <c r="E1561" s="33">
        <v>4.5999999999999996</v>
      </c>
      <c r="F1561" s="33">
        <v>3.7120466666666698</v>
      </c>
      <c r="G1561" s="2">
        <v>0.80696666666666705</v>
      </c>
      <c r="H1561" s="2">
        <v>0.99</v>
      </c>
      <c r="I1561" s="3"/>
      <c r="J1561" s="3"/>
      <c r="K1561" s="3"/>
      <c r="L1561" s="3"/>
      <c r="M1561" s="3"/>
      <c r="N1561" s="3">
        <v>0</v>
      </c>
      <c r="O1561" s="3"/>
      <c r="P1561" s="3">
        <v>0</v>
      </c>
      <c r="Q1561" s="3">
        <v>0</v>
      </c>
      <c r="R1561" s="3">
        <v>0</v>
      </c>
      <c r="S1561" s="3">
        <v>0</v>
      </c>
      <c r="T1561" s="3">
        <v>0</v>
      </c>
      <c r="U1561" s="3"/>
      <c r="V1561" s="3"/>
      <c r="W1561" s="3"/>
      <c r="X1561" s="3"/>
      <c r="Y1561" s="3"/>
      <c r="Z1561" s="3"/>
      <c r="AA1561" s="3"/>
      <c r="AB1561" s="3"/>
      <c r="AC1561" s="3"/>
      <c r="AD1561" s="3"/>
      <c r="AE1561" s="3">
        <v>0</v>
      </c>
      <c r="AF1561" s="3">
        <v>0</v>
      </c>
      <c r="AG1561" s="3"/>
      <c r="AH1561" s="40"/>
      <c r="AI1561" s="40"/>
      <c r="AJ1561" s="40"/>
      <c r="AK1561" s="40"/>
      <c r="AL1561" s="40"/>
      <c r="AM1561" s="40"/>
      <c r="AN1561" s="40"/>
      <c r="AO1561" s="40"/>
      <c r="AP1561" s="40"/>
      <c r="AQ1561" s="40"/>
      <c r="AR1561" s="31"/>
      <c r="AS1561" s="36">
        <v>0</v>
      </c>
      <c r="AY1561" s="6"/>
      <c r="AZ1561" s="2"/>
      <c r="BA1561" s="2"/>
      <c r="BB1561" s="2"/>
      <c r="BC1561">
        <v>71500</v>
      </c>
      <c r="BD1561">
        <v>56992</v>
      </c>
    </row>
    <row r="1562" spans="3:56" x14ac:dyDescent="0.25">
      <c r="C1562" s="1">
        <v>47182</v>
      </c>
      <c r="D1562" s="36">
        <v>269369.09999999998</v>
      </c>
      <c r="E1562" s="33">
        <v>4.5999999999999996</v>
      </c>
      <c r="F1562" s="33">
        <v>3.7119955555555602</v>
      </c>
      <c r="G1562" s="2">
        <v>0.80695555555555598</v>
      </c>
      <c r="H1562" s="2">
        <v>0.99</v>
      </c>
      <c r="I1562" s="3"/>
      <c r="J1562" s="3"/>
      <c r="K1562" s="3"/>
      <c r="L1562" s="3"/>
      <c r="M1562" s="3"/>
      <c r="N1562" s="3">
        <v>0</v>
      </c>
      <c r="O1562" s="3"/>
      <c r="P1562" s="3">
        <v>0</v>
      </c>
      <c r="Q1562" s="3">
        <v>0</v>
      </c>
      <c r="R1562" s="3">
        <v>0</v>
      </c>
      <c r="S1562" s="3">
        <v>0</v>
      </c>
      <c r="T1562" s="3">
        <v>0</v>
      </c>
      <c r="U1562" s="3"/>
      <c r="V1562" s="3"/>
      <c r="W1562" s="3"/>
      <c r="X1562" s="3"/>
      <c r="Y1562" s="3"/>
      <c r="Z1562" s="3"/>
      <c r="AA1562" s="3"/>
      <c r="AB1562" s="3"/>
      <c r="AC1562" s="3"/>
      <c r="AD1562" s="3"/>
      <c r="AE1562" s="3">
        <v>0</v>
      </c>
      <c r="AF1562" s="3">
        <v>0</v>
      </c>
      <c r="AG1562" s="3"/>
      <c r="AH1562" s="40"/>
      <c r="AI1562" s="40"/>
      <c r="AJ1562" s="40"/>
      <c r="AK1562" s="40"/>
      <c r="AL1562" s="40"/>
      <c r="AM1562" s="40"/>
      <c r="AN1562" s="40"/>
      <c r="AO1562" s="40"/>
      <c r="AP1562" s="40"/>
      <c r="AQ1562" s="40"/>
      <c r="AR1562" s="31"/>
      <c r="AS1562" s="36">
        <v>0</v>
      </c>
      <c r="AY1562" s="6"/>
      <c r="AZ1562" s="2"/>
      <c r="BA1562" s="2"/>
      <c r="BB1562" s="2"/>
      <c r="BC1562">
        <v>71500</v>
      </c>
      <c r="BD1562">
        <v>56992</v>
      </c>
    </row>
    <row r="1563" spans="3:56" x14ac:dyDescent="0.25">
      <c r="C1563" s="1">
        <v>47183</v>
      </c>
      <c r="D1563" s="36">
        <v>269369.09999999998</v>
      </c>
      <c r="E1563" s="33">
        <v>4.5999999999999996</v>
      </c>
      <c r="F1563" s="33">
        <v>3.7119444444444398</v>
      </c>
      <c r="G1563" s="2">
        <v>0.80694444444444402</v>
      </c>
      <c r="H1563" s="2">
        <v>0.99</v>
      </c>
      <c r="I1563" s="3"/>
      <c r="J1563" s="3"/>
      <c r="K1563" s="3"/>
      <c r="L1563" s="3"/>
      <c r="M1563" s="3"/>
      <c r="N1563" s="3">
        <v>0</v>
      </c>
      <c r="O1563" s="3"/>
      <c r="P1563" s="3">
        <v>0</v>
      </c>
      <c r="Q1563" s="3">
        <v>0</v>
      </c>
      <c r="R1563" s="3">
        <v>0</v>
      </c>
      <c r="S1563" s="3">
        <v>0</v>
      </c>
      <c r="T1563" s="3">
        <v>0</v>
      </c>
      <c r="U1563" s="3"/>
      <c r="V1563" s="3"/>
      <c r="W1563" s="3"/>
      <c r="X1563" s="3"/>
      <c r="Y1563" s="3"/>
      <c r="Z1563" s="3"/>
      <c r="AA1563" s="3"/>
      <c r="AB1563" s="3"/>
      <c r="AC1563" s="3"/>
      <c r="AD1563" s="3"/>
      <c r="AE1563" s="3">
        <v>0</v>
      </c>
      <c r="AF1563" s="3">
        <v>0</v>
      </c>
      <c r="AG1563" s="3"/>
      <c r="AH1563" s="40"/>
      <c r="AI1563" s="40"/>
      <c r="AJ1563" s="40"/>
      <c r="AK1563" s="40"/>
      <c r="AL1563" s="40"/>
      <c r="AM1563" s="40"/>
      <c r="AN1563" s="40"/>
      <c r="AO1563" s="40"/>
      <c r="AP1563" s="40"/>
      <c r="AQ1563" s="40"/>
      <c r="AR1563" s="31"/>
      <c r="AS1563" s="36">
        <v>0</v>
      </c>
      <c r="AY1563" s="6"/>
      <c r="AZ1563" s="2"/>
      <c r="BA1563" s="2"/>
      <c r="BB1563" s="2"/>
      <c r="BC1563">
        <v>71500</v>
      </c>
      <c r="BD1563">
        <v>56992</v>
      </c>
    </row>
    <row r="1564" spans="3:56" x14ac:dyDescent="0.25">
      <c r="C1564" s="1">
        <v>47184</v>
      </c>
      <c r="D1564" s="36">
        <v>269369.09999999998</v>
      </c>
      <c r="E1564" s="33">
        <v>4.5999999999999996</v>
      </c>
      <c r="F1564" s="33">
        <v>3.7118933333333302</v>
      </c>
      <c r="G1564" s="2">
        <v>0.80693333333333295</v>
      </c>
      <c r="H1564" s="2">
        <v>0.99</v>
      </c>
      <c r="I1564" s="3"/>
      <c r="J1564" s="3"/>
      <c r="K1564" s="3"/>
      <c r="L1564" s="3"/>
      <c r="M1564" s="3"/>
      <c r="N1564" s="3">
        <v>0</v>
      </c>
      <c r="O1564" s="3"/>
      <c r="P1564" s="3">
        <v>0</v>
      </c>
      <c r="Q1564" s="3">
        <v>0</v>
      </c>
      <c r="R1564" s="3">
        <v>0</v>
      </c>
      <c r="S1564" s="3">
        <v>0</v>
      </c>
      <c r="T1564" s="3">
        <v>0</v>
      </c>
      <c r="U1564" s="3"/>
      <c r="V1564" s="3"/>
      <c r="W1564" s="3"/>
      <c r="X1564" s="3"/>
      <c r="Y1564" s="3"/>
      <c r="Z1564" s="3"/>
      <c r="AA1564" s="3"/>
      <c r="AB1564" s="3"/>
      <c r="AC1564" s="3"/>
      <c r="AD1564" s="3"/>
      <c r="AE1564" s="3">
        <v>0</v>
      </c>
      <c r="AF1564" s="3">
        <v>0</v>
      </c>
      <c r="AG1564" s="3"/>
      <c r="AH1564" s="40"/>
      <c r="AI1564" s="40"/>
      <c r="AJ1564" s="40"/>
      <c r="AK1564" s="40"/>
      <c r="AL1564" s="40"/>
      <c r="AM1564" s="40"/>
      <c r="AN1564" s="40"/>
      <c r="AO1564" s="40"/>
      <c r="AP1564" s="40"/>
      <c r="AQ1564" s="40"/>
      <c r="AR1564" s="31"/>
      <c r="AS1564" s="36">
        <v>0</v>
      </c>
      <c r="AY1564" s="6"/>
      <c r="AZ1564" s="2"/>
      <c r="BA1564" s="2"/>
      <c r="BB1564" s="2"/>
      <c r="BC1564">
        <v>71500</v>
      </c>
      <c r="BD1564">
        <v>56992</v>
      </c>
    </row>
    <row r="1565" spans="3:56" x14ac:dyDescent="0.25">
      <c r="C1565" s="1">
        <v>47185</v>
      </c>
      <c r="D1565" s="36">
        <v>269369.09999999998</v>
      </c>
      <c r="E1565" s="33">
        <v>4.5999999999999996</v>
      </c>
      <c r="F1565" s="33">
        <v>3.71184222222222</v>
      </c>
      <c r="G1565" s="2">
        <v>0.80692222222222199</v>
      </c>
      <c r="H1565" s="2">
        <v>0.99</v>
      </c>
      <c r="I1565" s="3"/>
      <c r="J1565" s="3"/>
      <c r="K1565" s="3"/>
      <c r="L1565" s="3"/>
      <c r="M1565" s="3"/>
      <c r="N1565" s="3">
        <v>0</v>
      </c>
      <c r="O1565" s="3"/>
      <c r="P1565" s="3">
        <v>0</v>
      </c>
      <c r="Q1565" s="3">
        <v>0</v>
      </c>
      <c r="R1565" s="3">
        <v>0</v>
      </c>
      <c r="S1565" s="3">
        <v>0</v>
      </c>
      <c r="T1565" s="3">
        <v>0</v>
      </c>
      <c r="U1565" s="3"/>
      <c r="V1565" s="3"/>
      <c r="W1565" s="3"/>
      <c r="X1565" s="3"/>
      <c r="Y1565" s="3"/>
      <c r="Z1565" s="3"/>
      <c r="AA1565" s="3"/>
      <c r="AB1565" s="3"/>
      <c r="AC1565" s="3"/>
      <c r="AD1565" s="3"/>
      <c r="AE1565" s="3">
        <v>0</v>
      </c>
      <c r="AF1565" s="3">
        <v>0</v>
      </c>
      <c r="AG1565" s="3"/>
      <c r="AH1565" s="40"/>
      <c r="AI1565" s="40"/>
      <c r="AJ1565" s="40"/>
      <c r="AK1565" s="40"/>
      <c r="AL1565" s="40"/>
      <c r="AM1565" s="40"/>
      <c r="AN1565" s="40"/>
      <c r="AO1565" s="40"/>
      <c r="AP1565" s="40"/>
      <c r="AQ1565" s="40"/>
      <c r="AR1565" s="31"/>
      <c r="AS1565" s="36">
        <v>0</v>
      </c>
      <c r="AY1565" s="6"/>
      <c r="AZ1565" s="2"/>
      <c r="BA1565" s="2"/>
      <c r="BB1565" s="2"/>
      <c r="BC1565">
        <v>71500</v>
      </c>
      <c r="BD1565">
        <v>56992</v>
      </c>
    </row>
    <row r="1566" spans="3:56" x14ac:dyDescent="0.25">
      <c r="C1566" s="1">
        <v>47186</v>
      </c>
      <c r="D1566" s="36">
        <v>269369.09999999998</v>
      </c>
      <c r="E1566" s="33">
        <v>4.5999999999999996</v>
      </c>
      <c r="F1566" s="33">
        <v>3.7117911111111099</v>
      </c>
      <c r="G1566" s="2">
        <v>0.80691111111111102</v>
      </c>
      <c r="H1566" s="2">
        <v>0.99</v>
      </c>
      <c r="I1566" s="3"/>
      <c r="J1566" s="3"/>
      <c r="K1566" s="3"/>
      <c r="L1566" s="3"/>
      <c r="M1566" s="3"/>
      <c r="N1566" s="3">
        <v>0</v>
      </c>
      <c r="O1566" s="3"/>
      <c r="P1566" s="3">
        <v>0</v>
      </c>
      <c r="Q1566" s="3">
        <v>0</v>
      </c>
      <c r="R1566" s="3">
        <v>0</v>
      </c>
      <c r="S1566" s="3">
        <v>0</v>
      </c>
      <c r="T1566" s="3">
        <v>0</v>
      </c>
      <c r="U1566" s="3"/>
      <c r="V1566" s="3"/>
      <c r="W1566" s="3"/>
      <c r="X1566" s="3"/>
      <c r="Y1566" s="3"/>
      <c r="Z1566" s="3"/>
      <c r="AA1566" s="3"/>
      <c r="AB1566" s="3"/>
      <c r="AC1566" s="3"/>
      <c r="AD1566" s="3"/>
      <c r="AE1566" s="3">
        <v>0</v>
      </c>
      <c r="AF1566" s="3">
        <v>0</v>
      </c>
      <c r="AG1566" s="3"/>
      <c r="AH1566" s="40"/>
      <c r="AI1566" s="40"/>
      <c r="AJ1566" s="40"/>
      <c r="AK1566" s="40"/>
      <c r="AL1566" s="40"/>
      <c r="AM1566" s="40"/>
      <c r="AN1566" s="40"/>
      <c r="AO1566" s="40"/>
      <c r="AP1566" s="40"/>
      <c r="AQ1566" s="40"/>
      <c r="AR1566" s="31"/>
      <c r="AS1566" s="36">
        <v>0</v>
      </c>
      <c r="AY1566" s="6"/>
      <c r="AZ1566" s="2"/>
      <c r="BA1566" s="2"/>
      <c r="BB1566" s="2"/>
      <c r="BC1566">
        <v>71500</v>
      </c>
      <c r="BD1566">
        <v>56992</v>
      </c>
    </row>
    <row r="1567" spans="3:56" x14ac:dyDescent="0.25">
      <c r="C1567" s="1">
        <v>47187</v>
      </c>
      <c r="D1567" s="36">
        <v>269369.09999999998</v>
      </c>
      <c r="E1567" s="33">
        <v>4.5999999999999996</v>
      </c>
      <c r="F1567" s="33">
        <v>3.7117399999999998</v>
      </c>
      <c r="G1567" s="2">
        <v>0.80689999999999995</v>
      </c>
      <c r="H1567" s="2">
        <v>0.99</v>
      </c>
      <c r="I1567" s="3"/>
      <c r="J1567" s="3"/>
      <c r="K1567" s="3"/>
      <c r="L1567" s="3"/>
      <c r="M1567" s="3"/>
      <c r="N1567" s="3">
        <v>0</v>
      </c>
      <c r="O1567" s="3"/>
      <c r="P1567" s="3">
        <v>0</v>
      </c>
      <c r="Q1567" s="3">
        <v>0</v>
      </c>
      <c r="R1567" s="3">
        <v>0</v>
      </c>
      <c r="S1567" s="3">
        <v>0</v>
      </c>
      <c r="T1567" s="3">
        <v>0</v>
      </c>
      <c r="U1567" s="3"/>
      <c r="V1567" s="3"/>
      <c r="W1567" s="3"/>
      <c r="X1567" s="3"/>
      <c r="Y1567" s="3"/>
      <c r="Z1567" s="3"/>
      <c r="AA1567" s="3"/>
      <c r="AB1567" s="3"/>
      <c r="AC1567" s="3"/>
      <c r="AD1567" s="3"/>
      <c r="AE1567" s="3">
        <v>0</v>
      </c>
      <c r="AF1567" s="3">
        <v>0</v>
      </c>
      <c r="AG1567" s="3"/>
      <c r="AH1567" s="40"/>
      <c r="AI1567" s="40"/>
      <c r="AJ1567" s="40"/>
      <c r="AK1567" s="40"/>
      <c r="AL1567" s="40"/>
      <c r="AM1567" s="40"/>
      <c r="AN1567" s="40"/>
      <c r="AO1567" s="40"/>
      <c r="AP1567" s="40"/>
      <c r="AQ1567" s="40"/>
      <c r="AR1567" s="31"/>
      <c r="AS1567" s="36">
        <v>0</v>
      </c>
      <c r="AY1567" s="6"/>
      <c r="AZ1567" s="2"/>
      <c r="BA1567" s="2"/>
      <c r="BB1567" s="2"/>
      <c r="BC1567">
        <v>71500</v>
      </c>
      <c r="BD1567">
        <v>56992</v>
      </c>
    </row>
    <row r="1568" spans="3:56" x14ac:dyDescent="0.25">
      <c r="C1568" s="1">
        <v>47188</v>
      </c>
      <c r="D1568" s="36">
        <v>269369.09999999998</v>
      </c>
      <c r="E1568" s="33">
        <v>4.5999999999999996</v>
      </c>
      <c r="F1568" s="33">
        <v>3.7116888888888901</v>
      </c>
      <c r="G1568" s="2">
        <v>0.80688888888888899</v>
      </c>
      <c r="H1568" s="2">
        <v>0.99</v>
      </c>
      <c r="I1568" s="3"/>
      <c r="J1568" s="3"/>
      <c r="K1568" s="3"/>
      <c r="L1568" s="3"/>
      <c r="M1568" s="3"/>
      <c r="N1568" s="3">
        <v>0</v>
      </c>
      <c r="O1568" s="3"/>
      <c r="P1568" s="3">
        <v>0</v>
      </c>
      <c r="Q1568" s="3">
        <v>0</v>
      </c>
      <c r="R1568" s="3">
        <v>0</v>
      </c>
      <c r="S1568" s="3">
        <v>0</v>
      </c>
      <c r="T1568" s="3">
        <v>0</v>
      </c>
      <c r="U1568" s="3"/>
      <c r="V1568" s="3"/>
      <c r="W1568" s="3"/>
      <c r="X1568" s="3"/>
      <c r="Y1568" s="3"/>
      <c r="Z1568" s="3"/>
      <c r="AA1568" s="3"/>
      <c r="AB1568" s="3"/>
      <c r="AC1568" s="3"/>
      <c r="AD1568" s="3"/>
      <c r="AE1568" s="3">
        <v>0</v>
      </c>
      <c r="AF1568" s="3">
        <v>0</v>
      </c>
      <c r="AG1568" s="3"/>
      <c r="AH1568" s="40"/>
      <c r="AI1568" s="40"/>
      <c r="AJ1568" s="40"/>
      <c r="AK1568" s="40"/>
      <c r="AL1568" s="40"/>
      <c r="AM1568" s="40"/>
      <c r="AN1568" s="40"/>
      <c r="AO1568" s="40"/>
      <c r="AP1568" s="40"/>
      <c r="AQ1568" s="40"/>
      <c r="AR1568" s="31"/>
      <c r="AS1568" s="36">
        <v>0</v>
      </c>
      <c r="AY1568" s="6"/>
      <c r="AZ1568" s="2"/>
      <c r="BA1568" s="2"/>
      <c r="BB1568" s="2"/>
      <c r="BC1568">
        <v>71500</v>
      </c>
      <c r="BD1568">
        <v>56992</v>
      </c>
    </row>
    <row r="1569" spans="3:56" x14ac:dyDescent="0.25">
      <c r="C1569" s="1">
        <v>47189</v>
      </c>
      <c r="D1569" s="36">
        <v>269369.09999999998</v>
      </c>
      <c r="E1569" s="33">
        <v>4.5999999999999996</v>
      </c>
      <c r="F1569" s="33">
        <v>3.71163777777778</v>
      </c>
      <c r="G1569" s="2">
        <v>0.80687777777777803</v>
      </c>
      <c r="H1569" s="2">
        <v>0.99</v>
      </c>
      <c r="I1569" s="3"/>
      <c r="J1569" s="3"/>
      <c r="K1569" s="3"/>
      <c r="L1569" s="3"/>
      <c r="M1569" s="3"/>
      <c r="N1569" s="3">
        <v>0</v>
      </c>
      <c r="O1569" s="3"/>
      <c r="P1569" s="3">
        <v>0</v>
      </c>
      <c r="Q1569" s="3">
        <v>0</v>
      </c>
      <c r="R1569" s="3">
        <v>0</v>
      </c>
      <c r="S1569" s="3">
        <v>0</v>
      </c>
      <c r="T1569" s="3">
        <v>0</v>
      </c>
      <c r="U1569" s="3"/>
      <c r="V1569" s="3"/>
      <c r="W1569" s="3"/>
      <c r="X1569" s="3"/>
      <c r="Y1569" s="3"/>
      <c r="Z1569" s="3"/>
      <c r="AA1569" s="3"/>
      <c r="AB1569" s="3"/>
      <c r="AC1569" s="3"/>
      <c r="AD1569" s="3"/>
      <c r="AE1569" s="3">
        <v>0</v>
      </c>
      <c r="AF1569" s="3">
        <v>0</v>
      </c>
      <c r="AG1569" s="3"/>
      <c r="AH1569" s="40"/>
      <c r="AI1569" s="40"/>
      <c r="AJ1569" s="40"/>
      <c r="AK1569" s="40"/>
      <c r="AL1569" s="40"/>
      <c r="AM1569" s="40"/>
      <c r="AN1569" s="40"/>
      <c r="AO1569" s="40"/>
      <c r="AP1569" s="40"/>
      <c r="AQ1569" s="40"/>
      <c r="AR1569" s="31"/>
      <c r="AS1569" s="36">
        <v>0</v>
      </c>
      <c r="AY1569" s="6"/>
      <c r="AZ1569" s="2"/>
      <c r="BA1569" s="2"/>
      <c r="BB1569" s="2"/>
      <c r="BC1569">
        <v>71500</v>
      </c>
      <c r="BD1569">
        <v>56992</v>
      </c>
    </row>
    <row r="1570" spans="3:56" x14ac:dyDescent="0.25">
      <c r="C1570" s="1">
        <v>47190</v>
      </c>
      <c r="D1570" s="36">
        <v>269369.09999999998</v>
      </c>
      <c r="E1570" s="33">
        <v>4.5999999999999996</v>
      </c>
      <c r="F1570" s="33">
        <v>3.7115866666666699</v>
      </c>
      <c r="G1570" s="2">
        <v>0.80686666666666695</v>
      </c>
      <c r="H1570" s="2">
        <v>0.99</v>
      </c>
      <c r="I1570" s="3"/>
      <c r="J1570" s="3"/>
      <c r="K1570" s="3"/>
      <c r="L1570" s="3"/>
      <c r="M1570" s="3"/>
      <c r="N1570" s="3">
        <v>0</v>
      </c>
      <c r="O1570" s="3"/>
      <c r="P1570" s="3">
        <v>0</v>
      </c>
      <c r="Q1570" s="3">
        <v>0</v>
      </c>
      <c r="R1570" s="3">
        <v>0</v>
      </c>
      <c r="S1570" s="3">
        <v>0</v>
      </c>
      <c r="T1570" s="3">
        <v>0</v>
      </c>
      <c r="U1570" s="3"/>
      <c r="V1570" s="3"/>
      <c r="W1570" s="3"/>
      <c r="X1570" s="3"/>
      <c r="Y1570" s="3"/>
      <c r="Z1570" s="3"/>
      <c r="AA1570" s="3"/>
      <c r="AB1570" s="3"/>
      <c r="AC1570" s="3"/>
      <c r="AD1570" s="3"/>
      <c r="AE1570" s="3">
        <v>0</v>
      </c>
      <c r="AF1570" s="3">
        <v>0</v>
      </c>
      <c r="AG1570" s="3"/>
      <c r="AH1570" s="40"/>
      <c r="AI1570" s="40"/>
      <c r="AJ1570" s="40"/>
      <c r="AK1570" s="40"/>
      <c r="AL1570" s="40"/>
      <c r="AM1570" s="40"/>
      <c r="AN1570" s="40"/>
      <c r="AO1570" s="40"/>
      <c r="AP1570" s="40"/>
      <c r="AQ1570" s="40"/>
      <c r="AR1570" s="31"/>
      <c r="AS1570" s="36">
        <v>0</v>
      </c>
      <c r="AY1570" s="6"/>
      <c r="AZ1570" s="2"/>
      <c r="BA1570" s="2"/>
      <c r="BB1570" s="2"/>
      <c r="BC1570">
        <v>71500</v>
      </c>
      <c r="BD1570">
        <v>56992</v>
      </c>
    </row>
    <row r="1571" spans="3:56" x14ac:dyDescent="0.25">
      <c r="C1571" s="1">
        <v>47191</v>
      </c>
      <c r="D1571" s="36">
        <v>269369.09999999998</v>
      </c>
      <c r="E1571" s="33">
        <v>4.5999999999999996</v>
      </c>
      <c r="F1571" s="33">
        <v>3.7115355555555598</v>
      </c>
      <c r="G1571" s="2">
        <v>0.80685555555555599</v>
      </c>
      <c r="H1571" s="2">
        <v>0.99</v>
      </c>
      <c r="I1571" s="3"/>
      <c r="J1571" s="3"/>
      <c r="K1571" s="3"/>
      <c r="L1571" s="3"/>
      <c r="M1571" s="3"/>
      <c r="N1571" s="3">
        <v>0</v>
      </c>
      <c r="O1571" s="3"/>
      <c r="P1571" s="3">
        <v>0</v>
      </c>
      <c r="Q1571" s="3">
        <v>0</v>
      </c>
      <c r="R1571" s="3">
        <v>0</v>
      </c>
      <c r="S1571" s="3">
        <v>0</v>
      </c>
      <c r="T1571" s="3">
        <v>0</v>
      </c>
      <c r="U1571" s="3"/>
      <c r="V1571" s="3"/>
      <c r="W1571" s="3"/>
      <c r="X1571" s="3"/>
      <c r="Y1571" s="3"/>
      <c r="Z1571" s="3"/>
      <c r="AA1571" s="3"/>
      <c r="AB1571" s="3"/>
      <c r="AC1571" s="3"/>
      <c r="AD1571" s="3"/>
      <c r="AE1571" s="3">
        <v>0</v>
      </c>
      <c r="AF1571" s="3">
        <v>0</v>
      </c>
      <c r="AG1571" s="3"/>
      <c r="AH1571" s="40"/>
      <c r="AI1571" s="40"/>
      <c r="AJ1571" s="40"/>
      <c r="AK1571" s="40"/>
      <c r="AL1571" s="40"/>
      <c r="AM1571" s="40"/>
      <c r="AN1571" s="40"/>
      <c r="AO1571" s="40"/>
      <c r="AP1571" s="40"/>
      <c r="AQ1571" s="40"/>
      <c r="AR1571" s="31"/>
      <c r="AS1571" s="36">
        <v>0</v>
      </c>
      <c r="AY1571" s="6"/>
      <c r="AZ1571" s="2"/>
      <c r="BA1571" s="2"/>
      <c r="BB1571" s="2"/>
      <c r="BC1571">
        <v>71500</v>
      </c>
      <c r="BD1571">
        <v>56992</v>
      </c>
    </row>
    <row r="1572" spans="3:56" x14ac:dyDescent="0.25">
      <c r="C1572" s="1">
        <v>47192</v>
      </c>
      <c r="D1572" s="36">
        <v>269369.09999999998</v>
      </c>
      <c r="E1572" s="33">
        <v>4.5999999999999996</v>
      </c>
      <c r="F1572" s="33">
        <v>3.7114844444444399</v>
      </c>
      <c r="G1572" s="2">
        <v>0.80684444444444403</v>
      </c>
      <c r="H1572" s="2">
        <v>0.99</v>
      </c>
      <c r="I1572" s="3"/>
      <c r="J1572" s="3"/>
      <c r="K1572" s="3"/>
      <c r="L1572" s="3"/>
      <c r="M1572" s="3"/>
      <c r="N1572" s="3">
        <v>0</v>
      </c>
      <c r="O1572" s="3"/>
      <c r="P1572" s="3">
        <v>0</v>
      </c>
      <c r="Q1572" s="3">
        <v>0</v>
      </c>
      <c r="R1572" s="3">
        <v>0</v>
      </c>
      <c r="S1572" s="3">
        <v>0</v>
      </c>
      <c r="T1572" s="3">
        <v>0</v>
      </c>
      <c r="U1572" s="3"/>
      <c r="V1572" s="3"/>
      <c r="W1572" s="3"/>
      <c r="X1572" s="3"/>
      <c r="Y1572" s="3"/>
      <c r="Z1572" s="3"/>
      <c r="AA1572" s="3"/>
      <c r="AB1572" s="3"/>
      <c r="AC1572" s="3"/>
      <c r="AD1572" s="3"/>
      <c r="AE1572" s="3">
        <v>0</v>
      </c>
      <c r="AF1572" s="3">
        <v>0</v>
      </c>
      <c r="AG1572" s="3"/>
      <c r="AH1572" s="40"/>
      <c r="AI1572" s="40"/>
      <c r="AJ1572" s="40"/>
      <c r="AK1572" s="40"/>
      <c r="AL1572" s="40"/>
      <c r="AM1572" s="40"/>
      <c r="AN1572" s="40"/>
      <c r="AO1572" s="40"/>
      <c r="AP1572" s="40"/>
      <c r="AQ1572" s="40"/>
      <c r="AR1572" s="31"/>
      <c r="AS1572" s="36">
        <v>0</v>
      </c>
      <c r="AY1572" s="6"/>
      <c r="AZ1572" s="2"/>
      <c r="BA1572" s="2"/>
      <c r="BB1572" s="2"/>
      <c r="BC1572">
        <v>71500</v>
      </c>
      <c r="BD1572">
        <v>56992</v>
      </c>
    </row>
    <row r="1573" spans="3:56" x14ac:dyDescent="0.25">
      <c r="C1573" s="1">
        <v>47193</v>
      </c>
      <c r="D1573" s="36">
        <v>269369.09999999998</v>
      </c>
      <c r="E1573" s="33">
        <v>4.5999999999999996</v>
      </c>
      <c r="F1573" s="33">
        <v>3.7114333333333298</v>
      </c>
      <c r="G1573" s="2">
        <v>0.80683333333333296</v>
      </c>
      <c r="H1573" s="2">
        <v>0.99</v>
      </c>
      <c r="I1573" s="3"/>
      <c r="J1573" s="3"/>
      <c r="K1573" s="3"/>
      <c r="L1573" s="3"/>
      <c r="M1573" s="3"/>
      <c r="N1573" s="3">
        <v>0</v>
      </c>
      <c r="O1573" s="3"/>
      <c r="P1573" s="3">
        <v>0</v>
      </c>
      <c r="Q1573" s="3">
        <v>0</v>
      </c>
      <c r="R1573" s="3">
        <v>0</v>
      </c>
      <c r="S1573" s="3">
        <v>0</v>
      </c>
      <c r="T1573" s="3">
        <v>0</v>
      </c>
      <c r="U1573" s="3"/>
      <c r="V1573" s="3"/>
      <c r="W1573" s="3"/>
      <c r="X1573" s="3"/>
      <c r="Y1573" s="3"/>
      <c r="Z1573" s="3"/>
      <c r="AA1573" s="3"/>
      <c r="AB1573" s="3"/>
      <c r="AC1573" s="3"/>
      <c r="AD1573" s="3"/>
      <c r="AE1573" s="3">
        <v>0</v>
      </c>
      <c r="AF1573" s="3">
        <v>0</v>
      </c>
      <c r="AG1573" s="3"/>
      <c r="AH1573" s="40"/>
      <c r="AI1573" s="40"/>
      <c r="AJ1573" s="40"/>
      <c r="AK1573" s="40"/>
      <c r="AL1573" s="40"/>
      <c r="AM1573" s="40"/>
      <c r="AN1573" s="40"/>
      <c r="AO1573" s="40"/>
      <c r="AP1573" s="40"/>
      <c r="AQ1573" s="40"/>
      <c r="AR1573" s="31"/>
      <c r="AS1573" s="36">
        <v>0</v>
      </c>
      <c r="AY1573" s="6"/>
      <c r="AZ1573" s="2"/>
      <c r="BA1573" s="2"/>
      <c r="BB1573" s="2"/>
      <c r="BC1573">
        <v>71500</v>
      </c>
      <c r="BD1573">
        <v>56992</v>
      </c>
    </row>
    <row r="1574" spans="3:56" x14ac:dyDescent="0.25">
      <c r="C1574" s="1">
        <v>47194</v>
      </c>
      <c r="D1574" s="36">
        <v>269369.09999999998</v>
      </c>
      <c r="E1574" s="33">
        <v>4.5999999999999996</v>
      </c>
      <c r="F1574" s="33">
        <v>3.7113822222222201</v>
      </c>
      <c r="G1574" s="2">
        <v>0.806822222222222</v>
      </c>
      <c r="H1574" s="2">
        <v>0.99</v>
      </c>
      <c r="I1574" s="3"/>
      <c r="J1574" s="3"/>
      <c r="K1574" s="3"/>
      <c r="L1574" s="3"/>
      <c r="M1574" s="3"/>
      <c r="N1574" s="3">
        <v>0</v>
      </c>
      <c r="O1574" s="3"/>
      <c r="P1574" s="3">
        <v>0</v>
      </c>
      <c r="Q1574" s="3">
        <v>0</v>
      </c>
      <c r="R1574" s="3">
        <v>0</v>
      </c>
      <c r="S1574" s="3">
        <v>0</v>
      </c>
      <c r="T1574" s="3">
        <v>0</v>
      </c>
      <c r="U1574" s="3"/>
      <c r="V1574" s="3"/>
      <c r="W1574" s="3"/>
      <c r="X1574" s="3"/>
      <c r="Y1574" s="3"/>
      <c r="Z1574" s="3"/>
      <c r="AA1574" s="3"/>
      <c r="AB1574" s="3"/>
      <c r="AC1574" s="3"/>
      <c r="AD1574" s="3"/>
      <c r="AE1574" s="3">
        <v>0</v>
      </c>
      <c r="AF1574" s="3">
        <v>0</v>
      </c>
      <c r="AG1574" s="3"/>
      <c r="AH1574" s="40"/>
      <c r="AI1574" s="40"/>
      <c r="AJ1574" s="40"/>
      <c r="AK1574" s="40"/>
      <c r="AL1574" s="40"/>
      <c r="AM1574" s="40"/>
      <c r="AN1574" s="40"/>
      <c r="AO1574" s="40"/>
      <c r="AP1574" s="40"/>
      <c r="AQ1574" s="40"/>
      <c r="AR1574" s="31"/>
      <c r="AS1574" s="36">
        <v>0</v>
      </c>
      <c r="AY1574" s="6"/>
      <c r="AZ1574" s="2"/>
      <c r="BA1574" s="2"/>
      <c r="BB1574" s="2"/>
      <c r="BC1574">
        <v>71500</v>
      </c>
      <c r="BD1574">
        <v>56992</v>
      </c>
    </row>
    <row r="1575" spans="3:56" x14ac:dyDescent="0.25">
      <c r="C1575" s="1">
        <v>47195</v>
      </c>
      <c r="D1575" s="36">
        <v>269369.09999999998</v>
      </c>
      <c r="E1575" s="33">
        <v>4.5999999999999996</v>
      </c>
      <c r="F1575" s="33">
        <v>3.71133111111111</v>
      </c>
      <c r="G1575" s="2">
        <v>0.80681111111111103</v>
      </c>
      <c r="H1575" s="2">
        <v>0.99</v>
      </c>
      <c r="I1575" s="3"/>
      <c r="J1575" s="3"/>
      <c r="K1575" s="3"/>
      <c r="L1575" s="3"/>
      <c r="M1575" s="3"/>
      <c r="N1575" s="3">
        <v>0</v>
      </c>
      <c r="O1575" s="3"/>
      <c r="P1575" s="3">
        <v>0</v>
      </c>
      <c r="Q1575" s="3">
        <v>0</v>
      </c>
      <c r="R1575" s="3">
        <v>0</v>
      </c>
      <c r="S1575" s="3">
        <v>0</v>
      </c>
      <c r="T1575" s="3">
        <v>0</v>
      </c>
      <c r="U1575" s="3"/>
      <c r="V1575" s="3"/>
      <c r="W1575" s="3"/>
      <c r="X1575" s="3"/>
      <c r="Y1575" s="3"/>
      <c r="Z1575" s="3"/>
      <c r="AA1575" s="3"/>
      <c r="AB1575" s="3"/>
      <c r="AC1575" s="3"/>
      <c r="AD1575" s="3"/>
      <c r="AE1575" s="3">
        <v>0</v>
      </c>
      <c r="AF1575" s="3">
        <v>0</v>
      </c>
      <c r="AG1575" s="3"/>
      <c r="AH1575" s="40"/>
      <c r="AI1575" s="40"/>
      <c r="AJ1575" s="40"/>
      <c r="AK1575" s="40"/>
      <c r="AL1575" s="40"/>
      <c r="AM1575" s="40"/>
      <c r="AN1575" s="40"/>
      <c r="AO1575" s="40"/>
      <c r="AP1575" s="40"/>
      <c r="AQ1575" s="40"/>
      <c r="AR1575" s="31"/>
      <c r="AS1575" s="36">
        <v>0</v>
      </c>
      <c r="AY1575" s="6"/>
      <c r="AZ1575" s="2"/>
      <c r="BA1575" s="2"/>
      <c r="BB1575" s="2"/>
      <c r="BC1575">
        <v>71500</v>
      </c>
      <c r="BD1575">
        <v>56992</v>
      </c>
    </row>
    <row r="1576" spans="3:56" x14ac:dyDescent="0.25">
      <c r="C1576" s="1">
        <v>47196</v>
      </c>
      <c r="D1576" s="36">
        <v>269369.09999999998</v>
      </c>
      <c r="E1576" s="33">
        <v>4.5999999999999996</v>
      </c>
      <c r="F1576" s="33">
        <v>3.7112799999999999</v>
      </c>
      <c r="G1576" s="2">
        <v>0.80679999999999996</v>
      </c>
      <c r="H1576" s="2">
        <v>0.99</v>
      </c>
      <c r="I1576" s="3"/>
      <c r="J1576" s="3"/>
      <c r="K1576" s="3"/>
      <c r="L1576" s="3"/>
      <c r="M1576" s="3"/>
      <c r="N1576" s="3">
        <v>0</v>
      </c>
      <c r="O1576" s="3"/>
      <c r="P1576" s="3">
        <v>0</v>
      </c>
      <c r="Q1576" s="3">
        <v>0</v>
      </c>
      <c r="R1576" s="3">
        <v>0</v>
      </c>
      <c r="S1576" s="3">
        <v>0</v>
      </c>
      <c r="T1576" s="3">
        <v>0</v>
      </c>
      <c r="U1576" s="3"/>
      <c r="V1576" s="3"/>
      <c r="W1576" s="3"/>
      <c r="X1576" s="3"/>
      <c r="Y1576" s="3"/>
      <c r="Z1576" s="3"/>
      <c r="AA1576" s="3"/>
      <c r="AB1576" s="3"/>
      <c r="AC1576" s="3"/>
      <c r="AD1576" s="3"/>
      <c r="AE1576" s="3">
        <v>0</v>
      </c>
      <c r="AF1576" s="3">
        <v>0</v>
      </c>
      <c r="AG1576" s="3"/>
      <c r="AH1576" s="40"/>
      <c r="AI1576" s="40"/>
      <c r="AJ1576" s="40"/>
      <c r="AK1576" s="40"/>
      <c r="AL1576" s="40"/>
      <c r="AM1576" s="40"/>
      <c r="AN1576" s="40"/>
      <c r="AO1576" s="40"/>
      <c r="AP1576" s="40"/>
      <c r="AQ1576" s="40"/>
      <c r="AR1576" s="31"/>
      <c r="AS1576" s="36">
        <v>0</v>
      </c>
      <c r="AY1576" s="6"/>
      <c r="AZ1576" s="2"/>
      <c r="BA1576" s="2"/>
      <c r="BB1576" s="2"/>
      <c r="BC1576">
        <v>71500</v>
      </c>
      <c r="BD1576">
        <v>56992</v>
      </c>
    </row>
    <row r="1577" spans="3:56" x14ac:dyDescent="0.25">
      <c r="C1577" s="1">
        <v>47197</v>
      </c>
      <c r="D1577" s="36">
        <v>269369.09999999998</v>
      </c>
      <c r="E1577" s="33">
        <v>4.5999999999999996</v>
      </c>
      <c r="F1577" s="33">
        <v>3.7112288888888898</v>
      </c>
      <c r="G1577" s="2">
        <v>0.806788888888889</v>
      </c>
      <c r="H1577" s="2">
        <v>0.99</v>
      </c>
      <c r="I1577" s="3"/>
      <c r="J1577" s="3"/>
      <c r="K1577" s="3"/>
      <c r="L1577" s="3"/>
      <c r="M1577" s="3"/>
      <c r="N1577" s="3">
        <v>0</v>
      </c>
      <c r="O1577" s="3"/>
      <c r="P1577" s="3">
        <v>0</v>
      </c>
      <c r="Q1577" s="3">
        <v>0</v>
      </c>
      <c r="R1577" s="3">
        <v>0</v>
      </c>
      <c r="S1577" s="3">
        <v>0</v>
      </c>
      <c r="T1577" s="3">
        <v>0</v>
      </c>
      <c r="U1577" s="3"/>
      <c r="V1577" s="3"/>
      <c r="W1577" s="3"/>
      <c r="X1577" s="3"/>
      <c r="Y1577" s="3"/>
      <c r="Z1577" s="3"/>
      <c r="AA1577" s="3"/>
      <c r="AB1577" s="3"/>
      <c r="AC1577" s="3"/>
      <c r="AD1577" s="3"/>
      <c r="AE1577" s="3">
        <v>0</v>
      </c>
      <c r="AF1577" s="3">
        <v>0</v>
      </c>
      <c r="AG1577" s="3"/>
      <c r="AH1577" s="40"/>
      <c r="AI1577" s="40"/>
      <c r="AJ1577" s="40"/>
      <c r="AK1577" s="40"/>
      <c r="AL1577" s="40"/>
      <c r="AM1577" s="40"/>
      <c r="AN1577" s="40"/>
      <c r="AO1577" s="40"/>
      <c r="AP1577" s="40"/>
      <c r="AQ1577" s="40"/>
      <c r="AR1577" s="31"/>
      <c r="AS1577" s="36">
        <v>0</v>
      </c>
      <c r="AY1577" s="6"/>
      <c r="AZ1577" s="2"/>
      <c r="BA1577" s="2"/>
      <c r="BB1577" s="2"/>
      <c r="BC1577">
        <v>71500</v>
      </c>
      <c r="BD1577">
        <v>56992</v>
      </c>
    </row>
    <row r="1578" spans="3:56" x14ac:dyDescent="0.25">
      <c r="C1578" s="1">
        <v>47198</v>
      </c>
      <c r="D1578" s="36">
        <v>269369.09999999998</v>
      </c>
      <c r="E1578" s="33">
        <v>4.5999999999999996</v>
      </c>
      <c r="F1578" s="33">
        <v>3.7111777777777801</v>
      </c>
      <c r="G1578" s="2">
        <v>0.80677777777777804</v>
      </c>
      <c r="H1578" s="2">
        <v>0.99</v>
      </c>
      <c r="I1578" s="3"/>
      <c r="J1578" s="3"/>
      <c r="K1578" s="3"/>
      <c r="L1578" s="3"/>
      <c r="M1578" s="3"/>
      <c r="N1578" s="3">
        <v>0</v>
      </c>
      <c r="O1578" s="3"/>
      <c r="P1578" s="3">
        <v>0</v>
      </c>
      <c r="Q1578" s="3">
        <v>0</v>
      </c>
      <c r="R1578" s="3">
        <v>0</v>
      </c>
      <c r="S1578" s="3">
        <v>0</v>
      </c>
      <c r="T1578" s="3">
        <v>0</v>
      </c>
      <c r="U1578" s="3"/>
      <c r="V1578" s="3"/>
      <c r="W1578" s="3"/>
      <c r="X1578" s="3"/>
      <c r="Y1578" s="3"/>
      <c r="Z1578" s="3"/>
      <c r="AA1578" s="3"/>
      <c r="AB1578" s="3"/>
      <c r="AC1578" s="3"/>
      <c r="AD1578" s="3"/>
      <c r="AE1578" s="3">
        <v>0</v>
      </c>
      <c r="AF1578" s="3">
        <v>0</v>
      </c>
      <c r="AG1578" s="3"/>
      <c r="AH1578" s="40"/>
      <c r="AI1578" s="40"/>
      <c r="AJ1578" s="40"/>
      <c r="AK1578" s="40"/>
      <c r="AL1578" s="40"/>
      <c r="AM1578" s="40"/>
      <c r="AN1578" s="40"/>
      <c r="AO1578" s="40"/>
      <c r="AP1578" s="40"/>
      <c r="AQ1578" s="40"/>
      <c r="AR1578" s="31"/>
      <c r="AS1578" s="36">
        <v>0</v>
      </c>
      <c r="AY1578" s="6"/>
      <c r="AZ1578" s="2"/>
      <c r="BA1578" s="2"/>
      <c r="BB1578" s="2"/>
      <c r="BC1578">
        <v>71500</v>
      </c>
      <c r="BD1578">
        <v>56992</v>
      </c>
    </row>
    <row r="1579" spans="3:56" x14ac:dyDescent="0.25">
      <c r="C1579" s="1">
        <v>47199</v>
      </c>
      <c r="D1579" s="36">
        <v>269369.09999999998</v>
      </c>
      <c r="E1579" s="33">
        <v>4.5999999999999996</v>
      </c>
      <c r="F1579" s="33">
        <v>3.71112666666667</v>
      </c>
      <c r="G1579" s="2">
        <v>0.80676666666666697</v>
      </c>
      <c r="H1579" s="2">
        <v>0.99</v>
      </c>
      <c r="I1579" s="3"/>
      <c r="J1579" s="3"/>
      <c r="K1579" s="3"/>
      <c r="L1579" s="3"/>
      <c r="M1579" s="3"/>
      <c r="N1579" s="3">
        <v>0</v>
      </c>
      <c r="O1579" s="3"/>
      <c r="P1579" s="3">
        <v>0</v>
      </c>
      <c r="Q1579" s="3">
        <v>0</v>
      </c>
      <c r="R1579" s="3">
        <v>0</v>
      </c>
      <c r="S1579" s="3">
        <v>0</v>
      </c>
      <c r="T1579" s="3">
        <v>0</v>
      </c>
      <c r="U1579" s="3"/>
      <c r="V1579" s="3"/>
      <c r="W1579" s="3"/>
      <c r="X1579" s="3"/>
      <c r="Y1579" s="3"/>
      <c r="Z1579" s="3"/>
      <c r="AA1579" s="3"/>
      <c r="AB1579" s="3"/>
      <c r="AC1579" s="3"/>
      <c r="AD1579" s="3"/>
      <c r="AE1579" s="3">
        <v>0</v>
      </c>
      <c r="AF1579" s="3">
        <v>0</v>
      </c>
      <c r="AG1579" s="3"/>
      <c r="AH1579" s="40"/>
      <c r="AI1579" s="40"/>
      <c r="AJ1579" s="40"/>
      <c r="AK1579" s="40"/>
      <c r="AL1579" s="40"/>
      <c r="AM1579" s="40"/>
      <c r="AN1579" s="40"/>
      <c r="AO1579" s="40"/>
      <c r="AP1579" s="40"/>
      <c r="AQ1579" s="40"/>
      <c r="AR1579" s="31"/>
      <c r="AS1579" s="36">
        <v>0</v>
      </c>
      <c r="AY1579" s="6"/>
      <c r="AZ1579" s="2"/>
      <c r="BA1579" s="2"/>
      <c r="BB1579" s="2"/>
      <c r="BC1579">
        <v>71500</v>
      </c>
      <c r="BD1579">
        <v>56992</v>
      </c>
    </row>
    <row r="1580" spans="3:56" x14ac:dyDescent="0.25">
      <c r="C1580" s="1">
        <v>47200</v>
      </c>
      <c r="D1580" s="36">
        <v>269369.09999999998</v>
      </c>
      <c r="E1580" s="33">
        <v>4.5999999999999996</v>
      </c>
      <c r="F1580" s="33">
        <v>3.7110755555555599</v>
      </c>
      <c r="G1580" s="2">
        <v>0.806755555555556</v>
      </c>
      <c r="H1580" s="2">
        <v>0.99</v>
      </c>
      <c r="I1580" s="3"/>
      <c r="J1580" s="3"/>
      <c r="K1580" s="3"/>
      <c r="L1580" s="3"/>
      <c r="M1580" s="3"/>
      <c r="N1580" s="3">
        <v>0</v>
      </c>
      <c r="O1580" s="3"/>
      <c r="P1580" s="3">
        <v>0</v>
      </c>
      <c r="Q1580" s="3">
        <v>0</v>
      </c>
      <c r="R1580" s="3">
        <v>0</v>
      </c>
      <c r="S1580" s="3">
        <v>0</v>
      </c>
      <c r="T1580" s="3">
        <v>0</v>
      </c>
      <c r="U1580" s="3"/>
      <c r="V1580" s="3"/>
      <c r="W1580" s="3"/>
      <c r="X1580" s="3"/>
      <c r="Y1580" s="3"/>
      <c r="Z1580" s="3"/>
      <c r="AA1580" s="3"/>
      <c r="AB1580" s="3"/>
      <c r="AC1580" s="3"/>
      <c r="AD1580" s="3"/>
      <c r="AE1580" s="3">
        <v>0</v>
      </c>
      <c r="AF1580" s="3">
        <v>0</v>
      </c>
      <c r="AG1580" s="3"/>
      <c r="AH1580" s="40"/>
      <c r="AI1580" s="40"/>
      <c r="AJ1580" s="40"/>
      <c r="AK1580" s="40"/>
      <c r="AL1580" s="40"/>
      <c r="AM1580" s="40"/>
      <c r="AN1580" s="40"/>
      <c r="AO1580" s="40"/>
      <c r="AP1580" s="40"/>
      <c r="AQ1580" s="40"/>
      <c r="AR1580" s="31"/>
      <c r="AS1580" s="36">
        <v>0</v>
      </c>
      <c r="AY1580" s="6"/>
      <c r="AZ1580" s="2"/>
      <c r="BA1580" s="2"/>
      <c r="BB1580" s="2"/>
      <c r="BC1580">
        <v>71500</v>
      </c>
      <c r="BD1580">
        <v>56992</v>
      </c>
    </row>
    <row r="1581" spans="3:56" x14ac:dyDescent="0.25">
      <c r="C1581" s="1">
        <v>47201</v>
      </c>
      <c r="D1581" s="36">
        <v>269369.09999999998</v>
      </c>
      <c r="E1581" s="33">
        <v>4.5999999999999996</v>
      </c>
      <c r="F1581" s="33">
        <v>3.71102444444444</v>
      </c>
      <c r="G1581" s="2">
        <v>0.80674444444444404</v>
      </c>
      <c r="H1581" s="2">
        <v>0.99</v>
      </c>
      <c r="I1581" s="3"/>
      <c r="J1581" s="3"/>
      <c r="K1581" s="3"/>
      <c r="L1581" s="3"/>
      <c r="M1581" s="3"/>
      <c r="N1581" s="3">
        <v>0</v>
      </c>
      <c r="O1581" s="3"/>
      <c r="P1581" s="3">
        <v>0</v>
      </c>
      <c r="Q1581" s="3">
        <v>0</v>
      </c>
      <c r="R1581" s="3">
        <v>0</v>
      </c>
      <c r="S1581" s="3">
        <v>0</v>
      </c>
      <c r="T1581" s="3">
        <v>0</v>
      </c>
      <c r="U1581" s="3"/>
      <c r="V1581" s="3"/>
      <c r="W1581" s="3"/>
      <c r="X1581" s="3"/>
      <c r="Y1581" s="3"/>
      <c r="Z1581" s="3"/>
      <c r="AA1581" s="3"/>
      <c r="AB1581" s="3"/>
      <c r="AC1581" s="3"/>
      <c r="AD1581" s="3"/>
      <c r="AE1581" s="3">
        <v>0</v>
      </c>
      <c r="AF1581" s="3">
        <v>0</v>
      </c>
      <c r="AG1581" s="3"/>
      <c r="AH1581" s="40"/>
      <c r="AI1581" s="40"/>
      <c r="AJ1581" s="40"/>
      <c r="AK1581" s="40"/>
      <c r="AL1581" s="40"/>
      <c r="AM1581" s="40"/>
      <c r="AN1581" s="40"/>
      <c r="AO1581" s="40"/>
      <c r="AP1581" s="40"/>
      <c r="AQ1581" s="40"/>
      <c r="AR1581" s="31"/>
      <c r="AS1581" s="36">
        <v>0</v>
      </c>
      <c r="AY1581" s="6"/>
      <c r="AZ1581" s="2"/>
      <c r="BA1581" s="2"/>
      <c r="BB1581" s="2"/>
      <c r="BC1581">
        <v>71500</v>
      </c>
      <c r="BD1581">
        <v>56992</v>
      </c>
    </row>
    <row r="1582" spans="3:56" x14ac:dyDescent="0.25">
      <c r="C1582" s="1">
        <v>47202</v>
      </c>
      <c r="D1582" s="36">
        <v>269369.09999999998</v>
      </c>
      <c r="E1582" s="33">
        <v>4.5999999999999996</v>
      </c>
      <c r="F1582" s="33">
        <v>3.7109733333333299</v>
      </c>
      <c r="G1582" s="2">
        <v>0.80673333333333297</v>
      </c>
      <c r="H1582" s="2">
        <v>0.99</v>
      </c>
      <c r="I1582" s="3"/>
      <c r="J1582" s="3"/>
      <c r="K1582" s="3"/>
      <c r="L1582" s="3"/>
      <c r="M1582" s="3"/>
      <c r="N1582" s="3">
        <v>0</v>
      </c>
      <c r="O1582" s="3"/>
      <c r="P1582" s="3">
        <v>0</v>
      </c>
      <c r="Q1582" s="3">
        <v>0</v>
      </c>
      <c r="R1582" s="3">
        <v>0</v>
      </c>
      <c r="S1582" s="3">
        <v>0</v>
      </c>
      <c r="T1582" s="3">
        <v>0</v>
      </c>
      <c r="U1582" s="3"/>
      <c r="V1582" s="3"/>
      <c r="W1582" s="3"/>
      <c r="X1582" s="3"/>
      <c r="Y1582" s="3"/>
      <c r="Z1582" s="3"/>
      <c r="AA1582" s="3"/>
      <c r="AB1582" s="3"/>
      <c r="AC1582" s="3"/>
      <c r="AD1582" s="3"/>
      <c r="AE1582" s="3">
        <v>0</v>
      </c>
      <c r="AF1582" s="3">
        <v>0</v>
      </c>
      <c r="AG1582" s="3"/>
      <c r="AH1582" s="40"/>
      <c r="AI1582" s="40"/>
      <c r="AJ1582" s="40"/>
      <c r="AK1582" s="40"/>
      <c r="AL1582" s="40"/>
      <c r="AM1582" s="40"/>
      <c r="AN1582" s="40"/>
      <c r="AO1582" s="40"/>
      <c r="AP1582" s="40"/>
      <c r="AQ1582" s="40"/>
      <c r="AR1582" s="31"/>
      <c r="AS1582" s="36">
        <v>0</v>
      </c>
      <c r="AY1582" s="6"/>
      <c r="AZ1582" s="2"/>
      <c r="BA1582" s="2"/>
      <c r="BB1582" s="2"/>
      <c r="BC1582">
        <v>71500</v>
      </c>
      <c r="BD1582">
        <v>56992</v>
      </c>
    </row>
    <row r="1583" spans="3:56" x14ac:dyDescent="0.25">
      <c r="C1583" s="1">
        <v>47203</v>
      </c>
      <c r="D1583" s="36">
        <v>269369.09999999998</v>
      </c>
      <c r="E1583" s="33">
        <v>4.5999999999999996</v>
      </c>
      <c r="F1583" s="33">
        <v>3.7109222222222198</v>
      </c>
      <c r="G1583" s="2">
        <v>0.80672222222222201</v>
      </c>
      <c r="H1583" s="2">
        <v>0.99</v>
      </c>
      <c r="I1583" s="3"/>
      <c r="J1583" s="3"/>
      <c r="K1583" s="3"/>
      <c r="L1583" s="3"/>
      <c r="M1583" s="3"/>
      <c r="N1583" s="3">
        <v>0</v>
      </c>
      <c r="O1583" s="3"/>
      <c r="P1583" s="3">
        <v>0</v>
      </c>
      <c r="Q1583" s="3">
        <v>0</v>
      </c>
      <c r="R1583" s="3">
        <v>0</v>
      </c>
      <c r="S1583" s="3">
        <v>0</v>
      </c>
      <c r="T1583" s="3">
        <v>0</v>
      </c>
      <c r="U1583" s="3"/>
      <c r="V1583" s="3"/>
      <c r="W1583" s="3"/>
      <c r="X1583" s="3"/>
      <c r="Y1583" s="3"/>
      <c r="Z1583" s="3"/>
      <c r="AA1583" s="3"/>
      <c r="AB1583" s="3"/>
      <c r="AC1583" s="3"/>
      <c r="AD1583" s="3"/>
      <c r="AE1583" s="3">
        <v>0</v>
      </c>
      <c r="AF1583" s="3">
        <v>0</v>
      </c>
      <c r="AG1583" s="3"/>
      <c r="AH1583" s="40"/>
      <c r="AI1583" s="40"/>
      <c r="AJ1583" s="40"/>
      <c r="AK1583" s="40"/>
      <c r="AL1583" s="40"/>
      <c r="AM1583" s="40"/>
      <c r="AN1583" s="40"/>
      <c r="AO1583" s="40"/>
      <c r="AP1583" s="40"/>
      <c r="AQ1583" s="40"/>
      <c r="AR1583" s="31"/>
      <c r="AS1583" s="36">
        <v>0</v>
      </c>
      <c r="AY1583" s="6"/>
      <c r="AZ1583" s="2"/>
      <c r="BA1583" s="2"/>
      <c r="BB1583" s="2"/>
      <c r="BC1583">
        <v>71500</v>
      </c>
      <c r="BD1583">
        <v>56992</v>
      </c>
    </row>
    <row r="1584" spans="3:56" x14ac:dyDescent="0.25">
      <c r="C1584" s="1">
        <v>47204</v>
      </c>
      <c r="D1584" s="36">
        <v>269369.09999999998</v>
      </c>
      <c r="E1584" s="33">
        <v>4.5999999999999996</v>
      </c>
      <c r="F1584" s="33">
        <v>3.7108711111111101</v>
      </c>
      <c r="G1584" s="2">
        <v>0.80671111111111105</v>
      </c>
      <c r="H1584" s="2">
        <v>0.99</v>
      </c>
      <c r="I1584" s="3"/>
      <c r="J1584" s="3"/>
      <c r="K1584" s="3"/>
      <c r="L1584" s="3"/>
      <c r="M1584" s="3"/>
      <c r="N1584" s="3">
        <v>0</v>
      </c>
      <c r="O1584" s="3"/>
      <c r="P1584" s="3">
        <v>0</v>
      </c>
      <c r="Q1584" s="3">
        <v>0</v>
      </c>
      <c r="R1584" s="3">
        <v>0</v>
      </c>
      <c r="S1584" s="3">
        <v>0</v>
      </c>
      <c r="T1584" s="3">
        <v>0</v>
      </c>
      <c r="U1584" s="3"/>
      <c r="V1584" s="3"/>
      <c r="W1584" s="3"/>
      <c r="X1584" s="3"/>
      <c r="Y1584" s="3"/>
      <c r="Z1584" s="3"/>
      <c r="AA1584" s="3"/>
      <c r="AB1584" s="3"/>
      <c r="AC1584" s="3"/>
      <c r="AD1584" s="3"/>
      <c r="AE1584" s="3">
        <v>0</v>
      </c>
      <c r="AF1584" s="3">
        <v>0</v>
      </c>
      <c r="AG1584" s="3"/>
      <c r="AH1584" s="40"/>
      <c r="AI1584" s="40"/>
      <c r="AJ1584" s="40"/>
      <c r="AK1584" s="40"/>
      <c r="AL1584" s="40"/>
      <c r="AM1584" s="40"/>
      <c r="AN1584" s="40"/>
      <c r="AO1584" s="40"/>
      <c r="AP1584" s="40"/>
      <c r="AQ1584" s="40"/>
      <c r="AR1584" s="31"/>
      <c r="AS1584" s="36">
        <v>0</v>
      </c>
      <c r="AY1584" s="6"/>
      <c r="AZ1584" s="2"/>
      <c r="BA1584" s="2"/>
      <c r="BB1584" s="2"/>
      <c r="BC1584">
        <v>71500</v>
      </c>
      <c r="BD1584">
        <v>56992</v>
      </c>
    </row>
    <row r="1585" spans="3:56" x14ac:dyDescent="0.25">
      <c r="C1585" s="1">
        <v>47205</v>
      </c>
      <c r="D1585" s="36">
        <v>269369.09999999998</v>
      </c>
      <c r="E1585" s="33">
        <v>4.5999999999999996</v>
      </c>
      <c r="F1585" s="33">
        <v>3.71082</v>
      </c>
      <c r="G1585" s="2">
        <v>0.80669999999999997</v>
      </c>
      <c r="H1585" s="2">
        <v>0.99</v>
      </c>
      <c r="I1585" s="3"/>
      <c r="J1585" s="3"/>
      <c r="K1585" s="3"/>
      <c r="L1585" s="3"/>
      <c r="M1585" s="3"/>
      <c r="N1585" s="3">
        <v>0</v>
      </c>
      <c r="O1585" s="3"/>
      <c r="P1585" s="3">
        <v>0</v>
      </c>
      <c r="Q1585" s="3">
        <v>0</v>
      </c>
      <c r="R1585" s="3">
        <v>0</v>
      </c>
      <c r="S1585" s="3">
        <v>0</v>
      </c>
      <c r="T1585" s="3">
        <v>0</v>
      </c>
      <c r="U1585" s="3"/>
      <c r="V1585" s="3"/>
      <c r="W1585" s="3"/>
      <c r="X1585" s="3"/>
      <c r="Y1585" s="3"/>
      <c r="Z1585" s="3"/>
      <c r="AA1585" s="3"/>
      <c r="AB1585" s="3"/>
      <c r="AC1585" s="3"/>
      <c r="AD1585" s="3"/>
      <c r="AE1585" s="3">
        <v>0</v>
      </c>
      <c r="AF1585" s="3">
        <v>0</v>
      </c>
      <c r="AG1585" s="3"/>
      <c r="AH1585" s="40"/>
      <c r="AI1585" s="40"/>
      <c r="AJ1585" s="40"/>
      <c r="AK1585" s="40"/>
      <c r="AL1585" s="40"/>
      <c r="AM1585" s="40"/>
      <c r="AN1585" s="40"/>
      <c r="AO1585" s="40"/>
      <c r="AP1585" s="40"/>
      <c r="AQ1585" s="40"/>
      <c r="AR1585" s="31"/>
      <c r="AS1585" s="36">
        <v>0</v>
      </c>
      <c r="AY1585" s="6"/>
      <c r="AZ1585" s="2"/>
      <c r="BA1585" s="2"/>
      <c r="BB1585" s="2"/>
      <c r="BC1585">
        <v>71500</v>
      </c>
      <c r="BD1585">
        <v>56992</v>
      </c>
    </row>
    <row r="1586" spans="3:56" x14ac:dyDescent="0.25">
      <c r="C1586" s="1">
        <v>47206</v>
      </c>
      <c r="D1586" s="36">
        <v>269369.09999999998</v>
      </c>
      <c r="E1586" s="33">
        <v>4.5999999999999996</v>
      </c>
      <c r="F1586" s="33">
        <v>3.7107688888888899</v>
      </c>
      <c r="G1586" s="2">
        <v>0.80668888888888901</v>
      </c>
      <c r="H1586" s="2">
        <v>0.99</v>
      </c>
      <c r="I1586" s="3"/>
      <c r="J1586" s="3"/>
      <c r="K1586" s="3"/>
      <c r="L1586" s="3"/>
      <c r="M1586" s="3"/>
      <c r="N1586" s="3">
        <v>0</v>
      </c>
      <c r="O1586" s="3"/>
      <c r="P1586" s="3">
        <v>0</v>
      </c>
      <c r="Q1586" s="3">
        <v>0</v>
      </c>
      <c r="R1586" s="3">
        <v>0</v>
      </c>
      <c r="S1586" s="3">
        <v>0</v>
      </c>
      <c r="T1586" s="3">
        <v>0</v>
      </c>
      <c r="U1586" s="3"/>
      <c r="V1586" s="3"/>
      <c r="W1586" s="3"/>
      <c r="X1586" s="3"/>
      <c r="Y1586" s="3"/>
      <c r="Z1586" s="3"/>
      <c r="AA1586" s="3"/>
      <c r="AB1586" s="3"/>
      <c r="AC1586" s="3"/>
      <c r="AD1586" s="3"/>
      <c r="AE1586" s="3">
        <v>0</v>
      </c>
      <c r="AF1586" s="3">
        <v>0</v>
      </c>
      <c r="AG1586" s="3"/>
      <c r="AH1586" s="40"/>
      <c r="AI1586" s="40"/>
      <c r="AJ1586" s="40"/>
      <c r="AK1586" s="40"/>
      <c r="AL1586" s="40"/>
      <c r="AM1586" s="40"/>
      <c r="AN1586" s="40"/>
      <c r="AO1586" s="40"/>
      <c r="AP1586" s="40"/>
      <c r="AQ1586" s="40"/>
      <c r="AR1586" s="31"/>
      <c r="AS1586" s="36">
        <v>0</v>
      </c>
      <c r="AY1586" s="6"/>
      <c r="AZ1586" s="2"/>
      <c r="BA1586" s="2"/>
      <c r="BB1586" s="2"/>
      <c r="BC1586">
        <v>71500</v>
      </c>
      <c r="BD1586">
        <v>56992</v>
      </c>
    </row>
    <row r="1587" spans="3:56" x14ac:dyDescent="0.25">
      <c r="C1587" s="1">
        <v>47207</v>
      </c>
      <c r="D1587" s="36">
        <v>269369.09999999998</v>
      </c>
      <c r="E1587" s="33">
        <v>4.5999999999999996</v>
      </c>
      <c r="F1587" s="33">
        <v>3.7107177777777798</v>
      </c>
      <c r="G1587" s="2">
        <v>0.80667777777777805</v>
      </c>
      <c r="H1587" s="2">
        <v>0.99</v>
      </c>
      <c r="I1587" s="3"/>
      <c r="J1587" s="3"/>
      <c r="K1587" s="3"/>
      <c r="L1587" s="3"/>
      <c r="M1587" s="3"/>
      <c r="N1587" s="3">
        <v>0</v>
      </c>
      <c r="O1587" s="3"/>
      <c r="P1587" s="3">
        <v>0</v>
      </c>
      <c r="Q1587" s="3">
        <v>0</v>
      </c>
      <c r="R1587" s="3">
        <v>0</v>
      </c>
      <c r="S1587" s="3">
        <v>0</v>
      </c>
      <c r="T1587" s="3">
        <v>0</v>
      </c>
      <c r="U1587" s="3"/>
      <c r="V1587" s="3"/>
      <c r="W1587" s="3"/>
      <c r="X1587" s="3"/>
      <c r="Y1587" s="3"/>
      <c r="Z1587" s="3"/>
      <c r="AA1587" s="3"/>
      <c r="AB1587" s="3"/>
      <c r="AC1587" s="3"/>
      <c r="AD1587" s="3"/>
      <c r="AE1587" s="3">
        <v>0</v>
      </c>
      <c r="AF1587" s="3">
        <v>0</v>
      </c>
      <c r="AG1587" s="3"/>
      <c r="AH1587" s="40"/>
      <c r="AI1587" s="40"/>
      <c r="AJ1587" s="40"/>
      <c r="AK1587" s="40"/>
      <c r="AL1587" s="40"/>
      <c r="AM1587" s="40"/>
      <c r="AN1587" s="40"/>
      <c r="AO1587" s="40"/>
      <c r="AP1587" s="40"/>
      <c r="AQ1587" s="40"/>
      <c r="AR1587" s="31"/>
      <c r="AS1587" s="36">
        <v>0</v>
      </c>
      <c r="AY1587" s="6"/>
      <c r="AZ1587" s="2"/>
      <c r="BA1587" s="2"/>
      <c r="BB1587" s="2"/>
      <c r="BC1587">
        <v>71500</v>
      </c>
      <c r="BD1587">
        <v>56992</v>
      </c>
    </row>
    <row r="1588" spans="3:56" x14ac:dyDescent="0.25">
      <c r="C1588" s="1">
        <v>47208</v>
      </c>
      <c r="D1588" s="36">
        <v>269369.09999999998</v>
      </c>
      <c r="E1588" s="33">
        <v>4.5999999999999996</v>
      </c>
      <c r="F1588" s="33">
        <v>3.7106666666666701</v>
      </c>
      <c r="G1588" s="2">
        <v>0.80666666666666698</v>
      </c>
      <c r="H1588" s="2">
        <v>0.99</v>
      </c>
      <c r="I1588" s="3"/>
      <c r="J1588" s="3"/>
      <c r="K1588" s="3"/>
      <c r="L1588" s="3"/>
      <c r="M1588" s="3"/>
      <c r="N1588" s="3">
        <v>0</v>
      </c>
      <c r="O1588" s="3"/>
      <c r="P1588" s="3">
        <v>0</v>
      </c>
      <c r="Q1588" s="3">
        <v>0</v>
      </c>
      <c r="R1588" s="3">
        <v>0</v>
      </c>
      <c r="S1588" s="3">
        <v>0</v>
      </c>
      <c r="T1588" s="3">
        <v>0</v>
      </c>
      <c r="U1588" s="3"/>
      <c r="V1588" s="3"/>
      <c r="W1588" s="3"/>
      <c r="X1588" s="3"/>
      <c r="Y1588" s="3"/>
      <c r="Z1588" s="3"/>
      <c r="AA1588" s="3"/>
      <c r="AB1588" s="3"/>
      <c r="AC1588" s="3"/>
      <c r="AD1588" s="3"/>
      <c r="AE1588" s="3">
        <v>0</v>
      </c>
      <c r="AF1588" s="3">
        <v>0</v>
      </c>
      <c r="AG1588" s="3"/>
      <c r="AH1588" s="40"/>
      <c r="AI1588" s="40"/>
      <c r="AJ1588" s="40"/>
      <c r="AK1588" s="40"/>
      <c r="AL1588" s="40"/>
      <c r="AM1588" s="40"/>
      <c r="AN1588" s="40"/>
      <c r="AO1588" s="40"/>
      <c r="AP1588" s="40"/>
      <c r="AQ1588" s="40"/>
      <c r="AR1588" s="31"/>
      <c r="AS1588" s="36">
        <v>0</v>
      </c>
      <c r="AY1588" s="6"/>
      <c r="AZ1588" s="2"/>
      <c r="BA1588" s="2"/>
      <c r="BB1588" s="2"/>
      <c r="BC1588">
        <v>71500</v>
      </c>
      <c r="BD1588">
        <v>56992</v>
      </c>
    </row>
    <row r="1589" spans="3:56" x14ac:dyDescent="0.25">
      <c r="C1589" s="1">
        <v>47209</v>
      </c>
      <c r="D1589" s="36">
        <v>260352.47333333301</v>
      </c>
      <c r="E1589" s="33">
        <v>4.4733333333333301</v>
      </c>
      <c r="F1589" s="33">
        <v>3.60848888888889</v>
      </c>
      <c r="G1589" s="2">
        <v>0.80666666666666698</v>
      </c>
      <c r="H1589" s="2">
        <v>0.99</v>
      </c>
      <c r="I1589" s="3"/>
      <c r="J1589" s="3"/>
      <c r="K1589" s="3"/>
      <c r="L1589" s="3"/>
      <c r="M1589" s="3"/>
      <c r="N1589" s="3">
        <v>0</v>
      </c>
      <c r="O1589" s="3"/>
      <c r="P1589" s="3">
        <v>0</v>
      </c>
      <c r="Q1589" s="3">
        <v>0</v>
      </c>
      <c r="R1589" s="3">
        <v>0</v>
      </c>
      <c r="S1589" s="3">
        <v>0</v>
      </c>
      <c r="T1589" s="3">
        <v>0</v>
      </c>
      <c r="U1589" s="3"/>
      <c r="V1589" s="3"/>
      <c r="W1589" s="3"/>
      <c r="X1589" s="3"/>
      <c r="Y1589" s="3"/>
      <c r="Z1589" s="3"/>
      <c r="AA1589" s="3"/>
      <c r="AB1589" s="3"/>
      <c r="AC1589" s="3"/>
      <c r="AD1589" s="3"/>
      <c r="AE1589" s="3">
        <v>0</v>
      </c>
      <c r="AF1589" s="3">
        <v>0</v>
      </c>
      <c r="AG1589" s="3"/>
      <c r="AH1589" s="40"/>
      <c r="AI1589" s="40"/>
      <c r="AJ1589" s="40"/>
      <c r="AK1589" s="40"/>
      <c r="AL1589" s="40"/>
      <c r="AM1589" s="40"/>
      <c r="AN1589" s="40"/>
      <c r="AO1589" s="40"/>
      <c r="AP1589" s="40"/>
      <c r="AQ1589" s="40"/>
      <c r="AR1589" s="31"/>
      <c r="AS1589" s="36">
        <v>0</v>
      </c>
      <c r="AY1589" s="6"/>
      <c r="AZ1589" s="2"/>
      <c r="BA1589" s="2"/>
      <c r="BB1589" s="2"/>
      <c r="BC1589">
        <v>71500</v>
      </c>
      <c r="BD1589">
        <v>56992</v>
      </c>
    </row>
    <row r="1590" spans="3:56" x14ac:dyDescent="0.25">
      <c r="C1590" s="1">
        <v>47210</v>
      </c>
      <c r="D1590" s="36">
        <v>260352.47333333301</v>
      </c>
      <c r="E1590" s="33">
        <v>4.4733333333333301</v>
      </c>
      <c r="F1590" s="33">
        <v>3.6084391851851798</v>
      </c>
      <c r="G1590" s="2">
        <v>0.80665555555555601</v>
      </c>
      <c r="H1590" s="2">
        <v>0.99</v>
      </c>
      <c r="I1590" s="3"/>
      <c r="J1590" s="3"/>
      <c r="K1590" s="3"/>
      <c r="L1590" s="3"/>
      <c r="M1590" s="3"/>
      <c r="N1590" s="3">
        <v>0</v>
      </c>
      <c r="O1590" s="3"/>
      <c r="P1590" s="3">
        <v>0</v>
      </c>
      <c r="Q1590" s="3">
        <v>0</v>
      </c>
      <c r="R1590" s="3">
        <v>0</v>
      </c>
      <c r="S1590" s="3">
        <v>0</v>
      </c>
      <c r="T1590" s="3">
        <v>0</v>
      </c>
      <c r="U1590" s="3"/>
      <c r="V1590" s="3"/>
      <c r="W1590" s="3"/>
      <c r="X1590" s="3"/>
      <c r="Y1590" s="3"/>
      <c r="Z1590" s="3"/>
      <c r="AA1590" s="3"/>
      <c r="AB1590" s="3"/>
      <c r="AC1590" s="3"/>
      <c r="AD1590" s="3"/>
      <c r="AE1590" s="3">
        <v>0</v>
      </c>
      <c r="AF1590" s="3">
        <v>0</v>
      </c>
      <c r="AG1590" s="3"/>
      <c r="AH1590" s="40"/>
      <c r="AI1590" s="40"/>
      <c r="AJ1590" s="40"/>
      <c r="AK1590" s="40"/>
      <c r="AL1590" s="40"/>
      <c r="AM1590" s="40"/>
      <c r="AN1590" s="40"/>
      <c r="AO1590" s="40"/>
      <c r="AP1590" s="40"/>
      <c r="AQ1590" s="40"/>
      <c r="AR1590" s="31"/>
      <c r="AS1590" s="36">
        <v>0</v>
      </c>
      <c r="AY1590" s="6"/>
      <c r="AZ1590" s="2"/>
      <c r="BA1590" s="2"/>
      <c r="BB1590" s="2"/>
      <c r="BC1590">
        <v>71500</v>
      </c>
      <c r="BD1590">
        <v>56992</v>
      </c>
    </row>
    <row r="1591" spans="3:56" x14ac:dyDescent="0.25">
      <c r="C1591" s="1">
        <v>47211</v>
      </c>
      <c r="D1591" s="36">
        <v>260352.47333333301</v>
      </c>
      <c r="E1591" s="33">
        <v>4.4733333333333301</v>
      </c>
      <c r="F1591" s="33">
        <v>3.6083894814814799</v>
      </c>
      <c r="G1591" s="2">
        <v>0.80664444444444405</v>
      </c>
      <c r="H1591" s="2">
        <v>0.99</v>
      </c>
      <c r="I1591" s="3"/>
      <c r="J1591" s="3"/>
      <c r="K1591" s="3"/>
      <c r="L1591" s="3"/>
      <c r="M1591" s="3"/>
      <c r="N1591" s="3">
        <v>0</v>
      </c>
      <c r="O1591" s="3"/>
      <c r="P1591" s="3">
        <v>0</v>
      </c>
      <c r="Q1591" s="3">
        <v>0</v>
      </c>
      <c r="R1591" s="3">
        <v>0</v>
      </c>
      <c r="S1591" s="3">
        <v>0</v>
      </c>
      <c r="T1591" s="3">
        <v>0</v>
      </c>
      <c r="U1591" s="3"/>
      <c r="V1591" s="3"/>
      <c r="W1591" s="3"/>
      <c r="X1591" s="3"/>
      <c r="Y1591" s="3"/>
      <c r="Z1591" s="3"/>
      <c r="AA1591" s="3"/>
      <c r="AB1591" s="3"/>
      <c r="AC1591" s="3"/>
      <c r="AD1591" s="3"/>
      <c r="AE1591" s="3">
        <v>0</v>
      </c>
      <c r="AF1591" s="3">
        <v>0</v>
      </c>
      <c r="AG1591" s="3"/>
      <c r="AH1591" s="40"/>
      <c r="AI1591" s="40"/>
      <c r="AJ1591" s="40"/>
      <c r="AK1591" s="40"/>
      <c r="AL1591" s="40"/>
      <c r="AM1591" s="40"/>
      <c r="AN1591" s="40"/>
      <c r="AO1591" s="40"/>
      <c r="AP1591" s="40"/>
      <c r="AQ1591" s="40"/>
      <c r="AR1591" s="31"/>
      <c r="AS1591" s="36">
        <v>0</v>
      </c>
      <c r="AY1591" s="6"/>
      <c r="AZ1591" s="2"/>
      <c r="BA1591" s="2"/>
      <c r="BB1591" s="2"/>
      <c r="BC1591">
        <v>71500</v>
      </c>
      <c r="BD1591">
        <v>56992</v>
      </c>
    </row>
    <row r="1592" spans="3:56" x14ac:dyDescent="0.25">
      <c r="C1592" s="1">
        <v>47212</v>
      </c>
      <c r="D1592" s="36">
        <v>260352.47333333301</v>
      </c>
      <c r="E1592" s="33">
        <v>4.4733333333333301</v>
      </c>
      <c r="F1592" s="33">
        <v>3.6083397777777799</v>
      </c>
      <c r="G1592" s="2">
        <v>0.80663333333333298</v>
      </c>
      <c r="H1592" s="2">
        <v>0.99</v>
      </c>
      <c r="I1592" s="3"/>
      <c r="J1592" s="3"/>
      <c r="K1592" s="3"/>
      <c r="L1592" s="3"/>
      <c r="M1592" s="3"/>
      <c r="N1592" s="3">
        <v>0</v>
      </c>
      <c r="O1592" s="3"/>
      <c r="P1592" s="3">
        <v>0</v>
      </c>
      <c r="Q1592" s="3">
        <v>0</v>
      </c>
      <c r="R1592" s="3">
        <v>0</v>
      </c>
      <c r="S1592" s="3">
        <v>0</v>
      </c>
      <c r="T1592" s="3">
        <v>0</v>
      </c>
      <c r="U1592" s="3"/>
      <c r="V1592" s="3"/>
      <c r="W1592" s="3"/>
      <c r="X1592" s="3"/>
      <c r="Y1592" s="3"/>
      <c r="Z1592" s="3"/>
      <c r="AA1592" s="3"/>
      <c r="AB1592" s="3"/>
      <c r="AC1592" s="3"/>
      <c r="AD1592" s="3"/>
      <c r="AE1592" s="3">
        <v>0</v>
      </c>
      <c r="AF1592" s="3">
        <v>0</v>
      </c>
      <c r="AG1592" s="3"/>
      <c r="AH1592" s="40"/>
      <c r="AI1592" s="40"/>
      <c r="AJ1592" s="40"/>
      <c r="AK1592" s="40"/>
      <c r="AL1592" s="40"/>
      <c r="AM1592" s="40"/>
      <c r="AN1592" s="40"/>
      <c r="AO1592" s="40"/>
      <c r="AP1592" s="40"/>
      <c r="AQ1592" s="40"/>
      <c r="AR1592" s="31"/>
      <c r="AS1592" s="36">
        <v>0</v>
      </c>
      <c r="AY1592" s="6"/>
      <c r="AZ1592" s="2"/>
      <c r="BA1592" s="2"/>
      <c r="BB1592" s="2"/>
      <c r="BC1592">
        <v>71500</v>
      </c>
      <c r="BD1592">
        <v>56992</v>
      </c>
    </row>
    <row r="1593" spans="3:56" x14ac:dyDescent="0.25">
      <c r="C1593" s="1">
        <v>47213</v>
      </c>
      <c r="D1593" s="36">
        <v>260352.47333333301</v>
      </c>
      <c r="E1593" s="33">
        <v>4.4733333333333301</v>
      </c>
      <c r="F1593" s="33">
        <v>3.6082900740740702</v>
      </c>
      <c r="G1593" s="2">
        <v>0.80662222222222202</v>
      </c>
      <c r="H1593" s="2">
        <v>0.99</v>
      </c>
      <c r="I1593" s="3"/>
      <c r="J1593" s="3"/>
      <c r="K1593" s="3"/>
      <c r="L1593" s="3"/>
      <c r="M1593" s="3"/>
      <c r="N1593" s="3">
        <v>0</v>
      </c>
      <c r="O1593" s="3"/>
      <c r="P1593" s="3">
        <v>0</v>
      </c>
      <c r="Q1593" s="3">
        <v>0</v>
      </c>
      <c r="R1593" s="3">
        <v>0</v>
      </c>
      <c r="S1593" s="3">
        <v>0</v>
      </c>
      <c r="T1593" s="3">
        <v>0</v>
      </c>
      <c r="U1593" s="3"/>
      <c r="V1593" s="3"/>
      <c r="W1593" s="3"/>
      <c r="X1593" s="3"/>
      <c r="Y1593" s="3"/>
      <c r="Z1593" s="3"/>
      <c r="AA1593" s="3"/>
      <c r="AB1593" s="3"/>
      <c r="AC1593" s="3"/>
      <c r="AD1593" s="3"/>
      <c r="AE1593" s="3">
        <v>0</v>
      </c>
      <c r="AF1593" s="3">
        <v>0</v>
      </c>
      <c r="AG1593" s="3"/>
      <c r="AH1593" s="40"/>
      <c r="AI1593" s="40"/>
      <c r="AJ1593" s="40"/>
      <c r="AK1593" s="40"/>
      <c r="AL1593" s="40"/>
      <c r="AM1593" s="40"/>
      <c r="AN1593" s="40"/>
      <c r="AO1593" s="40"/>
      <c r="AP1593" s="40"/>
      <c r="AQ1593" s="40"/>
      <c r="AR1593" s="31"/>
      <c r="AS1593" s="36">
        <v>0</v>
      </c>
      <c r="AY1593" s="6"/>
      <c r="AZ1593" s="2"/>
      <c r="BA1593" s="2"/>
      <c r="BB1593" s="2"/>
      <c r="BC1593">
        <v>71500</v>
      </c>
      <c r="BD1593">
        <v>56992</v>
      </c>
    </row>
    <row r="1594" spans="3:56" x14ac:dyDescent="0.25">
      <c r="C1594" s="1">
        <v>47214</v>
      </c>
      <c r="D1594" s="36">
        <v>260352.47333333301</v>
      </c>
      <c r="E1594" s="33">
        <v>4.4733333333333301</v>
      </c>
      <c r="F1594" s="33">
        <v>3.6082403703703698</v>
      </c>
      <c r="G1594" s="2">
        <v>0.80661111111111095</v>
      </c>
      <c r="H1594" s="2">
        <v>0.99</v>
      </c>
      <c r="I1594" s="3"/>
      <c r="J1594" s="3"/>
      <c r="K1594" s="3"/>
      <c r="L1594" s="3"/>
      <c r="M1594" s="3"/>
      <c r="N1594" s="3">
        <v>0</v>
      </c>
      <c r="O1594" s="3"/>
      <c r="P1594" s="3">
        <v>0</v>
      </c>
      <c r="Q1594" s="3">
        <v>0</v>
      </c>
      <c r="R1594" s="3">
        <v>0</v>
      </c>
      <c r="S1594" s="3">
        <v>0</v>
      </c>
      <c r="T1594" s="3">
        <v>0</v>
      </c>
      <c r="U1594" s="3"/>
      <c r="V1594" s="3"/>
      <c r="W1594" s="3"/>
      <c r="X1594" s="3"/>
      <c r="Y1594" s="3"/>
      <c r="Z1594" s="3"/>
      <c r="AA1594" s="3"/>
      <c r="AB1594" s="3"/>
      <c r="AC1594" s="3"/>
      <c r="AD1594" s="3"/>
      <c r="AE1594" s="3">
        <v>0</v>
      </c>
      <c r="AF1594" s="3">
        <v>0</v>
      </c>
      <c r="AG1594" s="3"/>
      <c r="AH1594" s="40"/>
      <c r="AI1594" s="40"/>
      <c r="AJ1594" s="40"/>
      <c r="AK1594" s="40"/>
      <c r="AL1594" s="40"/>
      <c r="AM1594" s="40"/>
      <c r="AN1594" s="40"/>
      <c r="AO1594" s="40"/>
      <c r="AP1594" s="40"/>
      <c r="AQ1594" s="40"/>
      <c r="AR1594" s="31"/>
      <c r="AS1594" s="36">
        <v>0</v>
      </c>
      <c r="AY1594" s="6"/>
      <c r="AZ1594" s="2"/>
      <c r="BA1594" s="2"/>
      <c r="BB1594" s="2"/>
      <c r="BC1594">
        <v>71500</v>
      </c>
      <c r="BD1594">
        <v>56992</v>
      </c>
    </row>
    <row r="1595" spans="3:56" x14ac:dyDescent="0.25">
      <c r="C1595" s="1">
        <v>47215</v>
      </c>
      <c r="D1595" s="36">
        <v>260352.47333333301</v>
      </c>
      <c r="E1595" s="33">
        <v>4.4733333333333301</v>
      </c>
      <c r="F1595" s="33">
        <v>3.6081906666666699</v>
      </c>
      <c r="G1595" s="2">
        <v>0.80659999999999998</v>
      </c>
      <c r="H1595" s="2">
        <v>0.99</v>
      </c>
      <c r="I1595" s="3"/>
      <c r="J1595" s="3"/>
      <c r="K1595" s="3"/>
      <c r="L1595" s="3"/>
      <c r="M1595" s="3"/>
      <c r="N1595" s="3">
        <v>0</v>
      </c>
      <c r="O1595" s="3"/>
      <c r="P1595" s="3">
        <v>0</v>
      </c>
      <c r="Q1595" s="3">
        <v>0</v>
      </c>
      <c r="R1595" s="3">
        <v>0</v>
      </c>
      <c r="S1595" s="3">
        <v>0</v>
      </c>
      <c r="T1595" s="3">
        <v>0</v>
      </c>
      <c r="U1595" s="3"/>
      <c r="V1595" s="3"/>
      <c r="W1595" s="3"/>
      <c r="X1595" s="3"/>
      <c r="Y1595" s="3"/>
      <c r="Z1595" s="3"/>
      <c r="AA1595" s="3"/>
      <c r="AB1595" s="3"/>
      <c r="AC1595" s="3"/>
      <c r="AD1595" s="3"/>
      <c r="AE1595" s="3">
        <v>0</v>
      </c>
      <c r="AF1595" s="3">
        <v>0</v>
      </c>
      <c r="AG1595" s="3"/>
      <c r="AH1595" s="40"/>
      <c r="AI1595" s="40"/>
      <c r="AJ1595" s="40"/>
      <c r="AK1595" s="40"/>
      <c r="AL1595" s="40"/>
      <c r="AM1595" s="40"/>
      <c r="AN1595" s="40"/>
      <c r="AO1595" s="40"/>
      <c r="AP1595" s="40"/>
      <c r="AQ1595" s="40"/>
      <c r="AR1595" s="31"/>
      <c r="AS1595" s="36">
        <v>0</v>
      </c>
      <c r="AY1595" s="6"/>
      <c r="AZ1595" s="2"/>
      <c r="BA1595" s="2"/>
      <c r="BB1595" s="2"/>
      <c r="BC1595">
        <v>71500</v>
      </c>
      <c r="BD1595">
        <v>56992</v>
      </c>
    </row>
    <row r="1596" spans="3:56" x14ac:dyDescent="0.25">
      <c r="C1596" s="1">
        <v>47216</v>
      </c>
      <c r="D1596" s="36">
        <v>260352.47333333301</v>
      </c>
      <c r="E1596" s="33">
        <v>4.4733333333333301</v>
      </c>
      <c r="F1596" s="33">
        <v>3.6081409629629602</v>
      </c>
      <c r="G1596" s="2">
        <v>0.80658888888888902</v>
      </c>
      <c r="H1596" s="2">
        <v>0.99</v>
      </c>
      <c r="I1596" s="3"/>
      <c r="J1596" s="3"/>
      <c r="K1596" s="3"/>
      <c r="L1596" s="3"/>
      <c r="M1596" s="3"/>
      <c r="N1596" s="3">
        <v>0</v>
      </c>
      <c r="O1596" s="3"/>
      <c r="P1596" s="3">
        <v>0</v>
      </c>
      <c r="Q1596" s="3">
        <v>0</v>
      </c>
      <c r="R1596" s="3">
        <v>0</v>
      </c>
      <c r="S1596" s="3">
        <v>0</v>
      </c>
      <c r="T1596" s="3">
        <v>0</v>
      </c>
      <c r="U1596" s="3"/>
      <c r="V1596" s="3"/>
      <c r="W1596" s="3"/>
      <c r="X1596" s="3"/>
      <c r="Y1596" s="3"/>
      <c r="Z1596" s="3"/>
      <c r="AA1596" s="3"/>
      <c r="AB1596" s="3"/>
      <c r="AC1596" s="3"/>
      <c r="AD1596" s="3"/>
      <c r="AE1596" s="3">
        <v>0</v>
      </c>
      <c r="AF1596" s="3">
        <v>0</v>
      </c>
      <c r="AG1596" s="3"/>
      <c r="AH1596" s="40"/>
      <c r="AI1596" s="40"/>
      <c r="AJ1596" s="40"/>
      <c r="AK1596" s="40"/>
      <c r="AL1596" s="40"/>
      <c r="AM1596" s="40"/>
      <c r="AN1596" s="40"/>
      <c r="AO1596" s="40"/>
      <c r="AP1596" s="40"/>
      <c r="AQ1596" s="40"/>
      <c r="AR1596" s="31"/>
      <c r="AS1596" s="36">
        <v>0</v>
      </c>
      <c r="AY1596" s="6"/>
      <c r="AZ1596" s="2"/>
      <c r="BA1596" s="2"/>
      <c r="BB1596" s="2"/>
      <c r="BC1596">
        <v>71500</v>
      </c>
      <c r="BD1596">
        <v>56992</v>
      </c>
    </row>
    <row r="1597" spans="3:56" x14ac:dyDescent="0.25">
      <c r="C1597" s="1">
        <v>47217</v>
      </c>
      <c r="D1597" s="36">
        <v>260352.47333333301</v>
      </c>
      <c r="E1597" s="33">
        <v>4.4733333333333301</v>
      </c>
      <c r="F1597" s="33">
        <v>3.6080912592592602</v>
      </c>
      <c r="G1597" s="2">
        <v>0.80657777777777795</v>
      </c>
      <c r="H1597" s="2">
        <v>0.99</v>
      </c>
      <c r="I1597" s="3"/>
      <c r="J1597" s="3"/>
      <c r="K1597" s="3"/>
      <c r="L1597" s="3"/>
      <c r="M1597" s="3"/>
      <c r="N1597" s="3">
        <v>0</v>
      </c>
      <c r="O1597" s="3"/>
      <c r="P1597" s="3">
        <v>0</v>
      </c>
      <c r="Q1597" s="3">
        <v>0</v>
      </c>
      <c r="R1597" s="3">
        <v>0</v>
      </c>
      <c r="S1597" s="3">
        <v>0</v>
      </c>
      <c r="T1597" s="3">
        <v>0</v>
      </c>
      <c r="U1597" s="3"/>
      <c r="V1597" s="3"/>
      <c r="W1597" s="3"/>
      <c r="X1597" s="3"/>
      <c r="Y1597" s="3"/>
      <c r="Z1597" s="3"/>
      <c r="AA1597" s="3"/>
      <c r="AB1597" s="3"/>
      <c r="AC1597" s="3"/>
      <c r="AD1597" s="3"/>
      <c r="AE1597" s="3">
        <v>0</v>
      </c>
      <c r="AF1597" s="3">
        <v>0</v>
      </c>
      <c r="AG1597" s="3"/>
      <c r="AH1597" s="40"/>
      <c r="AI1597" s="40"/>
      <c r="AJ1597" s="40"/>
      <c r="AK1597" s="40"/>
      <c r="AL1597" s="40"/>
      <c r="AM1597" s="40"/>
      <c r="AN1597" s="40"/>
      <c r="AO1597" s="40"/>
      <c r="AP1597" s="40"/>
      <c r="AQ1597" s="40"/>
      <c r="AR1597" s="31"/>
      <c r="AS1597" s="36">
        <v>0</v>
      </c>
      <c r="AY1597" s="6"/>
      <c r="AZ1597" s="2"/>
      <c r="BA1597" s="2"/>
      <c r="BB1597" s="2"/>
      <c r="BC1597">
        <v>71500</v>
      </c>
      <c r="BD1597">
        <v>56992</v>
      </c>
    </row>
    <row r="1598" spans="3:56" x14ac:dyDescent="0.25">
      <c r="C1598" s="1">
        <v>47218</v>
      </c>
      <c r="D1598" s="36">
        <v>260352.47333333301</v>
      </c>
      <c r="E1598" s="33">
        <v>4.4733333333333301</v>
      </c>
      <c r="F1598" s="33">
        <v>3.6080415555555501</v>
      </c>
      <c r="G1598" s="2">
        <v>0.80656666666666699</v>
      </c>
      <c r="H1598" s="2">
        <v>0.99</v>
      </c>
      <c r="I1598" s="3"/>
      <c r="J1598" s="3"/>
      <c r="K1598" s="3"/>
      <c r="L1598" s="3"/>
      <c r="M1598" s="3"/>
      <c r="N1598" s="3">
        <v>0</v>
      </c>
      <c r="O1598" s="3"/>
      <c r="P1598" s="3">
        <v>0</v>
      </c>
      <c r="Q1598" s="3">
        <v>0</v>
      </c>
      <c r="R1598" s="3">
        <v>0</v>
      </c>
      <c r="S1598" s="3">
        <v>0</v>
      </c>
      <c r="T1598" s="3">
        <v>0</v>
      </c>
      <c r="U1598" s="3"/>
      <c r="V1598" s="3"/>
      <c r="W1598" s="3"/>
      <c r="X1598" s="3"/>
      <c r="Y1598" s="3"/>
      <c r="Z1598" s="3"/>
      <c r="AA1598" s="3"/>
      <c r="AB1598" s="3"/>
      <c r="AC1598" s="3"/>
      <c r="AD1598" s="3"/>
      <c r="AE1598" s="3">
        <v>0</v>
      </c>
      <c r="AF1598" s="3">
        <v>0</v>
      </c>
      <c r="AG1598" s="3"/>
      <c r="AH1598" s="40"/>
      <c r="AI1598" s="40"/>
      <c r="AJ1598" s="40"/>
      <c r="AK1598" s="40"/>
      <c r="AL1598" s="40"/>
      <c r="AM1598" s="40"/>
      <c r="AN1598" s="40"/>
      <c r="AO1598" s="40"/>
      <c r="AP1598" s="40"/>
      <c r="AQ1598" s="40"/>
      <c r="AR1598" s="31"/>
      <c r="AS1598" s="36">
        <v>0</v>
      </c>
      <c r="AY1598" s="6"/>
      <c r="AZ1598" s="2"/>
      <c r="BA1598" s="2"/>
      <c r="BB1598" s="2"/>
      <c r="BC1598">
        <v>71500</v>
      </c>
      <c r="BD1598">
        <v>56992</v>
      </c>
    </row>
    <row r="1599" spans="3:56" x14ac:dyDescent="0.25">
      <c r="C1599" s="1">
        <v>47219</v>
      </c>
      <c r="D1599" s="36">
        <v>260352.47333333301</v>
      </c>
      <c r="E1599" s="33">
        <v>4.4733333333333301</v>
      </c>
      <c r="F1599" s="33">
        <v>3.6079918518518501</v>
      </c>
      <c r="G1599" s="2">
        <v>0.80655555555555603</v>
      </c>
      <c r="H1599" s="2">
        <v>0.99</v>
      </c>
      <c r="I1599" s="3"/>
      <c r="J1599" s="3"/>
      <c r="K1599" s="3"/>
      <c r="L1599" s="3"/>
      <c r="M1599" s="3"/>
      <c r="N1599" s="3">
        <v>0</v>
      </c>
      <c r="O1599" s="3"/>
      <c r="P1599" s="3">
        <v>0</v>
      </c>
      <c r="Q1599" s="3">
        <v>0</v>
      </c>
      <c r="R1599" s="3">
        <v>0</v>
      </c>
      <c r="S1599" s="3">
        <v>0</v>
      </c>
      <c r="T1599" s="3">
        <v>0</v>
      </c>
      <c r="U1599" s="3"/>
      <c r="V1599" s="3"/>
      <c r="W1599" s="3"/>
      <c r="X1599" s="3"/>
      <c r="Y1599" s="3"/>
      <c r="Z1599" s="3"/>
      <c r="AA1599" s="3"/>
      <c r="AB1599" s="3"/>
      <c r="AC1599" s="3"/>
      <c r="AD1599" s="3"/>
      <c r="AE1599" s="3">
        <v>0</v>
      </c>
      <c r="AF1599" s="3">
        <v>0</v>
      </c>
      <c r="AG1599" s="3"/>
      <c r="AH1599" s="40"/>
      <c r="AI1599" s="40"/>
      <c r="AJ1599" s="40"/>
      <c r="AK1599" s="40"/>
      <c r="AL1599" s="40"/>
      <c r="AM1599" s="40"/>
      <c r="AN1599" s="40"/>
      <c r="AO1599" s="40"/>
      <c r="AP1599" s="40"/>
      <c r="AQ1599" s="40"/>
      <c r="AR1599" s="31"/>
      <c r="AS1599" s="36">
        <v>0</v>
      </c>
      <c r="AY1599" s="6"/>
      <c r="AZ1599" s="2"/>
      <c r="BA1599" s="2"/>
      <c r="BB1599" s="2"/>
      <c r="BC1599">
        <v>71500</v>
      </c>
      <c r="BD1599">
        <v>56992</v>
      </c>
    </row>
    <row r="1600" spans="3:56" x14ac:dyDescent="0.25">
      <c r="C1600" s="1">
        <v>47220</v>
      </c>
      <c r="D1600" s="36">
        <v>260352.47333333301</v>
      </c>
      <c r="E1600" s="33">
        <v>4.4733333333333301</v>
      </c>
      <c r="F1600" s="33">
        <v>3.6079421481481502</v>
      </c>
      <c r="G1600" s="2">
        <v>0.80654444444444395</v>
      </c>
      <c r="H1600" s="2">
        <v>0.99</v>
      </c>
      <c r="I1600" s="3"/>
      <c r="J1600" s="3"/>
      <c r="K1600" s="3"/>
      <c r="L1600" s="3"/>
      <c r="M1600" s="3"/>
      <c r="N1600" s="3">
        <v>0</v>
      </c>
      <c r="O1600" s="3"/>
      <c r="P1600" s="3">
        <v>0</v>
      </c>
      <c r="Q1600" s="3">
        <v>0</v>
      </c>
      <c r="R1600" s="3">
        <v>0</v>
      </c>
      <c r="S1600" s="3">
        <v>0</v>
      </c>
      <c r="T1600" s="3">
        <v>0</v>
      </c>
      <c r="U1600" s="3"/>
      <c r="V1600" s="3"/>
      <c r="W1600" s="3"/>
      <c r="X1600" s="3"/>
      <c r="Y1600" s="3"/>
      <c r="Z1600" s="3"/>
      <c r="AA1600" s="3"/>
      <c r="AB1600" s="3"/>
      <c r="AC1600" s="3"/>
      <c r="AD1600" s="3"/>
      <c r="AE1600" s="3">
        <v>0</v>
      </c>
      <c r="AF1600" s="3">
        <v>0</v>
      </c>
      <c r="AG1600" s="3"/>
      <c r="AH1600" s="40"/>
      <c r="AI1600" s="40"/>
      <c r="AJ1600" s="40"/>
      <c r="AK1600" s="40"/>
      <c r="AL1600" s="40"/>
      <c r="AM1600" s="40"/>
      <c r="AN1600" s="40"/>
      <c r="AO1600" s="40"/>
      <c r="AP1600" s="40"/>
      <c r="AQ1600" s="40"/>
      <c r="AR1600" s="31"/>
      <c r="AS1600" s="36">
        <v>0</v>
      </c>
      <c r="AY1600" s="6"/>
      <c r="AZ1600" s="2"/>
      <c r="BA1600" s="2"/>
      <c r="BB1600" s="2"/>
      <c r="BC1600">
        <v>71500</v>
      </c>
      <c r="BD1600">
        <v>56992</v>
      </c>
    </row>
    <row r="1601" spans="3:56" x14ac:dyDescent="0.25">
      <c r="C1601" s="1">
        <v>47221</v>
      </c>
      <c r="D1601" s="36">
        <v>260352.47333333301</v>
      </c>
      <c r="E1601" s="33">
        <v>4.4733333333333301</v>
      </c>
      <c r="F1601" s="33">
        <v>3.60789244444444</v>
      </c>
      <c r="G1601" s="2">
        <v>0.80653333333333299</v>
      </c>
      <c r="H1601" s="2">
        <v>0.99</v>
      </c>
      <c r="I1601" s="3"/>
      <c r="J1601" s="3"/>
      <c r="K1601" s="3"/>
      <c r="L1601" s="3"/>
      <c r="M1601" s="3"/>
      <c r="N1601" s="3">
        <v>0</v>
      </c>
      <c r="O1601" s="3"/>
      <c r="P1601" s="3">
        <v>0</v>
      </c>
      <c r="Q1601" s="3">
        <v>0</v>
      </c>
      <c r="R1601" s="3">
        <v>0</v>
      </c>
      <c r="S1601" s="3">
        <v>0</v>
      </c>
      <c r="T1601" s="3">
        <v>0</v>
      </c>
      <c r="U1601" s="3"/>
      <c r="V1601" s="3"/>
      <c r="W1601" s="3"/>
      <c r="X1601" s="3"/>
      <c r="Y1601" s="3"/>
      <c r="Z1601" s="3"/>
      <c r="AA1601" s="3"/>
      <c r="AB1601" s="3"/>
      <c r="AC1601" s="3"/>
      <c r="AD1601" s="3"/>
      <c r="AE1601" s="3">
        <v>0</v>
      </c>
      <c r="AF1601" s="3">
        <v>0</v>
      </c>
      <c r="AG1601" s="3"/>
      <c r="AH1601" s="40"/>
      <c r="AI1601" s="40"/>
      <c r="AJ1601" s="40"/>
      <c r="AK1601" s="40"/>
      <c r="AL1601" s="40"/>
      <c r="AM1601" s="40"/>
      <c r="AN1601" s="40"/>
      <c r="AO1601" s="40"/>
      <c r="AP1601" s="40"/>
      <c r="AQ1601" s="40"/>
      <c r="AR1601" s="31"/>
      <c r="AS1601" s="36">
        <v>0</v>
      </c>
      <c r="AY1601" s="6"/>
      <c r="AZ1601" s="2"/>
      <c r="BA1601" s="2"/>
      <c r="BB1601" s="2"/>
      <c r="BC1601">
        <v>71500</v>
      </c>
      <c r="BD1601">
        <v>56992</v>
      </c>
    </row>
    <row r="1602" spans="3:56" x14ac:dyDescent="0.25">
      <c r="C1602" s="1">
        <v>47222</v>
      </c>
      <c r="D1602" s="36">
        <v>260352.47333333301</v>
      </c>
      <c r="E1602" s="33">
        <v>4.4733333333333301</v>
      </c>
      <c r="F1602" s="33">
        <v>3.6078427407407401</v>
      </c>
      <c r="G1602" s="2">
        <v>0.80652222222222203</v>
      </c>
      <c r="H1602" s="2">
        <v>0.99</v>
      </c>
      <c r="I1602" s="3"/>
      <c r="J1602" s="3"/>
      <c r="K1602" s="3"/>
      <c r="L1602" s="3"/>
      <c r="M1602" s="3"/>
      <c r="N1602" s="3">
        <v>0</v>
      </c>
      <c r="O1602" s="3"/>
      <c r="P1602" s="3">
        <v>0</v>
      </c>
      <c r="Q1602" s="3">
        <v>0</v>
      </c>
      <c r="R1602" s="3">
        <v>0</v>
      </c>
      <c r="S1602" s="3">
        <v>0</v>
      </c>
      <c r="T1602" s="3">
        <v>0</v>
      </c>
      <c r="U1602" s="3"/>
      <c r="V1602" s="3"/>
      <c r="W1602" s="3"/>
      <c r="X1602" s="3"/>
      <c r="Y1602" s="3"/>
      <c r="Z1602" s="3"/>
      <c r="AA1602" s="3"/>
      <c r="AB1602" s="3"/>
      <c r="AC1602" s="3"/>
      <c r="AD1602" s="3"/>
      <c r="AE1602" s="3">
        <v>0</v>
      </c>
      <c r="AF1602" s="3">
        <v>0</v>
      </c>
      <c r="AG1602" s="3"/>
      <c r="AH1602" s="40"/>
      <c r="AI1602" s="40"/>
      <c r="AJ1602" s="40"/>
      <c r="AK1602" s="40"/>
      <c r="AL1602" s="40"/>
      <c r="AM1602" s="40"/>
      <c r="AN1602" s="40"/>
      <c r="AO1602" s="40"/>
      <c r="AP1602" s="40"/>
      <c r="AQ1602" s="40"/>
      <c r="AR1602" s="31"/>
      <c r="AS1602" s="36">
        <v>0</v>
      </c>
      <c r="AY1602" s="6"/>
      <c r="AZ1602" s="2"/>
      <c r="BA1602" s="2"/>
      <c r="BB1602" s="2"/>
      <c r="BC1602">
        <v>71500</v>
      </c>
      <c r="BD1602">
        <v>56992</v>
      </c>
    </row>
    <row r="1603" spans="3:56" x14ac:dyDescent="0.25">
      <c r="C1603" s="1">
        <v>47223</v>
      </c>
      <c r="D1603" s="36">
        <v>260352.47333333301</v>
      </c>
      <c r="E1603" s="33">
        <v>4.4733333333333301</v>
      </c>
      <c r="F1603" s="33">
        <v>3.6077930370370401</v>
      </c>
      <c r="G1603" s="2">
        <v>0.80651111111111096</v>
      </c>
      <c r="H1603" s="2">
        <v>0.99</v>
      </c>
      <c r="I1603" s="3"/>
      <c r="J1603" s="3"/>
      <c r="K1603" s="3"/>
      <c r="L1603" s="3"/>
      <c r="M1603" s="3"/>
      <c r="N1603" s="3">
        <v>0</v>
      </c>
      <c r="O1603" s="3"/>
      <c r="P1603" s="3">
        <v>0</v>
      </c>
      <c r="Q1603" s="3">
        <v>0</v>
      </c>
      <c r="R1603" s="3">
        <v>0</v>
      </c>
      <c r="S1603" s="3">
        <v>0</v>
      </c>
      <c r="T1603" s="3">
        <v>0</v>
      </c>
      <c r="U1603" s="3"/>
      <c r="V1603" s="3"/>
      <c r="W1603" s="3"/>
      <c r="X1603" s="3"/>
      <c r="Y1603" s="3"/>
      <c r="Z1603" s="3"/>
      <c r="AA1603" s="3"/>
      <c r="AB1603" s="3"/>
      <c r="AC1603" s="3"/>
      <c r="AD1603" s="3"/>
      <c r="AE1603" s="3">
        <v>0</v>
      </c>
      <c r="AF1603" s="3">
        <v>0</v>
      </c>
      <c r="AG1603" s="3"/>
      <c r="AH1603" s="40"/>
      <c r="AI1603" s="40"/>
      <c r="AJ1603" s="40"/>
      <c r="AK1603" s="40"/>
      <c r="AL1603" s="40"/>
      <c r="AM1603" s="40"/>
      <c r="AN1603" s="40"/>
      <c r="AO1603" s="40"/>
      <c r="AP1603" s="40"/>
      <c r="AQ1603" s="40"/>
      <c r="AR1603" s="31"/>
      <c r="AS1603" s="36">
        <v>0</v>
      </c>
      <c r="AY1603" s="6"/>
      <c r="AZ1603" s="2"/>
      <c r="BA1603" s="2"/>
      <c r="BB1603" s="2"/>
      <c r="BC1603">
        <v>71500</v>
      </c>
      <c r="BD1603">
        <v>56992</v>
      </c>
    </row>
    <row r="1604" spans="3:56" x14ac:dyDescent="0.25">
      <c r="C1604" s="1">
        <v>47224</v>
      </c>
      <c r="D1604" s="36">
        <v>260352.47333333301</v>
      </c>
      <c r="E1604" s="33">
        <v>4.4733333333333301</v>
      </c>
      <c r="F1604" s="33">
        <v>3.60774333333333</v>
      </c>
      <c r="G1604" s="2">
        <v>0.80649999999999999</v>
      </c>
      <c r="H1604" s="2">
        <v>0.99</v>
      </c>
      <c r="I1604" s="3"/>
      <c r="J1604" s="3"/>
      <c r="K1604" s="3"/>
      <c r="L1604" s="3"/>
      <c r="M1604" s="3"/>
      <c r="N1604" s="3">
        <v>0</v>
      </c>
      <c r="O1604" s="3"/>
      <c r="P1604" s="3">
        <v>0</v>
      </c>
      <c r="Q1604" s="3">
        <v>0</v>
      </c>
      <c r="R1604" s="3">
        <v>0</v>
      </c>
      <c r="S1604" s="3">
        <v>0</v>
      </c>
      <c r="T1604" s="3">
        <v>0</v>
      </c>
      <c r="U1604" s="3"/>
      <c r="V1604" s="3"/>
      <c r="W1604" s="3"/>
      <c r="X1604" s="3"/>
      <c r="Y1604" s="3"/>
      <c r="Z1604" s="3"/>
      <c r="AA1604" s="3"/>
      <c r="AB1604" s="3"/>
      <c r="AC1604" s="3"/>
      <c r="AD1604" s="3"/>
      <c r="AE1604" s="3">
        <v>0</v>
      </c>
      <c r="AF1604" s="3">
        <v>0</v>
      </c>
      <c r="AG1604" s="3"/>
      <c r="AH1604" s="40"/>
      <c r="AI1604" s="40"/>
      <c r="AJ1604" s="40"/>
      <c r="AK1604" s="40"/>
      <c r="AL1604" s="40"/>
      <c r="AM1604" s="40"/>
      <c r="AN1604" s="40"/>
      <c r="AO1604" s="40"/>
      <c r="AP1604" s="40"/>
      <c r="AQ1604" s="40"/>
      <c r="AR1604" s="31"/>
      <c r="AS1604" s="36">
        <v>0</v>
      </c>
      <c r="AY1604" s="6"/>
      <c r="AZ1604" s="2"/>
      <c r="BA1604" s="2"/>
      <c r="BB1604" s="2"/>
      <c r="BC1604">
        <v>71500</v>
      </c>
      <c r="BD1604">
        <v>56992</v>
      </c>
    </row>
    <row r="1605" spans="3:56" x14ac:dyDescent="0.25">
      <c r="C1605" s="1">
        <v>47225</v>
      </c>
      <c r="D1605" s="36">
        <v>260352.47333333301</v>
      </c>
      <c r="E1605" s="33">
        <v>4.4733333333333301</v>
      </c>
      <c r="F1605" s="33">
        <v>3.60769362962963</v>
      </c>
      <c r="G1605" s="2">
        <v>0.80648888888888903</v>
      </c>
      <c r="H1605" s="2">
        <v>0.99</v>
      </c>
      <c r="I1605" s="3"/>
      <c r="J1605" s="3"/>
      <c r="K1605" s="3"/>
      <c r="L1605" s="3"/>
      <c r="M1605" s="3"/>
      <c r="N1605" s="3">
        <v>0</v>
      </c>
      <c r="O1605" s="3"/>
      <c r="P1605" s="3">
        <v>0</v>
      </c>
      <c r="Q1605" s="3">
        <v>0</v>
      </c>
      <c r="R1605" s="3">
        <v>0</v>
      </c>
      <c r="S1605" s="3">
        <v>0</v>
      </c>
      <c r="T1605" s="3">
        <v>0</v>
      </c>
      <c r="U1605" s="3"/>
      <c r="V1605" s="3"/>
      <c r="W1605" s="3"/>
      <c r="X1605" s="3"/>
      <c r="Y1605" s="3"/>
      <c r="Z1605" s="3"/>
      <c r="AA1605" s="3"/>
      <c r="AB1605" s="3"/>
      <c r="AC1605" s="3"/>
      <c r="AD1605" s="3"/>
      <c r="AE1605" s="3">
        <v>0</v>
      </c>
      <c r="AF1605" s="3">
        <v>0</v>
      </c>
      <c r="AG1605" s="3"/>
      <c r="AH1605" s="40"/>
      <c r="AI1605" s="40"/>
      <c r="AJ1605" s="40"/>
      <c r="AK1605" s="40"/>
      <c r="AL1605" s="40"/>
      <c r="AM1605" s="40"/>
      <c r="AN1605" s="40"/>
      <c r="AO1605" s="40"/>
      <c r="AP1605" s="40"/>
      <c r="AQ1605" s="40"/>
      <c r="AR1605" s="31"/>
      <c r="AS1605" s="36">
        <v>0</v>
      </c>
      <c r="AY1605" s="6"/>
      <c r="AZ1605" s="2"/>
      <c r="BA1605" s="2"/>
      <c r="BB1605" s="2"/>
      <c r="BC1605">
        <v>71500</v>
      </c>
      <c r="BD1605">
        <v>56992</v>
      </c>
    </row>
    <row r="1606" spans="3:56" x14ac:dyDescent="0.25">
      <c r="C1606" s="1">
        <v>47226</v>
      </c>
      <c r="D1606" s="36">
        <v>260352.47333333301</v>
      </c>
      <c r="E1606" s="33">
        <v>4.4733333333333301</v>
      </c>
      <c r="F1606" s="33">
        <v>3.6076439259259301</v>
      </c>
      <c r="G1606" s="2">
        <v>0.80647777777777796</v>
      </c>
      <c r="H1606" s="2">
        <v>0.99</v>
      </c>
      <c r="I1606" s="3"/>
      <c r="J1606" s="3"/>
      <c r="K1606" s="3"/>
      <c r="L1606" s="3"/>
      <c r="M1606" s="3"/>
      <c r="N1606" s="3">
        <v>0</v>
      </c>
      <c r="O1606" s="3"/>
      <c r="P1606" s="3">
        <v>0</v>
      </c>
      <c r="Q1606" s="3">
        <v>0</v>
      </c>
      <c r="R1606" s="3">
        <v>0</v>
      </c>
      <c r="S1606" s="3">
        <v>0</v>
      </c>
      <c r="T1606" s="3">
        <v>0</v>
      </c>
      <c r="U1606" s="3"/>
      <c r="V1606" s="3"/>
      <c r="W1606" s="3"/>
      <c r="X1606" s="3"/>
      <c r="Y1606" s="3"/>
      <c r="Z1606" s="3"/>
      <c r="AA1606" s="3"/>
      <c r="AB1606" s="3"/>
      <c r="AC1606" s="3"/>
      <c r="AD1606" s="3"/>
      <c r="AE1606" s="3">
        <v>0</v>
      </c>
      <c r="AF1606" s="3">
        <v>0</v>
      </c>
      <c r="AG1606" s="3"/>
      <c r="AH1606" s="40"/>
      <c r="AI1606" s="40"/>
      <c r="AJ1606" s="40"/>
      <c r="AK1606" s="40"/>
      <c r="AL1606" s="40"/>
      <c r="AM1606" s="40"/>
      <c r="AN1606" s="40"/>
      <c r="AO1606" s="40"/>
      <c r="AP1606" s="40"/>
      <c r="AQ1606" s="40"/>
      <c r="AR1606" s="31"/>
      <c r="AS1606" s="36">
        <v>0</v>
      </c>
      <c r="AY1606" s="6"/>
      <c r="AZ1606" s="2"/>
      <c r="BA1606" s="2"/>
      <c r="BB1606" s="2"/>
      <c r="BC1606">
        <v>71500</v>
      </c>
      <c r="BD1606">
        <v>56992</v>
      </c>
    </row>
    <row r="1607" spans="3:56" x14ac:dyDescent="0.25">
      <c r="C1607" s="1">
        <v>47227</v>
      </c>
      <c r="D1607" s="36">
        <v>260352.47333333301</v>
      </c>
      <c r="E1607" s="33">
        <v>4.4733333333333301</v>
      </c>
      <c r="F1607" s="33">
        <v>3.6075942222222199</v>
      </c>
      <c r="G1607" s="2">
        <v>0.806466666666667</v>
      </c>
      <c r="H1607" s="2">
        <v>0.99</v>
      </c>
      <c r="I1607" s="3"/>
      <c r="J1607" s="3"/>
      <c r="K1607" s="3"/>
      <c r="L1607" s="3"/>
      <c r="M1607" s="3"/>
      <c r="N1607" s="3">
        <v>0</v>
      </c>
      <c r="O1607" s="3"/>
      <c r="P1607" s="3">
        <v>0</v>
      </c>
      <c r="Q1607" s="3">
        <v>0</v>
      </c>
      <c r="R1607" s="3">
        <v>0</v>
      </c>
      <c r="S1607" s="3">
        <v>0</v>
      </c>
      <c r="T1607" s="3">
        <v>0</v>
      </c>
      <c r="U1607" s="3"/>
      <c r="V1607" s="3"/>
      <c r="W1607" s="3"/>
      <c r="X1607" s="3"/>
      <c r="Y1607" s="3"/>
      <c r="Z1607" s="3"/>
      <c r="AA1607" s="3"/>
      <c r="AB1607" s="3"/>
      <c r="AC1607" s="3"/>
      <c r="AD1607" s="3"/>
      <c r="AE1607" s="3">
        <v>0</v>
      </c>
      <c r="AF1607" s="3">
        <v>0</v>
      </c>
      <c r="AG1607" s="3"/>
      <c r="AH1607" s="40"/>
      <c r="AI1607" s="40"/>
      <c r="AJ1607" s="40"/>
      <c r="AK1607" s="40"/>
      <c r="AL1607" s="40"/>
      <c r="AM1607" s="40"/>
      <c r="AN1607" s="40"/>
      <c r="AO1607" s="40"/>
      <c r="AP1607" s="40"/>
      <c r="AQ1607" s="40"/>
      <c r="AR1607" s="31"/>
      <c r="AS1607" s="36">
        <v>0</v>
      </c>
      <c r="AY1607" s="6"/>
      <c r="AZ1607" s="2"/>
      <c r="BA1607" s="2"/>
      <c r="BB1607" s="2"/>
      <c r="BC1607">
        <v>71500</v>
      </c>
      <c r="BD1607">
        <v>56992</v>
      </c>
    </row>
    <row r="1608" spans="3:56" x14ac:dyDescent="0.25">
      <c r="C1608" s="1">
        <v>47228</v>
      </c>
      <c r="D1608" s="36">
        <v>260352.47333333301</v>
      </c>
      <c r="E1608" s="33">
        <v>4.4733333333333301</v>
      </c>
      <c r="F1608" s="33">
        <v>3.60754451851852</v>
      </c>
      <c r="G1608" s="2">
        <v>0.80645555555555604</v>
      </c>
      <c r="H1608" s="2">
        <v>0.99</v>
      </c>
      <c r="I1608" s="3"/>
      <c r="J1608" s="3"/>
      <c r="K1608" s="3"/>
      <c r="L1608" s="3"/>
      <c r="M1608" s="3"/>
      <c r="N1608" s="3">
        <v>0</v>
      </c>
      <c r="O1608" s="3"/>
      <c r="P1608" s="3">
        <v>0</v>
      </c>
      <c r="Q1608" s="3">
        <v>0</v>
      </c>
      <c r="R1608" s="3">
        <v>0</v>
      </c>
      <c r="S1608" s="3">
        <v>0</v>
      </c>
      <c r="T1608" s="3">
        <v>0</v>
      </c>
      <c r="U1608" s="3"/>
      <c r="V1608" s="3"/>
      <c r="W1608" s="3"/>
      <c r="X1608" s="3"/>
      <c r="Y1608" s="3"/>
      <c r="Z1608" s="3"/>
      <c r="AA1608" s="3"/>
      <c r="AB1608" s="3"/>
      <c r="AC1608" s="3"/>
      <c r="AD1608" s="3"/>
      <c r="AE1608" s="3">
        <v>0</v>
      </c>
      <c r="AF1608" s="3">
        <v>0</v>
      </c>
      <c r="AG1608" s="3"/>
      <c r="AH1608" s="40"/>
      <c r="AI1608" s="40"/>
      <c r="AJ1608" s="40"/>
      <c r="AK1608" s="40"/>
      <c r="AL1608" s="40"/>
      <c r="AM1608" s="40"/>
      <c r="AN1608" s="40"/>
      <c r="AO1608" s="40"/>
      <c r="AP1608" s="40"/>
      <c r="AQ1608" s="40"/>
      <c r="AR1608" s="31"/>
      <c r="AS1608" s="36">
        <v>0</v>
      </c>
      <c r="AY1608" s="6"/>
      <c r="AZ1608" s="2"/>
      <c r="BA1608" s="2"/>
      <c r="BB1608" s="2"/>
      <c r="BC1608">
        <v>71500</v>
      </c>
      <c r="BD1608">
        <v>56992</v>
      </c>
    </row>
    <row r="1609" spans="3:56" x14ac:dyDescent="0.25">
      <c r="C1609" s="1">
        <v>47229</v>
      </c>
      <c r="D1609" s="36">
        <v>260352.47333333301</v>
      </c>
      <c r="E1609" s="33">
        <v>4.4733333333333301</v>
      </c>
      <c r="F1609" s="33">
        <v>3.6074948148148098</v>
      </c>
      <c r="G1609" s="2">
        <v>0.80644444444444396</v>
      </c>
      <c r="H1609" s="2">
        <v>0.99</v>
      </c>
      <c r="I1609" s="3"/>
      <c r="J1609" s="3"/>
      <c r="K1609" s="3"/>
      <c r="L1609" s="3"/>
      <c r="M1609" s="3"/>
      <c r="N1609" s="3">
        <v>0</v>
      </c>
      <c r="O1609" s="3"/>
      <c r="P1609" s="3">
        <v>0</v>
      </c>
      <c r="Q1609" s="3">
        <v>0</v>
      </c>
      <c r="R1609" s="3">
        <v>0</v>
      </c>
      <c r="S1609" s="3">
        <v>0</v>
      </c>
      <c r="T1609" s="3">
        <v>0</v>
      </c>
      <c r="U1609" s="3"/>
      <c r="V1609" s="3"/>
      <c r="W1609" s="3"/>
      <c r="X1609" s="3"/>
      <c r="Y1609" s="3"/>
      <c r="Z1609" s="3"/>
      <c r="AA1609" s="3"/>
      <c r="AB1609" s="3"/>
      <c r="AC1609" s="3"/>
      <c r="AD1609" s="3"/>
      <c r="AE1609" s="3">
        <v>0</v>
      </c>
      <c r="AF1609" s="3">
        <v>0</v>
      </c>
      <c r="AG1609" s="3"/>
      <c r="AH1609" s="40"/>
      <c r="AI1609" s="40"/>
      <c r="AJ1609" s="40"/>
      <c r="AK1609" s="40"/>
      <c r="AL1609" s="40"/>
      <c r="AM1609" s="40"/>
      <c r="AN1609" s="40"/>
      <c r="AO1609" s="40"/>
      <c r="AP1609" s="40"/>
      <c r="AQ1609" s="40"/>
      <c r="AR1609" s="31"/>
      <c r="AS1609" s="36">
        <v>0</v>
      </c>
      <c r="AY1609" s="6"/>
      <c r="AZ1609" s="2"/>
      <c r="BA1609" s="2"/>
      <c r="BB1609" s="2"/>
      <c r="BC1609">
        <v>71500</v>
      </c>
      <c r="BD1609">
        <v>56992</v>
      </c>
    </row>
    <row r="1610" spans="3:56" x14ac:dyDescent="0.25">
      <c r="C1610" s="1">
        <v>47230</v>
      </c>
      <c r="D1610" s="36">
        <v>260352.47333333301</v>
      </c>
      <c r="E1610" s="33">
        <v>4.4733333333333301</v>
      </c>
      <c r="F1610" s="33">
        <v>3.6074451111111099</v>
      </c>
      <c r="G1610" s="2">
        <v>0.806433333333333</v>
      </c>
      <c r="H1610" s="2">
        <v>0.99</v>
      </c>
      <c r="I1610" s="3"/>
      <c r="J1610" s="3"/>
      <c r="K1610" s="3"/>
      <c r="L1610" s="3"/>
      <c r="M1610" s="3"/>
      <c r="N1610" s="3">
        <v>0</v>
      </c>
      <c r="O1610" s="3"/>
      <c r="P1610" s="3">
        <v>0</v>
      </c>
      <c r="Q1610" s="3">
        <v>0</v>
      </c>
      <c r="R1610" s="3">
        <v>0</v>
      </c>
      <c r="S1610" s="3">
        <v>0</v>
      </c>
      <c r="T1610" s="3">
        <v>0</v>
      </c>
      <c r="U1610" s="3"/>
      <c r="V1610" s="3"/>
      <c r="W1610" s="3"/>
      <c r="X1610" s="3"/>
      <c r="Y1610" s="3"/>
      <c r="Z1610" s="3"/>
      <c r="AA1610" s="3"/>
      <c r="AB1610" s="3"/>
      <c r="AC1610" s="3"/>
      <c r="AD1610" s="3"/>
      <c r="AE1610" s="3">
        <v>0</v>
      </c>
      <c r="AF1610" s="3">
        <v>0</v>
      </c>
      <c r="AG1610" s="3"/>
      <c r="AH1610" s="40"/>
      <c r="AI1610" s="40"/>
      <c r="AJ1610" s="40"/>
      <c r="AK1610" s="40"/>
      <c r="AL1610" s="40"/>
      <c r="AM1610" s="40"/>
      <c r="AN1610" s="40"/>
      <c r="AO1610" s="40"/>
      <c r="AP1610" s="40"/>
      <c r="AQ1610" s="40"/>
      <c r="AR1610" s="31"/>
      <c r="AS1610" s="36">
        <v>0</v>
      </c>
      <c r="AY1610" s="6"/>
      <c r="AZ1610" s="2"/>
      <c r="BA1610" s="2"/>
      <c r="BB1610" s="2"/>
      <c r="BC1610">
        <v>71500</v>
      </c>
      <c r="BD1610">
        <v>56992</v>
      </c>
    </row>
    <row r="1611" spans="3:56" x14ac:dyDescent="0.25">
      <c r="C1611" s="1">
        <v>47231</v>
      </c>
      <c r="D1611" s="36">
        <v>260352.47333333301</v>
      </c>
      <c r="E1611" s="33">
        <v>4.4733333333333301</v>
      </c>
      <c r="F1611" s="33">
        <v>3.6073954074074099</v>
      </c>
      <c r="G1611" s="2">
        <v>0.80642222222222204</v>
      </c>
      <c r="H1611" s="2">
        <v>0.99</v>
      </c>
      <c r="I1611" s="3"/>
      <c r="J1611" s="3"/>
      <c r="K1611" s="3"/>
      <c r="L1611" s="3"/>
      <c r="M1611" s="3"/>
      <c r="N1611" s="3">
        <v>0</v>
      </c>
      <c r="O1611" s="3"/>
      <c r="P1611" s="3">
        <v>0</v>
      </c>
      <c r="Q1611" s="3">
        <v>0</v>
      </c>
      <c r="R1611" s="3">
        <v>0</v>
      </c>
      <c r="S1611" s="3">
        <v>0</v>
      </c>
      <c r="T1611" s="3">
        <v>0</v>
      </c>
      <c r="U1611" s="3"/>
      <c r="V1611" s="3"/>
      <c r="W1611" s="3"/>
      <c r="X1611" s="3"/>
      <c r="Y1611" s="3"/>
      <c r="Z1611" s="3"/>
      <c r="AA1611" s="3"/>
      <c r="AB1611" s="3"/>
      <c r="AC1611" s="3"/>
      <c r="AD1611" s="3"/>
      <c r="AE1611" s="3">
        <v>0</v>
      </c>
      <c r="AF1611" s="3">
        <v>0</v>
      </c>
      <c r="AG1611" s="3"/>
      <c r="AH1611" s="40"/>
      <c r="AI1611" s="40"/>
      <c r="AJ1611" s="40"/>
      <c r="AK1611" s="40"/>
      <c r="AL1611" s="40"/>
      <c r="AM1611" s="40"/>
      <c r="AN1611" s="40"/>
      <c r="AO1611" s="40"/>
      <c r="AP1611" s="40"/>
      <c r="AQ1611" s="40"/>
      <c r="AR1611" s="31"/>
      <c r="AS1611" s="36">
        <v>0</v>
      </c>
      <c r="AY1611" s="6"/>
      <c r="AZ1611" s="2"/>
      <c r="BA1611" s="2"/>
      <c r="BB1611" s="2"/>
      <c r="BC1611">
        <v>71500</v>
      </c>
      <c r="BD1611">
        <v>56992</v>
      </c>
    </row>
    <row r="1612" spans="3:56" x14ac:dyDescent="0.25">
      <c r="C1612" s="1">
        <v>47232</v>
      </c>
      <c r="D1612" s="36">
        <v>260352.47333333301</v>
      </c>
      <c r="E1612" s="33">
        <v>4.4733333333333301</v>
      </c>
      <c r="F1612" s="33">
        <v>3.6073457037036998</v>
      </c>
      <c r="G1612" s="2">
        <v>0.80641111111111097</v>
      </c>
      <c r="H1612" s="2">
        <v>0.99</v>
      </c>
      <c r="I1612" s="3"/>
      <c r="J1612" s="3"/>
      <c r="K1612" s="3"/>
      <c r="L1612" s="3"/>
      <c r="M1612" s="3"/>
      <c r="N1612" s="3">
        <v>0</v>
      </c>
      <c r="O1612" s="3"/>
      <c r="P1612" s="3">
        <v>0</v>
      </c>
      <c r="Q1612" s="3">
        <v>0</v>
      </c>
      <c r="R1612" s="3">
        <v>0</v>
      </c>
      <c r="S1612" s="3">
        <v>0</v>
      </c>
      <c r="T1612" s="3">
        <v>0</v>
      </c>
      <c r="U1612" s="3"/>
      <c r="V1612" s="3"/>
      <c r="W1612" s="3"/>
      <c r="X1612" s="3"/>
      <c r="Y1612" s="3"/>
      <c r="Z1612" s="3"/>
      <c r="AA1612" s="3"/>
      <c r="AB1612" s="3"/>
      <c r="AC1612" s="3"/>
      <c r="AD1612" s="3"/>
      <c r="AE1612" s="3">
        <v>0</v>
      </c>
      <c r="AF1612" s="3">
        <v>0</v>
      </c>
      <c r="AG1612" s="3"/>
      <c r="AH1612" s="40"/>
      <c r="AI1612" s="40"/>
      <c r="AJ1612" s="40"/>
      <c r="AK1612" s="40"/>
      <c r="AL1612" s="40"/>
      <c r="AM1612" s="40"/>
      <c r="AN1612" s="40"/>
      <c r="AO1612" s="40"/>
      <c r="AP1612" s="40"/>
      <c r="AQ1612" s="40"/>
      <c r="AR1612" s="31"/>
      <c r="AS1612" s="36">
        <v>0</v>
      </c>
      <c r="AY1612" s="6"/>
      <c r="AZ1612" s="2"/>
      <c r="BA1612" s="2"/>
      <c r="BB1612" s="2"/>
      <c r="BC1612">
        <v>71500</v>
      </c>
      <c r="BD1612">
        <v>56992</v>
      </c>
    </row>
    <row r="1613" spans="3:56" x14ac:dyDescent="0.25">
      <c r="C1613" s="1">
        <v>47233</v>
      </c>
      <c r="D1613" s="36">
        <v>260352.47333333301</v>
      </c>
      <c r="E1613" s="33">
        <v>4.4733333333333301</v>
      </c>
      <c r="F1613" s="33">
        <v>3.6072959999999998</v>
      </c>
      <c r="G1613" s="2">
        <v>0.80640000000000001</v>
      </c>
      <c r="H1613" s="2">
        <v>0.99</v>
      </c>
      <c r="I1613" s="3"/>
      <c r="J1613" s="3"/>
      <c r="K1613" s="3"/>
      <c r="L1613" s="3"/>
      <c r="M1613" s="3"/>
      <c r="N1613" s="3">
        <v>0</v>
      </c>
      <c r="O1613" s="3"/>
      <c r="P1613" s="3">
        <v>0</v>
      </c>
      <c r="Q1613" s="3">
        <v>0</v>
      </c>
      <c r="R1613" s="3">
        <v>0</v>
      </c>
      <c r="S1613" s="3">
        <v>0</v>
      </c>
      <c r="T1613" s="3">
        <v>0</v>
      </c>
      <c r="U1613" s="3"/>
      <c r="V1613" s="3"/>
      <c r="W1613" s="3"/>
      <c r="X1613" s="3"/>
      <c r="Y1613" s="3"/>
      <c r="Z1613" s="3"/>
      <c r="AA1613" s="3"/>
      <c r="AB1613" s="3"/>
      <c r="AC1613" s="3"/>
      <c r="AD1613" s="3"/>
      <c r="AE1613" s="3">
        <v>0</v>
      </c>
      <c r="AF1613" s="3">
        <v>0</v>
      </c>
      <c r="AG1613" s="3"/>
      <c r="AH1613" s="40"/>
      <c r="AI1613" s="40"/>
      <c r="AJ1613" s="40"/>
      <c r="AK1613" s="40"/>
      <c r="AL1613" s="40"/>
      <c r="AM1613" s="40"/>
      <c r="AN1613" s="40"/>
      <c r="AO1613" s="40"/>
      <c r="AP1613" s="40"/>
      <c r="AQ1613" s="40"/>
      <c r="AR1613" s="31"/>
      <c r="AS1613" s="36">
        <v>0</v>
      </c>
      <c r="AY1613" s="6"/>
      <c r="AZ1613" s="2"/>
      <c r="BA1613" s="2"/>
      <c r="BB1613" s="2"/>
      <c r="BC1613">
        <v>71500</v>
      </c>
      <c r="BD1613">
        <v>56992</v>
      </c>
    </row>
    <row r="1614" spans="3:56" x14ac:dyDescent="0.25">
      <c r="C1614" s="1">
        <v>47234</v>
      </c>
      <c r="D1614" s="36">
        <v>260352.47333333301</v>
      </c>
      <c r="E1614" s="33">
        <v>4.4733333333333301</v>
      </c>
      <c r="F1614" s="33">
        <v>3.6072462962962999</v>
      </c>
      <c r="G1614" s="2">
        <v>0.80638888888888904</v>
      </c>
      <c r="H1614" s="2">
        <v>0.99</v>
      </c>
      <c r="I1614" s="3"/>
      <c r="J1614" s="3"/>
      <c r="K1614" s="3"/>
      <c r="L1614" s="3"/>
      <c r="M1614" s="3"/>
      <c r="N1614" s="3">
        <v>0</v>
      </c>
      <c r="O1614" s="3"/>
      <c r="P1614" s="3">
        <v>0</v>
      </c>
      <c r="Q1614" s="3">
        <v>0</v>
      </c>
      <c r="R1614" s="3">
        <v>0</v>
      </c>
      <c r="S1614" s="3">
        <v>0</v>
      </c>
      <c r="T1614" s="3">
        <v>0</v>
      </c>
      <c r="U1614" s="3"/>
      <c r="V1614" s="3"/>
      <c r="W1614" s="3"/>
      <c r="X1614" s="3"/>
      <c r="Y1614" s="3"/>
      <c r="Z1614" s="3"/>
      <c r="AA1614" s="3"/>
      <c r="AB1614" s="3"/>
      <c r="AC1614" s="3"/>
      <c r="AD1614" s="3"/>
      <c r="AE1614" s="3">
        <v>0</v>
      </c>
      <c r="AF1614" s="3">
        <v>0</v>
      </c>
      <c r="AG1614" s="3"/>
      <c r="AH1614" s="40"/>
      <c r="AI1614" s="40"/>
      <c r="AJ1614" s="40"/>
      <c r="AK1614" s="40"/>
      <c r="AL1614" s="40"/>
      <c r="AM1614" s="40"/>
      <c r="AN1614" s="40"/>
      <c r="AO1614" s="40"/>
      <c r="AP1614" s="40"/>
      <c r="AQ1614" s="40"/>
      <c r="AR1614" s="31"/>
      <c r="AS1614" s="36">
        <v>0</v>
      </c>
      <c r="AY1614" s="6"/>
      <c r="AZ1614" s="2"/>
      <c r="BA1614" s="2"/>
      <c r="BB1614" s="2"/>
      <c r="BC1614">
        <v>71500</v>
      </c>
      <c r="BD1614">
        <v>56992</v>
      </c>
    </row>
    <row r="1615" spans="3:56" x14ac:dyDescent="0.25">
      <c r="C1615" s="1">
        <v>47235</v>
      </c>
      <c r="D1615" s="36">
        <v>260352.47333333301</v>
      </c>
      <c r="E1615" s="33">
        <v>4.4733333333333301</v>
      </c>
      <c r="F1615" s="33">
        <v>3.6071965925925902</v>
      </c>
      <c r="G1615" s="2">
        <v>0.80637777777777797</v>
      </c>
      <c r="H1615" s="2">
        <v>0.99</v>
      </c>
      <c r="I1615" s="3"/>
      <c r="J1615" s="3"/>
      <c r="K1615" s="3"/>
      <c r="L1615" s="3"/>
      <c r="M1615" s="3"/>
      <c r="N1615" s="3">
        <v>0</v>
      </c>
      <c r="O1615" s="3"/>
      <c r="P1615" s="3">
        <v>0</v>
      </c>
      <c r="Q1615" s="3">
        <v>0</v>
      </c>
      <c r="R1615" s="3">
        <v>0</v>
      </c>
      <c r="S1615" s="3">
        <v>0</v>
      </c>
      <c r="T1615" s="3">
        <v>0</v>
      </c>
      <c r="U1615" s="3"/>
      <c r="V1615" s="3"/>
      <c r="W1615" s="3"/>
      <c r="X1615" s="3"/>
      <c r="Y1615" s="3"/>
      <c r="Z1615" s="3"/>
      <c r="AA1615" s="3"/>
      <c r="AB1615" s="3"/>
      <c r="AC1615" s="3"/>
      <c r="AD1615" s="3"/>
      <c r="AE1615" s="3">
        <v>0</v>
      </c>
      <c r="AF1615" s="3">
        <v>0</v>
      </c>
      <c r="AG1615" s="3"/>
      <c r="AH1615" s="40"/>
      <c r="AI1615" s="40"/>
      <c r="AJ1615" s="40"/>
      <c r="AK1615" s="40"/>
      <c r="AL1615" s="40"/>
      <c r="AM1615" s="40"/>
      <c r="AN1615" s="40"/>
      <c r="AO1615" s="40"/>
      <c r="AP1615" s="40"/>
      <c r="AQ1615" s="40"/>
      <c r="AR1615" s="31"/>
      <c r="AS1615" s="36">
        <v>0</v>
      </c>
      <c r="AY1615" s="6"/>
      <c r="AZ1615" s="2"/>
      <c r="BA1615" s="2"/>
      <c r="BB1615" s="2"/>
      <c r="BC1615">
        <v>71500</v>
      </c>
      <c r="BD1615">
        <v>56992</v>
      </c>
    </row>
    <row r="1616" spans="3:56" x14ac:dyDescent="0.25">
      <c r="C1616" s="1">
        <v>47236</v>
      </c>
      <c r="D1616" s="36">
        <v>260352.47333333301</v>
      </c>
      <c r="E1616" s="33">
        <v>4.4733333333333301</v>
      </c>
      <c r="F1616" s="33">
        <v>3.6071468888888898</v>
      </c>
      <c r="G1616" s="2">
        <v>0.80636666666666701</v>
      </c>
      <c r="H1616" s="2">
        <v>0.99</v>
      </c>
      <c r="I1616" s="3"/>
      <c r="J1616" s="3"/>
      <c r="K1616" s="3"/>
      <c r="L1616" s="3"/>
      <c r="M1616" s="3"/>
      <c r="N1616" s="3">
        <v>0</v>
      </c>
      <c r="O1616" s="3"/>
      <c r="P1616" s="3">
        <v>0</v>
      </c>
      <c r="Q1616" s="3">
        <v>0</v>
      </c>
      <c r="R1616" s="3">
        <v>0</v>
      </c>
      <c r="S1616" s="3">
        <v>0</v>
      </c>
      <c r="T1616" s="3">
        <v>0</v>
      </c>
      <c r="U1616" s="3"/>
      <c r="V1616" s="3"/>
      <c r="W1616" s="3"/>
      <c r="X1616" s="3"/>
      <c r="Y1616" s="3"/>
      <c r="Z1616" s="3"/>
      <c r="AA1616" s="3"/>
      <c r="AB1616" s="3"/>
      <c r="AC1616" s="3"/>
      <c r="AD1616" s="3"/>
      <c r="AE1616" s="3">
        <v>0</v>
      </c>
      <c r="AF1616" s="3">
        <v>0</v>
      </c>
      <c r="AG1616" s="3"/>
      <c r="AH1616" s="40"/>
      <c r="AI1616" s="40"/>
      <c r="AJ1616" s="40"/>
      <c r="AK1616" s="40"/>
      <c r="AL1616" s="40"/>
      <c r="AM1616" s="40"/>
      <c r="AN1616" s="40"/>
      <c r="AO1616" s="40"/>
      <c r="AP1616" s="40"/>
      <c r="AQ1616" s="40"/>
      <c r="AR1616" s="31"/>
      <c r="AS1616" s="36">
        <v>0</v>
      </c>
      <c r="AY1616" s="6"/>
      <c r="AZ1616" s="2"/>
      <c r="BA1616" s="2"/>
      <c r="BB1616" s="2"/>
      <c r="BC1616">
        <v>71500</v>
      </c>
      <c r="BD1616">
        <v>56992</v>
      </c>
    </row>
    <row r="1617" spans="3:56" x14ac:dyDescent="0.25">
      <c r="C1617" s="1">
        <v>47237</v>
      </c>
      <c r="D1617" s="36">
        <v>260352.47333333301</v>
      </c>
      <c r="E1617" s="33">
        <v>4.4733333333333301</v>
      </c>
      <c r="F1617" s="33">
        <v>3.6070971851851801</v>
      </c>
      <c r="G1617" s="2">
        <v>0.80635555555555505</v>
      </c>
      <c r="H1617" s="2">
        <v>0.99</v>
      </c>
      <c r="I1617" s="3"/>
      <c r="J1617" s="3"/>
      <c r="K1617" s="3"/>
      <c r="L1617" s="3"/>
      <c r="M1617" s="3"/>
      <c r="N1617" s="3">
        <v>0</v>
      </c>
      <c r="O1617" s="3"/>
      <c r="P1617" s="3">
        <v>0</v>
      </c>
      <c r="Q1617" s="3">
        <v>0</v>
      </c>
      <c r="R1617" s="3">
        <v>0</v>
      </c>
      <c r="S1617" s="3">
        <v>0</v>
      </c>
      <c r="T1617" s="3">
        <v>0</v>
      </c>
      <c r="U1617" s="3"/>
      <c r="V1617" s="3"/>
      <c r="W1617" s="3"/>
      <c r="X1617" s="3"/>
      <c r="Y1617" s="3"/>
      <c r="Z1617" s="3"/>
      <c r="AA1617" s="3"/>
      <c r="AB1617" s="3"/>
      <c r="AC1617" s="3"/>
      <c r="AD1617" s="3"/>
      <c r="AE1617" s="3">
        <v>0</v>
      </c>
      <c r="AF1617" s="3">
        <v>0</v>
      </c>
      <c r="AG1617" s="3"/>
      <c r="AH1617" s="40"/>
      <c r="AI1617" s="40"/>
      <c r="AJ1617" s="40"/>
      <c r="AK1617" s="40"/>
      <c r="AL1617" s="40"/>
      <c r="AM1617" s="40"/>
      <c r="AN1617" s="40"/>
      <c r="AO1617" s="40"/>
      <c r="AP1617" s="40"/>
      <c r="AQ1617" s="40"/>
      <c r="AR1617" s="31"/>
      <c r="AS1617" s="36">
        <v>0</v>
      </c>
      <c r="AY1617" s="6"/>
      <c r="AZ1617" s="2"/>
      <c r="BA1617" s="2"/>
      <c r="BB1617" s="2"/>
      <c r="BC1617">
        <v>71500</v>
      </c>
      <c r="BD1617">
        <v>56992</v>
      </c>
    </row>
    <row r="1618" spans="3:56" x14ac:dyDescent="0.25">
      <c r="C1618" s="1">
        <v>47238</v>
      </c>
      <c r="D1618" s="36">
        <v>260352.47333333301</v>
      </c>
      <c r="E1618" s="33">
        <v>4.4733333333333301</v>
      </c>
      <c r="F1618" s="33">
        <v>3.6070474814814801</v>
      </c>
      <c r="G1618" s="2">
        <v>0.80634444444444398</v>
      </c>
      <c r="H1618" s="2">
        <v>0.99</v>
      </c>
      <c r="I1618" s="3"/>
      <c r="J1618" s="3"/>
      <c r="K1618" s="3"/>
      <c r="L1618" s="3"/>
      <c r="M1618" s="3"/>
      <c r="N1618" s="3">
        <v>0</v>
      </c>
      <c r="O1618" s="3"/>
      <c r="P1618" s="3">
        <v>0</v>
      </c>
      <c r="Q1618" s="3">
        <v>0</v>
      </c>
      <c r="R1618" s="3">
        <v>0</v>
      </c>
      <c r="S1618" s="3">
        <v>0</v>
      </c>
      <c r="T1618" s="3">
        <v>0</v>
      </c>
      <c r="U1618" s="3"/>
      <c r="V1618" s="3"/>
      <c r="W1618" s="3"/>
      <c r="X1618" s="3"/>
      <c r="Y1618" s="3"/>
      <c r="Z1618" s="3"/>
      <c r="AA1618" s="3"/>
      <c r="AB1618" s="3"/>
      <c r="AC1618" s="3"/>
      <c r="AD1618" s="3"/>
      <c r="AE1618" s="3">
        <v>0</v>
      </c>
      <c r="AF1618" s="3">
        <v>0</v>
      </c>
      <c r="AG1618" s="3"/>
      <c r="AH1618" s="40"/>
      <c r="AI1618" s="40"/>
      <c r="AJ1618" s="40"/>
      <c r="AK1618" s="40"/>
      <c r="AL1618" s="40"/>
      <c r="AM1618" s="40"/>
      <c r="AN1618" s="40"/>
      <c r="AO1618" s="40"/>
      <c r="AP1618" s="40"/>
      <c r="AQ1618" s="40"/>
      <c r="AR1618" s="31"/>
      <c r="AS1618" s="36">
        <v>0</v>
      </c>
      <c r="AY1618" s="6"/>
      <c r="AZ1618" s="2"/>
      <c r="BA1618" s="2"/>
      <c r="BB1618" s="2"/>
      <c r="BC1618">
        <v>71500</v>
      </c>
      <c r="BD1618">
        <v>56992</v>
      </c>
    </row>
    <row r="1619" spans="3:56" x14ac:dyDescent="0.25">
      <c r="C1619" s="1">
        <v>47239</v>
      </c>
      <c r="D1619" s="36">
        <v>255977.841935484</v>
      </c>
      <c r="E1619" s="33">
        <v>4.3290322580645197</v>
      </c>
      <c r="F1619" s="33">
        <v>3.4906430107526898</v>
      </c>
      <c r="G1619" s="2">
        <v>0.80633333333333301</v>
      </c>
      <c r="H1619" s="2">
        <v>0.99</v>
      </c>
      <c r="I1619" s="3"/>
      <c r="J1619" s="3"/>
      <c r="K1619" s="3"/>
      <c r="L1619" s="3"/>
      <c r="M1619" s="3"/>
      <c r="N1619" s="3">
        <v>0</v>
      </c>
      <c r="O1619" s="3"/>
      <c r="P1619" s="3">
        <v>0</v>
      </c>
      <c r="Q1619" s="3">
        <v>0</v>
      </c>
      <c r="R1619" s="3">
        <v>0</v>
      </c>
      <c r="S1619" s="3">
        <v>0</v>
      </c>
      <c r="T1619" s="3">
        <v>0</v>
      </c>
      <c r="U1619" s="3"/>
      <c r="V1619" s="3"/>
      <c r="W1619" s="3"/>
      <c r="X1619" s="3"/>
      <c r="Y1619" s="3"/>
      <c r="Z1619" s="3"/>
      <c r="AA1619" s="3"/>
      <c r="AB1619" s="3"/>
      <c r="AC1619" s="3"/>
      <c r="AD1619" s="3"/>
      <c r="AE1619" s="3">
        <v>0</v>
      </c>
      <c r="AF1619" s="3">
        <v>0</v>
      </c>
      <c r="AG1619" s="3"/>
      <c r="AH1619" s="40"/>
      <c r="AI1619" s="40"/>
      <c r="AJ1619" s="40"/>
      <c r="AK1619" s="40"/>
      <c r="AL1619" s="40"/>
      <c r="AM1619" s="40"/>
      <c r="AN1619" s="40"/>
      <c r="AO1619" s="40"/>
      <c r="AP1619" s="40"/>
      <c r="AQ1619" s="40"/>
      <c r="AR1619" s="31"/>
      <c r="AS1619" s="36">
        <v>0</v>
      </c>
      <c r="AY1619" s="6"/>
      <c r="AZ1619" s="2"/>
      <c r="BA1619" s="2"/>
      <c r="BB1619" s="2"/>
      <c r="BC1619">
        <v>71500</v>
      </c>
      <c r="BD1619">
        <v>56992</v>
      </c>
    </row>
    <row r="1620" spans="3:56" x14ac:dyDescent="0.25">
      <c r="C1620" s="1">
        <v>47240</v>
      </c>
      <c r="D1620" s="36">
        <v>255977.841935484</v>
      </c>
      <c r="E1620" s="33">
        <v>4.3290322580645197</v>
      </c>
      <c r="F1620" s="33">
        <v>3.4905949103942699</v>
      </c>
      <c r="G1620" s="2">
        <v>0.80632222222222205</v>
      </c>
      <c r="H1620" s="2">
        <v>0.99</v>
      </c>
      <c r="I1620" s="3"/>
      <c r="J1620" s="3"/>
      <c r="K1620" s="3"/>
      <c r="L1620" s="3"/>
      <c r="M1620" s="3"/>
      <c r="N1620" s="3">
        <v>0</v>
      </c>
      <c r="O1620" s="3"/>
      <c r="P1620" s="3">
        <v>0</v>
      </c>
      <c r="Q1620" s="3">
        <v>0</v>
      </c>
      <c r="R1620" s="3">
        <v>0</v>
      </c>
      <c r="S1620" s="3">
        <v>0</v>
      </c>
      <c r="T1620" s="3">
        <v>0</v>
      </c>
      <c r="U1620" s="3"/>
      <c r="V1620" s="3"/>
      <c r="W1620" s="3"/>
      <c r="X1620" s="3"/>
      <c r="Y1620" s="3"/>
      <c r="Z1620" s="3"/>
      <c r="AA1620" s="3"/>
      <c r="AB1620" s="3"/>
      <c r="AC1620" s="3"/>
      <c r="AD1620" s="3"/>
      <c r="AE1620" s="3">
        <v>0</v>
      </c>
      <c r="AF1620" s="3">
        <v>0</v>
      </c>
      <c r="AG1620" s="3"/>
      <c r="AH1620" s="40"/>
      <c r="AI1620" s="40"/>
      <c r="AJ1620" s="40"/>
      <c r="AK1620" s="40"/>
      <c r="AL1620" s="40"/>
      <c r="AM1620" s="40"/>
      <c r="AN1620" s="40"/>
      <c r="AO1620" s="40"/>
      <c r="AP1620" s="40"/>
      <c r="AQ1620" s="40"/>
      <c r="AR1620" s="31"/>
      <c r="AS1620" s="36">
        <v>0</v>
      </c>
      <c r="AY1620" s="6"/>
      <c r="AZ1620" s="2"/>
      <c r="BA1620" s="2"/>
      <c r="BB1620" s="2"/>
      <c r="BC1620">
        <v>71500</v>
      </c>
      <c r="BD1620">
        <v>56992</v>
      </c>
    </row>
    <row r="1621" spans="3:56" x14ac:dyDescent="0.25">
      <c r="C1621" s="1">
        <v>47241</v>
      </c>
      <c r="D1621" s="36">
        <v>255977.841935484</v>
      </c>
      <c r="E1621" s="33">
        <v>4.3290322580645197</v>
      </c>
      <c r="F1621" s="33">
        <v>3.4905468100358399</v>
      </c>
      <c r="G1621" s="2">
        <v>0.80631111111111098</v>
      </c>
      <c r="H1621" s="2">
        <v>0.99</v>
      </c>
      <c r="I1621" s="3"/>
      <c r="J1621" s="3"/>
      <c r="K1621" s="3"/>
      <c r="L1621" s="3"/>
      <c r="M1621" s="3"/>
      <c r="N1621" s="3">
        <v>0</v>
      </c>
      <c r="O1621" s="3"/>
      <c r="P1621" s="3">
        <v>0</v>
      </c>
      <c r="Q1621" s="3">
        <v>0</v>
      </c>
      <c r="R1621" s="3">
        <v>0</v>
      </c>
      <c r="S1621" s="3">
        <v>0</v>
      </c>
      <c r="T1621" s="3">
        <v>0</v>
      </c>
      <c r="U1621" s="3"/>
      <c r="V1621" s="3"/>
      <c r="W1621" s="3"/>
      <c r="X1621" s="3"/>
      <c r="Y1621" s="3"/>
      <c r="Z1621" s="3"/>
      <c r="AA1621" s="3"/>
      <c r="AB1621" s="3"/>
      <c r="AC1621" s="3"/>
      <c r="AD1621" s="3"/>
      <c r="AE1621" s="3">
        <v>0</v>
      </c>
      <c r="AF1621" s="3">
        <v>0</v>
      </c>
      <c r="AG1621" s="3"/>
      <c r="AH1621" s="40"/>
      <c r="AI1621" s="40"/>
      <c r="AJ1621" s="40"/>
      <c r="AK1621" s="40"/>
      <c r="AL1621" s="40"/>
      <c r="AM1621" s="40"/>
      <c r="AN1621" s="40"/>
      <c r="AO1621" s="40"/>
      <c r="AP1621" s="40"/>
      <c r="AQ1621" s="40"/>
      <c r="AR1621" s="31"/>
      <c r="AS1621" s="36">
        <v>0</v>
      </c>
      <c r="AY1621" s="6"/>
      <c r="AZ1621" s="2"/>
      <c r="BA1621" s="2"/>
      <c r="BB1621" s="2"/>
      <c r="BC1621">
        <v>71500</v>
      </c>
      <c r="BD1621">
        <v>56992</v>
      </c>
    </row>
    <row r="1622" spans="3:56" x14ac:dyDescent="0.25">
      <c r="C1622" s="1">
        <v>47242</v>
      </c>
      <c r="D1622" s="36">
        <v>255977.841935484</v>
      </c>
      <c r="E1622" s="33">
        <v>4.3290322580645197</v>
      </c>
      <c r="F1622" s="33">
        <v>3.49049870967742</v>
      </c>
      <c r="G1622" s="2">
        <v>0.80630000000000002</v>
      </c>
      <c r="H1622" s="2">
        <v>0.99</v>
      </c>
      <c r="I1622" s="3"/>
      <c r="J1622" s="3"/>
      <c r="K1622" s="3"/>
      <c r="L1622" s="3"/>
      <c r="M1622" s="3"/>
      <c r="N1622" s="3">
        <v>0</v>
      </c>
      <c r="O1622" s="3"/>
      <c r="P1622" s="3">
        <v>0</v>
      </c>
      <c r="Q1622" s="3">
        <v>0</v>
      </c>
      <c r="R1622" s="3">
        <v>0</v>
      </c>
      <c r="S1622" s="3">
        <v>0</v>
      </c>
      <c r="T1622" s="3">
        <v>0</v>
      </c>
      <c r="U1622" s="3"/>
      <c r="V1622" s="3"/>
      <c r="W1622" s="3"/>
      <c r="X1622" s="3"/>
      <c r="Y1622" s="3"/>
      <c r="Z1622" s="3"/>
      <c r="AA1622" s="3"/>
      <c r="AB1622" s="3"/>
      <c r="AC1622" s="3"/>
      <c r="AD1622" s="3"/>
      <c r="AE1622" s="3">
        <v>0</v>
      </c>
      <c r="AF1622" s="3">
        <v>0</v>
      </c>
      <c r="AG1622" s="3"/>
      <c r="AH1622" s="40"/>
      <c r="AI1622" s="40"/>
      <c r="AJ1622" s="40"/>
      <c r="AK1622" s="40"/>
      <c r="AL1622" s="40"/>
      <c r="AM1622" s="40"/>
      <c r="AN1622" s="40"/>
      <c r="AO1622" s="40"/>
      <c r="AP1622" s="40"/>
      <c r="AQ1622" s="40"/>
      <c r="AR1622" s="31"/>
      <c r="AS1622" s="36">
        <v>0</v>
      </c>
      <c r="AY1622" s="6"/>
      <c r="AZ1622" s="2"/>
      <c r="BA1622" s="2"/>
      <c r="BB1622" s="2"/>
      <c r="BC1622">
        <v>71500</v>
      </c>
      <c r="BD1622">
        <v>56992</v>
      </c>
    </row>
    <row r="1623" spans="3:56" x14ac:dyDescent="0.25">
      <c r="C1623" s="1">
        <v>47243</v>
      </c>
      <c r="D1623" s="36">
        <v>255977.841935484</v>
      </c>
      <c r="E1623" s="33">
        <v>4.3290322580645197</v>
      </c>
      <c r="F1623" s="33">
        <v>3.4904506093190002</v>
      </c>
      <c r="G1623" s="2">
        <v>0.80628888888888905</v>
      </c>
      <c r="H1623" s="2">
        <v>0.99</v>
      </c>
      <c r="I1623" s="3"/>
      <c r="J1623" s="3"/>
      <c r="K1623" s="3"/>
      <c r="L1623" s="3"/>
      <c r="M1623" s="3"/>
      <c r="N1623" s="3">
        <v>0</v>
      </c>
      <c r="O1623" s="3"/>
      <c r="P1623" s="3">
        <v>0</v>
      </c>
      <c r="Q1623" s="3">
        <v>0</v>
      </c>
      <c r="R1623" s="3">
        <v>0</v>
      </c>
      <c r="S1623" s="3">
        <v>0</v>
      </c>
      <c r="T1623" s="3">
        <v>0</v>
      </c>
      <c r="U1623" s="3"/>
      <c r="V1623" s="3"/>
      <c r="W1623" s="3"/>
      <c r="X1623" s="3"/>
      <c r="Y1623" s="3"/>
      <c r="Z1623" s="3"/>
      <c r="AA1623" s="3"/>
      <c r="AB1623" s="3"/>
      <c r="AC1623" s="3"/>
      <c r="AD1623" s="3"/>
      <c r="AE1623" s="3">
        <v>0</v>
      </c>
      <c r="AF1623" s="3">
        <v>0</v>
      </c>
      <c r="AG1623" s="3"/>
      <c r="AH1623" s="40"/>
      <c r="AI1623" s="40"/>
      <c r="AJ1623" s="40"/>
      <c r="AK1623" s="40"/>
      <c r="AL1623" s="40"/>
      <c r="AM1623" s="40"/>
      <c r="AN1623" s="40"/>
      <c r="AO1623" s="40"/>
      <c r="AP1623" s="40"/>
      <c r="AQ1623" s="40"/>
      <c r="AR1623" s="31"/>
      <c r="AS1623" s="36">
        <v>0</v>
      </c>
      <c r="AY1623" s="6"/>
      <c r="AZ1623" s="2"/>
      <c r="BA1623" s="2"/>
      <c r="BB1623" s="2"/>
      <c r="BC1623">
        <v>71500</v>
      </c>
      <c r="BD1623">
        <v>56992</v>
      </c>
    </row>
    <row r="1624" spans="3:56" x14ac:dyDescent="0.25">
      <c r="C1624" s="1">
        <v>47244</v>
      </c>
      <c r="D1624" s="36">
        <v>255977.841935484</v>
      </c>
      <c r="E1624" s="33">
        <v>4.3290322580645197</v>
      </c>
      <c r="F1624" s="33">
        <v>3.4904025089605701</v>
      </c>
      <c r="G1624" s="2">
        <v>0.80627777777777798</v>
      </c>
      <c r="H1624" s="2">
        <v>0.99</v>
      </c>
      <c r="I1624" s="3"/>
      <c r="J1624" s="3"/>
      <c r="K1624" s="3"/>
      <c r="L1624" s="3"/>
      <c r="M1624" s="3"/>
      <c r="N1624" s="3">
        <v>0</v>
      </c>
      <c r="O1624" s="3"/>
      <c r="P1624" s="3">
        <v>0</v>
      </c>
      <c r="Q1624" s="3">
        <v>0</v>
      </c>
      <c r="R1624" s="3">
        <v>0</v>
      </c>
      <c r="S1624" s="3">
        <v>0</v>
      </c>
      <c r="T1624" s="3">
        <v>0</v>
      </c>
      <c r="U1624" s="3"/>
      <c r="V1624" s="3"/>
      <c r="W1624" s="3"/>
      <c r="X1624" s="3"/>
      <c r="Y1624" s="3"/>
      <c r="Z1624" s="3"/>
      <c r="AA1624" s="3"/>
      <c r="AB1624" s="3"/>
      <c r="AC1624" s="3"/>
      <c r="AD1624" s="3"/>
      <c r="AE1624" s="3">
        <v>0</v>
      </c>
      <c r="AF1624" s="3">
        <v>0</v>
      </c>
      <c r="AG1624" s="3"/>
      <c r="AH1624" s="40"/>
      <c r="AI1624" s="40"/>
      <c r="AJ1624" s="40"/>
      <c r="AK1624" s="40"/>
      <c r="AL1624" s="40"/>
      <c r="AM1624" s="40"/>
      <c r="AN1624" s="40"/>
      <c r="AO1624" s="40"/>
      <c r="AP1624" s="40"/>
      <c r="AQ1624" s="40"/>
      <c r="AR1624" s="31"/>
      <c r="AS1624" s="36">
        <v>0</v>
      </c>
      <c r="AY1624" s="6"/>
      <c r="AZ1624" s="2"/>
      <c r="BA1624" s="2"/>
      <c r="BB1624" s="2"/>
      <c r="BC1624">
        <v>71500</v>
      </c>
      <c r="BD1624">
        <v>56992</v>
      </c>
    </row>
    <row r="1625" spans="3:56" x14ac:dyDescent="0.25">
      <c r="C1625" s="1">
        <v>47245</v>
      </c>
      <c r="D1625" s="36">
        <v>255977.841935484</v>
      </c>
      <c r="E1625" s="33">
        <v>4.3290322580645197</v>
      </c>
      <c r="F1625" s="33">
        <v>3.4903544086021498</v>
      </c>
      <c r="G1625" s="2">
        <v>0.80626666666666702</v>
      </c>
      <c r="H1625" s="2">
        <v>0.99</v>
      </c>
      <c r="I1625" s="3"/>
      <c r="J1625" s="3"/>
      <c r="K1625" s="3"/>
      <c r="L1625" s="3"/>
      <c r="M1625" s="3"/>
      <c r="N1625" s="3">
        <v>0</v>
      </c>
      <c r="O1625" s="3"/>
      <c r="P1625" s="3">
        <v>0</v>
      </c>
      <c r="Q1625" s="3">
        <v>0</v>
      </c>
      <c r="R1625" s="3">
        <v>0</v>
      </c>
      <c r="S1625" s="3">
        <v>0</v>
      </c>
      <c r="T1625" s="3">
        <v>0</v>
      </c>
      <c r="U1625" s="3"/>
      <c r="V1625" s="3"/>
      <c r="W1625" s="3"/>
      <c r="X1625" s="3"/>
      <c r="Y1625" s="3"/>
      <c r="Z1625" s="3"/>
      <c r="AA1625" s="3"/>
      <c r="AB1625" s="3"/>
      <c r="AC1625" s="3"/>
      <c r="AD1625" s="3"/>
      <c r="AE1625" s="3">
        <v>0</v>
      </c>
      <c r="AF1625" s="3">
        <v>0</v>
      </c>
      <c r="AG1625" s="3"/>
      <c r="AH1625" s="40"/>
      <c r="AI1625" s="40"/>
      <c r="AJ1625" s="40"/>
      <c r="AK1625" s="40"/>
      <c r="AL1625" s="40"/>
      <c r="AM1625" s="40"/>
      <c r="AN1625" s="40"/>
      <c r="AO1625" s="40"/>
      <c r="AP1625" s="40"/>
      <c r="AQ1625" s="40"/>
      <c r="AR1625" s="31"/>
      <c r="AS1625" s="36">
        <v>0</v>
      </c>
      <c r="AY1625" s="6"/>
      <c r="AZ1625" s="2"/>
      <c r="BA1625" s="2"/>
      <c r="BB1625" s="2"/>
      <c r="BC1625">
        <v>71500</v>
      </c>
      <c r="BD1625">
        <v>56992</v>
      </c>
    </row>
    <row r="1626" spans="3:56" x14ac:dyDescent="0.25">
      <c r="C1626" s="1">
        <v>47246</v>
      </c>
      <c r="D1626" s="36">
        <v>255977.841935484</v>
      </c>
      <c r="E1626" s="33">
        <v>4.3290322580645197</v>
      </c>
      <c r="F1626" s="33">
        <v>3.49030630824373</v>
      </c>
      <c r="G1626" s="2">
        <v>0.80625555555555595</v>
      </c>
      <c r="H1626" s="2">
        <v>0.99</v>
      </c>
      <c r="I1626" s="3"/>
      <c r="J1626" s="3"/>
      <c r="K1626" s="3"/>
      <c r="L1626" s="3"/>
      <c r="M1626" s="3"/>
      <c r="N1626" s="3">
        <v>0</v>
      </c>
      <c r="O1626" s="3"/>
      <c r="P1626" s="3">
        <v>0</v>
      </c>
      <c r="Q1626" s="3">
        <v>0</v>
      </c>
      <c r="R1626" s="3">
        <v>0</v>
      </c>
      <c r="S1626" s="3">
        <v>0</v>
      </c>
      <c r="T1626" s="3">
        <v>0</v>
      </c>
      <c r="U1626" s="3"/>
      <c r="V1626" s="3"/>
      <c r="W1626" s="3"/>
      <c r="X1626" s="3"/>
      <c r="Y1626" s="3"/>
      <c r="Z1626" s="3"/>
      <c r="AA1626" s="3"/>
      <c r="AB1626" s="3"/>
      <c r="AC1626" s="3"/>
      <c r="AD1626" s="3"/>
      <c r="AE1626" s="3">
        <v>0</v>
      </c>
      <c r="AF1626" s="3">
        <v>0</v>
      </c>
      <c r="AG1626" s="3"/>
      <c r="AH1626" s="40"/>
      <c r="AI1626" s="40"/>
      <c r="AJ1626" s="40"/>
      <c r="AK1626" s="40"/>
      <c r="AL1626" s="40"/>
      <c r="AM1626" s="40"/>
      <c r="AN1626" s="40"/>
      <c r="AO1626" s="40"/>
      <c r="AP1626" s="40"/>
      <c r="AQ1626" s="40"/>
      <c r="AR1626" s="31"/>
      <c r="AS1626" s="36">
        <v>0</v>
      </c>
      <c r="AY1626" s="6"/>
      <c r="AZ1626" s="2"/>
      <c r="BA1626" s="2"/>
      <c r="BB1626" s="2"/>
      <c r="BC1626">
        <v>71500</v>
      </c>
      <c r="BD1626">
        <v>56992</v>
      </c>
    </row>
    <row r="1627" spans="3:56" x14ac:dyDescent="0.25">
      <c r="C1627" s="1">
        <v>47247</v>
      </c>
      <c r="D1627" s="36">
        <v>255977.841935484</v>
      </c>
      <c r="E1627" s="33">
        <v>4.3290322580645197</v>
      </c>
      <c r="F1627" s="33">
        <v>3.4902582078852999</v>
      </c>
      <c r="G1627" s="2">
        <v>0.80624444444444399</v>
      </c>
      <c r="H1627" s="2">
        <v>0.99</v>
      </c>
      <c r="I1627" s="3"/>
      <c r="J1627" s="3"/>
      <c r="K1627" s="3"/>
      <c r="L1627" s="3"/>
      <c r="M1627" s="3"/>
      <c r="N1627" s="3">
        <v>0</v>
      </c>
      <c r="O1627" s="3"/>
      <c r="P1627" s="3">
        <v>0</v>
      </c>
      <c r="Q1627" s="3">
        <v>0</v>
      </c>
      <c r="R1627" s="3">
        <v>0</v>
      </c>
      <c r="S1627" s="3">
        <v>0</v>
      </c>
      <c r="T1627" s="3">
        <v>0</v>
      </c>
      <c r="U1627" s="3"/>
      <c r="V1627" s="3"/>
      <c r="W1627" s="3"/>
      <c r="X1627" s="3"/>
      <c r="Y1627" s="3"/>
      <c r="Z1627" s="3"/>
      <c r="AA1627" s="3"/>
      <c r="AB1627" s="3"/>
      <c r="AC1627" s="3"/>
      <c r="AD1627" s="3"/>
      <c r="AE1627" s="3">
        <v>0</v>
      </c>
      <c r="AF1627" s="3">
        <v>0</v>
      </c>
      <c r="AG1627" s="3"/>
      <c r="AH1627" s="40"/>
      <c r="AI1627" s="40"/>
      <c r="AJ1627" s="40"/>
      <c r="AK1627" s="40"/>
      <c r="AL1627" s="40"/>
      <c r="AM1627" s="40"/>
      <c r="AN1627" s="40"/>
      <c r="AO1627" s="40"/>
      <c r="AP1627" s="40"/>
      <c r="AQ1627" s="40"/>
      <c r="AR1627" s="31"/>
      <c r="AS1627" s="36">
        <v>0</v>
      </c>
      <c r="AY1627" s="6"/>
      <c r="AZ1627" s="2"/>
      <c r="BA1627" s="2"/>
      <c r="BB1627" s="2"/>
      <c r="BC1627">
        <v>71500</v>
      </c>
      <c r="BD1627">
        <v>56992</v>
      </c>
    </row>
    <row r="1628" spans="3:56" x14ac:dyDescent="0.25">
      <c r="C1628" s="1">
        <v>47248</v>
      </c>
      <c r="D1628" s="36">
        <v>255977.841935484</v>
      </c>
      <c r="E1628" s="33">
        <v>4.3290322580645197</v>
      </c>
      <c r="F1628" s="33">
        <v>3.4902101075268801</v>
      </c>
      <c r="G1628" s="2">
        <v>0.80623333333333302</v>
      </c>
      <c r="H1628" s="2">
        <v>0.99</v>
      </c>
      <c r="I1628" s="3"/>
      <c r="J1628" s="3"/>
      <c r="K1628" s="3"/>
      <c r="L1628" s="3"/>
      <c r="M1628" s="3"/>
      <c r="N1628" s="3">
        <v>0</v>
      </c>
      <c r="O1628" s="3"/>
      <c r="P1628" s="3">
        <v>0</v>
      </c>
      <c r="Q1628" s="3">
        <v>0</v>
      </c>
      <c r="R1628" s="3">
        <v>0</v>
      </c>
      <c r="S1628" s="3">
        <v>0</v>
      </c>
      <c r="T1628" s="3">
        <v>0</v>
      </c>
      <c r="U1628" s="3"/>
      <c r="V1628" s="3"/>
      <c r="W1628" s="3"/>
      <c r="X1628" s="3"/>
      <c r="Y1628" s="3"/>
      <c r="Z1628" s="3"/>
      <c r="AA1628" s="3"/>
      <c r="AB1628" s="3"/>
      <c r="AC1628" s="3"/>
      <c r="AD1628" s="3"/>
      <c r="AE1628" s="3">
        <v>0</v>
      </c>
      <c r="AF1628" s="3">
        <v>0</v>
      </c>
      <c r="AG1628" s="3"/>
      <c r="AH1628" s="40"/>
      <c r="AI1628" s="40"/>
      <c r="AJ1628" s="40"/>
      <c r="AK1628" s="40"/>
      <c r="AL1628" s="40"/>
      <c r="AM1628" s="40"/>
      <c r="AN1628" s="40"/>
      <c r="AO1628" s="40"/>
      <c r="AP1628" s="40"/>
      <c r="AQ1628" s="40"/>
      <c r="AR1628" s="31"/>
      <c r="AS1628" s="36">
        <v>0</v>
      </c>
      <c r="AY1628" s="6"/>
      <c r="AZ1628" s="2"/>
      <c r="BA1628" s="2"/>
      <c r="BB1628" s="2"/>
      <c r="BC1628">
        <v>71500</v>
      </c>
      <c r="BD1628">
        <v>56992</v>
      </c>
    </row>
    <row r="1629" spans="3:56" x14ac:dyDescent="0.25">
      <c r="C1629" s="1">
        <v>47249</v>
      </c>
      <c r="D1629" s="36">
        <v>255977.841935484</v>
      </c>
      <c r="E1629" s="33">
        <v>4.3290322580645197</v>
      </c>
      <c r="F1629" s="33">
        <v>3.4901620071684598</v>
      </c>
      <c r="G1629" s="2">
        <v>0.80622222222222195</v>
      </c>
      <c r="H1629" s="2">
        <v>0.99</v>
      </c>
      <c r="I1629" s="3"/>
      <c r="J1629" s="3"/>
      <c r="K1629" s="3"/>
      <c r="L1629" s="3"/>
      <c r="M1629" s="3"/>
      <c r="N1629" s="3">
        <v>0</v>
      </c>
      <c r="O1629" s="3"/>
      <c r="P1629" s="3">
        <v>0</v>
      </c>
      <c r="Q1629" s="3">
        <v>0</v>
      </c>
      <c r="R1629" s="3">
        <v>0</v>
      </c>
      <c r="S1629" s="3">
        <v>0</v>
      </c>
      <c r="T1629" s="3">
        <v>0</v>
      </c>
      <c r="U1629" s="3"/>
      <c r="V1629" s="3"/>
      <c r="W1629" s="3"/>
      <c r="X1629" s="3"/>
      <c r="Y1629" s="3"/>
      <c r="Z1629" s="3"/>
      <c r="AA1629" s="3"/>
      <c r="AB1629" s="3"/>
      <c r="AC1629" s="3"/>
      <c r="AD1629" s="3"/>
      <c r="AE1629" s="3">
        <v>0</v>
      </c>
      <c r="AF1629" s="3">
        <v>0</v>
      </c>
      <c r="AG1629" s="3"/>
      <c r="AH1629" s="40"/>
      <c r="AI1629" s="40"/>
      <c r="AJ1629" s="40"/>
      <c r="AK1629" s="40"/>
      <c r="AL1629" s="40"/>
      <c r="AM1629" s="40"/>
      <c r="AN1629" s="40"/>
      <c r="AO1629" s="40"/>
      <c r="AP1629" s="40"/>
      <c r="AQ1629" s="40"/>
      <c r="AR1629" s="31"/>
      <c r="AS1629" s="36">
        <v>0</v>
      </c>
      <c r="AY1629" s="6"/>
      <c r="AZ1629" s="2"/>
      <c r="BA1629" s="2"/>
      <c r="BB1629" s="2"/>
      <c r="BC1629">
        <v>71500</v>
      </c>
      <c r="BD1629">
        <v>56992</v>
      </c>
    </row>
    <row r="1630" spans="3:56" x14ac:dyDescent="0.25">
      <c r="C1630" s="1">
        <v>47250</v>
      </c>
      <c r="D1630" s="36">
        <v>255977.841935484</v>
      </c>
      <c r="E1630" s="33">
        <v>4.3290322580645197</v>
      </c>
      <c r="F1630" s="33">
        <v>3.49011390681004</v>
      </c>
      <c r="G1630" s="2">
        <v>0.80621111111111099</v>
      </c>
      <c r="H1630" s="2">
        <v>0.99</v>
      </c>
      <c r="I1630" s="3"/>
      <c r="J1630" s="3"/>
      <c r="K1630" s="3"/>
      <c r="L1630" s="3"/>
      <c r="M1630" s="3"/>
      <c r="N1630" s="3">
        <v>0</v>
      </c>
      <c r="O1630" s="3"/>
      <c r="P1630" s="3">
        <v>0</v>
      </c>
      <c r="Q1630" s="3">
        <v>0</v>
      </c>
      <c r="R1630" s="3">
        <v>0</v>
      </c>
      <c r="S1630" s="3">
        <v>0</v>
      </c>
      <c r="T1630" s="3">
        <v>0</v>
      </c>
      <c r="U1630" s="3"/>
      <c r="V1630" s="3"/>
      <c r="W1630" s="3"/>
      <c r="X1630" s="3"/>
      <c r="Y1630" s="3"/>
      <c r="Z1630" s="3"/>
      <c r="AA1630" s="3"/>
      <c r="AB1630" s="3"/>
      <c r="AC1630" s="3"/>
      <c r="AD1630" s="3"/>
      <c r="AE1630" s="3">
        <v>0</v>
      </c>
      <c r="AF1630" s="3">
        <v>0</v>
      </c>
      <c r="AG1630" s="3"/>
      <c r="AH1630" s="40"/>
      <c r="AI1630" s="40"/>
      <c r="AJ1630" s="40"/>
      <c r="AK1630" s="40"/>
      <c r="AL1630" s="40"/>
      <c r="AM1630" s="40"/>
      <c r="AN1630" s="40"/>
      <c r="AO1630" s="40"/>
      <c r="AP1630" s="40"/>
      <c r="AQ1630" s="40"/>
      <c r="AR1630" s="31"/>
      <c r="AS1630" s="36">
        <v>0</v>
      </c>
      <c r="AY1630" s="6"/>
      <c r="AZ1630" s="2"/>
      <c r="BA1630" s="2"/>
      <c r="BB1630" s="2"/>
      <c r="BC1630">
        <v>71500</v>
      </c>
      <c r="BD1630">
        <v>56992</v>
      </c>
    </row>
    <row r="1631" spans="3:56" x14ac:dyDescent="0.25">
      <c r="C1631" s="1">
        <v>47251</v>
      </c>
      <c r="D1631" s="36">
        <v>255977.841935484</v>
      </c>
      <c r="E1631" s="33">
        <v>4.3290322580645197</v>
      </c>
      <c r="F1631" s="33">
        <v>3.4900658064516099</v>
      </c>
      <c r="G1631" s="2">
        <v>0.80620000000000003</v>
      </c>
      <c r="H1631" s="2">
        <v>0.99</v>
      </c>
      <c r="I1631" s="3"/>
      <c r="J1631" s="3"/>
      <c r="K1631" s="3"/>
      <c r="L1631" s="3"/>
      <c r="M1631" s="3"/>
      <c r="N1631" s="3">
        <v>0</v>
      </c>
      <c r="O1631" s="3"/>
      <c r="P1631" s="3">
        <v>0</v>
      </c>
      <c r="Q1631" s="3">
        <v>0</v>
      </c>
      <c r="R1631" s="3">
        <v>0</v>
      </c>
      <c r="S1631" s="3">
        <v>0</v>
      </c>
      <c r="T1631" s="3">
        <v>0</v>
      </c>
      <c r="U1631" s="3"/>
      <c r="V1631" s="3"/>
      <c r="W1631" s="3"/>
      <c r="X1631" s="3"/>
      <c r="Y1631" s="3"/>
      <c r="Z1631" s="3"/>
      <c r="AA1631" s="3"/>
      <c r="AB1631" s="3"/>
      <c r="AC1631" s="3"/>
      <c r="AD1631" s="3"/>
      <c r="AE1631" s="3">
        <v>0</v>
      </c>
      <c r="AF1631" s="3">
        <v>0</v>
      </c>
      <c r="AG1631" s="3"/>
      <c r="AH1631" s="40"/>
      <c r="AI1631" s="40"/>
      <c r="AJ1631" s="40"/>
      <c r="AK1631" s="40"/>
      <c r="AL1631" s="40"/>
      <c r="AM1631" s="40"/>
      <c r="AN1631" s="40"/>
      <c r="AO1631" s="40"/>
      <c r="AP1631" s="40"/>
      <c r="AQ1631" s="40"/>
      <c r="AR1631" s="31"/>
      <c r="AS1631" s="36">
        <v>0</v>
      </c>
      <c r="AY1631" s="6"/>
      <c r="AZ1631" s="2"/>
      <c r="BA1631" s="2"/>
      <c r="BB1631" s="2"/>
      <c r="BC1631">
        <v>71500</v>
      </c>
      <c r="BD1631">
        <v>56992</v>
      </c>
    </row>
    <row r="1632" spans="3:56" x14ac:dyDescent="0.25">
      <c r="C1632" s="1">
        <v>47252</v>
      </c>
      <c r="D1632" s="36">
        <v>255977.841935484</v>
      </c>
      <c r="E1632" s="33">
        <v>4.3290322580645197</v>
      </c>
      <c r="F1632" s="33">
        <v>3.4900177060931901</v>
      </c>
      <c r="G1632" s="2">
        <v>0.80618888888888895</v>
      </c>
      <c r="H1632" s="2">
        <v>0.99</v>
      </c>
      <c r="I1632" s="3"/>
      <c r="J1632" s="3"/>
      <c r="K1632" s="3"/>
      <c r="L1632" s="3"/>
      <c r="M1632" s="3"/>
      <c r="N1632" s="3">
        <v>0</v>
      </c>
      <c r="O1632" s="3"/>
      <c r="P1632" s="3">
        <v>0</v>
      </c>
      <c r="Q1632" s="3">
        <v>0</v>
      </c>
      <c r="R1632" s="3">
        <v>0</v>
      </c>
      <c r="S1632" s="3">
        <v>0</v>
      </c>
      <c r="T1632" s="3">
        <v>0</v>
      </c>
      <c r="U1632" s="3"/>
      <c r="V1632" s="3"/>
      <c r="W1632" s="3"/>
      <c r="X1632" s="3"/>
      <c r="Y1632" s="3"/>
      <c r="Z1632" s="3"/>
      <c r="AA1632" s="3"/>
      <c r="AB1632" s="3"/>
      <c r="AC1632" s="3"/>
      <c r="AD1632" s="3"/>
      <c r="AE1632" s="3">
        <v>0</v>
      </c>
      <c r="AF1632" s="3">
        <v>0</v>
      </c>
      <c r="AG1632" s="3"/>
      <c r="AH1632" s="40"/>
      <c r="AI1632" s="40"/>
      <c r="AJ1632" s="40"/>
      <c r="AK1632" s="40"/>
      <c r="AL1632" s="40"/>
      <c r="AM1632" s="40"/>
      <c r="AN1632" s="40"/>
      <c r="AO1632" s="40"/>
      <c r="AP1632" s="40"/>
      <c r="AQ1632" s="40"/>
      <c r="AR1632" s="31"/>
      <c r="AS1632" s="36">
        <v>0</v>
      </c>
      <c r="AY1632" s="6"/>
      <c r="AZ1632" s="2"/>
      <c r="BA1632" s="2"/>
      <c r="BB1632" s="2"/>
      <c r="BC1632">
        <v>71500</v>
      </c>
      <c r="BD1632">
        <v>56992</v>
      </c>
    </row>
    <row r="1633" spans="3:56" x14ac:dyDescent="0.25">
      <c r="C1633" s="1">
        <v>47253</v>
      </c>
      <c r="D1633" s="36">
        <v>255977.841935484</v>
      </c>
      <c r="E1633" s="33">
        <v>4.3290322580645197</v>
      </c>
      <c r="F1633" s="33">
        <v>3.4899696057347702</v>
      </c>
      <c r="G1633" s="2">
        <v>0.80617777777777799</v>
      </c>
      <c r="H1633" s="2">
        <v>0.99</v>
      </c>
      <c r="I1633" s="3"/>
      <c r="J1633" s="3"/>
      <c r="K1633" s="3"/>
      <c r="L1633" s="3"/>
      <c r="M1633" s="3"/>
      <c r="N1633" s="3">
        <v>0</v>
      </c>
      <c r="O1633" s="3"/>
      <c r="P1633" s="3">
        <v>0</v>
      </c>
      <c r="Q1633" s="3">
        <v>0</v>
      </c>
      <c r="R1633" s="3">
        <v>0</v>
      </c>
      <c r="S1633" s="3">
        <v>0</v>
      </c>
      <c r="T1633" s="3">
        <v>0</v>
      </c>
      <c r="U1633" s="3"/>
      <c r="V1633" s="3"/>
      <c r="W1633" s="3"/>
      <c r="X1633" s="3"/>
      <c r="Y1633" s="3"/>
      <c r="Z1633" s="3"/>
      <c r="AA1633" s="3"/>
      <c r="AB1633" s="3"/>
      <c r="AC1633" s="3"/>
      <c r="AD1633" s="3"/>
      <c r="AE1633" s="3">
        <v>0</v>
      </c>
      <c r="AF1633" s="3">
        <v>0</v>
      </c>
      <c r="AG1633" s="3"/>
      <c r="AH1633" s="40"/>
      <c r="AI1633" s="40"/>
      <c r="AJ1633" s="40"/>
      <c r="AK1633" s="40"/>
      <c r="AL1633" s="40"/>
      <c r="AM1633" s="40"/>
      <c r="AN1633" s="40"/>
      <c r="AO1633" s="40"/>
      <c r="AP1633" s="40"/>
      <c r="AQ1633" s="40"/>
      <c r="AR1633" s="31"/>
      <c r="AS1633" s="36">
        <v>0</v>
      </c>
      <c r="AY1633" s="6"/>
      <c r="AZ1633" s="2"/>
      <c r="BA1633" s="2"/>
      <c r="BB1633" s="2"/>
      <c r="BC1633">
        <v>71500</v>
      </c>
      <c r="BD1633">
        <v>56992</v>
      </c>
    </row>
    <row r="1634" spans="3:56" x14ac:dyDescent="0.25">
      <c r="C1634" s="1">
        <v>47254</v>
      </c>
      <c r="D1634" s="36">
        <v>255977.841935484</v>
      </c>
      <c r="E1634" s="33">
        <v>4.3290322580645197</v>
      </c>
      <c r="F1634" s="33">
        <v>3.4899215053763402</v>
      </c>
      <c r="G1634" s="2">
        <v>0.80616666666666703</v>
      </c>
      <c r="H1634" s="2">
        <v>0.99</v>
      </c>
      <c r="I1634" s="3"/>
      <c r="J1634" s="3"/>
      <c r="K1634" s="3"/>
      <c r="L1634" s="3"/>
      <c r="M1634" s="3"/>
      <c r="N1634" s="3">
        <v>0</v>
      </c>
      <c r="O1634" s="3"/>
      <c r="P1634" s="3">
        <v>0</v>
      </c>
      <c r="Q1634" s="3">
        <v>0</v>
      </c>
      <c r="R1634" s="3">
        <v>0</v>
      </c>
      <c r="S1634" s="3">
        <v>0</v>
      </c>
      <c r="T1634" s="3">
        <v>0</v>
      </c>
      <c r="U1634" s="3"/>
      <c r="V1634" s="3"/>
      <c r="W1634" s="3"/>
      <c r="X1634" s="3"/>
      <c r="Y1634" s="3"/>
      <c r="Z1634" s="3"/>
      <c r="AA1634" s="3"/>
      <c r="AB1634" s="3"/>
      <c r="AC1634" s="3"/>
      <c r="AD1634" s="3"/>
      <c r="AE1634" s="3">
        <v>0</v>
      </c>
      <c r="AF1634" s="3">
        <v>0</v>
      </c>
      <c r="AG1634" s="3"/>
      <c r="AH1634" s="40"/>
      <c r="AI1634" s="40"/>
      <c r="AJ1634" s="40"/>
      <c r="AK1634" s="40"/>
      <c r="AL1634" s="40"/>
      <c r="AM1634" s="40"/>
      <c r="AN1634" s="40"/>
      <c r="AO1634" s="40"/>
      <c r="AP1634" s="40"/>
      <c r="AQ1634" s="40"/>
      <c r="AR1634" s="31"/>
      <c r="AS1634" s="36">
        <v>0</v>
      </c>
      <c r="AY1634" s="6"/>
      <c r="AZ1634" s="2"/>
      <c r="BA1634" s="2"/>
      <c r="BB1634" s="2"/>
      <c r="BC1634">
        <v>71500</v>
      </c>
      <c r="BD1634">
        <v>56992</v>
      </c>
    </row>
    <row r="1635" spans="3:56" x14ac:dyDescent="0.25">
      <c r="C1635" s="1">
        <v>47255</v>
      </c>
      <c r="D1635" s="36">
        <v>255977.841935484</v>
      </c>
      <c r="E1635" s="33">
        <v>4.3290322580645197</v>
      </c>
      <c r="F1635" s="33">
        <v>3.4898734050179199</v>
      </c>
      <c r="G1635" s="2">
        <v>0.80615555555555596</v>
      </c>
      <c r="H1635" s="2">
        <v>0.99</v>
      </c>
      <c r="I1635" s="3"/>
      <c r="J1635" s="3"/>
      <c r="K1635" s="3"/>
      <c r="L1635" s="3"/>
      <c r="M1635" s="3"/>
      <c r="N1635" s="3">
        <v>0</v>
      </c>
      <c r="O1635" s="3"/>
      <c r="P1635" s="3">
        <v>0</v>
      </c>
      <c r="Q1635" s="3">
        <v>0</v>
      </c>
      <c r="R1635" s="3">
        <v>0</v>
      </c>
      <c r="S1635" s="3">
        <v>0</v>
      </c>
      <c r="T1635" s="3">
        <v>0</v>
      </c>
      <c r="U1635" s="3"/>
      <c r="V1635" s="3"/>
      <c r="W1635" s="3"/>
      <c r="X1635" s="3"/>
      <c r="Y1635" s="3"/>
      <c r="Z1635" s="3"/>
      <c r="AA1635" s="3"/>
      <c r="AB1635" s="3"/>
      <c r="AC1635" s="3"/>
      <c r="AD1635" s="3"/>
      <c r="AE1635" s="3">
        <v>0</v>
      </c>
      <c r="AF1635" s="3">
        <v>0</v>
      </c>
      <c r="AG1635" s="3"/>
      <c r="AH1635" s="40"/>
      <c r="AI1635" s="40"/>
      <c r="AJ1635" s="40"/>
      <c r="AK1635" s="40"/>
      <c r="AL1635" s="40"/>
      <c r="AM1635" s="40"/>
      <c r="AN1635" s="40"/>
      <c r="AO1635" s="40"/>
      <c r="AP1635" s="40"/>
      <c r="AQ1635" s="40"/>
      <c r="AR1635" s="31"/>
      <c r="AS1635" s="36">
        <v>0</v>
      </c>
      <c r="AY1635" s="6"/>
      <c r="AZ1635" s="2"/>
      <c r="BA1635" s="2"/>
      <c r="BB1635" s="2"/>
      <c r="BC1635">
        <v>71500</v>
      </c>
      <c r="BD1635">
        <v>56992</v>
      </c>
    </row>
    <row r="1636" spans="3:56" x14ac:dyDescent="0.25">
      <c r="C1636" s="1">
        <v>47256</v>
      </c>
      <c r="D1636" s="36">
        <v>255977.841935484</v>
      </c>
      <c r="E1636" s="33">
        <v>4.3290322580645197</v>
      </c>
      <c r="F1636" s="33">
        <v>3.4898253046595</v>
      </c>
      <c r="G1636" s="2">
        <v>0.806144444444444</v>
      </c>
      <c r="H1636" s="2">
        <v>0.99</v>
      </c>
      <c r="I1636" s="3"/>
      <c r="J1636" s="3"/>
      <c r="K1636" s="3"/>
      <c r="L1636" s="3"/>
      <c r="M1636" s="3"/>
      <c r="N1636" s="3">
        <v>0</v>
      </c>
      <c r="O1636" s="3"/>
      <c r="P1636" s="3">
        <v>0</v>
      </c>
      <c r="Q1636" s="3">
        <v>0</v>
      </c>
      <c r="R1636" s="3">
        <v>0</v>
      </c>
      <c r="S1636" s="3">
        <v>0</v>
      </c>
      <c r="T1636" s="3">
        <v>0</v>
      </c>
      <c r="U1636" s="3"/>
      <c r="V1636" s="3"/>
      <c r="W1636" s="3"/>
      <c r="X1636" s="3"/>
      <c r="Y1636" s="3"/>
      <c r="Z1636" s="3"/>
      <c r="AA1636" s="3"/>
      <c r="AB1636" s="3"/>
      <c r="AC1636" s="3"/>
      <c r="AD1636" s="3"/>
      <c r="AE1636" s="3">
        <v>0</v>
      </c>
      <c r="AF1636" s="3">
        <v>0</v>
      </c>
      <c r="AG1636" s="3"/>
      <c r="AH1636" s="40"/>
      <c r="AI1636" s="40"/>
      <c r="AJ1636" s="40"/>
      <c r="AK1636" s="40"/>
      <c r="AL1636" s="40"/>
      <c r="AM1636" s="40"/>
      <c r="AN1636" s="40"/>
      <c r="AO1636" s="40"/>
      <c r="AP1636" s="40"/>
      <c r="AQ1636" s="40"/>
      <c r="AR1636" s="31"/>
      <c r="AS1636" s="36">
        <v>0</v>
      </c>
      <c r="AY1636" s="6"/>
      <c r="AZ1636" s="2"/>
      <c r="BA1636" s="2"/>
      <c r="BB1636" s="2"/>
      <c r="BC1636">
        <v>71500</v>
      </c>
      <c r="BD1636">
        <v>56992</v>
      </c>
    </row>
    <row r="1637" spans="3:56" x14ac:dyDescent="0.25">
      <c r="C1637" s="1">
        <v>47257</v>
      </c>
      <c r="D1637" s="36">
        <v>255977.841935484</v>
      </c>
      <c r="E1637" s="33">
        <v>4.3290322580645197</v>
      </c>
      <c r="F1637" s="33">
        <v>3.4897772043010802</v>
      </c>
      <c r="G1637" s="2">
        <v>0.80613333333333304</v>
      </c>
      <c r="H1637" s="2">
        <v>0.99</v>
      </c>
      <c r="I1637" s="3"/>
      <c r="J1637" s="3"/>
      <c r="K1637" s="3"/>
      <c r="L1637" s="3"/>
      <c r="M1637" s="3"/>
      <c r="N1637" s="3">
        <v>0</v>
      </c>
      <c r="O1637" s="3"/>
      <c r="P1637" s="3">
        <v>0</v>
      </c>
      <c r="Q1637" s="3">
        <v>0</v>
      </c>
      <c r="R1637" s="3">
        <v>0</v>
      </c>
      <c r="S1637" s="3">
        <v>0</v>
      </c>
      <c r="T1637" s="3">
        <v>0</v>
      </c>
      <c r="U1637" s="3"/>
      <c r="V1637" s="3"/>
      <c r="W1637" s="3"/>
      <c r="X1637" s="3"/>
      <c r="Y1637" s="3"/>
      <c r="Z1637" s="3"/>
      <c r="AA1637" s="3"/>
      <c r="AB1637" s="3"/>
      <c r="AC1637" s="3"/>
      <c r="AD1637" s="3"/>
      <c r="AE1637" s="3">
        <v>0</v>
      </c>
      <c r="AF1637" s="3">
        <v>0</v>
      </c>
      <c r="AG1637" s="3"/>
      <c r="AH1637" s="40"/>
      <c r="AI1637" s="40"/>
      <c r="AJ1637" s="40"/>
      <c r="AK1637" s="40"/>
      <c r="AL1637" s="40"/>
      <c r="AM1637" s="40"/>
      <c r="AN1637" s="40"/>
      <c r="AO1637" s="40"/>
      <c r="AP1637" s="40"/>
      <c r="AQ1637" s="40"/>
      <c r="AR1637" s="31"/>
      <c r="AS1637" s="36">
        <v>0</v>
      </c>
      <c r="AY1637" s="6"/>
      <c r="AZ1637" s="2"/>
      <c r="BA1637" s="2"/>
      <c r="BB1637" s="2"/>
      <c r="BC1637">
        <v>71500</v>
      </c>
      <c r="BD1637">
        <v>56992</v>
      </c>
    </row>
    <row r="1638" spans="3:56" x14ac:dyDescent="0.25">
      <c r="C1638" s="1">
        <v>47258</v>
      </c>
      <c r="D1638" s="36">
        <v>255977.841935484</v>
      </c>
      <c r="E1638" s="33">
        <v>4.3290322580645197</v>
      </c>
      <c r="F1638" s="33">
        <v>3.4897291039426501</v>
      </c>
      <c r="G1638" s="2">
        <v>0.80612222222222196</v>
      </c>
      <c r="H1638" s="2">
        <v>0.99</v>
      </c>
      <c r="I1638" s="3"/>
      <c r="J1638" s="3"/>
      <c r="K1638" s="3"/>
      <c r="L1638" s="3"/>
      <c r="M1638" s="3"/>
      <c r="N1638" s="3">
        <v>0</v>
      </c>
      <c r="O1638" s="3"/>
      <c r="P1638" s="3">
        <v>0</v>
      </c>
      <c r="Q1638" s="3">
        <v>0</v>
      </c>
      <c r="R1638" s="3">
        <v>0</v>
      </c>
      <c r="S1638" s="3">
        <v>0</v>
      </c>
      <c r="T1638" s="3">
        <v>0</v>
      </c>
      <c r="U1638" s="3"/>
      <c r="V1638" s="3"/>
      <c r="W1638" s="3"/>
      <c r="X1638" s="3"/>
      <c r="Y1638" s="3"/>
      <c r="Z1638" s="3"/>
      <c r="AA1638" s="3"/>
      <c r="AB1638" s="3"/>
      <c r="AC1638" s="3"/>
      <c r="AD1638" s="3"/>
      <c r="AE1638" s="3">
        <v>0</v>
      </c>
      <c r="AF1638" s="3">
        <v>0</v>
      </c>
      <c r="AG1638" s="3"/>
      <c r="AH1638" s="40"/>
      <c r="AI1638" s="40"/>
      <c r="AJ1638" s="40"/>
      <c r="AK1638" s="40"/>
      <c r="AL1638" s="40"/>
      <c r="AM1638" s="40"/>
      <c r="AN1638" s="40"/>
      <c r="AO1638" s="40"/>
      <c r="AP1638" s="40"/>
      <c r="AQ1638" s="40"/>
      <c r="AR1638" s="31"/>
      <c r="AS1638" s="36">
        <v>0</v>
      </c>
      <c r="AY1638" s="6"/>
      <c r="AZ1638" s="2"/>
      <c r="BA1638" s="2"/>
      <c r="BB1638" s="2"/>
      <c r="BC1638">
        <v>71500</v>
      </c>
      <c r="BD1638">
        <v>56992</v>
      </c>
    </row>
    <row r="1639" spans="3:56" x14ac:dyDescent="0.25">
      <c r="C1639" s="1">
        <v>47259</v>
      </c>
      <c r="D1639" s="36">
        <v>255977.841935484</v>
      </c>
      <c r="E1639" s="33">
        <v>4.3290322580645197</v>
      </c>
      <c r="F1639" s="33">
        <v>3.4896810035842298</v>
      </c>
      <c r="G1639" s="2">
        <v>0.806111111111111</v>
      </c>
      <c r="H1639" s="2">
        <v>0.99</v>
      </c>
      <c r="I1639" s="3"/>
      <c r="J1639" s="3"/>
      <c r="K1639" s="3"/>
      <c r="L1639" s="3"/>
      <c r="M1639" s="3"/>
      <c r="N1639" s="3">
        <v>0</v>
      </c>
      <c r="O1639" s="3"/>
      <c r="P1639" s="3">
        <v>0</v>
      </c>
      <c r="Q1639" s="3">
        <v>0</v>
      </c>
      <c r="R1639" s="3">
        <v>0</v>
      </c>
      <c r="S1639" s="3">
        <v>0</v>
      </c>
      <c r="T1639" s="3">
        <v>0</v>
      </c>
      <c r="U1639" s="3"/>
      <c r="V1639" s="3"/>
      <c r="W1639" s="3"/>
      <c r="X1639" s="3"/>
      <c r="Y1639" s="3"/>
      <c r="Z1639" s="3"/>
      <c r="AA1639" s="3"/>
      <c r="AB1639" s="3"/>
      <c r="AC1639" s="3"/>
      <c r="AD1639" s="3"/>
      <c r="AE1639" s="3">
        <v>0</v>
      </c>
      <c r="AF1639" s="3">
        <v>0</v>
      </c>
      <c r="AG1639" s="3"/>
      <c r="AH1639" s="40"/>
      <c r="AI1639" s="40"/>
      <c r="AJ1639" s="40"/>
      <c r="AK1639" s="40"/>
      <c r="AL1639" s="40"/>
      <c r="AM1639" s="40"/>
      <c r="AN1639" s="40"/>
      <c r="AO1639" s="40"/>
      <c r="AP1639" s="40"/>
      <c r="AQ1639" s="40"/>
      <c r="AR1639" s="31"/>
      <c r="AS1639" s="36">
        <v>0</v>
      </c>
      <c r="AY1639" s="6"/>
      <c r="AZ1639" s="2"/>
      <c r="BA1639" s="2"/>
      <c r="BB1639" s="2"/>
      <c r="BC1639">
        <v>71500</v>
      </c>
      <c r="BD1639">
        <v>56992</v>
      </c>
    </row>
    <row r="1640" spans="3:56" x14ac:dyDescent="0.25">
      <c r="C1640" s="1">
        <v>47260</v>
      </c>
      <c r="D1640" s="36">
        <v>255977.841935484</v>
      </c>
      <c r="E1640" s="33">
        <v>4.3290322580645197</v>
      </c>
      <c r="F1640" s="33">
        <v>3.48963290322581</v>
      </c>
      <c r="G1640" s="2">
        <v>0.80610000000000004</v>
      </c>
      <c r="H1640" s="2">
        <v>0.99</v>
      </c>
      <c r="I1640" s="3"/>
      <c r="J1640" s="3"/>
      <c r="K1640" s="3"/>
      <c r="L1640" s="3"/>
      <c r="M1640" s="3"/>
      <c r="N1640" s="3">
        <v>0</v>
      </c>
      <c r="O1640" s="3"/>
      <c r="P1640" s="3">
        <v>0</v>
      </c>
      <c r="Q1640" s="3">
        <v>0</v>
      </c>
      <c r="R1640" s="3">
        <v>0</v>
      </c>
      <c r="S1640" s="3">
        <v>0</v>
      </c>
      <c r="T1640" s="3">
        <v>0</v>
      </c>
      <c r="U1640" s="3"/>
      <c r="V1640" s="3"/>
      <c r="W1640" s="3"/>
      <c r="X1640" s="3"/>
      <c r="Y1640" s="3"/>
      <c r="Z1640" s="3"/>
      <c r="AA1640" s="3"/>
      <c r="AB1640" s="3"/>
      <c r="AC1640" s="3"/>
      <c r="AD1640" s="3"/>
      <c r="AE1640" s="3">
        <v>0</v>
      </c>
      <c r="AF1640" s="3">
        <v>0</v>
      </c>
      <c r="AG1640" s="3"/>
      <c r="AH1640" s="40"/>
      <c r="AI1640" s="40"/>
      <c r="AJ1640" s="40"/>
      <c r="AK1640" s="40"/>
      <c r="AL1640" s="40"/>
      <c r="AM1640" s="40"/>
      <c r="AN1640" s="40"/>
      <c r="AO1640" s="40"/>
      <c r="AP1640" s="40"/>
      <c r="AQ1640" s="40"/>
      <c r="AR1640" s="31"/>
      <c r="AS1640" s="36">
        <v>0</v>
      </c>
      <c r="AY1640" s="6"/>
      <c r="AZ1640" s="2"/>
      <c r="BA1640" s="2"/>
      <c r="BB1640" s="2"/>
      <c r="BC1640">
        <v>71500</v>
      </c>
      <c r="BD1640">
        <v>56992</v>
      </c>
    </row>
    <row r="1641" spans="3:56" x14ac:dyDescent="0.25">
      <c r="C1641" s="1">
        <v>47261</v>
      </c>
      <c r="D1641" s="36">
        <v>255977.841935484</v>
      </c>
      <c r="E1641" s="33">
        <v>4.3290322580645197</v>
      </c>
      <c r="F1641" s="33">
        <v>3.4895848028673799</v>
      </c>
      <c r="G1641" s="2">
        <v>0.80608888888888897</v>
      </c>
      <c r="H1641" s="2">
        <v>0.99</v>
      </c>
      <c r="I1641" s="3"/>
      <c r="J1641" s="3"/>
      <c r="K1641" s="3"/>
      <c r="L1641" s="3"/>
      <c r="M1641" s="3"/>
      <c r="N1641" s="3">
        <v>0</v>
      </c>
      <c r="O1641" s="3"/>
      <c r="P1641" s="3">
        <v>0</v>
      </c>
      <c r="Q1641" s="3">
        <v>0</v>
      </c>
      <c r="R1641" s="3">
        <v>0</v>
      </c>
      <c r="S1641" s="3">
        <v>0</v>
      </c>
      <c r="T1641" s="3">
        <v>0</v>
      </c>
      <c r="U1641" s="3"/>
      <c r="V1641" s="3"/>
      <c r="W1641" s="3"/>
      <c r="X1641" s="3"/>
      <c r="Y1641" s="3"/>
      <c r="Z1641" s="3"/>
      <c r="AA1641" s="3"/>
      <c r="AB1641" s="3"/>
      <c r="AC1641" s="3"/>
      <c r="AD1641" s="3"/>
      <c r="AE1641" s="3">
        <v>0</v>
      </c>
      <c r="AF1641" s="3">
        <v>0</v>
      </c>
      <c r="AG1641" s="3"/>
      <c r="AH1641" s="40"/>
      <c r="AI1641" s="40"/>
      <c r="AJ1641" s="40"/>
      <c r="AK1641" s="40"/>
      <c r="AL1641" s="40"/>
      <c r="AM1641" s="40"/>
      <c r="AN1641" s="40"/>
      <c r="AO1641" s="40"/>
      <c r="AP1641" s="40"/>
      <c r="AQ1641" s="40"/>
      <c r="AR1641" s="31"/>
      <c r="AS1641" s="36">
        <v>0</v>
      </c>
      <c r="AY1641" s="6"/>
      <c r="AZ1641" s="2"/>
      <c r="BA1641" s="2"/>
      <c r="BB1641" s="2"/>
      <c r="BC1641">
        <v>71500</v>
      </c>
      <c r="BD1641">
        <v>56992</v>
      </c>
    </row>
    <row r="1642" spans="3:56" x14ac:dyDescent="0.25">
      <c r="C1642" s="1">
        <v>47262</v>
      </c>
      <c r="D1642" s="36">
        <v>255977.841935484</v>
      </c>
      <c r="E1642" s="33">
        <v>4.3290322580645197</v>
      </c>
      <c r="F1642" s="33">
        <v>3.4895367025089601</v>
      </c>
      <c r="G1642" s="2">
        <v>0.806077777777778</v>
      </c>
      <c r="H1642" s="2">
        <v>0.99</v>
      </c>
      <c r="I1642" s="3"/>
      <c r="J1642" s="3"/>
      <c r="K1642" s="3"/>
      <c r="L1642" s="3"/>
      <c r="M1642" s="3"/>
      <c r="N1642" s="3">
        <v>0</v>
      </c>
      <c r="O1642" s="3"/>
      <c r="P1642" s="3">
        <v>0</v>
      </c>
      <c r="Q1642" s="3">
        <v>0</v>
      </c>
      <c r="R1642" s="3">
        <v>0</v>
      </c>
      <c r="S1642" s="3">
        <v>0</v>
      </c>
      <c r="T1642" s="3">
        <v>0</v>
      </c>
      <c r="U1642" s="3"/>
      <c r="V1642" s="3"/>
      <c r="W1642" s="3"/>
      <c r="X1642" s="3"/>
      <c r="Y1642" s="3"/>
      <c r="Z1642" s="3"/>
      <c r="AA1642" s="3"/>
      <c r="AB1642" s="3"/>
      <c r="AC1642" s="3"/>
      <c r="AD1642" s="3"/>
      <c r="AE1642" s="3">
        <v>0</v>
      </c>
      <c r="AF1642" s="3">
        <v>0</v>
      </c>
      <c r="AG1642" s="3"/>
      <c r="AH1642" s="40"/>
      <c r="AI1642" s="40"/>
      <c r="AJ1642" s="40"/>
      <c r="AK1642" s="40"/>
      <c r="AL1642" s="40"/>
      <c r="AM1642" s="40"/>
      <c r="AN1642" s="40"/>
      <c r="AO1642" s="40"/>
      <c r="AP1642" s="40"/>
      <c r="AQ1642" s="40"/>
      <c r="AR1642" s="31"/>
      <c r="AS1642" s="36">
        <v>0</v>
      </c>
      <c r="AY1642" s="6"/>
      <c r="AZ1642" s="2"/>
      <c r="BA1642" s="2"/>
      <c r="BB1642" s="2"/>
      <c r="BC1642">
        <v>71500</v>
      </c>
      <c r="BD1642">
        <v>56992</v>
      </c>
    </row>
    <row r="1643" spans="3:56" x14ac:dyDescent="0.25">
      <c r="C1643" s="1">
        <v>47263</v>
      </c>
      <c r="D1643" s="36">
        <v>255977.841935484</v>
      </c>
      <c r="E1643" s="33">
        <v>4.3290322580645197</v>
      </c>
      <c r="F1643" s="33">
        <v>3.4894886021505398</v>
      </c>
      <c r="G1643" s="2">
        <v>0.80606666666666704</v>
      </c>
      <c r="H1643" s="2">
        <v>0.99</v>
      </c>
      <c r="I1643" s="3"/>
      <c r="J1643" s="3"/>
      <c r="K1643" s="3"/>
      <c r="L1643" s="3"/>
      <c r="M1643" s="3"/>
      <c r="N1643" s="3">
        <v>0</v>
      </c>
      <c r="O1643" s="3"/>
      <c r="P1643" s="3">
        <v>0</v>
      </c>
      <c r="Q1643" s="3">
        <v>0</v>
      </c>
      <c r="R1643" s="3">
        <v>0</v>
      </c>
      <c r="S1643" s="3">
        <v>0</v>
      </c>
      <c r="T1643" s="3">
        <v>0</v>
      </c>
      <c r="U1643" s="3"/>
      <c r="V1643" s="3"/>
      <c r="W1643" s="3"/>
      <c r="X1643" s="3"/>
      <c r="Y1643" s="3"/>
      <c r="Z1643" s="3"/>
      <c r="AA1643" s="3"/>
      <c r="AB1643" s="3"/>
      <c r="AC1643" s="3"/>
      <c r="AD1643" s="3"/>
      <c r="AE1643" s="3">
        <v>0</v>
      </c>
      <c r="AF1643" s="3">
        <v>0</v>
      </c>
      <c r="AG1643" s="3"/>
      <c r="AH1643" s="40"/>
      <c r="AI1643" s="40"/>
      <c r="AJ1643" s="40"/>
      <c r="AK1643" s="40"/>
      <c r="AL1643" s="40"/>
      <c r="AM1643" s="40"/>
      <c r="AN1643" s="40"/>
      <c r="AO1643" s="40"/>
      <c r="AP1643" s="40"/>
      <c r="AQ1643" s="40"/>
      <c r="AR1643" s="31"/>
      <c r="AS1643" s="36">
        <v>0</v>
      </c>
      <c r="AY1643" s="6"/>
      <c r="AZ1643" s="2"/>
      <c r="BA1643" s="2"/>
      <c r="BB1643" s="2"/>
      <c r="BC1643">
        <v>71500</v>
      </c>
      <c r="BD1643">
        <v>56992</v>
      </c>
    </row>
    <row r="1644" spans="3:56" x14ac:dyDescent="0.25">
      <c r="C1644" s="1">
        <v>47264</v>
      </c>
      <c r="D1644" s="36">
        <v>255977.841935484</v>
      </c>
      <c r="E1644" s="33">
        <v>4.3290322580645197</v>
      </c>
      <c r="F1644" s="33">
        <v>3.4894405017921102</v>
      </c>
      <c r="G1644" s="2">
        <v>0.80605555555555597</v>
      </c>
      <c r="H1644" s="2">
        <v>0.99</v>
      </c>
      <c r="I1644" s="3"/>
      <c r="J1644" s="3"/>
      <c r="K1644" s="3"/>
      <c r="L1644" s="3"/>
      <c r="M1644" s="3"/>
      <c r="N1644" s="3">
        <v>0</v>
      </c>
      <c r="O1644" s="3"/>
      <c r="P1644" s="3">
        <v>0</v>
      </c>
      <c r="Q1644" s="3">
        <v>0</v>
      </c>
      <c r="R1644" s="3">
        <v>0</v>
      </c>
      <c r="S1644" s="3">
        <v>0</v>
      </c>
      <c r="T1644" s="3">
        <v>0</v>
      </c>
      <c r="U1644" s="3"/>
      <c r="V1644" s="3"/>
      <c r="W1644" s="3"/>
      <c r="X1644" s="3"/>
      <c r="Y1644" s="3"/>
      <c r="Z1644" s="3"/>
      <c r="AA1644" s="3"/>
      <c r="AB1644" s="3"/>
      <c r="AC1644" s="3"/>
      <c r="AD1644" s="3"/>
      <c r="AE1644" s="3">
        <v>0</v>
      </c>
      <c r="AF1644" s="3">
        <v>0</v>
      </c>
      <c r="AG1644" s="3"/>
      <c r="AH1644" s="40"/>
      <c r="AI1644" s="40"/>
      <c r="AJ1644" s="40"/>
      <c r="AK1644" s="40"/>
      <c r="AL1644" s="40"/>
      <c r="AM1644" s="40"/>
      <c r="AN1644" s="40"/>
      <c r="AO1644" s="40"/>
      <c r="AP1644" s="40"/>
      <c r="AQ1644" s="40"/>
      <c r="AR1644" s="31"/>
      <c r="AS1644" s="36">
        <v>0</v>
      </c>
      <c r="AY1644" s="6"/>
      <c r="AZ1644" s="2"/>
      <c r="BA1644" s="2"/>
      <c r="BB1644" s="2"/>
      <c r="BC1644">
        <v>71500</v>
      </c>
      <c r="BD1644">
        <v>56992</v>
      </c>
    </row>
    <row r="1645" spans="3:56" x14ac:dyDescent="0.25">
      <c r="C1645" s="1">
        <v>47265</v>
      </c>
      <c r="D1645" s="36">
        <v>255977.841935484</v>
      </c>
      <c r="E1645" s="33">
        <v>4.3290322580645197</v>
      </c>
      <c r="F1645" s="33">
        <v>3.4893924014336899</v>
      </c>
      <c r="G1645" s="2">
        <v>0.80604444444444401</v>
      </c>
      <c r="H1645" s="2">
        <v>0.99</v>
      </c>
      <c r="I1645" s="3"/>
      <c r="J1645" s="3"/>
      <c r="K1645" s="3"/>
      <c r="L1645" s="3"/>
      <c r="M1645" s="3"/>
      <c r="N1645" s="3">
        <v>0</v>
      </c>
      <c r="O1645" s="3"/>
      <c r="P1645" s="3">
        <v>0</v>
      </c>
      <c r="Q1645" s="3">
        <v>0</v>
      </c>
      <c r="R1645" s="3">
        <v>0</v>
      </c>
      <c r="S1645" s="3">
        <v>0</v>
      </c>
      <c r="T1645" s="3">
        <v>0</v>
      </c>
      <c r="U1645" s="3"/>
      <c r="V1645" s="3"/>
      <c r="W1645" s="3"/>
      <c r="X1645" s="3"/>
      <c r="Y1645" s="3"/>
      <c r="Z1645" s="3"/>
      <c r="AA1645" s="3"/>
      <c r="AB1645" s="3"/>
      <c r="AC1645" s="3"/>
      <c r="AD1645" s="3"/>
      <c r="AE1645" s="3">
        <v>0</v>
      </c>
      <c r="AF1645" s="3">
        <v>0</v>
      </c>
      <c r="AG1645" s="3"/>
      <c r="AH1645" s="40"/>
      <c r="AI1645" s="40"/>
      <c r="AJ1645" s="40"/>
      <c r="AK1645" s="40"/>
      <c r="AL1645" s="40"/>
      <c r="AM1645" s="40"/>
      <c r="AN1645" s="40"/>
      <c r="AO1645" s="40"/>
      <c r="AP1645" s="40"/>
      <c r="AQ1645" s="40"/>
      <c r="AR1645" s="31"/>
      <c r="AS1645" s="36">
        <v>0</v>
      </c>
      <c r="AY1645" s="6"/>
      <c r="AZ1645" s="2"/>
      <c r="BA1645" s="2"/>
      <c r="BB1645" s="2"/>
      <c r="BC1645">
        <v>71500</v>
      </c>
      <c r="BD1645">
        <v>56992</v>
      </c>
    </row>
    <row r="1646" spans="3:56" x14ac:dyDescent="0.25">
      <c r="C1646" s="1">
        <v>47266</v>
      </c>
      <c r="D1646" s="36">
        <v>255977.841935484</v>
      </c>
      <c r="E1646" s="33">
        <v>4.3290322580645197</v>
      </c>
      <c r="F1646" s="33">
        <v>3.48934430107527</v>
      </c>
      <c r="G1646" s="2">
        <v>0.80603333333333305</v>
      </c>
      <c r="H1646" s="2">
        <v>0.99</v>
      </c>
      <c r="I1646" s="3"/>
      <c r="J1646" s="3"/>
      <c r="K1646" s="3"/>
      <c r="L1646" s="3"/>
      <c r="M1646" s="3"/>
      <c r="N1646" s="3">
        <v>0</v>
      </c>
      <c r="O1646" s="3"/>
      <c r="P1646" s="3">
        <v>0</v>
      </c>
      <c r="Q1646" s="3">
        <v>0</v>
      </c>
      <c r="R1646" s="3">
        <v>0</v>
      </c>
      <c r="S1646" s="3">
        <v>0</v>
      </c>
      <c r="T1646" s="3">
        <v>0</v>
      </c>
      <c r="U1646" s="3"/>
      <c r="V1646" s="3"/>
      <c r="W1646" s="3"/>
      <c r="X1646" s="3"/>
      <c r="Y1646" s="3"/>
      <c r="Z1646" s="3"/>
      <c r="AA1646" s="3"/>
      <c r="AB1646" s="3"/>
      <c r="AC1646" s="3"/>
      <c r="AD1646" s="3"/>
      <c r="AE1646" s="3">
        <v>0</v>
      </c>
      <c r="AF1646" s="3">
        <v>0</v>
      </c>
      <c r="AG1646" s="3"/>
      <c r="AH1646" s="40"/>
      <c r="AI1646" s="40"/>
      <c r="AJ1646" s="40"/>
      <c r="AK1646" s="40"/>
      <c r="AL1646" s="40"/>
      <c r="AM1646" s="40"/>
      <c r="AN1646" s="40"/>
      <c r="AO1646" s="40"/>
      <c r="AP1646" s="40"/>
      <c r="AQ1646" s="40"/>
      <c r="AR1646" s="31"/>
      <c r="AS1646" s="36">
        <v>0</v>
      </c>
      <c r="AY1646" s="6"/>
      <c r="AZ1646" s="2"/>
      <c r="BA1646" s="2"/>
      <c r="BB1646" s="2"/>
      <c r="BC1646">
        <v>71500</v>
      </c>
      <c r="BD1646">
        <v>56992</v>
      </c>
    </row>
    <row r="1647" spans="3:56" x14ac:dyDescent="0.25">
      <c r="C1647" s="1">
        <v>47267</v>
      </c>
      <c r="D1647" s="36">
        <v>255977.841935484</v>
      </c>
      <c r="E1647" s="33">
        <v>4.3290322580645197</v>
      </c>
      <c r="F1647" s="33">
        <v>3.4892962007168502</v>
      </c>
      <c r="G1647" s="2">
        <v>0.80602222222222197</v>
      </c>
      <c r="H1647" s="2">
        <v>0.99</v>
      </c>
      <c r="I1647" s="3"/>
      <c r="J1647" s="3"/>
      <c r="K1647" s="3"/>
      <c r="L1647" s="3"/>
      <c r="M1647" s="3"/>
      <c r="N1647" s="3">
        <v>0</v>
      </c>
      <c r="O1647" s="3"/>
      <c r="P1647" s="3">
        <v>0</v>
      </c>
      <c r="Q1647" s="3">
        <v>0</v>
      </c>
      <c r="R1647" s="3">
        <v>0</v>
      </c>
      <c r="S1647" s="3">
        <v>0</v>
      </c>
      <c r="T1647" s="3">
        <v>0</v>
      </c>
      <c r="U1647" s="3"/>
      <c r="V1647" s="3"/>
      <c r="W1647" s="3"/>
      <c r="X1647" s="3"/>
      <c r="Y1647" s="3"/>
      <c r="Z1647" s="3"/>
      <c r="AA1647" s="3"/>
      <c r="AB1647" s="3"/>
      <c r="AC1647" s="3"/>
      <c r="AD1647" s="3"/>
      <c r="AE1647" s="3">
        <v>0</v>
      </c>
      <c r="AF1647" s="3">
        <v>0</v>
      </c>
      <c r="AG1647" s="3"/>
      <c r="AH1647" s="40"/>
      <c r="AI1647" s="40"/>
      <c r="AJ1647" s="40"/>
      <c r="AK1647" s="40"/>
      <c r="AL1647" s="40"/>
      <c r="AM1647" s="40"/>
      <c r="AN1647" s="40"/>
      <c r="AO1647" s="40"/>
      <c r="AP1647" s="40"/>
      <c r="AQ1647" s="40"/>
      <c r="AR1647" s="31"/>
      <c r="AS1647" s="36">
        <v>0</v>
      </c>
      <c r="AY1647" s="6"/>
      <c r="AZ1647" s="2"/>
      <c r="BA1647" s="2"/>
      <c r="BB1647" s="2"/>
      <c r="BC1647">
        <v>71500</v>
      </c>
      <c r="BD1647">
        <v>56992</v>
      </c>
    </row>
    <row r="1648" spans="3:56" x14ac:dyDescent="0.25">
      <c r="C1648" s="1">
        <v>47268</v>
      </c>
      <c r="D1648" s="36">
        <v>255977.841935484</v>
      </c>
      <c r="E1648" s="33">
        <v>4.3290322580645197</v>
      </c>
      <c r="F1648" s="33">
        <v>3.4892481003584201</v>
      </c>
      <c r="G1648" s="2">
        <v>0.80601111111111101</v>
      </c>
      <c r="H1648" s="2">
        <v>0.99</v>
      </c>
      <c r="I1648" s="3"/>
      <c r="J1648" s="3"/>
      <c r="K1648" s="3"/>
      <c r="L1648" s="3"/>
      <c r="M1648" s="3"/>
      <c r="N1648" s="3">
        <v>0</v>
      </c>
      <c r="O1648" s="3"/>
      <c r="P1648" s="3">
        <v>0</v>
      </c>
      <c r="Q1648" s="3">
        <v>0</v>
      </c>
      <c r="R1648" s="3">
        <v>0</v>
      </c>
      <c r="S1648" s="3">
        <v>0</v>
      </c>
      <c r="T1648" s="3">
        <v>0</v>
      </c>
      <c r="U1648" s="3"/>
      <c r="V1648" s="3"/>
      <c r="W1648" s="3"/>
      <c r="X1648" s="3"/>
      <c r="Y1648" s="3"/>
      <c r="Z1648" s="3"/>
      <c r="AA1648" s="3"/>
      <c r="AB1648" s="3"/>
      <c r="AC1648" s="3"/>
      <c r="AD1648" s="3"/>
      <c r="AE1648" s="3">
        <v>0</v>
      </c>
      <c r="AF1648" s="3">
        <v>0</v>
      </c>
      <c r="AG1648" s="3"/>
      <c r="AH1648" s="40"/>
      <c r="AI1648" s="40"/>
      <c r="AJ1648" s="40"/>
      <c r="AK1648" s="40"/>
      <c r="AL1648" s="40"/>
      <c r="AM1648" s="40"/>
      <c r="AN1648" s="40"/>
      <c r="AO1648" s="40"/>
      <c r="AP1648" s="40"/>
      <c r="AQ1648" s="40"/>
      <c r="AR1648" s="31"/>
      <c r="AS1648" s="36">
        <v>0</v>
      </c>
      <c r="AY1648" s="6"/>
      <c r="AZ1648" s="2"/>
      <c r="BA1648" s="2"/>
      <c r="BB1648" s="2"/>
      <c r="BC1648">
        <v>71500</v>
      </c>
      <c r="BD1648">
        <v>56992</v>
      </c>
    </row>
    <row r="1649" spans="3:56" x14ac:dyDescent="0.25">
      <c r="C1649" s="1">
        <v>47269</v>
      </c>
      <c r="D1649" s="36">
        <v>255977.841935484</v>
      </c>
      <c r="E1649" s="33">
        <v>4.3290322580645197</v>
      </c>
      <c r="F1649" s="33">
        <v>3.4891999999999999</v>
      </c>
      <c r="G1649" s="2">
        <v>0.80600000000000005</v>
      </c>
      <c r="H1649" s="2">
        <v>0.99</v>
      </c>
      <c r="I1649" s="3"/>
      <c r="J1649" s="3"/>
      <c r="K1649" s="3"/>
      <c r="L1649" s="3"/>
      <c r="M1649" s="3"/>
      <c r="N1649" s="3">
        <v>0</v>
      </c>
      <c r="O1649" s="3"/>
      <c r="P1649" s="3">
        <v>0</v>
      </c>
      <c r="Q1649" s="3">
        <v>0</v>
      </c>
      <c r="R1649" s="3">
        <v>0</v>
      </c>
      <c r="S1649" s="3">
        <v>0</v>
      </c>
      <c r="T1649" s="3">
        <v>0</v>
      </c>
      <c r="U1649" s="3"/>
      <c r="V1649" s="3"/>
      <c r="W1649" s="3"/>
      <c r="X1649" s="3"/>
      <c r="Y1649" s="3"/>
      <c r="Z1649" s="3"/>
      <c r="AA1649" s="3"/>
      <c r="AB1649" s="3"/>
      <c r="AC1649" s="3"/>
      <c r="AD1649" s="3"/>
      <c r="AE1649" s="3">
        <v>0</v>
      </c>
      <c r="AF1649" s="3">
        <v>0</v>
      </c>
      <c r="AG1649" s="3"/>
      <c r="AH1649" s="40"/>
      <c r="AI1649" s="40"/>
      <c r="AJ1649" s="40"/>
      <c r="AK1649" s="40"/>
      <c r="AL1649" s="40"/>
      <c r="AM1649" s="40"/>
      <c r="AN1649" s="40"/>
      <c r="AO1649" s="40"/>
      <c r="AP1649" s="40"/>
      <c r="AQ1649" s="40"/>
      <c r="AR1649" s="31"/>
      <c r="AS1649" s="36">
        <v>0</v>
      </c>
      <c r="AY1649" s="6"/>
      <c r="AZ1649" s="2"/>
      <c r="BA1649" s="2"/>
      <c r="BB1649" s="2"/>
      <c r="BC1649">
        <v>71500</v>
      </c>
      <c r="BD1649">
        <v>56992</v>
      </c>
    </row>
    <row r="1650" spans="3:56" x14ac:dyDescent="0.25">
      <c r="C1650" s="1">
        <v>47270</v>
      </c>
      <c r="D1650" s="36">
        <v>236808</v>
      </c>
      <c r="E1650" s="33">
        <v>4.1399999999999997</v>
      </c>
      <c r="F1650" s="33">
        <v>3.33684</v>
      </c>
      <c r="G1650" s="2">
        <v>0.80600000000000005</v>
      </c>
      <c r="H1650" s="2">
        <v>0.99</v>
      </c>
      <c r="I1650" s="3"/>
      <c r="J1650" s="3"/>
      <c r="K1650" s="3"/>
      <c r="L1650" s="3"/>
      <c r="M1650" s="3"/>
      <c r="N1650" s="3">
        <v>0</v>
      </c>
      <c r="O1650" s="3"/>
      <c r="P1650" s="3">
        <v>0</v>
      </c>
      <c r="Q1650" s="3">
        <v>0</v>
      </c>
      <c r="R1650" s="3">
        <v>0</v>
      </c>
      <c r="S1650" s="3">
        <v>0</v>
      </c>
      <c r="T1650" s="3">
        <v>0</v>
      </c>
      <c r="U1650" s="3"/>
      <c r="V1650" s="3"/>
      <c r="W1650" s="3"/>
      <c r="X1650" s="3"/>
      <c r="Y1650" s="3"/>
      <c r="Z1650" s="3"/>
      <c r="AA1650" s="3"/>
      <c r="AB1650" s="3"/>
      <c r="AC1650" s="3"/>
      <c r="AD1650" s="3"/>
      <c r="AE1650" s="3">
        <v>0</v>
      </c>
      <c r="AF1650" s="3">
        <v>0</v>
      </c>
      <c r="AG1650" s="3"/>
      <c r="AH1650" s="40"/>
      <c r="AI1650" s="40"/>
      <c r="AJ1650" s="40"/>
      <c r="AK1650" s="40"/>
      <c r="AL1650" s="40"/>
      <c r="AM1650" s="40"/>
      <c r="AN1650" s="40"/>
      <c r="AO1650" s="40"/>
      <c r="AP1650" s="40"/>
      <c r="AQ1650" s="40"/>
      <c r="AR1650" s="31"/>
      <c r="AS1650" s="36">
        <v>0</v>
      </c>
      <c r="AY1650" s="6"/>
      <c r="AZ1650" s="2"/>
      <c r="BA1650" s="2"/>
      <c r="BB1650" s="2"/>
      <c r="BC1650">
        <v>71500</v>
      </c>
      <c r="BD1650">
        <v>56992</v>
      </c>
    </row>
    <row r="1651" spans="3:56" x14ac:dyDescent="0.25">
      <c r="C1651" s="1">
        <v>47271</v>
      </c>
      <c r="D1651" s="36">
        <v>236808</v>
      </c>
      <c r="E1651" s="33">
        <v>4.1399999999999997</v>
      </c>
      <c r="F1651" s="33">
        <v>3.3367939999999998</v>
      </c>
      <c r="G1651" s="2">
        <v>0.80598888888888898</v>
      </c>
      <c r="H1651" s="2">
        <v>0.99</v>
      </c>
      <c r="I1651" s="3"/>
      <c r="J1651" s="3"/>
      <c r="K1651" s="3"/>
      <c r="L1651" s="3"/>
      <c r="M1651" s="3"/>
      <c r="N1651" s="3">
        <v>0</v>
      </c>
      <c r="O1651" s="3"/>
      <c r="P1651" s="3">
        <v>0</v>
      </c>
      <c r="Q1651" s="3">
        <v>0</v>
      </c>
      <c r="R1651" s="3">
        <v>0</v>
      </c>
      <c r="S1651" s="3">
        <v>0</v>
      </c>
      <c r="T1651" s="3">
        <v>0</v>
      </c>
      <c r="U1651" s="3"/>
      <c r="V1651" s="3"/>
      <c r="W1651" s="3"/>
      <c r="X1651" s="3"/>
      <c r="Y1651" s="3"/>
      <c r="Z1651" s="3"/>
      <c r="AA1651" s="3"/>
      <c r="AB1651" s="3"/>
      <c r="AC1651" s="3"/>
      <c r="AD1651" s="3"/>
      <c r="AE1651" s="3">
        <v>0</v>
      </c>
      <c r="AF1651" s="3">
        <v>0</v>
      </c>
      <c r="AG1651" s="3"/>
      <c r="AH1651" s="40"/>
      <c r="AI1651" s="40"/>
      <c r="AJ1651" s="40"/>
      <c r="AK1651" s="40"/>
      <c r="AL1651" s="40"/>
      <c r="AM1651" s="40"/>
      <c r="AN1651" s="40"/>
      <c r="AO1651" s="40"/>
      <c r="AP1651" s="40"/>
      <c r="AQ1651" s="40"/>
      <c r="AR1651" s="31"/>
      <c r="AS1651" s="36">
        <v>0</v>
      </c>
      <c r="AY1651" s="6"/>
      <c r="AZ1651" s="2"/>
      <c r="BA1651" s="2"/>
      <c r="BB1651" s="2"/>
      <c r="BC1651">
        <v>71500</v>
      </c>
      <c r="BD1651">
        <v>56992</v>
      </c>
    </row>
    <row r="1652" spans="3:56" x14ac:dyDescent="0.25">
      <c r="C1652" s="1">
        <v>47272</v>
      </c>
      <c r="D1652" s="36">
        <v>236808</v>
      </c>
      <c r="E1652" s="33">
        <v>4.1399999999999997</v>
      </c>
      <c r="F1652" s="33">
        <v>3.336748</v>
      </c>
      <c r="G1652" s="2">
        <v>0.80597777777777802</v>
      </c>
      <c r="H1652" s="2">
        <v>0.99</v>
      </c>
      <c r="I1652" s="3"/>
      <c r="J1652" s="3"/>
      <c r="K1652" s="3"/>
      <c r="L1652" s="3"/>
      <c r="M1652" s="3"/>
      <c r="N1652" s="3">
        <v>0</v>
      </c>
      <c r="O1652" s="3"/>
      <c r="P1652" s="3">
        <v>0</v>
      </c>
      <c r="Q1652" s="3">
        <v>0</v>
      </c>
      <c r="R1652" s="3">
        <v>0</v>
      </c>
      <c r="S1652" s="3">
        <v>0</v>
      </c>
      <c r="T1652" s="3">
        <v>0</v>
      </c>
      <c r="U1652" s="3"/>
      <c r="V1652" s="3"/>
      <c r="W1652" s="3"/>
      <c r="X1652" s="3"/>
      <c r="Y1652" s="3"/>
      <c r="Z1652" s="3"/>
      <c r="AA1652" s="3"/>
      <c r="AB1652" s="3"/>
      <c r="AC1652" s="3"/>
      <c r="AD1652" s="3"/>
      <c r="AE1652" s="3">
        <v>0</v>
      </c>
      <c r="AF1652" s="3">
        <v>0</v>
      </c>
      <c r="AG1652" s="3"/>
      <c r="AH1652" s="40"/>
      <c r="AI1652" s="40"/>
      <c r="AJ1652" s="40"/>
      <c r="AK1652" s="40"/>
      <c r="AL1652" s="40"/>
      <c r="AM1652" s="40"/>
      <c r="AN1652" s="40"/>
      <c r="AO1652" s="40"/>
      <c r="AP1652" s="40"/>
      <c r="AQ1652" s="40"/>
      <c r="AR1652" s="31"/>
      <c r="AS1652" s="36">
        <v>0</v>
      </c>
      <c r="AY1652" s="6"/>
      <c r="AZ1652" s="2"/>
      <c r="BA1652" s="2"/>
      <c r="BB1652" s="2"/>
      <c r="BC1652">
        <v>71500</v>
      </c>
      <c r="BD1652">
        <v>56992</v>
      </c>
    </row>
    <row r="1653" spans="3:56" x14ac:dyDescent="0.25">
      <c r="C1653" s="1">
        <v>47273</v>
      </c>
      <c r="D1653" s="36">
        <v>236808</v>
      </c>
      <c r="E1653" s="33">
        <v>4.1399999999999997</v>
      </c>
      <c r="F1653" s="33">
        <v>3.3367019999999998</v>
      </c>
      <c r="G1653" s="2">
        <v>0.80596666666666705</v>
      </c>
      <c r="H1653" s="2">
        <v>0.99</v>
      </c>
      <c r="I1653" s="3"/>
      <c r="J1653" s="3"/>
      <c r="K1653" s="3"/>
      <c r="L1653" s="3"/>
      <c r="M1653" s="3"/>
      <c r="N1653" s="3">
        <v>0</v>
      </c>
      <c r="O1653" s="3"/>
      <c r="P1653" s="3">
        <v>0</v>
      </c>
      <c r="Q1653" s="3">
        <v>0</v>
      </c>
      <c r="R1653" s="3">
        <v>0</v>
      </c>
      <c r="S1653" s="3">
        <v>0</v>
      </c>
      <c r="T1653" s="3">
        <v>0</v>
      </c>
      <c r="U1653" s="3"/>
      <c r="V1653" s="3"/>
      <c r="W1653" s="3"/>
      <c r="X1653" s="3"/>
      <c r="Y1653" s="3"/>
      <c r="Z1653" s="3"/>
      <c r="AA1653" s="3"/>
      <c r="AB1653" s="3"/>
      <c r="AC1653" s="3"/>
      <c r="AD1653" s="3"/>
      <c r="AE1653" s="3">
        <v>0</v>
      </c>
      <c r="AF1653" s="3">
        <v>0</v>
      </c>
      <c r="AG1653" s="3"/>
      <c r="AH1653" s="40"/>
      <c r="AI1653" s="40"/>
      <c r="AJ1653" s="40"/>
      <c r="AK1653" s="40"/>
      <c r="AL1653" s="40"/>
      <c r="AM1653" s="40"/>
      <c r="AN1653" s="40"/>
      <c r="AO1653" s="40"/>
      <c r="AP1653" s="40"/>
      <c r="AQ1653" s="40"/>
      <c r="AR1653" s="31"/>
      <c r="AS1653" s="36">
        <v>0</v>
      </c>
      <c r="AY1653" s="6"/>
      <c r="AZ1653" s="2"/>
      <c r="BA1653" s="2"/>
      <c r="BB1653" s="2"/>
      <c r="BC1653">
        <v>71500</v>
      </c>
      <c r="BD1653">
        <v>56992</v>
      </c>
    </row>
    <row r="1654" spans="3:56" x14ac:dyDescent="0.25">
      <c r="C1654" s="1">
        <v>47274</v>
      </c>
      <c r="D1654" s="36">
        <v>236808</v>
      </c>
      <c r="E1654" s="33">
        <v>4.1399999999999997</v>
      </c>
      <c r="F1654" s="33">
        <v>3.3366560000000001</v>
      </c>
      <c r="G1654" s="2">
        <v>0.80595555555555598</v>
      </c>
      <c r="H1654" s="2">
        <v>0.99</v>
      </c>
      <c r="I1654" s="3"/>
      <c r="J1654" s="3"/>
      <c r="K1654" s="3"/>
      <c r="L1654" s="3"/>
      <c r="M1654" s="3"/>
      <c r="N1654" s="3">
        <v>0</v>
      </c>
      <c r="O1654" s="3"/>
      <c r="P1654" s="3">
        <v>0</v>
      </c>
      <c r="Q1654" s="3">
        <v>0</v>
      </c>
      <c r="R1654" s="3">
        <v>0</v>
      </c>
      <c r="S1654" s="3">
        <v>0</v>
      </c>
      <c r="T1654" s="3">
        <v>0</v>
      </c>
      <c r="U1654" s="3"/>
      <c r="V1654" s="3"/>
      <c r="W1654" s="3"/>
      <c r="X1654" s="3"/>
      <c r="Y1654" s="3"/>
      <c r="Z1654" s="3"/>
      <c r="AA1654" s="3"/>
      <c r="AB1654" s="3"/>
      <c r="AC1654" s="3"/>
      <c r="AD1654" s="3"/>
      <c r="AE1654" s="3">
        <v>0</v>
      </c>
      <c r="AF1654" s="3">
        <v>0</v>
      </c>
      <c r="AG1654" s="3"/>
      <c r="AH1654" s="40"/>
      <c r="AI1654" s="40"/>
      <c r="AJ1654" s="40"/>
      <c r="AK1654" s="40"/>
      <c r="AL1654" s="40"/>
      <c r="AM1654" s="40"/>
      <c r="AN1654" s="40"/>
      <c r="AO1654" s="40"/>
      <c r="AP1654" s="40"/>
      <c r="AQ1654" s="40"/>
      <c r="AR1654" s="31"/>
      <c r="AS1654" s="36">
        <v>0</v>
      </c>
      <c r="AY1654" s="6"/>
      <c r="AZ1654" s="2"/>
      <c r="BA1654" s="2"/>
      <c r="BB1654" s="2"/>
      <c r="BC1654">
        <v>71500</v>
      </c>
      <c r="BD1654">
        <v>56992</v>
      </c>
    </row>
    <row r="1655" spans="3:56" x14ac:dyDescent="0.25">
      <c r="C1655" s="1">
        <v>47275</v>
      </c>
      <c r="D1655" s="36">
        <v>236808</v>
      </c>
      <c r="E1655" s="33">
        <v>4.1399999999999997</v>
      </c>
      <c r="F1655" s="33">
        <v>3.3366099999999999</v>
      </c>
      <c r="G1655" s="2">
        <v>0.80594444444444402</v>
      </c>
      <c r="H1655" s="2">
        <v>0.99</v>
      </c>
      <c r="I1655" s="3"/>
      <c r="J1655" s="3"/>
      <c r="K1655" s="3"/>
      <c r="L1655" s="3"/>
      <c r="M1655" s="3"/>
      <c r="N1655" s="3">
        <v>0</v>
      </c>
      <c r="O1655" s="3"/>
      <c r="P1655" s="3">
        <v>0</v>
      </c>
      <c r="Q1655" s="3">
        <v>0</v>
      </c>
      <c r="R1655" s="3">
        <v>0</v>
      </c>
      <c r="S1655" s="3">
        <v>0</v>
      </c>
      <c r="T1655" s="3">
        <v>0</v>
      </c>
      <c r="U1655" s="3"/>
      <c r="V1655" s="3"/>
      <c r="W1655" s="3"/>
      <c r="X1655" s="3"/>
      <c r="Y1655" s="3"/>
      <c r="Z1655" s="3"/>
      <c r="AA1655" s="3"/>
      <c r="AB1655" s="3"/>
      <c r="AC1655" s="3"/>
      <c r="AD1655" s="3"/>
      <c r="AE1655" s="3">
        <v>0</v>
      </c>
      <c r="AF1655" s="3">
        <v>0</v>
      </c>
      <c r="AG1655" s="3"/>
      <c r="AH1655" s="40"/>
      <c r="AI1655" s="40"/>
      <c r="AJ1655" s="40"/>
      <c r="AK1655" s="40"/>
      <c r="AL1655" s="40"/>
      <c r="AM1655" s="40"/>
      <c r="AN1655" s="40"/>
      <c r="AO1655" s="40"/>
      <c r="AP1655" s="40"/>
      <c r="AQ1655" s="40"/>
      <c r="AR1655" s="31"/>
      <c r="AS1655" s="36">
        <v>0</v>
      </c>
      <c r="AY1655" s="6"/>
      <c r="AZ1655" s="2"/>
      <c r="BA1655" s="2"/>
      <c r="BB1655" s="2"/>
      <c r="BC1655">
        <v>71500</v>
      </c>
      <c r="BD1655">
        <v>56992</v>
      </c>
    </row>
    <row r="1656" spans="3:56" x14ac:dyDescent="0.25">
      <c r="C1656" s="1">
        <v>47276</v>
      </c>
      <c r="D1656" s="36">
        <v>236808</v>
      </c>
      <c r="E1656" s="33">
        <v>4.1399999999999997</v>
      </c>
      <c r="F1656" s="33">
        <v>3.3365640000000001</v>
      </c>
      <c r="G1656" s="2">
        <v>0.80593333333333295</v>
      </c>
      <c r="H1656" s="2">
        <v>0.99</v>
      </c>
      <c r="I1656" s="3"/>
      <c r="J1656" s="3"/>
      <c r="K1656" s="3"/>
      <c r="L1656" s="3"/>
      <c r="M1656" s="3"/>
      <c r="N1656" s="3">
        <v>0</v>
      </c>
      <c r="O1656" s="3"/>
      <c r="P1656" s="3">
        <v>0</v>
      </c>
      <c r="Q1656" s="3">
        <v>0</v>
      </c>
      <c r="R1656" s="3">
        <v>0</v>
      </c>
      <c r="S1656" s="3">
        <v>0</v>
      </c>
      <c r="T1656" s="3">
        <v>0</v>
      </c>
      <c r="U1656" s="3"/>
      <c r="V1656" s="3"/>
      <c r="W1656" s="3"/>
      <c r="X1656" s="3"/>
      <c r="Y1656" s="3"/>
      <c r="Z1656" s="3"/>
      <c r="AA1656" s="3"/>
      <c r="AB1656" s="3"/>
      <c r="AC1656" s="3"/>
      <c r="AD1656" s="3"/>
      <c r="AE1656" s="3">
        <v>0</v>
      </c>
      <c r="AF1656" s="3">
        <v>0</v>
      </c>
      <c r="AG1656" s="3"/>
      <c r="AH1656" s="40"/>
      <c r="AI1656" s="40"/>
      <c r="AJ1656" s="40"/>
      <c r="AK1656" s="40"/>
      <c r="AL1656" s="40"/>
      <c r="AM1656" s="40"/>
      <c r="AN1656" s="40"/>
      <c r="AO1656" s="40"/>
      <c r="AP1656" s="40"/>
      <c r="AQ1656" s="40"/>
      <c r="AR1656" s="31"/>
      <c r="AS1656" s="36">
        <v>0</v>
      </c>
      <c r="AY1656" s="6"/>
      <c r="AZ1656" s="2"/>
      <c r="BA1656" s="2"/>
      <c r="BB1656" s="2"/>
      <c r="BC1656">
        <v>71500</v>
      </c>
      <c r="BD1656">
        <v>56992</v>
      </c>
    </row>
    <row r="1657" spans="3:56" x14ac:dyDescent="0.25">
      <c r="C1657" s="1">
        <v>47277</v>
      </c>
      <c r="D1657" s="36">
        <v>236808</v>
      </c>
      <c r="E1657" s="33">
        <v>4.1399999999999997</v>
      </c>
      <c r="F1657" s="33">
        <v>3.3365179999999999</v>
      </c>
      <c r="G1657" s="2">
        <v>0.80592222222222198</v>
      </c>
      <c r="H1657" s="2">
        <v>0.99</v>
      </c>
      <c r="I1657" s="3"/>
      <c r="J1657" s="3"/>
      <c r="K1657" s="3"/>
      <c r="L1657" s="3"/>
      <c r="M1657" s="3"/>
      <c r="N1657" s="3">
        <v>0</v>
      </c>
      <c r="O1657" s="3"/>
      <c r="P1657" s="3">
        <v>0</v>
      </c>
      <c r="Q1657" s="3">
        <v>0</v>
      </c>
      <c r="R1657" s="3">
        <v>0</v>
      </c>
      <c r="S1657" s="3">
        <v>0</v>
      </c>
      <c r="T1657" s="3">
        <v>0</v>
      </c>
      <c r="U1657" s="3"/>
      <c r="V1657" s="3"/>
      <c r="W1657" s="3"/>
      <c r="X1657" s="3"/>
      <c r="Y1657" s="3"/>
      <c r="Z1657" s="3"/>
      <c r="AA1657" s="3"/>
      <c r="AB1657" s="3"/>
      <c r="AC1657" s="3"/>
      <c r="AD1657" s="3"/>
      <c r="AE1657" s="3">
        <v>0</v>
      </c>
      <c r="AF1657" s="3">
        <v>0</v>
      </c>
      <c r="AG1657" s="3"/>
      <c r="AH1657" s="40"/>
      <c r="AI1657" s="40"/>
      <c r="AJ1657" s="40"/>
      <c r="AK1657" s="40"/>
      <c r="AL1657" s="40"/>
      <c r="AM1657" s="40"/>
      <c r="AN1657" s="40"/>
      <c r="AO1657" s="40"/>
      <c r="AP1657" s="40"/>
      <c r="AQ1657" s="40"/>
      <c r="AR1657" s="31"/>
      <c r="AS1657" s="36">
        <v>0</v>
      </c>
      <c r="AY1657" s="6"/>
      <c r="AZ1657" s="2"/>
      <c r="BA1657" s="2"/>
      <c r="BB1657" s="2"/>
      <c r="BC1657">
        <v>71500</v>
      </c>
      <c r="BD1657">
        <v>56992</v>
      </c>
    </row>
    <row r="1658" spans="3:56" x14ac:dyDescent="0.25">
      <c r="C1658" s="1">
        <v>47278</v>
      </c>
      <c r="D1658" s="36">
        <v>236808</v>
      </c>
      <c r="E1658" s="33">
        <v>4.1399999999999997</v>
      </c>
      <c r="F1658" s="33">
        <v>3.3364720000000001</v>
      </c>
      <c r="G1658" s="2">
        <v>0.80591111111111102</v>
      </c>
      <c r="H1658" s="2">
        <v>0.99</v>
      </c>
      <c r="I1658" s="3"/>
      <c r="J1658" s="3"/>
      <c r="K1658" s="3"/>
      <c r="L1658" s="3"/>
      <c r="M1658" s="3"/>
      <c r="N1658" s="3">
        <v>0</v>
      </c>
      <c r="O1658" s="3"/>
      <c r="P1658" s="3">
        <v>0</v>
      </c>
      <c r="Q1658" s="3">
        <v>0</v>
      </c>
      <c r="R1658" s="3">
        <v>0</v>
      </c>
      <c r="S1658" s="3">
        <v>0</v>
      </c>
      <c r="T1658" s="3">
        <v>0</v>
      </c>
      <c r="U1658" s="3"/>
      <c r="V1658" s="3"/>
      <c r="W1658" s="3"/>
      <c r="X1658" s="3"/>
      <c r="Y1658" s="3"/>
      <c r="Z1658" s="3"/>
      <c r="AA1658" s="3"/>
      <c r="AB1658" s="3"/>
      <c r="AC1658" s="3"/>
      <c r="AD1658" s="3"/>
      <c r="AE1658" s="3">
        <v>0</v>
      </c>
      <c r="AF1658" s="3">
        <v>0</v>
      </c>
      <c r="AG1658" s="3"/>
      <c r="AH1658" s="40"/>
      <c r="AI1658" s="40"/>
      <c r="AJ1658" s="40"/>
      <c r="AK1658" s="40"/>
      <c r="AL1658" s="40"/>
      <c r="AM1658" s="40"/>
      <c r="AN1658" s="40"/>
      <c r="AO1658" s="40"/>
      <c r="AP1658" s="40"/>
      <c r="AQ1658" s="40"/>
      <c r="AR1658" s="31"/>
      <c r="AS1658" s="36">
        <v>0</v>
      </c>
      <c r="AY1658" s="6"/>
      <c r="AZ1658" s="2"/>
      <c r="BA1658" s="2"/>
      <c r="BB1658" s="2"/>
      <c r="BC1658">
        <v>71500</v>
      </c>
      <c r="BD1658">
        <v>56992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4D62-9713-4CA5-A017-D46A965AEDF5}">
  <dimension ref="A2:E22"/>
  <sheetViews>
    <sheetView workbookViewId="0">
      <selection activeCell="C9" sqref="C9"/>
    </sheetView>
  </sheetViews>
  <sheetFormatPr defaultRowHeight="15" x14ac:dyDescent="0.25"/>
  <cols>
    <col min="1" max="1" width="11" bestFit="1" customWidth="1"/>
    <col min="2" max="2" width="17.42578125" bestFit="1" customWidth="1"/>
    <col min="3" max="4" width="24.28515625" bestFit="1" customWidth="1"/>
    <col min="5" max="5" width="40.140625" bestFit="1" customWidth="1"/>
    <col min="6" max="6" width="23.28515625" bestFit="1" customWidth="1"/>
  </cols>
  <sheetData>
    <row r="2" spans="1:5" x14ac:dyDescent="0.25">
      <c r="A2" s="43" t="s">
        <v>178</v>
      </c>
      <c r="B2" s="43" t="s">
        <v>179</v>
      </c>
      <c r="C2" t="s">
        <v>180</v>
      </c>
      <c r="D2" t="s">
        <v>181</v>
      </c>
      <c r="E2" t="s">
        <v>182</v>
      </c>
    </row>
    <row r="3" spans="1:5" x14ac:dyDescent="0.25">
      <c r="A3" t="s">
        <v>183</v>
      </c>
      <c r="B3" t="s">
        <v>184</v>
      </c>
      <c r="C3">
        <v>880168</v>
      </c>
      <c r="D3">
        <v>880168</v>
      </c>
      <c r="E3">
        <v>880168</v>
      </c>
    </row>
    <row r="4" spans="1:5" x14ac:dyDescent="0.25">
      <c r="A4" t="s">
        <v>185</v>
      </c>
      <c r="C4" s="32">
        <v>880168</v>
      </c>
      <c r="D4" s="32">
        <v>880168</v>
      </c>
      <c r="E4" s="32">
        <v>880168</v>
      </c>
    </row>
    <row r="5" spans="1:5" x14ac:dyDescent="0.25">
      <c r="A5" t="s">
        <v>186</v>
      </c>
      <c r="B5" t="s">
        <v>187</v>
      </c>
      <c r="C5" s="32">
        <v>6476633.5000000009</v>
      </c>
      <c r="D5" s="32">
        <v>6700932.7560000001</v>
      </c>
      <c r="E5" s="32">
        <v>6765321.4299999997</v>
      </c>
    </row>
    <row r="6" spans="1:5" x14ac:dyDescent="0.25">
      <c r="B6" t="s">
        <v>188</v>
      </c>
      <c r="C6" s="32">
        <v>6399370.3300000001</v>
      </c>
      <c r="D6" s="32">
        <v>6616000.5899999989</v>
      </c>
      <c r="E6" s="32">
        <v>6616000.5899999989</v>
      </c>
    </row>
    <row r="7" spans="1:5" x14ac:dyDescent="0.25">
      <c r="B7" t="s">
        <v>189</v>
      </c>
      <c r="C7" s="32">
        <v>7108889.6699999999</v>
      </c>
      <c r="D7" s="32">
        <v>7219550</v>
      </c>
      <c r="E7" s="32">
        <v>7219550</v>
      </c>
    </row>
    <row r="8" spans="1:5" x14ac:dyDescent="0.25">
      <c r="B8" t="s">
        <v>190</v>
      </c>
      <c r="C8" s="32">
        <v>6745867.8399999999</v>
      </c>
      <c r="D8" s="32">
        <v>6994868.0599999996</v>
      </c>
      <c r="E8" s="32">
        <v>6994868.0599999996</v>
      </c>
    </row>
    <row r="9" spans="1:5" x14ac:dyDescent="0.25">
      <c r="B9" t="s">
        <v>174</v>
      </c>
      <c r="C9" s="32">
        <v>7656075</v>
      </c>
      <c r="D9" s="32">
        <v>7863240.7800000003</v>
      </c>
      <c r="E9" s="32">
        <v>7863240.7800000003</v>
      </c>
    </row>
    <row r="10" spans="1:5" x14ac:dyDescent="0.25">
      <c r="B10" t="s">
        <v>191</v>
      </c>
      <c r="C10" s="32">
        <v>7002048.5000000009</v>
      </c>
      <c r="D10" s="32">
        <v>7182480.9900000002</v>
      </c>
      <c r="E10" s="32">
        <v>7182480.9900000002</v>
      </c>
    </row>
    <row r="11" spans="1:5" x14ac:dyDescent="0.25">
      <c r="B11" t="s">
        <v>192</v>
      </c>
      <c r="C11" s="32">
        <v>8350819.3300000001</v>
      </c>
      <c r="D11" s="32">
        <v>8497574.2899999991</v>
      </c>
      <c r="E11" s="32">
        <v>8497574.2899999991</v>
      </c>
    </row>
    <row r="12" spans="1:5" x14ac:dyDescent="0.25">
      <c r="B12" t="s">
        <v>193</v>
      </c>
      <c r="C12" s="32">
        <v>6746830.8499999996</v>
      </c>
      <c r="D12" s="32">
        <v>6970899.3399999999</v>
      </c>
      <c r="E12" s="32">
        <v>6970899.3399999999</v>
      </c>
    </row>
    <row r="13" spans="1:5" x14ac:dyDescent="0.25">
      <c r="B13" t="s">
        <v>194</v>
      </c>
      <c r="C13" s="32">
        <v>7412533.8200000003</v>
      </c>
      <c r="D13" s="32">
        <v>7627301.5</v>
      </c>
      <c r="E13" s="32">
        <v>7627301.5</v>
      </c>
    </row>
    <row r="14" spans="1:5" x14ac:dyDescent="0.25">
      <c r="B14" t="s">
        <v>195</v>
      </c>
      <c r="C14" s="32"/>
      <c r="D14" s="32">
        <v>1639067</v>
      </c>
      <c r="E14" s="32">
        <v>1639067</v>
      </c>
    </row>
    <row r="15" spans="1:5" x14ac:dyDescent="0.25">
      <c r="B15" t="s">
        <v>196</v>
      </c>
      <c r="D15">
        <v>0</v>
      </c>
      <c r="E15">
        <v>0</v>
      </c>
    </row>
    <row r="16" spans="1:5" x14ac:dyDescent="0.25">
      <c r="B16" t="s">
        <v>184</v>
      </c>
      <c r="D16">
        <v>0</v>
      </c>
      <c r="E16">
        <v>0</v>
      </c>
    </row>
    <row r="17" spans="1:5" x14ac:dyDescent="0.25">
      <c r="A17" t="s">
        <v>197</v>
      </c>
      <c r="C17">
        <v>63899068.840000004</v>
      </c>
      <c r="D17">
        <v>67311915.305999994</v>
      </c>
      <c r="E17">
        <v>67376303.980000004</v>
      </c>
    </row>
    <row r="18" spans="1:5" x14ac:dyDescent="0.25">
      <c r="A18" t="s">
        <v>198</v>
      </c>
      <c r="D18">
        <v>0</v>
      </c>
      <c r="E18">
        <v>0</v>
      </c>
    </row>
    <row r="19" spans="1:5" x14ac:dyDescent="0.25">
      <c r="A19" t="s">
        <v>199</v>
      </c>
      <c r="D19">
        <v>0</v>
      </c>
      <c r="E19">
        <v>0</v>
      </c>
    </row>
    <row r="20" spans="1:5" x14ac:dyDescent="0.25">
      <c r="A20" t="s">
        <v>200</v>
      </c>
      <c r="D20">
        <v>0</v>
      </c>
      <c r="E20">
        <v>0</v>
      </c>
    </row>
    <row r="21" spans="1:5" x14ac:dyDescent="0.25">
      <c r="A21" t="s">
        <v>201</v>
      </c>
      <c r="D21">
        <v>0</v>
      </c>
      <c r="E21">
        <v>0</v>
      </c>
    </row>
    <row r="22" spans="1:5" x14ac:dyDescent="0.25">
      <c r="A22" t="s">
        <v>202</v>
      </c>
      <c r="C22">
        <v>64779236.840000004</v>
      </c>
      <c r="D22">
        <v>68192083.305999994</v>
      </c>
      <c r="E22">
        <v>68256471.980000004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9323-5CD6-451C-931B-959975679BE3}">
  <dimension ref="A1:BJ34"/>
  <sheetViews>
    <sheetView workbookViewId="0"/>
  </sheetViews>
  <sheetFormatPr defaultRowHeight="15" x14ac:dyDescent="0.25"/>
  <cols>
    <col min="1" max="1" width="10.42578125" bestFit="1" customWidth="1"/>
    <col min="2" max="2" width="15.5703125" bestFit="1" customWidth="1"/>
    <col min="3" max="4" width="9.28515625" bestFit="1" customWidth="1"/>
    <col min="6" max="6" width="13.42578125" bestFit="1" customWidth="1"/>
    <col min="12" max="12" width="41.5703125" bestFit="1" customWidth="1"/>
    <col min="13" max="13" width="42.7109375" bestFit="1" customWidth="1"/>
    <col min="14" max="14" width="39.28515625" bestFit="1" customWidth="1"/>
    <col min="15" max="15" width="43.140625" bestFit="1" customWidth="1"/>
    <col min="16" max="16" width="24.42578125" bestFit="1" customWidth="1"/>
    <col min="17" max="17" width="30.140625" bestFit="1" customWidth="1"/>
    <col min="18" max="18" width="35.42578125" bestFit="1" customWidth="1"/>
    <col min="19" max="19" width="30" bestFit="1" customWidth="1"/>
    <col min="20" max="20" width="31" bestFit="1" customWidth="1"/>
    <col min="31" max="31" width="28.5703125" bestFit="1" customWidth="1"/>
    <col min="32" max="32" width="38.28515625" bestFit="1" customWidth="1"/>
    <col min="33" max="33" width="33" bestFit="1" customWidth="1"/>
    <col min="34" max="34" width="23.28515625" bestFit="1" customWidth="1"/>
    <col min="35" max="35" width="24.140625" bestFit="1" customWidth="1"/>
    <col min="45" max="45" width="9.7109375" bestFit="1" customWidth="1"/>
    <col min="46" max="46" width="25.7109375" bestFit="1" customWidth="1"/>
    <col min="47" max="47" width="30.7109375" bestFit="1" customWidth="1"/>
    <col min="48" max="48" width="31.85546875" bestFit="1" customWidth="1"/>
    <col min="54" max="54" width="14.5703125" bestFit="1" customWidth="1"/>
    <col min="55" max="55" width="30" bestFit="1" customWidth="1"/>
    <col min="56" max="56" width="20.42578125" bestFit="1" customWidth="1"/>
    <col min="57" max="57" width="24.140625" bestFit="1" customWidth="1"/>
    <col min="58" max="58" width="20.5703125" bestFit="1" customWidth="1"/>
    <col min="59" max="59" width="13.85546875" bestFit="1" customWidth="1"/>
    <col min="60" max="60" width="20.7109375" bestFit="1" customWidth="1"/>
    <col min="61" max="61" width="21.7109375" bestFit="1" customWidth="1"/>
    <col min="62" max="62" width="63.140625" bestFit="1" customWidth="1"/>
  </cols>
  <sheetData>
    <row r="1" spans="1:62" x14ac:dyDescent="0.25">
      <c r="A1" s="5" t="s">
        <v>203</v>
      </c>
    </row>
    <row r="3" spans="1:62" x14ac:dyDescent="0.25">
      <c r="A3" t="s">
        <v>14</v>
      </c>
      <c r="B3" t="s">
        <v>18</v>
      </c>
      <c r="C3" t="s">
        <v>19</v>
      </c>
      <c r="D3" t="s">
        <v>20</v>
      </c>
      <c r="E3" t="s">
        <v>21</v>
      </c>
      <c r="F3" t="s">
        <v>22</v>
      </c>
      <c r="G3" t="s">
        <v>23</v>
      </c>
      <c r="H3" t="s">
        <v>24</v>
      </c>
      <c r="I3" t="s">
        <v>25</v>
      </c>
      <c r="J3" t="s">
        <v>26</v>
      </c>
      <c r="K3" t="s">
        <v>27</v>
      </c>
      <c r="L3" t="s">
        <v>80</v>
      </c>
      <c r="M3" t="s">
        <v>81</v>
      </c>
      <c r="N3" t="s">
        <v>82</v>
      </c>
      <c r="O3" t="s">
        <v>83</v>
      </c>
      <c r="P3" t="s">
        <v>30</v>
      </c>
      <c r="Q3" t="s">
        <v>84</v>
      </c>
      <c r="R3" t="s">
        <v>31</v>
      </c>
      <c r="S3" t="s">
        <v>85</v>
      </c>
      <c r="T3" t="s">
        <v>204</v>
      </c>
      <c r="U3" t="s">
        <v>32</v>
      </c>
      <c r="V3" t="s">
        <v>33</v>
      </c>
      <c r="W3" t="s">
        <v>34</v>
      </c>
      <c r="X3" t="s">
        <v>35</v>
      </c>
      <c r="Y3" t="s">
        <v>36</v>
      </c>
      <c r="Z3" t="s">
        <v>37</v>
      </c>
      <c r="AA3" t="s">
        <v>38</v>
      </c>
      <c r="AB3" t="s">
        <v>39</v>
      </c>
      <c r="AC3" t="s">
        <v>40</v>
      </c>
      <c r="AD3" t="s">
        <v>41</v>
      </c>
      <c r="AE3" t="s">
        <v>42</v>
      </c>
      <c r="AF3" t="s">
        <v>86</v>
      </c>
      <c r="AG3" t="s">
        <v>43</v>
      </c>
      <c r="AH3" t="s">
        <v>87</v>
      </c>
      <c r="AI3" t="s">
        <v>88</v>
      </c>
      <c r="AJ3" t="s">
        <v>44</v>
      </c>
      <c r="AK3" t="s">
        <v>45</v>
      </c>
      <c r="AL3" t="s">
        <v>46</v>
      </c>
      <c r="AM3" t="s">
        <v>47</v>
      </c>
      <c r="AN3" t="s">
        <v>48</v>
      </c>
      <c r="AO3" t="s">
        <v>49</v>
      </c>
      <c r="AP3" t="s">
        <v>50</v>
      </c>
      <c r="AQ3" t="s">
        <v>51</v>
      </c>
      <c r="AR3" t="s">
        <v>52</v>
      </c>
      <c r="AS3" t="s">
        <v>53</v>
      </c>
      <c r="AT3" t="s">
        <v>54</v>
      </c>
      <c r="AU3" t="s">
        <v>89</v>
      </c>
      <c r="AV3" t="s">
        <v>90</v>
      </c>
      <c r="AW3" t="s">
        <v>56</v>
      </c>
      <c r="AX3" t="s">
        <v>57</v>
      </c>
      <c r="AY3" t="s">
        <v>58</v>
      </c>
      <c r="AZ3" t="s">
        <v>59</v>
      </c>
      <c r="BA3" t="s">
        <v>60</v>
      </c>
      <c r="BB3" t="s">
        <v>61</v>
      </c>
      <c r="BC3" t="s">
        <v>62</v>
      </c>
      <c r="BD3" t="s">
        <v>63</v>
      </c>
      <c r="BE3" t="s">
        <v>64</v>
      </c>
      <c r="BF3" t="s">
        <v>65</v>
      </c>
      <c r="BG3" t="s">
        <v>66</v>
      </c>
      <c r="BH3" t="s">
        <v>91</v>
      </c>
      <c r="BI3" t="s">
        <v>92</v>
      </c>
      <c r="BJ3" t="s">
        <v>67</v>
      </c>
    </row>
    <row r="4" spans="1:62" ht="60" x14ac:dyDescent="0.25">
      <c r="A4" s="37">
        <v>45900</v>
      </c>
      <c r="B4">
        <v>261950.62903225806</v>
      </c>
      <c r="C4">
        <v>4.419354838709677</v>
      </c>
      <c r="D4">
        <v>3.6225451612903221</v>
      </c>
      <c r="E4">
        <v>0.81969999999999998</v>
      </c>
      <c r="F4">
        <v>0.99</v>
      </c>
      <c r="G4">
        <v>30995</v>
      </c>
      <c r="H4">
        <v>31226</v>
      </c>
      <c r="I4">
        <v>19157</v>
      </c>
      <c r="J4">
        <v>25544</v>
      </c>
      <c r="K4">
        <v>27280</v>
      </c>
      <c r="L4">
        <v>134202</v>
      </c>
      <c r="M4">
        <v>131221.84968400002</v>
      </c>
      <c r="N4">
        <v>123393.83</v>
      </c>
      <c r="O4">
        <v>-10808.169999999998</v>
      </c>
      <c r="P4">
        <v>0</v>
      </c>
      <c r="Q4">
        <v>131221.84968400002</v>
      </c>
      <c r="R4">
        <v>134202</v>
      </c>
      <c r="S4">
        <v>131221.84968400002</v>
      </c>
      <c r="T4">
        <v>123393.83</v>
      </c>
      <c r="U4">
        <v>8030</v>
      </c>
      <c r="V4">
        <v>7980</v>
      </c>
      <c r="W4">
        <v>7140</v>
      </c>
      <c r="X4">
        <v>9040</v>
      </c>
      <c r="Y4">
        <v>9150</v>
      </c>
      <c r="Z4">
        <v>9560</v>
      </c>
      <c r="AA4">
        <v>8040</v>
      </c>
      <c r="AB4">
        <v>8060</v>
      </c>
      <c r="AC4">
        <v>9260</v>
      </c>
      <c r="AD4">
        <v>8330</v>
      </c>
      <c r="AE4">
        <v>84590</v>
      </c>
      <c r="AF4">
        <v>76465.941289605602</v>
      </c>
      <c r="AG4">
        <v>84590</v>
      </c>
      <c r="AH4">
        <v>84590</v>
      </c>
      <c r="AI4">
        <v>1601.16</v>
      </c>
      <c r="AJ4">
        <v>0.93710000000000004</v>
      </c>
      <c r="AK4">
        <v>0.93030000000000002</v>
      </c>
      <c r="AL4">
        <v>0.93669999999999998</v>
      </c>
      <c r="AM4">
        <v>0.93379999999999996</v>
      </c>
      <c r="AN4">
        <v>0.95289999999999997</v>
      </c>
      <c r="AO4">
        <v>0.94099999999999995</v>
      </c>
      <c r="AP4">
        <v>0.95140000000000002</v>
      </c>
      <c r="AQ4">
        <v>0.91520000000000001</v>
      </c>
      <c r="AR4">
        <v>0.94910000000000005</v>
      </c>
      <c r="AS4">
        <v>0.94620000000000004</v>
      </c>
      <c r="AT4">
        <v>0.63031847513449879</v>
      </c>
      <c r="AU4">
        <v>1.8352706249510491</v>
      </c>
      <c r="AV4">
        <v>1.8352706249510491</v>
      </c>
      <c r="AW4">
        <v>1.22</v>
      </c>
      <c r="AX4">
        <v>1.26</v>
      </c>
      <c r="AY4">
        <v>1.26</v>
      </c>
      <c r="AZ4">
        <v>1.27</v>
      </c>
      <c r="BB4">
        <v>1.2524999999999999</v>
      </c>
      <c r="BC4">
        <v>0.93940000000000001</v>
      </c>
      <c r="BD4">
        <v>1.46528592810463</v>
      </c>
      <c r="BE4">
        <v>1</v>
      </c>
      <c r="BF4">
        <v>71500</v>
      </c>
      <c r="BG4">
        <v>56992</v>
      </c>
      <c r="BH4">
        <v>24000</v>
      </c>
      <c r="BI4">
        <v>30030</v>
      </c>
      <c r="BJ4" s="9" t="s">
        <v>152</v>
      </c>
    </row>
    <row r="5" spans="1:62" ht="60" x14ac:dyDescent="0.25">
      <c r="A5" s="37">
        <v>45899</v>
      </c>
      <c r="B5">
        <v>261950.62903225806</v>
      </c>
      <c r="C5">
        <v>4.419354838709677</v>
      </c>
      <c r="D5">
        <v>3.6225451612903221</v>
      </c>
      <c r="E5">
        <v>0.81969999999999998</v>
      </c>
      <c r="F5">
        <v>0.99</v>
      </c>
      <c r="G5">
        <v>40859</v>
      </c>
      <c r="H5">
        <v>40941</v>
      </c>
      <c r="I5">
        <v>27190</v>
      </c>
      <c r="J5">
        <v>33495</v>
      </c>
      <c r="K5">
        <v>34122</v>
      </c>
      <c r="L5">
        <v>176607</v>
      </c>
      <c r="M5">
        <v>170857.24726700003</v>
      </c>
      <c r="N5">
        <v>161206.17000000001</v>
      </c>
      <c r="O5">
        <v>-15400.829999999987</v>
      </c>
      <c r="P5">
        <v>0</v>
      </c>
      <c r="Q5">
        <v>170857.24726700003</v>
      </c>
      <c r="R5">
        <v>176607</v>
      </c>
      <c r="S5">
        <v>170857.24726700003</v>
      </c>
      <c r="T5">
        <v>161206.17000000001</v>
      </c>
      <c r="U5">
        <v>21440</v>
      </c>
      <c r="V5">
        <v>21040</v>
      </c>
      <c r="W5">
        <v>18920</v>
      </c>
      <c r="X5">
        <v>23480</v>
      </c>
      <c r="Y5">
        <v>24070</v>
      </c>
      <c r="Z5">
        <v>25740</v>
      </c>
      <c r="AA5">
        <v>21470</v>
      </c>
      <c r="AB5">
        <v>21610</v>
      </c>
      <c r="AC5">
        <v>25850</v>
      </c>
      <c r="AD5">
        <v>22100</v>
      </c>
      <c r="AE5">
        <v>225720</v>
      </c>
      <c r="AF5">
        <v>210750.29008056768</v>
      </c>
      <c r="AG5">
        <v>225720</v>
      </c>
      <c r="AH5">
        <v>225720</v>
      </c>
      <c r="AI5">
        <v>1421.77</v>
      </c>
      <c r="AJ5">
        <v>0.90480000000000005</v>
      </c>
      <c r="AK5">
        <v>0.88780000000000003</v>
      </c>
      <c r="AL5">
        <v>0.89810000000000001</v>
      </c>
      <c r="AM5">
        <v>0.87780000000000002</v>
      </c>
      <c r="AN5">
        <v>0.89990000000000003</v>
      </c>
      <c r="AO5">
        <v>0.91659999999999997</v>
      </c>
      <c r="AP5">
        <v>0.90580000000000005</v>
      </c>
      <c r="AQ5">
        <v>0.88839999999999997</v>
      </c>
      <c r="AR5">
        <v>0.94489999999999996</v>
      </c>
      <c r="AS5">
        <v>0.90859999999999996</v>
      </c>
      <c r="AT5">
        <v>1.2780920348570555</v>
      </c>
      <c r="AU5">
        <v>2.3896118498881123</v>
      </c>
      <c r="AV5">
        <v>2.3896118498881123</v>
      </c>
      <c r="AW5">
        <v>3.42</v>
      </c>
      <c r="AX5">
        <v>3.51</v>
      </c>
      <c r="AY5">
        <v>3.41</v>
      </c>
      <c r="AZ5">
        <v>3.51</v>
      </c>
      <c r="BB5">
        <v>3.4624999999999999</v>
      </c>
      <c r="BC5">
        <v>0.90329999999999999</v>
      </c>
      <c r="BD5">
        <v>0.69014060646588082</v>
      </c>
      <c r="BE5">
        <v>1</v>
      </c>
      <c r="BF5">
        <v>71500</v>
      </c>
      <c r="BG5">
        <v>56992</v>
      </c>
      <c r="BH5">
        <v>24000</v>
      </c>
      <c r="BI5">
        <v>30030</v>
      </c>
      <c r="BJ5" s="9" t="s">
        <v>152</v>
      </c>
    </row>
    <row r="6" spans="1:62" ht="105" x14ac:dyDescent="0.25">
      <c r="A6" s="37">
        <v>45898</v>
      </c>
      <c r="B6">
        <v>261950.62903225806</v>
      </c>
      <c r="C6">
        <v>4.419354838709677</v>
      </c>
      <c r="D6">
        <v>3.6225451612903221</v>
      </c>
      <c r="E6">
        <v>0.81969999999999998</v>
      </c>
      <c r="F6">
        <v>0.99</v>
      </c>
      <c r="G6">
        <v>59612</v>
      </c>
      <c r="H6">
        <v>59685</v>
      </c>
      <c r="I6">
        <v>43460</v>
      </c>
      <c r="J6">
        <v>48214</v>
      </c>
      <c r="K6">
        <v>49234</v>
      </c>
      <c r="L6">
        <v>260205</v>
      </c>
      <c r="M6">
        <v>252499.33880899998</v>
      </c>
      <c r="N6">
        <v>261305.67</v>
      </c>
      <c r="O6">
        <v>1100.6700000000128</v>
      </c>
      <c r="P6">
        <v>1100.6700000000128</v>
      </c>
      <c r="Q6">
        <v>261305.67</v>
      </c>
      <c r="R6">
        <v>261305.67</v>
      </c>
      <c r="S6">
        <v>252644.74527690563</v>
      </c>
      <c r="T6">
        <v>261305.67</v>
      </c>
      <c r="U6">
        <v>25960</v>
      </c>
      <c r="V6">
        <v>25170</v>
      </c>
      <c r="W6">
        <v>21490</v>
      </c>
      <c r="X6">
        <v>27470</v>
      </c>
      <c r="Y6">
        <v>28670</v>
      </c>
      <c r="Z6">
        <v>32230</v>
      </c>
      <c r="AA6">
        <v>26570</v>
      </c>
      <c r="AB6">
        <v>27100</v>
      </c>
      <c r="AC6">
        <v>32630</v>
      </c>
      <c r="AD6">
        <v>27280</v>
      </c>
      <c r="AE6">
        <v>274570</v>
      </c>
      <c r="AF6">
        <v>280213.71006793925</v>
      </c>
      <c r="AG6">
        <v>275670.67000000004</v>
      </c>
      <c r="AH6">
        <v>280213.71006793925</v>
      </c>
      <c r="AI6">
        <v>1725.43</v>
      </c>
      <c r="AJ6">
        <v>0.83250000000000002</v>
      </c>
      <c r="AK6">
        <v>0.80720000000000003</v>
      </c>
      <c r="AL6">
        <v>0.77529999999999999</v>
      </c>
      <c r="AM6">
        <v>0.78039999999999998</v>
      </c>
      <c r="AN6">
        <v>0.80210000000000004</v>
      </c>
      <c r="AO6">
        <v>0.87190000000000001</v>
      </c>
      <c r="AP6">
        <v>0.85589999999999999</v>
      </c>
      <c r="AQ6">
        <v>0.84650000000000003</v>
      </c>
      <c r="AR6">
        <v>0.91039999999999999</v>
      </c>
      <c r="AS6">
        <v>0.85199999999999998</v>
      </c>
      <c r="AT6">
        <v>1.0552064718202956</v>
      </c>
      <c r="AU6">
        <v>3.6546247552447553</v>
      </c>
      <c r="AV6">
        <v>3.533492940935743</v>
      </c>
      <c r="AW6">
        <v>4.4800000000000004</v>
      </c>
      <c r="AX6">
        <v>4.6900000000000004</v>
      </c>
      <c r="AY6">
        <v>4.51</v>
      </c>
      <c r="AZ6">
        <v>4.62</v>
      </c>
      <c r="BB6">
        <v>4.5750000000000002</v>
      </c>
      <c r="BC6">
        <v>0.83340000000000003</v>
      </c>
      <c r="BD6">
        <v>0.79882508311360767</v>
      </c>
      <c r="BE6">
        <v>1</v>
      </c>
      <c r="BF6">
        <v>71500</v>
      </c>
      <c r="BG6">
        <v>56992</v>
      </c>
      <c r="BH6">
        <v>23333</v>
      </c>
      <c r="BI6">
        <v>30030</v>
      </c>
      <c r="BJ6" s="9" t="s">
        <v>159</v>
      </c>
    </row>
    <row r="7" spans="1:62" ht="60" x14ac:dyDescent="0.25">
      <c r="A7" s="37">
        <v>45897</v>
      </c>
      <c r="B7">
        <v>261950.62903225806</v>
      </c>
      <c r="C7">
        <v>4.419354838709677</v>
      </c>
      <c r="D7">
        <v>3.6225451612903221</v>
      </c>
      <c r="E7">
        <v>0.81969999999999998</v>
      </c>
      <c r="F7">
        <v>0.99</v>
      </c>
      <c r="G7">
        <v>72372</v>
      </c>
      <c r="H7">
        <v>72533</v>
      </c>
      <c r="I7">
        <v>52110</v>
      </c>
      <c r="J7">
        <v>56806</v>
      </c>
      <c r="K7">
        <v>56228</v>
      </c>
      <c r="L7">
        <v>310049</v>
      </c>
      <c r="M7">
        <v>306627.87036500004</v>
      </c>
      <c r="N7">
        <v>300956.17</v>
      </c>
      <c r="O7">
        <v>-9092.8300000000163</v>
      </c>
      <c r="P7">
        <v>0</v>
      </c>
      <c r="Q7">
        <v>306627.87036500004</v>
      </c>
      <c r="R7">
        <v>310049</v>
      </c>
      <c r="S7">
        <v>306627.87036500004</v>
      </c>
      <c r="T7">
        <v>300956.17</v>
      </c>
      <c r="U7">
        <v>22930</v>
      </c>
      <c r="V7">
        <v>22970</v>
      </c>
      <c r="W7">
        <v>20300</v>
      </c>
      <c r="X7">
        <v>25580</v>
      </c>
      <c r="Y7">
        <v>26100</v>
      </c>
      <c r="Z7">
        <v>28760</v>
      </c>
      <c r="AA7">
        <v>24310</v>
      </c>
      <c r="AB7">
        <v>24320</v>
      </c>
      <c r="AC7">
        <v>27640</v>
      </c>
      <c r="AD7">
        <v>25600</v>
      </c>
      <c r="AE7">
        <v>248510</v>
      </c>
      <c r="AF7">
        <v>240448.4177095367</v>
      </c>
      <c r="AG7">
        <v>248510</v>
      </c>
      <c r="AH7">
        <v>248510</v>
      </c>
      <c r="AI7">
        <v>1728.24</v>
      </c>
      <c r="AJ7">
        <v>0.86229999999999996</v>
      </c>
      <c r="AK7">
        <v>0.86380000000000001</v>
      </c>
      <c r="AL7">
        <v>0.85850000000000004</v>
      </c>
      <c r="AM7">
        <v>0.85189999999999999</v>
      </c>
      <c r="AN7">
        <v>0.85429999999999995</v>
      </c>
      <c r="AO7">
        <v>0.91249999999999998</v>
      </c>
      <c r="AP7">
        <v>0.91120000000000001</v>
      </c>
      <c r="AQ7">
        <v>0.89080000000000004</v>
      </c>
      <c r="AR7">
        <v>0.89739999999999998</v>
      </c>
      <c r="AS7">
        <v>0.93769999999999998</v>
      </c>
      <c r="AT7">
        <v>0.80151846966124707</v>
      </c>
      <c r="AU7">
        <v>4.2885016834265741</v>
      </c>
      <c r="AV7">
        <v>4.2885016834265741</v>
      </c>
      <c r="AW7">
        <v>3.85</v>
      </c>
      <c r="AX7">
        <v>4.01</v>
      </c>
      <c r="AY7">
        <v>4.01</v>
      </c>
      <c r="AZ7">
        <v>3.94</v>
      </c>
      <c r="BB7">
        <v>3.9524999999999997</v>
      </c>
      <c r="BC7">
        <v>0.88400000000000001</v>
      </c>
      <c r="BD7">
        <v>1.085009913580411</v>
      </c>
      <c r="BE7">
        <v>1</v>
      </c>
      <c r="BF7">
        <v>71500</v>
      </c>
      <c r="BG7">
        <v>56992</v>
      </c>
      <c r="BH7">
        <v>24000</v>
      </c>
      <c r="BI7">
        <v>30030</v>
      </c>
      <c r="BJ7" s="9" t="s">
        <v>152</v>
      </c>
    </row>
    <row r="8" spans="1:62" ht="135" x14ac:dyDescent="0.25">
      <c r="A8" s="37">
        <v>45896</v>
      </c>
      <c r="B8">
        <v>261950.62903225806</v>
      </c>
      <c r="C8">
        <v>4.419354838709677</v>
      </c>
      <c r="D8">
        <v>3.6225451612903221</v>
      </c>
      <c r="E8">
        <v>0.81969999999999998</v>
      </c>
      <c r="F8">
        <v>0.99</v>
      </c>
      <c r="G8">
        <v>52914</v>
      </c>
      <c r="H8">
        <v>53050</v>
      </c>
      <c r="I8">
        <v>35473</v>
      </c>
      <c r="J8">
        <v>41529</v>
      </c>
      <c r="K8">
        <v>42558</v>
      </c>
      <c r="L8">
        <v>225524</v>
      </c>
      <c r="M8">
        <v>219572.45118600002</v>
      </c>
      <c r="N8">
        <v>196550</v>
      </c>
      <c r="O8">
        <v>-28974</v>
      </c>
      <c r="P8">
        <v>0</v>
      </c>
      <c r="Q8">
        <v>219572.45118600002</v>
      </c>
      <c r="R8">
        <v>225524</v>
      </c>
      <c r="S8">
        <v>221928.11697246015</v>
      </c>
      <c r="T8">
        <v>196550</v>
      </c>
      <c r="U8">
        <v>23550</v>
      </c>
      <c r="V8">
        <v>23420</v>
      </c>
      <c r="W8">
        <v>21030</v>
      </c>
      <c r="X8">
        <v>26570</v>
      </c>
      <c r="Y8">
        <v>26950</v>
      </c>
      <c r="Z8">
        <v>27080</v>
      </c>
      <c r="AA8">
        <v>23050</v>
      </c>
      <c r="AB8">
        <v>22830</v>
      </c>
      <c r="AC8">
        <v>26020</v>
      </c>
      <c r="AD8">
        <v>23900</v>
      </c>
      <c r="AE8">
        <v>244400</v>
      </c>
      <c r="AF8">
        <v>224410.43337586406</v>
      </c>
      <c r="AG8">
        <v>244400</v>
      </c>
      <c r="AH8">
        <v>244400</v>
      </c>
      <c r="AI8">
        <v>1729.79</v>
      </c>
      <c r="AJ8">
        <v>0.93789999999999996</v>
      </c>
      <c r="AK8">
        <v>0.93279999999999996</v>
      </c>
      <c r="AL8">
        <v>0.94210000000000005</v>
      </c>
      <c r="AM8">
        <v>0.93730000000000002</v>
      </c>
      <c r="AN8">
        <v>0.93799999999999994</v>
      </c>
      <c r="AO8">
        <v>0.90990000000000004</v>
      </c>
      <c r="AP8">
        <v>0.92149999999999999</v>
      </c>
      <c r="AQ8">
        <v>0.88539999999999996</v>
      </c>
      <c r="AR8">
        <v>0.90100000000000002</v>
      </c>
      <c r="AS8">
        <v>0.92700000000000005</v>
      </c>
      <c r="AT8">
        <v>1.0836984090385058</v>
      </c>
      <c r="AU8">
        <v>3.0709433732307696</v>
      </c>
      <c r="AV8">
        <v>3.1038897478665755</v>
      </c>
      <c r="AW8">
        <v>3.61</v>
      </c>
      <c r="AX8">
        <v>3.77</v>
      </c>
      <c r="AY8">
        <v>3.75</v>
      </c>
      <c r="AZ8">
        <v>3.72</v>
      </c>
      <c r="BB8">
        <v>3.7124999999999999</v>
      </c>
      <c r="BC8">
        <v>0.92330000000000001</v>
      </c>
      <c r="BD8">
        <v>0.82719013420357435</v>
      </c>
      <c r="BE8">
        <v>1</v>
      </c>
      <c r="BF8">
        <v>71500</v>
      </c>
      <c r="BG8">
        <v>56992</v>
      </c>
      <c r="BH8">
        <v>24000</v>
      </c>
      <c r="BI8">
        <v>27986</v>
      </c>
      <c r="BJ8" s="9" t="s">
        <v>158</v>
      </c>
    </row>
    <row r="9" spans="1:62" ht="60" x14ac:dyDescent="0.25">
      <c r="A9" s="37">
        <v>45895</v>
      </c>
      <c r="B9">
        <v>261950.62903225806</v>
      </c>
      <c r="C9">
        <v>4.419354838709677</v>
      </c>
      <c r="D9">
        <v>3.6225451612903221</v>
      </c>
      <c r="E9">
        <v>0.81969999999999998</v>
      </c>
      <c r="F9">
        <v>0.99</v>
      </c>
      <c r="G9">
        <v>70698</v>
      </c>
      <c r="H9">
        <v>70808</v>
      </c>
      <c r="I9">
        <v>47318</v>
      </c>
      <c r="J9">
        <v>51617</v>
      </c>
      <c r="K9">
        <v>49492</v>
      </c>
      <c r="L9">
        <v>289933</v>
      </c>
      <c r="M9">
        <v>283497.01156399999</v>
      </c>
      <c r="N9">
        <v>285846.5</v>
      </c>
      <c r="O9">
        <v>-4086.5</v>
      </c>
      <c r="P9">
        <v>0</v>
      </c>
      <c r="Q9">
        <v>285846.5</v>
      </c>
      <c r="R9">
        <v>289933</v>
      </c>
      <c r="S9">
        <v>283497.01156399999</v>
      </c>
      <c r="T9">
        <v>285846.5</v>
      </c>
      <c r="U9">
        <v>28520</v>
      </c>
      <c r="V9">
        <v>28800</v>
      </c>
      <c r="W9">
        <v>25380</v>
      </c>
      <c r="X9">
        <v>32140</v>
      </c>
      <c r="Y9">
        <v>32420</v>
      </c>
      <c r="Z9">
        <v>35630</v>
      </c>
      <c r="AA9">
        <v>30190</v>
      </c>
      <c r="AB9">
        <v>29930</v>
      </c>
      <c r="AC9">
        <v>34030</v>
      </c>
      <c r="AD9">
        <v>30960</v>
      </c>
      <c r="AE9">
        <v>308000</v>
      </c>
      <c r="AF9">
        <v>299657.24216528988</v>
      </c>
      <c r="AG9">
        <v>308000</v>
      </c>
      <c r="AH9">
        <v>308000</v>
      </c>
      <c r="AI9">
        <v>1514.78</v>
      </c>
      <c r="AJ9">
        <v>0.84519999999999995</v>
      </c>
      <c r="AK9">
        <v>0.85333999999999999</v>
      </c>
      <c r="AL9">
        <v>0.84599999999999997</v>
      </c>
      <c r="AM9">
        <v>0.84350000000000003</v>
      </c>
      <c r="AN9">
        <v>0.84919999999999995</v>
      </c>
      <c r="AO9">
        <v>0.89070000000000005</v>
      </c>
      <c r="AP9">
        <v>0.90749999999999997</v>
      </c>
      <c r="AQ9">
        <v>0.8639</v>
      </c>
      <c r="AR9">
        <v>0.8861</v>
      </c>
      <c r="AS9">
        <v>0.89349999999999996</v>
      </c>
      <c r="AT9">
        <v>1.0623143967744273</v>
      </c>
      <c r="AU9">
        <v>3.9978531468531466</v>
      </c>
      <c r="AV9">
        <v>3.9649931687272724</v>
      </c>
      <c r="AW9">
        <v>4.8</v>
      </c>
      <c r="AX9">
        <v>5.01</v>
      </c>
      <c r="AY9">
        <v>4.92</v>
      </c>
      <c r="AZ9">
        <v>5</v>
      </c>
      <c r="BB9">
        <v>4.9324999999999992</v>
      </c>
      <c r="BC9">
        <v>0.8679</v>
      </c>
      <c r="BD9">
        <v>0.81051254877914791</v>
      </c>
      <c r="BE9">
        <v>1</v>
      </c>
      <c r="BF9">
        <v>71500</v>
      </c>
      <c r="BG9">
        <v>56992</v>
      </c>
      <c r="BH9">
        <v>24000</v>
      </c>
      <c r="BI9">
        <v>30030</v>
      </c>
      <c r="BJ9" s="9" t="s">
        <v>152</v>
      </c>
    </row>
    <row r="10" spans="1:62" ht="135" x14ac:dyDescent="0.25">
      <c r="A10" s="37">
        <v>45894</v>
      </c>
      <c r="B10">
        <v>261950.62903225806</v>
      </c>
      <c r="C10">
        <v>4.419354838709677</v>
      </c>
      <c r="D10">
        <v>3.6225451612903221</v>
      </c>
      <c r="E10">
        <v>0.81969999999999998</v>
      </c>
      <c r="F10">
        <v>0.99</v>
      </c>
      <c r="G10">
        <v>62222</v>
      </c>
      <c r="H10">
        <v>62364</v>
      </c>
      <c r="I10">
        <v>43425</v>
      </c>
      <c r="J10">
        <v>48659</v>
      </c>
      <c r="K10">
        <v>49230</v>
      </c>
      <c r="L10">
        <v>265900</v>
      </c>
      <c r="M10">
        <v>265902.04652999999</v>
      </c>
      <c r="N10">
        <v>263643.67</v>
      </c>
      <c r="O10">
        <v>-2256.3300000000163</v>
      </c>
      <c r="P10">
        <v>0</v>
      </c>
      <c r="Q10">
        <v>265902.04652999999</v>
      </c>
      <c r="R10">
        <v>265900</v>
      </c>
      <c r="S10">
        <v>272053.26666393573</v>
      </c>
      <c r="T10">
        <v>263643.67</v>
      </c>
      <c r="U10">
        <v>24540</v>
      </c>
      <c r="V10">
        <v>24130</v>
      </c>
      <c r="W10">
        <v>21720</v>
      </c>
      <c r="X10">
        <v>27310</v>
      </c>
      <c r="Y10">
        <v>28090</v>
      </c>
      <c r="Z10">
        <v>26980</v>
      </c>
      <c r="AA10">
        <v>22900</v>
      </c>
      <c r="AB10">
        <v>22730</v>
      </c>
      <c r="AC10">
        <v>26510</v>
      </c>
      <c r="AD10">
        <v>23650</v>
      </c>
      <c r="AE10">
        <v>248560</v>
      </c>
      <c r="AF10">
        <v>263014.02096655028</v>
      </c>
      <c r="AG10">
        <v>248560</v>
      </c>
      <c r="AH10">
        <v>263014.02096655028</v>
      </c>
      <c r="AI10">
        <v>1630.88</v>
      </c>
      <c r="AJ10">
        <v>0.94169999999999998</v>
      </c>
      <c r="AK10">
        <v>0.92610000000000003</v>
      </c>
      <c r="AL10">
        <v>0.93779999999999997</v>
      </c>
      <c r="AM10">
        <v>0.92849999999999999</v>
      </c>
      <c r="AN10">
        <v>0.94750000000000001</v>
      </c>
      <c r="AO10">
        <v>0.87360000000000004</v>
      </c>
      <c r="AP10">
        <v>0.87649999999999995</v>
      </c>
      <c r="AQ10">
        <v>0.84970000000000001</v>
      </c>
      <c r="AR10">
        <v>0.87880000000000003</v>
      </c>
      <c r="AS10">
        <v>0.88419999999999999</v>
      </c>
      <c r="AT10">
        <v>0.93478751410304628</v>
      </c>
      <c r="AU10">
        <v>3.7189097416783214</v>
      </c>
      <c r="AV10">
        <v>3.8049407925025975</v>
      </c>
      <c r="AW10">
        <v>3.77</v>
      </c>
      <c r="AX10">
        <v>3.89</v>
      </c>
      <c r="AY10">
        <v>3.83</v>
      </c>
      <c r="AZ10">
        <v>3.86</v>
      </c>
      <c r="BB10">
        <v>3.8374999999999999</v>
      </c>
      <c r="BC10">
        <v>0.90439999999999998</v>
      </c>
      <c r="BD10">
        <v>0.96909700108881347</v>
      </c>
      <c r="BE10">
        <v>1</v>
      </c>
      <c r="BF10">
        <v>71500</v>
      </c>
      <c r="BG10">
        <v>56992</v>
      </c>
      <c r="BH10">
        <v>24000</v>
      </c>
      <c r="BI10">
        <v>27694</v>
      </c>
      <c r="BJ10" s="9" t="s">
        <v>158</v>
      </c>
    </row>
    <row r="11" spans="1:62" ht="60" x14ac:dyDescent="0.25">
      <c r="A11" s="37">
        <v>45893</v>
      </c>
      <c r="B11">
        <v>261950.62903225806</v>
      </c>
      <c r="C11">
        <v>4.419354838709677</v>
      </c>
      <c r="D11">
        <v>3.6225451612903221</v>
      </c>
      <c r="E11">
        <v>0.81969999999999998</v>
      </c>
      <c r="F11">
        <v>0.99</v>
      </c>
      <c r="G11">
        <v>42350</v>
      </c>
      <c r="H11">
        <v>42519</v>
      </c>
      <c r="I11">
        <v>26540</v>
      </c>
      <c r="J11">
        <v>31380</v>
      </c>
      <c r="K11">
        <v>26098</v>
      </c>
      <c r="L11">
        <v>168887</v>
      </c>
      <c r="M11">
        <v>161831.52837599997</v>
      </c>
      <c r="N11">
        <v>167039</v>
      </c>
      <c r="O11">
        <v>-1848</v>
      </c>
      <c r="P11">
        <v>0</v>
      </c>
      <c r="Q11">
        <v>167039</v>
      </c>
      <c r="R11">
        <v>168887</v>
      </c>
      <c r="S11">
        <v>161831.52837599997</v>
      </c>
      <c r="T11">
        <v>167039</v>
      </c>
      <c r="U11">
        <v>11940</v>
      </c>
      <c r="V11">
        <v>11860</v>
      </c>
      <c r="W11">
        <v>10700</v>
      </c>
      <c r="X11">
        <v>13590</v>
      </c>
      <c r="Y11">
        <v>13910</v>
      </c>
      <c r="Z11">
        <v>14530</v>
      </c>
      <c r="AA11">
        <v>12260</v>
      </c>
      <c r="AB11">
        <v>12290</v>
      </c>
      <c r="AC11">
        <v>14320</v>
      </c>
      <c r="AD11">
        <v>12770</v>
      </c>
      <c r="AE11">
        <v>128170</v>
      </c>
      <c r="AF11">
        <v>112570.83991794905</v>
      </c>
      <c r="AG11">
        <v>128170</v>
      </c>
      <c r="AH11">
        <v>128170</v>
      </c>
      <c r="AI11">
        <v>1506.81</v>
      </c>
      <c r="AJ11">
        <v>0.95099999999999996</v>
      </c>
      <c r="AK11">
        <v>0.94450000000000001</v>
      </c>
      <c r="AL11">
        <v>0.95909999999999995</v>
      </c>
      <c r="AM11">
        <v>0.95850000000000002</v>
      </c>
      <c r="AN11">
        <v>0.97589999999999999</v>
      </c>
      <c r="AO11">
        <v>0.97609999999999997</v>
      </c>
      <c r="AP11">
        <v>0.96160000000000001</v>
      </c>
      <c r="AQ11">
        <v>0.95320000000000005</v>
      </c>
      <c r="AR11">
        <v>0.9728</v>
      </c>
      <c r="AS11">
        <v>0.99029999999999996</v>
      </c>
      <c r="AT11">
        <v>0.75890980359648763</v>
      </c>
      <c r="AU11">
        <v>2.3362097902097902</v>
      </c>
      <c r="AV11">
        <v>2.263378019244755</v>
      </c>
      <c r="AW11">
        <v>1.84</v>
      </c>
      <c r="AX11">
        <v>1.87</v>
      </c>
      <c r="AY11">
        <v>1.85</v>
      </c>
      <c r="AZ11">
        <v>1.86</v>
      </c>
      <c r="BB11">
        <v>1.8550000000000002</v>
      </c>
      <c r="BC11">
        <v>0.96430000000000005</v>
      </c>
      <c r="BD11">
        <v>1.25941228582738</v>
      </c>
      <c r="BE11">
        <v>1</v>
      </c>
      <c r="BF11">
        <v>71500</v>
      </c>
      <c r="BG11">
        <v>56992</v>
      </c>
      <c r="BH11">
        <v>24000</v>
      </c>
      <c r="BI11">
        <v>30030</v>
      </c>
      <c r="BJ11" s="9" t="s">
        <v>152</v>
      </c>
    </row>
    <row r="12" spans="1:62" ht="60" x14ac:dyDescent="0.25">
      <c r="A12" s="37">
        <v>45892</v>
      </c>
      <c r="B12">
        <v>261950.62903225806</v>
      </c>
      <c r="C12">
        <v>4.419354838709677</v>
      </c>
      <c r="D12">
        <v>3.6225451612903221</v>
      </c>
      <c r="E12">
        <v>0.81969999999999998</v>
      </c>
      <c r="F12">
        <v>0.99</v>
      </c>
      <c r="G12">
        <v>40451</v>
      </c>
      <c r="H12">
        <v>40499</v>
      </c>
      <c r="I12">
        <v>29442</v>
      </c>
      <c r="J12">
        <v>33852</v>
      </c>
      <c r="K12">
        <v>27044</v>
      </c>
      <c r="L12">
        <v>171288</v>
      </c>
      <c r="M12">
        <v>168360.32423200004</v>
      </c>
      <c r="N12">
        <v>152708.17000000001</v>
      </c>
      <c r="O12">
        <v>-18579.829999999987</v>
      </c>
      <c r="P12">
        <v>0</v>
      </c>
      <c r="Q12">
        <v>168360.32423200004</v>
      </c>
      <c r="R12">
        <v>171288</v>
      </c>
      <c r="S12">
        <v>168360.32423200004</v>
      </c>
      <c r="T12">
        <v>152708.17000000001</v>
      </c>
      <c r="U12">
        <v>20310</v>
      </c>
      <c r="V12">
        <v>19750</v>
      </c>
      <c r="W12">
        <v>17890</v>
      </c>
      <c r="X12">
        <v>22160</v>
      </c>
      <c r="Y12">
        <v>23050</v>
      </c>
      <c r="Z12">
        <v>23770</v>
      </c>
      <c r="AA12">
        <v>20350</v>
      </c>
      <c r="AB12">
        <v>20340</v>
      </c>
      <c r="AC12">
        <v>24020</v>
      </c>
      <c r="AD12">
        <v>21150</v>
      </c>
      <c r="AE12">
        <v>212790</v>
      </c>
      <c r="AF12">
        <v>193837.57318430018</v>
      </c>
      <c r="AG12">
        <v>212790</v>
      </c>
      <c r="AH12">
        <v>212790</v>
      </c>
      <c r="AI12">
        <v>1776.42</v>
      </c>
      <c r="AJ12">
        <v>0.94889999999999997</v>
      </c>
      <c r="AK12">
        <v>0.92290000000000005</v>
      </c>
      <c r="AL12">
        <v>0.9405</v>
      </c>
      <c r="AM12">
        <v>0.91759999999999997</v>
      </c>
      <c r="AN12">
        <v>0.93669999999999998</v>
      </c>
      <c r="AO12">
        <v>0.93730000000000002</v>
      </c>
      <c r="AP12">
        <v>0.92949999999999999</v>
      </c>
      <c r="AQ12">
        <v>0.92610000000000003</v>
      </c>
      <c r="AR12">
        <v>0.95</v>
      </c>
      <c r="AS12">
        <v>0.9627</v>
      </c>
      <c r="AT12">
        <v>1.242293680818271</v>
      </c>
      <c r="AU12">
        <v>2.3546898493986022</v>
      </c>
      <c r="AV12">
        <v>2.3546898493986022</v>
      </c>
      <c r="AW12">
        <v>3.16</v>
      </c>
      <c r="AX12">
        <v>3.23</v>
      </c>
      <c r="AY12">
        <v>3.11</v>
      </c>
      <c r="AZ12">
        <v>3.17</v>
      </c>
      <c r="BB12">
        <v>3.1675</v>
      </c>
      <c r="BC12">
        <v>0.93720000000000003</v>
      </c>
      <c r="BD12">
        <v>0.74339063911558079</v>
      </c>
      <c r="BE12">
        <v>1</v>
      </c>
      <c r="BF12">
        <v>71500</v>
      </c>
      <c r="BG12">
        <v>56992</v>
      </c>
      <c r="BH12">
        <v>24000</v>
      </c>
      <c r="BI12">
        <v>30030</v>
      </c>
      <c r="BJ12" s="9" t="s">
        <v>152</v>
      </c>
    </row>
    <row r="13" spans="1:62" ht="60" x14ac:dyDescent="0.25">
      <c r="A13" s="37">
        <v>45891</v>
      </c>
      <c r="B13">
        <v>261950.62903225806</v>
      </c>
      <c r="C13">
        <v>4.419354838709677</v>
      </c>
      <c r="D13">
        <v>3.6225451612903221</v>
      </c>
      <c r="E13">
        <v>0.81969999999999998</v>
      </c>
      <c r="F13">
        <v>0.99</v>
      </c>
      <c r="G13">
        <v>75100</v>
      </c>
      <c r="H13">
        <v>75261</v>
      </c>
      <c r="I13">
        <v>57807</v>
      </c>
      <c r="J13">
        <v>59583</v>
      </c>
      <c r="K13">
        <v>51168</v>
      </c>
      <c r="L13">
        <v>318919</v>
      </c>
      <c r="M13">
        <v>316946.46354900004</v>
      </c>
      <c r="N13">
        <v>323925.33</v>
      </c>
      <c r="O13">
        <v>5006.3300000000163</v>
      </c>
      <c r="P13">
        <v>5006.3300000000163</v>
      </c>
      <c r="Q13">
        <v>323925.33</v>
      </c>
      <c r="R13">
        <v>323925.33</v>
      </c>
      <c r="S13">
        <v>316946.46354900004</v>
      </c>
      <c r="T13">
        <v>323925.33</v>
      </c>
      <c r="U13">
        <v>27600</v>
      </c>
      <c r="V13">
        <v>27630</v>
      </c>
      <c r="W13">
        <v>23890</v>
      </c>
      <c r="X13">
        <v>30150</v>
      </c>
      <c r="Y13">
        <v>30410</v>
      </c>
      <c r="Z13">
        <v>34840</v>
      </c>
      <c r="AA13">
        <v>29590</v>
      </c>
      <c r="AB13">
        <v>29500</v>
      </c>
      <c r="AC13">
        <v>33250</v>
      </c>
      <c r="AD13">
        <v>30470</v>
      </c>
      <c r="AE13">
        <v>297330</v>
      </c>
      <c r="AF13">
        <v>295623.81786001206</v>
      </c>
      <c r="AG13">
        <v>302336.33</v>
      </c>
      <c r="AH13">
        <v>297330</v>
      </c>
      <c r="AI13">
        <v>1742.69</v>
      </c>
      <c r="AJ13">
        <v>0.81620000000000004</v>
      </c>
      <c r="AK13">
        <v>0.81710000000000005</v>
      </c>
      <c r="AL13">
        <v>0.79459999999999997</v>
      </c>
      <c r="AM13">
        <v>0.78969999999999996</v>
      </c>
      <c r="AN13">
        <v>0.80300000000000005</v>
      </c>
      <c r="AO13">
        <v>0.86929999999999996</v>
      </c>
      <c r="AP13">
        <v>0.88039999999999996</v>
      </c>
      <c r="AQ13">
        <v>0.8498</v>
      </c>
      <c r="AR13">
        <v>0.85699999999999998</v>
      </c>
      <c r="AS13">
        <v>0.87749999999999995</v>
      </c>
      <c r="AT13">
        <v>0.93230569517651818</v>
      </c>
      <c r="AU13">
        <v>4.530424195804196</v>
      </c>
      <c r="AV13">
        <v>4.4328176720139867</v>
      </c>
      <c r="AW13">
        <v>4.8499999999999996</v>
      </c>
      <c r="AX13">
        <v>4.97</v>
      </c>
      <c r="AY13">
        <v>4.99</v>
      </c>
      <c r="AZ13">
        <v>5.01</v>
      </c>
      <c r="BB13">
        <v>4.9550000000000001</v>
      </c>
      <c r="BC13">
        <v>0.83550000000000002</v>
      </c>
      <c r="BD13">
        <v>0.91431366211991849</v>
      </c>
      <c r="BE13">
        <v>1</v>
      </c>
      <c r="BF13">
        <v>71500</v>
      </c>
      <c r="BG13">
        <v>56992</v>
      </c>
      <c r="BH13">
        <v>24000</v>
      </c>
      <c r="BI13">
        <v>30030</v>
      </c>
      <c r="BJ13" s="9" t="s">
        <v>152</v>
      </c>
    </row>
    <row r="14" spans="1:62" ht="60" x14ac:dyDescent="0.25">
      <c r="A14" s="37">
        <v>45890</v>
      </c>
      <c r="B14">
        <v>261950.62903225806</v>
      </c>
      <c r="C14">
        <v>4.419354838709677</v>
      </c>
      <c r="D14">
        <v>3.6225451612903221</v>
      </c>
      <c r="E14">
        <v>0.81969999999999998</v>
      </c>
      <c r="F14">
        <v>0.99</v>
      </c>
      <c r="G14">
        <v>47737</v>
      </c>
      <c r="H14">
        <v>47891</v>
      </c>
      <c r="I14">
        <v>34509</v>
      </c>
      <c r="J14">
        <v>37211</v>
      </c>
      <c r="K14">
        <v>32102</v>
      </c>
      <c r="L14">
        <v>199450</v>
      </c>
      <c r="M14">
        <v>198526.46551299994</v>
      </c>
      <c r="N14">
        <v>183674.67</v>
      </c>
      <c r="O14">
        <v>-15775.329999999987</v>
      </c>
      <c r="P14">
        <v>0</v>
      </c>
      <c r="Q14">
        <v>198526.46551299994</v>
      </c>
      <c r="R14">
        <v>199450</v>
      </c>
      <c r="S14">
        <v>198526.46551299994</v>
      </c>
      <c r="T14">
        <v>183674.67</v>
      </c>
      <c r="U14">
        <v>18970</v>
      </c>
      <c r="V14">
        <v>18890</v>
      </c>
      <c r="W14">
        <v>16660</v>
      </c>
      <c r="X14">
        <v>21130</v>
      </c>
      <c r="Y14">
        <v>21400</v>
      </c>
      <c r="Z14">
        <v>22530</v>
      </c>
      <c r="AA14">
        <v>18980</v>
      </c>
      <c r="AB14">
        <v>18940</v>
      </c>
      <c r="AC14">
        <v>21670</v>
      </c>
      <c r="AD14">
        <v>19570</v>
      </c>
      <c r="AE14">
        <v>198740</v>
      </c>
      <c r="AF14">
        <v>181357.94431981686</v>
      </c>
      <c r="AG14">
        <v>198740</v>
      </c>
      <c r="AH14">
        <v>198740</v>
      </c>
      <c r="AI14">
        <v>1435.65</v>
      </c>
      <c r="AJ14">
        <v>0.92759999999999998</v>
      </c>
      <c r="AK14">
        <v>0.92349999999999999</v>
      </c>
      <c r="AL14">
        <v>0.9163</v>
      </c>
      <c r="AM14">
        <v>0.9153</v>
      </c>
      <c r="AN14">
        <v>0.93600000000000005</v>
      </c>
      <c r="AO14">
        <v>0.92959999999999998</v>
      </c>
      <c r="AP14">
        <v>0.9476</v>
      </c>
      <c r="AQ14">
        <v>0.90190000000000003</v>
      </c>
      <c r="AR14">
        <v>0.93720000000000003</v>
      </c>
      <c r="AS14">
        <v>0.93210000000000004</v>
      </c>
      <c r="AT14">
        <v>0.99644021057909249</v>
      </c>
      <c r="AU14">
        <v>2.7765939232587407</v>
      </c>
      <c r="AV14">
        <v>2.7765939232587407</v>
      </c>
      <c r="AW14">
        <v>2.89</v>
      </c>
      <c r="AX14">
        <v>3</v>
      </c>
      <c r="AY14">
        <v>3</v>
      </c>
      <c r="AZ14">
        <v>3.03</v>
      </c>
      <c r="BB14">
        <v>2.98</v>
      </c>
      <c r="BC14">
        <v>0.92669999999999997</v>
      </c>
      <c r="BD14">
        <v>0.93174292726803376</v>
      </c>
      <c r="BE14">
        <v>1</v>
      </c>
      <c r="BF14">
        <v>71500</v>
      </c>
      <c r="BG14">
        <v>56992</v>
      </c>
      <c r="BH14">
        <v>24000</v>
      </c>
      <c r="BI14">
        <v>30030</v>
      </c>
      <c r="BJ14" s="9" t="s">
        <v>152</v>
      </c>
    </row>
    <row r="15" spans="1:62" ht="60" x14ac:dyDescent="0.25">
      <c r="A15" s="37">
        <v>45889</v>
      </c>
      <c r="B15">
        <v>261950.62903225806</v>
      </c>
      <c r="C15">
        <v>4.419354838709677</v>
      </c>
      <c r="D15">
        <v>3.6225451612903221</v>
      </c>
      <c r="E15">
        <v>0.81969999999999998</v>
      </c>
      <c r="F15">
        <v>0.99</v>
      </c>
      <c r="G15">
        <v>62419</v>
      </c>
      <c r="H15">
        <v>62487</v>
      </c>
      <c r="I15">
        <v>49197</v>
      </c>
      <c r="J15">
        <v>51069</v>
      </c>
      <c r="K15">
        <v>43662</v>
      </c>
      <c r="L15">
        <v>268834</v>
      </c>
      <c r="M15">
        <v>267525.19233000005</v>
      </c>
      <c r="N15">
        <v>273304.33</v>
      </c>
      <c r="O15">
        <v>4470.3300000000163</v>
      </c>
      <c r="P15">
        <v>4470.3300000000163</v>
      </c>
      <c r="Q15">
        <v>273304.33</v>
      </c>
      <c r="R15">
        <v>273304.33</v>
      </c>
      <c r="S15">
        <v>267525.19233000005</v>
      </c>
      <c r="T15">
        <v>273304.33</v>
      </c>
      <c r="U15">
        <v>27240</v>
      </c>
      <c r="V15">
        <v>26940</v>
      </c>
      <c r="W15">
        <v>23890</v>
      </c>
      <c r="X15">
        <v>29550</v>
      </c>
      <c r="Y15">
        <v>30220</v>
      </c>
      <c r="Z15">
        <v>34670</v>
      </c>
      <c r="AA15">
        <v>29530</v>
      </c>
      <c r="AB15">
        <v>29880</v>
      </c>
      <c r="AC15">
        <v>34420</v>
      </c>
      <c r="AD15">
        <v>30580</v>
      </c>
      <c r="AE15">
        <v>296920</v>
      </c>
      <c r="AF15">
        <v>296717.44163474999</v>
      </c>
      <c r="AG15">
        <v>301390.33</v>
      </c>
      <c r="AH15">
        <v>296920</v>
      </c>
      <c r="AI15">
        <v>1668.26</v>
      </c>
      <c r="AJ15">
        <v>0.76870000000000005</v>
      </c>
      <c r="AK15">
        <v>0.76029999999999998</v>
      </c>
      <c r="AL15">
        <v>0.75829999999999997</v>
      </c>
      <c r="AM15">
        <v>0.73870000000000002</v>
      </c>
      <c r="AN15">
        <v>0.754</v>
      </c>
      <c r="AO15">
        <v>0.82550000000000001</v>
      </c>
      <c r="AP15">
        <v>0.81940000000000002</v>
      </c>
      <c r="AQ15">
        <v>0.82120000000000004</v>
      </c>
      <c r="AR15">
        <v>0.82750000000000001</v>
      </c>
      <c r="AS15">
        <v>0.84050000000000002</v>
      </c>
      <c r="AT15">
        <v>1.1044733925024364</v>
      </c>
      <c r="AU15">
        <v>3.8224381818181818</v>
      </c>
      <c r="AV15">
        <v>3.741611081538462</v>
      </c>
      <c r="AW15">
        <v>5.2</v>
      </c>
      <c r="AX15">
        <v>5.26</v>
      </c>
      <c r="AY15">
        <v>5.16</v>
      </c>
      <c r="AZ15">
        <v>5.25</v>
      </c>
      <c r="BB15">
        <v>5.2175000000000002</v>
      </c>
      <c r="BC15">
        <v>0.79139999999999999</v>
      </c>
      <c r="BD15">
        <v>0.73261872195844402</v>
      </c>
      <c r="BE15">
        <v>1</v>
      </c>
      <c r="BF15">
        <v>71500</v>
      </c>
      <c r="BG15">
        <v>56992</v>
      </c>
      <c r="BH15">
        <v>24000</v>
      </c>
      <c r="BI15">
        <v>30030</v>
      </c>
      <c r="BJ15" s="9" t="s">
        <v>152</v>
      </c>
    </row>
    <row r="16" spans="1:62" ht="195" x14ac:dyDescent="0.25">
      <c r="A16" s="37">
        <v>45888</v>
      </c>
      <c r="B16">
        <v>261950.62903225806</v>
      </c>
      <c r="C16">
        <v>4.419354838709677</v>
      </c>
      <c r="D16">
        <v>3.6225451612903221</v>
      </c>
      <c r="E16">
        <v>0.81969999999999998</v>
      </c>
      <c r="F16">
        <v>0.99</v>
      </c>
      <c r="G16">
        <v>36297</v>
      </c>
      <c r="H16">
        <v>62086</v>
      </c>
      <c r="I16">
        <v>43870</v>
      </c>
      <c r="J16">
        <v>45860</v>
      </c>
      <c r="K16">
        <v>39898</v>
      </c>
      <c r="L16">
        <v>228011</v>
      </c>
      <c r="M16">
        <v>230377.39037099999</v>
      </c>
      <c r="N16">
        <v>239849.5</v>
      </c>
      <c r="O16">
        <v>11838.5</v>
      </c>
      <c r="P16">
        <v>11838.5</v>
      </c>
      <c r="Q16">
        <v>239849.5</v>
      </c>
      <c r="R16">
        <v>239849.5</v>
      </c>
      <c r="S16">
        <v>237787.44978697115</v>
      </c>
      <c r="T16">
        <v>239010.02675000002</v>
      </c>
      <c r="U16">
        <v>23670</v>
      </c>
      <c r="V16">
        <v>22810</v>
      </c>
      <c r="W16">
        <v>19060</v>
      </c>
      <c r="X16">
        <v>25170</v>
      </c>
      <c r="Y16">
        <v>25430</v>
      </c>
      <c r="Z16">
        <v>31710</v>
      </c>
      <c r="AA16">
        <v>26440</v>
      </c>
      <c r="AB16">
        <v>27010</v>
      </c>
      <c r="AC16">
        <v>31870</v>
      </c>
      <c r="AD16">
        <v>27600</v>
      </c>
      <c r="AE16">
        <v>260770</v>
      </c>
      <c r="AF16">
        <v>265442.63144956814</v>
      </c>
      <c r="AG16">
        <v>272608.5</v>
      </c>
      <c r="AH16">
        <v>265442.63144956814</v>
      </c>
      <c r="AI16">
        <v>1316.38</v>
      </c>
      <c r="AJ16">
        <v>0.7429</v>
      </c>
      <c r="AK16">
        <v>0.71609999999999996</v>
      </c>
      <c r="AL16">
        <v>0.67310000000000003</v>
      </c>
      <c r="AM16">
        <v>0.69979999999999998</v>
      </c>
      <c r="AN16">
        <v>0.71919999999999995</v>
      </c>
      <c r="AO16">
        <v>0.83979999999999999</v>
      </c>
      <c r="AP16">
        <v>0.85170000000000001</v>
      </c>
      <c r="AQ16">
        <v>0.82569999999999999</v>
      </c>
      <c r="AR16">
        <v>0.88929999999999998</v>
      </c>
      <c r="AS16">
        <v>0.84389999999999998</v>
      </c>
      <c r="AT16">
        <v>1.1436728929744617</v>
      </c>
      <c r="AU16">
        <v>3.3545384615384615</v>
      </c>
      <c r="AV16">
        <v>3.3256985984191769</v>
      </c>
      <c r="AW16">
        <v>4.4800000000000004</v>
      </c>
      <c r="AX16">
        <v>4.6399999999999997</v>
      </c>
      <c r="AY16">
        <v>4.5</v>
      </c>
      <c r="AZ16">
        <v>4.72</v>
      </c>
      <c r="BB16">
        <v>4.585</v>
      </c>
      <c r="BC16">
        <v>0.7802</v>
      </c>
      <c r="BD16">
        <v>0.73163325224393927</v>
      </c>
      <c r="BE16">
        <v>0.99650000000000005</v>
      </c>
      <c r="BF16">
        <v>71500</v>
      </c>
      <c r="BG16">
        <v>56992</v>
      </c>
      <c r="BH16">
        <v>17967</v>
      </c>
      <c r="BI16">
        <v>29863</v>
      </c>
      <c r="BJ16" s="9" t="s">
        <v>157</v>
      </c>
    </row>
    <row r="17" spans="1:62" ht="60" x14ac:dyDescent="0.25">
      <c r="A17" s="37">
        <v>45887</v>
      </c>
      <c r="B17">
        <v>261950.62903225806</v>
      </c>
      <c r="C17">
        <v>4.419354838709677</v>
      </c>
      <c r="D17">
        <v>3.6225451612903221</v>
      </c>
      <c r="E17">
        <v>0.81969999999999998</v>
      </c>
      <c r="F17">
        <v>0.99</v>
      </c>
      <c r="G17">
        <v>75422</v>
      </c>
      <c r="H17">
        <v>75736</v>
      </c>
      <c r="I17">
        <v>57485</v>
      </c>
      <c r="J17">
        <v>57485</v>
      </c>
      <c r="K17">
        <v>50328</v>
      </c>
      <c r="L17">
        <v>316456</v>
      </c>
      <c r="M17">
        <v>311803.995016</v>
      </c>
      <c r="N17">
        <v>299374</v>
      </c>
      <c r="O17">
        <v>-17082</v>
      </c>
      <c r="P17">
        <v>0</v>
      </c>
      <c r="Q17">
        <v>311803.995016</v>
      </c>
      <c r="R17">
        <v>316456</v>
      </c>
      <c r="S17">
        <v>311803.995016</v>
      </c>
      <c r="T17">
        <v>298326.19099999999</v>
      </c>
      <c r="U17">
        <v>27700</v>
      </c>
      <c r="V17">
        <v>27380</v>
      </c>
      <c r="W17">
        <v>22480</v>
      </c>
      <c r="X17">
        <v>30410</v>
      </c>
      <c r="Y17">
        <v>30560</v>
      </c>
      <c r="Z17">
        <v>30420</v>
      </c>
      <c r="AA17">
        <v>26620</v>
      </c>
      <c r="AB17">
        <v>27040</v>
      </c>
      <c r="AC17">
        <v>29760</v>
      </c>
      <c r="AD17">
        <v>27880</v>
      </c>
      <c r="AE17">
        <v>280250</v>
      </c>
      <c r="AF17">
        <v>272231.42171272088</v>
      </c>
      <c r="AG17">
        <v>280250</v>
      </c>
      <c r="AH17">
        <v>280250</v>
      </c>
      <c r="AI17">
        <v>1609.6</v>
      </c>
      <c r="AJ17">
        <v>0.91590000000000005</v>
      </c>
      <c r="AK17">
        <v>0.90539999999999998</v>
      </c>
      <c r="AL17">
        <v>0.83620000000000005</v>
      </c>
      <c r="AM17">
        <v>0.89090000000000003</v>
      </c>
      <c r="AN17">
        <v>0.88339999999999996</v>
      </c>
      <c r="AO17">
        <v>0.84889999999999999</v>
      </c>
      <c r="AP17">
        <v>0.89749999999999996</v>
      </c>
      <c r="AQ17">
        <v>0.87109999999999999</v>
      </c>
      <c r="AR17">
        <v>0.86899999999999999</v>
      </c>
      <c r="AS17">
        <v>0.89800000000000002</v>
      </c>
      <c r="AT17">
        <v>0.88558914983441617</v>
      </c>
      <c r="AU17">
        <v>4.3608950351888112</v>
      </c>
      <c r="AV17">
        <v>4.3608950351888112</v>
      </c>
      <c r="AW17">
        <v>4.28</v>
      </c>
      <c r="AX17">
        <v>4.54</v>
      </c>
      <c r="AY17">
        <v>4.57</v>
      </c>
      <c r="AZ17">
        <v>4.4800000000000004</v>
      </c>
      <c r="BB17">
        <v>4.4675000000000002</v>
      </c>
      <c r="BC17">
        <v>0.88160000000000005</v>
      </c>
      <c r="BD17">
        <v>0.97613766876078589</v>
      </c>
      <c r="BE17">
        <v>0.99650000000000005</v>
      </c>
      <c r="BF17">
        <v>71500</v>
      </c>
      <c r="BG17">
        <v>56992</v>
      </c>
      <c r="BH17">
        <v>24000</v>
      </c>
      <c r="BI17">
        <v>30030</v>
      </c>
      <c r="BJ17" s="9" t="s">
        <v>152</v>
      </c>
    </row>
    <row r="18" spans="1:62" ht="90" x14ac:dyDescent="0.25">
      <c r="A18" s="37">
        <v>45886</v>
      </c>
      <c r="B18">
        <v>261950.62903225806</v>
      </c>
      <c r="C18">
        <v>4.419354838709677</v>
      </c>
      <c r="D18">
        <v>3.6225451612903221</v>
      </c>
      <c r="E18">
        <v>0.81969999999999998</v>
      </c>
      <c r="F18">
        <v>0.99</v>
      </c>
      <c r="G18">
        <v>31537</v>
      </c>
      <c r="H18">
        <v>31692</v>
      </c>
      <c r="I18">
        <v>5409</v>
      </c>
      <c r="J18">
        <v>5409</v>
      </c>
      <c r="K18">
        <v>6188</v>
      </c>
      <c r="L18">
        <v>80235</v>
      </c>
      <c r="M18">
        <v>76618.443452999985</v>
      </c>
      <c r="N18">
        <v>148938</v>
      </c>
      <c r="O18">
        <v>68703</v>
      </c>
      <c r="P18">
        <v>68703</v>
      </c>
      <c r="Q18">
        <v>148938</v>
      </c>
      <c r="R18">
        <v>148938</v>
      </c>
      <c r="S18">
        <v>108515.92414094623</v>
      </c>
      <c r="T18">
        <v>148938</v>
      </c>
      <c r="U18">
        <v>13200</v>
      </c>
      <c r="V18">
        <v>12850</v>
      </c>
      <c r="W18">
        <v>10800</v>
      </c>
      <c r="X18">
        <v>14490</v>
      </c>
      <c r="Y18">
        <v>14870</v>
      </c>
      <c r="Z18">
        <v>0</v>
      </c>
      <c r="AA18">
        <v>0</v>
      </c>
      <c r="AB18">
        <v>0</v>
      </c>
      <c r="AC18">
        <v>0</v>
      </c>
      <c r="AD18">
        <v>0</v>
      </c>
      <c r="AE18">
        <v>66210</v>
      </c>
      <c r="AF18">
        <v>154369.57337714301</v>
      </c>
      <c r="AG18">
        <v>134913</v>
      </c>
      <c r="AH18">
        <v>154369.57337714301</v>
      </c>
      <c r="AI18">
        <v>1515.15</v>
      </c>
      <c r="AJ18">
        <v>0.93120000000000003</v>
      </c>
      <c r="AK18">
        <v>0.90669999999999995</v>
      </c>
      <c r="AL18">
        <v>0.85740000000000005</v>
      </c>
      <c r="AM18">
        <v>0.90569999999999995</v>
      </c>
      <c r="AN18">
        <v>0.93400000000000005</v>
      </c>
      <c r="AO18">
        <v>0</v>
      </c>
      <c r="AP18">
        <v>0</v>
      </c>
      <c r="AQ18">
        <v>0</v>
      </c>
      <c r="AR18">
        <v>0</v>
      </c>
      <c r="AS18">
        <v>0</v>
      </c>
      <c r="AT18">
        <v>0.82520097214432608</v>
      </c>
      <c r="AU18">
        <v>2.0830489510489509</v>
      </c>
      <c r="AV18">
        <v>1.5177052327405067</v>
      </c>
      <c r="AW18">
        <v>1</v>
      </c>
      <c r="AX18">
        <v>2.09</v>
      </c>
      <c r="AY18">
        <v>1.2</v>
      </c>
      <c r="AZ18">
        <v>2.1</v>
      </c>
      <c r="BB18">
        <v>1.5975000000000001</v>
      </c>
      <c r="BC18">
        <v>0.90700000000000003</v>
      </c>
      <c r="BD18">
        <v>1.3039430053514558</v>
      </c>
      <c r="BE18">
        <v>1</v>
      </c>
      <c r="BF18">
        <v>71500</v>
      </c>
      <c r="BG18">
        <v>56992</v>
      </c>
      <c r="BH18">
        <v>24000</v>
      </c>
      <c r="BI18">
        <v>0</v>
      </c>
      <c r="BJ18" s="9" t="s">
        <v>156</v>
      </c>
    </row>
    <row r="19" spans="1:62" ht="60" x14ac:dyDescent="0.25">
      <c r="A19" s="37">
        <v>45885</v>
      </c>
      <c r="B19">
        <v>261950.62903225806</v>
      </c>
      <c r="C19">
        <v>4.419354838709677</v>
      </c>
      <c r="D19">
        <v>3.6225451612903221</v>
      </c>
      <c r="E19">
        <v>0.81969999999999998</v>
      </c>
      <c r="F19">
        <v>0.99</v>
      </c>
      <c r="G19">
        <v>57365</v>
      </c>
      <c r="H19">
        <v>57481</v>
      </c>
      <c r="I19">
        <v>33706</v>
      </c>
      <c r="J19">
        <v>33706</v>
      </c>
      <c r="K19">
        <v>30644</v>
      </c>
      <c r="L19">
        <v>212902</v>
      </c>
      <c r="M19">
        <v>217743.35664600006</v>
      </c>
      <c r="N19">
        <v>234872.67</v>
      </c>
      <c r="O19">
        <v>21970.670000000013</v>
      </c>
      <c r="P19">
        <v>21970.670000000013</v>
      </c>
      <c r="Q19">
        <v>234872.67</v>
      </c>
      <c r="R19">
        <v>234872.67</v>
      </c>
      <c r="S19">
        <v>217743.35664600006</v>
      </c>
      <c r="T19">
        <v>234872.67</v>
      </c>
      <c r="U19">
        <v>24170</v>
      </c>
      <c r="V19">
        <v>24510</v>
      </c>
      <c r="W19">
        <v>19530</v>
      </c>
      <c r="X19">
        <v>26670</v>
      </c>
      <c r="Y19">
        <v>26450</v>
      </c>
      <c r="Z19">
        <v>29560</v>
      </c>
      <c r="AA19">
        <v>24080</v>
      </c>
      <c r="AB19">
        <v>24860</v>
      </c>
      <c r="AC19">
        <v>28120</v>
      </c>
      <c r="AD19">
        <v>25650</v>
      </c>
      <c r="AE19">
        <v>253600</v>
      </c>
      <c r="AF19">
        <v>246580.86725065118</v>
      </c>
      <c r="AG19">
        <v>275570.67000000004</v>
      </c>
      <c r="AH19">
        <v>253600</v>
      </c>
      <c r="AI19">
        <v>1593.14</v>
      </c>
      <c r="AJ19">
        <v>0.84050000000000002</v>
      </c>
      <c r="AK19">
        <v>0.85229999999999995</v>
      </c>
      <c r="AL19">
        <v>0.76390000000000002</v>
      </c>
      <c r="AM19">
        <v>0.82140000000000002</v>
      </c>
      <c r="AN19">
        <v>0.84660000000000002</v>
      </c>
      <c r="AO19">
        <v>0.86739999999999995</v>
      </c>
      <c r="AP19">
        <v>0.90500000000000003</v>
      </c>
      <c r="AQ19">
        <v>0.84209999999999996</v>
      </c>
      <c r="AR19">
        <v>0.91520000000000001</v>
      </c>
      <c r="AS19">
        <v>0.86880000000000002</v>
      </c>
      <c r="AT19">
        <v>1.1911583733360889</v>
      </c>
      <c r="AU19">
        <v>3.2849324475524475</v>
      </c>
      <c r="AV19">
        <v>3.0453616314125882</v>
      </c>
      <c r="AW19">
        <v>3.84</v>
      </c>
      <c r="AX19">
        <v>4.0999999999999996</v>
      </c>
      <c r="AY19">
        <v>4.1100000000000003</v>
      </c>
      <c r="AZ19">
        <v>4.26</v>
      </c>
      <c r="BB19">
        <v>4.0775000000000006</v>
      </c>
      <c r="BC19">
        <v>0.85229999999999995</v>
      </c>
      <c r="BD19">
        <v>0.80562414409624694</v>
      </c>
      <c r="BE19">
        <v>1</v>
      </c>
      <c r="BF19">
        <v>71500</v>
      </c>
      <c r="BG19">
        <v>56992</v>
      </c>
      <c r="BH19">
        <v>24000</v>
      </c>
      <c r="BI19">
        <v>30030</v>
      </c>
      <c r="BJ19" s="9" t="s">
        <v>152</v>
      </c>
    </row>
    <row r="20" spans="1:62" ht="90" x14ac:dyDescent="0.25">
      <c r="A20" s="37">
        <v>45884</v>
      </c>
      <c r="B20">
        <v>261950.62903225806</v>
      </c>
      <c r="C20">
        <v>4.419354838709677</v>
      </c>
      <c r="D20">
        <v>3.6225451612903221</v>
      </c>
      <c r="E20">
        <v>0.81969999999999998</v>
      </c>
      <c r="F20">
        <v>0.99</v>
      </c>
      <c r="G20">
        <v>55259</v>
      </c>
      <c r="H20">
        <v>55322</v>
      </c>
      <c r="I20">
        <v>45483</v>
      </c>
      <c r="J20">
        <v>47209</v>
      </c>
      <c r="K20">
        <v>44672</v>
      </c>
      <c r="L20">
        <v>247945</v>
      </c>
      <c r="M20">
        <v>251359.08593500001</v>
      </c>
      <c r="N20">
        <v>275637.5</v>
      </c>
      <c r="O20">
        <v>27692.5</v>
      </c>
      <c r="P20">
        <v>27692.5</v>
      </c>
      <c r="Q20">
        <v>275637.5</v>
      </c>
      <c r="R20">
        <v>275637.5</v>
      </c>
      <c r="S20">
        <v>263258.1143866207</v>
      </c>
      <c r="T20">
        <v>275637.5</v>
      </c>
      <c r="U20">
        <v>25290</v>
      </c>
      <c r="V20">
        <v>24360</v>
      </c>
      <c r="W20">
        <v>20810</v>
      </c>
      <c r="X20">
        <v>26820</v>
      </c>
      <c r="Y20">
        <v>28050</v>
      </c>
      <c r="Z20">
        <v>31360</v>
      </c>
      <c r="AA20">
        <v>27520</v>
      </c>
      <c r="AB20">
        <v>26820</v>
      </c>
      <c r="AC20">
        <v>32020</v>
      </c>
      <c r="AD20">
        <v>26800</v>
      </c>
      <c r="AE20">
        <v>269850</v>
      </c>
      <c r="AF20">
        <v>288173.6931589545</v>
      </c>
      <c r="AG20">
        <v>297542.5</v>
      </c>
      <c r="AH20">
        <v>288173.6931589545</v>
      </c>
      <c r="AI20">
        <v>1440.08</v>
      </c>
      <c r="AJ20">
        <v>0.7954</v>
      </c>
      <c r="AK20">
        <v>0.76619999999999999</v>
      </c>
      <c r="AL20">
        <v>0.73619999999999997</v>
      </c>
      <c r="AM20">
        <v>0.74739999999999995</v>
      </c>
      <c r="AN20">
        <v>0.71479999999999999</v>
      </c>
      <c r="AO20">
        <v>0.83230000000000004</v>
      </c>
      <c r="AP20">
        <v>0.80889999999999995</v>
      </c>
      <c r="AQ20">
        <v>0.82179999999999997</v>
      </c>
      <c r="AR20">
        <v>0.81499999999999995</v>
      </c>
      <c r="AS20">
        <v>0.82089999999999996</v>
      </c>
      <c r="AT20">
        <v>1.0883462058117728</v>
      </c>
      <c r="AU20">
        <v>3.8550699300699303</v>
      </c>
      <c r="AV20">
        <v>3.6819316697429469</v>
      </c>
      <c r="AW20">
        <v>4.91</v>
      </c>
      <c r="AX20">
        <v>5.15</v>
      </c>
      <c r="AY20">
        <v>4.55</v>
      </c>
      <c r="AZ20">
        <v>4.71</v>
      </c>
      <c r="BB20">
        <v>4.83</v>
      </c>
      <c r="BC20">
        <v>0.78590000000000004</v>
      </c>
      <c r="BD20">
        <v>0.79815112423808077</v>
      </c>
      <c r="BE20">
        <v>1</v>
      </c>
      <c r="BF20">
        <v>71500</v>
      </c>
      <c r="BG20">
        <v>56992</v>
      </c>
      <c r="BH20">
        <v>22000</v>
      </c>
      <c r="BI20">
        <v>25240</v>
      </c>
      <c r="BJ20" s="9" t="s">
        <v>155</v>
      </c>
    </row>
    <row r="21" spans="1:62" ht="105" x14ac:dyDescent="0.25">
      <c r="A21" s="37">
        <v>45883</v>
      </c>
      <c r="B21">
        <v>261950.62903225806</v>
      </c>
      <c r="C21">
        <v>4.419354838709677</v>
      </c>
      <c r="D21">
        <v>3.6225451612903221</v>
      </c>
      <c r="E21">
        <v>0.81969999999999998</v>
      </c>
      <c r="F21">
        <v>0.99</v>
      </c>
      <c r="G21">
        <v>64842</v>
      </c>
      <c r="H21">
        <v>64942</v>
      </c>
      <c r="I21">
        <v>55192</v>
      </c>
      <c r="J21">
        <v>54330</v>
      </c>
      <c r="K21">
        <v>31178</v>
      </c>
      <c r="L21">
        <v>270484</v>
      </c>
      <c r="M21">
        <v>260441.39890399997</v>
      </c>
      <c r="N21">
        <v>269566</v>
      </c>
      <c r="O21">
        <v>-918</v>
      </c>
      <c r="P21">
        <v>0</v>
      </c>
      <c r="Q21">
        <v>269566</v>
      </c>
      <c r="R21">
        <v>270484</v>
      </c>
      <c r="S21">
        <v>261417.93092104871</v>
      </c>
      <c r="T21">
        <v>269566</v>
      </c>
      <c r="U21">
        <v>23930</v>
      </c>
      <c r="V21">
        <v>23990</v>
      </c>
      <c r="W21">
        <v>21010</v>
      </c>
      <c r="X21">
        <v>26810</v>
      </c>
      <c r="Y21">
        <v>27240</v>
      </c>
      <c r="Z21">
        <v>29830</v>
      </c>
      <c r="AA21">
        <v>25490</v>
      </c>
      <c r="AB21">
        <v>25830</v>
      </c>
      <c r="AC21">
        <v>31120</v>
      </c>
      <c r="AD21">
        <v>26930</v>
      </c>
      <c r="AE21">
        <v>262180</v>
      </c>
      <c r="AF21">
        <v>257706.69974375796</v>
      </c>
      <c r="AG21">
        <v>262180</v>
      </c>
      <c r="AH21">
        <v>262180</v>
      </c>
      <c r="AI21">
        <v>1635.82</v>
      </c>
      <c r="AJ21">
        <v>0.82620000000000005</v>
      </c>
      <c r="AK21">
        <v>0.82850000000000001</v>
      </c>
      <c r="AL21">
        <v>0.81630000000000003</v>
      </c>
      <c r="AM21">
        <v>0.82020000000000004</v>
      </c>
      <c r="AN21">
        <v>0.81989999999999996</v>
      </c>
      <c r="AO21">
        <v>0.86909999999999998</v>
      </c>
      <c r="AP21">
        <v>0.86539999999999995</v>
      </c>
      <c r="AQ21">
        <v>0.86890000000000001</v>
      </c>
      <c r="AR21">
        <v>0.9153</v>
      </c>
      <c r="AS21">
        <v>0.90580000000000005</v>
      </c>
      <c r="AT21">
        <v>0.96929947797281912</v>
      </c>
      <c r="AU21">
        <v>3.7701538461538462</v>
      </c>
      <c r="AV21">
        <v>3.6561948380566252</v>
      </c>
      <c r="AW21">
        <v>4.25</v>
      </c>
      <c r="AX21">
        <v>4.3600000000000003</v>
      </c>
      <c r="AY21">
        <v>4.16</v>
      </c>
      <c r="AZ21">
        <v>4.29</v>
      </c>
      <c r="BB21">
        <v>4.2649999999999997</v>
      </c>
      <c r="BC21">
        <v>0.85360000000000003</v>
      </c>
      <c r="BD21">
        <v>0.88397511046983501</v>
      </c>
      <c r="BE21">
        <v>1</v>
      </c>
      <c r="BF21">
        <v>71500</v>
      </c>
      <c r="BG21">
        <v>56992</v>
      </c>
      <c r="BH21">
        <v>24000</v>
      </c>
      <c r="BI21">
        <v>27844</v>
      </c>
      <c r="BJ21" s="9" t="s">
        <v>154</v>
      </c>
    </row>
    <row r="22" spans="1:62" ht="120" x14ac:dyDescent="0.25">
      <c r="A22" s="37">
        <v>45882</v>
      </c>
      <c r="B22">
        <v>261950.62903225806</v>
      </c>
      <c r="C22">
        <v>4.419354838709677</v>
      </c>
      <c r="D22">
        <v>3.6225451612903221</v>
      </c>
      <c r="E22">
        <v>0.81969999999999998</v>
      </c>
      <c r="F22">
        <v>0.99</v>
      </c>
      <c r="G22">
        <v>66282</v>
      </c>
      <c r="H22">
        <v>66481</v>
      </c>
      <c r="I22">
        <v>20615</v>
      </c>
      <c r="J22">
        <v>23315</v>
      </c>
      <c r="K22">
        <v>24442</v>
      </c>
      <c r="L22">
        <v>201135</v>
      </c>
      <c r="M22">
        <v>190951.22203100001</v>
      </c>
      <c r="N22">
        <v>261923</v>
      </c>
      <c r="O22">
        <v>60788</v>
      </c>
      <c r="P22">
        <v>60788</v>
      </c>
      <c r="Q22">
        <v>261923</v>
      </c>
      <c r="R22">
        <v>261923</v>
      </c>
      <c r="S22">
        <v>221291.35489416303</v>
      </c>
      <c r="T22">
        <v>261923</v>
      </c>
      <c r="U22">
        <v>22050</v>
      </c>
      <c r="V22">
        <v>22120</v>
      </c>
      <c r="W22">
        <v>19210</v>
      </c>
      <c r="X22">
        <v>24820</v>
      </c>
      <c r="Y22">
        <v>24750</v>
      </c>
      <c r="Z22">
        <v>9040</v>
      </c>
      <c r="AA22">
        <v>7760</v>
      </c>
      <c r="AB22">
        <v>7840</v>
      </c>
      <c r="AC22">
        <v>9190</v>
      </c>
      <c r="AD22">
        <v>8140</v>
      </c>
      <c r="AE22">
        <v>154920</v>
      </c>
      <c r="AF22">
        <v>223502.40937415999</v>
      </c>
      <c r="AG22">
        <v>215708</v>
      </c>
      <c r="AH22">
        <v>223502.40937415999</v>
      </c>
      <c r="AI22">
        <v>1553.37</v>
      </c>
      <c r="AJ22">
        <v>0.88300000000000001</v>
      </c>
      <c r="AK22">
        <v>0.88560000000000005</v>
      </c>
      <c r="AL22">
        <v>0.86529999999999996</v>
      </c>
      <c r="AM22">
        <v>0.88019999999999998</v>
      </c>
      <c r="AN22">
        <v>0.89739999999999998</v>
      </c>
      <c r="AO22">
        <v>0.30549999999999999</v>
      </c>
      <c r="AP22">
        <v>0.31180000000000002</v>
      </c>
      <c r="AQ22">
        <v>0.30559999999999998</v>
      </c>
      <c r="AR22">
        <v>0.3201</v>
      </c>
      <c r="AS22">
        <v>0.31730000000000003</v>
      </c>
      <c r="AT22">
        <v>0.7702289507047505</v>
      </c>
      <c r="AU22">
        <v>3.6632587412587414</v>
      </c>
      <c r="AV22">
        <v>3.0949839845337488</v>
      </c>
      <c r="AW22">
        <v>3.59</v>
      </c>
      <c r="AX22">
        <v>3.62</v>
      </c>
      <c r="AY22">
        <v>3.74</v>
      </c>
      <c r="AZ22">
        <v>3.7</v>
      </c>
      <c r="BB22">
        <v>3.6624999999999996</v>
      </c>
      <c r="BC22">
        <v>0.59719999999999995</v>
      </c>
      <c r="BD22">
        <v>1.0002071648488031</v>
      </c>
      <c r="BE22">
        <v>1</v>
      </c>
      <c r="BF22">
        <v>71500</v>
      </c>
      <c r="BG22">
        <v>56992</v>
      </c>
      <c r="BH22">
        <v>24000</v>
      </c>
      <c r="BI22">
        <v>13847</v>
      </c>
      <c r="BJ22" s="9" t="s">
        <v>153</v>
      </c>
    </row>
    <row r="23" spans="1:62" ht="60" x14ac:dyDescent="0.25">
      <c r="A23" s="37">
        <v>45881</v>
      </c>
      <c r="B23">
        <v>261950.62903225806</v>
      </c>
      <c r="C23">
        <v>4.419354838709677</v>
      </c>
      <c r="D23">
        <v>3.6225451612903221</v>
      </c>
      <c r="E23">
        <v>0.81969999999999998</v>
      </c>
      <c r="F23">
        <v>0.99</v>
      </c>
      <c r="G23">
        <v>23963</v>
      </c>
      <c r="H23">
        <v>24098</v>
      </c>
      <c r="I23">
        <v>13166</v>
      </c>
      <c r="J23">
        <v>19657</v>
      </c>
      <c r="K23">
        <v>23146</v>
      </c>
      <c r="L23">
        <v>104030</v>
      </c>
      <c r="M23">
        <v>97381.892923999985</v>
      </c>
      <c r="N23">
        <v>84116.67</v>
      </c>
      <c r="O23">
        <v>-19913.330000000002</v>
      </c>
      <c r="P23">
        <v>0</v>
      </c>
      <c r="Q23">
        <v>97381.892923999985</v>
      </c>
      <c r="R23">
        <v>104030</v>
      </c>
      <c r="S23">
        <v>97381.892923999985</v>
      </c>
      <c r="T23">
        <v>84116.67</v>
      </c>
      <c r="U23">
        <v>12310</v>
      </c>
      <c r="V23">
        <v>12340</v>
      </c>
      <c r="W23">
        <v>10550</v>
      </c>
      <c r="X23">
        <v>13410</v>
      </c>
      <c r="Y23">
        <v>13590</v>
      </c>
      <c r="Z23">
        <v>14100</v>
      </c>
      <c r="AA23">
        <v>12070</v>
      </c>
      <c r="AB23">
        <v>12110</v>
      </c>
      <c r="AC23">
        <v>14210</v>
      </c>
      <c r="AD23">
        <v>12330</v>
      </c>
      <c r="AE23">
        <v>127020</v>
      </c>
      <c r="AF23">
        <v>110273.73061941269</v>
      </c>
      <c r="AG23">
        <v>127020</v>
      </c>
      <c r="AH23">
        <v>127020</v>
      </c>
      <c r="AI23">
        <v>1628.06</v>
      </c>
      <c r="AJ23">
        <v>0.94950000000000001</v>
      </c>
      <c r="AK23">
        <v>0.95230000000000004</v>
      </c>
      <c r="AL23">
        <v>0.91549999999999998</v>
      </c>
      <c r="AM23">
        <v>0.91639999999999999</v>
      </c>
      <c r="AN23">
        <v>0.93840000000000001</v>
      </c>
      <c r="AO23">
        <v>0.91800000000000004</v>
      </c>
      <c r="AP23">
        <v>0.97260000000000002</v>
      </c>
      <c r="AQ23">
        <v>0.91</v>
      </c>
      <c r="AR23">
        <v>0.99260000000000004</v>
      </c>
      <c r="AS23">
        <v>0.92659999999999998</v>
      </c>
      <c r="AT23">
        <v>1.2209939440545996</v>
      </c>
      <c r="AU23">
        <v>1.3619845164195803</v>
      </c>
      <c r="AV23">
        <v>1.3619845164195803</v>
      </c>
      <c r="AW23">
        <v>1.79</v>
      </c>
      <c r="AX23">
        <v>1.9</v>
      </c>
      <c r="AY23">
        <v>1.87</v>
      </c>
      <c r="AZ23">
        <v>1.92</v>
      </c>
      <c r="BB23">
        <v>1.87</v>
      </c>
      <c r="BC23">
        <v>0.93920000000000003</v>
      </c>
      <c r="BD23">
        <v>0.72833396599977551</v>
      </c>
      <c r="BE23">
        <v>1</v>
      </c>
      <c r="BF23">
        <v>71500</v>
      </c>
      <c r="BG23">
        <v>56992</v>
      </c>
      <c r="BH23">
        <v>24000</v>
      </c>
      <c r="BI23">
        <v>30030</v>
      </c>
      <c r="BJ23" s="9" t="s">
        <v>152</v>
      </c>
    </row>
    <row r="24" spans="1:62" ht="60" x14ac:dyDescent="0.25">
      <c r="A24" s="37">
        <v>45880</v>
      </c>
      <c r="B24">
        <v>261950.62903225806</v>
      </c>
      <c r="C24">
        <v>4.419354838709677</v>
      </c>
      <c r="D24">
        <v>3.6225451612903221</v>
      </c>
      <c r="E24">
        <v>0.81969999999999998</v>
      </c>
      <c r="F24">
        <v>0.99</v>
      </c>
      <c r="G24">
        <v>57238</v>
      </c>
      <c r="H24">
        <v>57315</v>
      </c>
      <c r="I24">
        <v>42749</v>
      </c>
      <c r="J24">
        <v>47232</v>
      </c>
      <c r="K24">
        <v>47470</v>
      </c>
      <c r="L24">
        <v>252004</v>
      </c>
      <c r="M24">
        <v>245584.55924600002</v>
      </c>
      <c r="N24">
        <v>239210.33</v>
      </c>
      <c r="O24">
        <v>-12793.670000000013</v>
      </c>
      <c r="P24">
        <v>0</v>
      </c>
      <c r="Q24">
        <v>245584.55924600002</v>
      </c>
      <c r="R24">
        <v>252004</v>
      </c>
      <c r="S24">
        <v>245584.55924600002</v>
      </c>
      <c r="T24">
        <v>239210.33</v>
      </c>
      <c r="U24">
        <v>24540</v>
      </c>
      <c r="V24">
        <v>24180</v>
      </c>
      <c r="W24">
        <v>21270</v>
      </c>
      <c r="X24">
        <v>26660</v>
      </c>
      <c r="Y24">
        <v>27410</v>
      </c>
      <c r="Z24">
        <v>30530</v>
      </c>
      <c r="AA24">
        <v>26010</v>
      </c>
      <c r="AB24">
        <v>26330</v>
      </c>
      <c r="AC24">
        <v>32000</v>
      </c>
      <c r="AD24">
        <v>26580</v>
      </c>
      <c r="AE24">
        <v>265510</v>
      </c>
      <c r="AF24">
        <v>256120.19621300796</v>
      </c>
      <c r="AG24">
        <v>265510</v>
      </c>
      <c r="AH24">
        <v>265510</v>
      </c>
      <c r="AI24">
        <v>1216.51</v>
      </c>
      <c r="AJ24">
        <v>0.8206</v>
      </c>
      <c r="AK24">
        <v>0.8085</v>
      </c>
      <c r="AL24">
        <v>0.80020000000000002</v>
      </c>
      <c r="AM24">
        <v>0.78990000000000005</v>
      </c>
      <c r="AN24">
        <v>0.80830000000000002</v>
      </c>
      <c r="AO24">
        <v>0.86129999999999995</v>
      </c>
      <c r="AP24">
        <v>0.88939999999999997</v>
      </c>
      <c r="AQ24">
        <v>0.85760000000000003</v>
      </c>
      <c r="AR24">
        <v>0.94799999999999995</v>
      </c>
      <c r="AS24">
        <v>0.86580000000000001</v>
      </c>
      <c r="AT24">
        <v>1.0535943873906763</v>
      </c>
      <c r="AU24">
        <v>3.4347490803636367</v>
      </c>
      <c r="AV24">
        <v>3.4347490803636367</v>
      </c>
      <c r="AW24">
        <v>4.22</v>
      </c>
      <c r="AX24">
        <v>4.45</v>
      </c>
      <c r="AY24">
        <v>4.25</v>
      </c>
      <c r="AZ24">
        <v>4.43</v>
      </c>
      <c r="BB24">
        <v>4.3375000000000004</v>
      </c>
      <c r="BC24">
        <v>0.84499999999999997</v>
      </c>
      <c r="BD24">
        <v>0.7918729868273513</v>
      </c>
      <c r="BE24">
        <v>1</v>
      </c>
      <c r="BF24">
        <v>71500</v>
      </c>
      <c r="BG24">
        <v>56992</v>
      </c>
      <c r="BH24">
        <v>24000</v>
      </c>
      <c r="BI24">
        <v>30030</v>
      </c>
      <c r="BJ24" s="9" t="s">
        <v>152</v>
      </c>
    </row>
    <row r="25" spans="1:62" ht="105" x14ac:dyDescent="0.25">
      <c r="A25" s="37">
        <v>45879</v>
      </c>
      <c r="B25">
        <v>261950.62903225806</v>
      </c>
      <c r="C25">
        <v>4.419354838709677</v>
      </c>
      <c r="D25">
        <v>3.6225451612903221</v>
      </c>
      <c r="E25">
        <v>0.81969999999999998</v>
      </c>
      <c r="F25">
        <v>0.99</v>
      </c>
      <c r="G25">
        <v>38711</v>
      </c>
      <c r="H25">
        <v>38874</v>
      </c>
      <c r="I25">
        <v>24279</v>
      </c>
      <c r="J25">
        <v>29828</v>
      </c>
      <c r="K25">
        <v>31294</v>
      </c>
      <c r="L25">
        <v>162986</v>
      </c>
      <c r="M25">
        <v>159440.85408300001</v>
      </c>
      <c r="N25">
        <v>144023.32999999999</v>
      </c>
      <c r="O25">
        <v>-18962.670000000013</v>
      </c>
      <c r="P25">
        <v>0</v>
      </c>
      <c r="Q25">
        <v>159440.85408300001</v>
      </c>
      <c r="R25">
        <v>162986</v>
      </c>
      <c r="S25">
        <v>159529.55607874188</v>
      </c>
      <c r="T25">
        <v>144023.32999999999</v>
      </c>
      <c r="U25">
        <v>11250</v>
      </c>
      <c r="V25">
        <v>11040</v>
      </c>
      <c r="W25">
        <v>9860</v>
      </c>
      <c r="X25">
        <v>12450</v>
      </c>
      <c r="Y25">
        <v>12720</v>
      </c>
      <c r="Z25">
        <v>12950</v>
      </c>
      <c r="AA25">
        <v>11220</v>
      </c>
      <c r="AB25">
        <v>11190</v>
      </c>
      <c r="AC25">
        <v>13040</v>
      </c>
      <c r="AD25">
        <v>11590</v>
      </c>
      <c r="AE25">
        <v>117310</v>
      </c>
      <c r="AF25">
        <v>100653.00408843387</v>
      </c>
      <c r="AG25">
        <v>117310</v>
      </c>
      <c r="AH25">
        <v>117310</v>
      </c>
      <c r="AI25">
        <v>1253.6400000000001</v>
      </c>
      <c r="AJ25">
        <v>0.99199999999999999</v>
      </c>
      <c r="AK25">
        <v>0.97389999999999999</v>
      </c>
      <c r="AL25">
        <v>0.97850000000000004</v>
      </c>
      <c r="AM25">
        <v>0.97240000000000004</v>
      </c>
      <c r="AN25">
        <v>0.97609999999999997</v>
      </c>
      <c r="AO25">
        <v>0.96340000000000003</v>
      </c>
      <c r="AP25">
        <v>0.97570000000000001</v>
      </c>
      <c r="AQ25">
        <v>0.96109999999999995</v>
      </c>
      <c r="AR25">
        <v>0.98160000000000003</v>
      </c>
      <c r="AS25">
        <v>0.99539999999999995</v>
      </c>
      <c r="AT25">
        <v>0.7197550709876922</v>
      </c>
      <c r="AU25">
        <v>2.2299420151468534</v>
      </c>
      <c r="AV25">
        <v>2.2311826024998864</v>
      </c>
      <c r="AW25">
        <v>1.66</v>
      </c>
      <c r="AX25">
        <v>1.71</v>
      </c>
      <c r="AY25">
        <v>1.66</v>
      </c>
      <c r="AZ25">
        <v>1.68</v>
      </c>
      <c r="BB25">
        <v>1.6775</v>
      </c>
      <c r="BC25">
        <v>0.97699999999999998</v>
      </c>
      <c r="BD25">
        <v>1.3293245991933553</v>
      </c>
      <c r="BE25">
        <v>1</v>
      </c>
      <c r="BF25">
        <v>71500</v>
      </c>
      <c r="BG25">
        <v>56992</v>
      </c>
      <c r="BH25">
        <v>22233</v>
      </c>
      <c r="BI25">
        <v>30030</v>
      </c>
      <c r="BJ25" s="9" t="s">
        <v>151</v>
      </c>
    </row>
    <row r="26" spans="1:62" ht="150" x14ac:dyDescent="0.25">
      <c r="A26" s="37">
        <v>45878</v>
      </c>
      <c r="B26">
        <v>261950.62903225806</v>
      </c>
      <c r="C26">
        <v>4.419354838709677</v>
      </c>
      <c r="D26">
        <v>3.6225451612903221</v>
      </c>
      <c r="E26">
        <v>0.81969999999999998</v>
      </c>
      <c r="F26">
        <v>0.99</v>
      </c>
      <c r="G26">
        <v>6349</v>
      </c>
      <c r="H26">
        <v>60694</v>
      </c>
      <c r="I26">
        <v>23899</v>
      </c>
      <c r="J26">
        <v>28953</v>
      </c>
      <c r="K26">
        <v>28780</v>
      </c>
      <c r="L26">
        <v>148675</v>
      </c>
      <c r="M26">
        <v>145882.93410700001</v>
      </c>
      <c r="N26">
        <v>140715.5</v>
      </c>
      <c r="O26">
        <v>-7959.5</v>
      </c>
      <c r="P26">
        <v>0</v>
      </c>
      <c r="Q26">
        <v>145882.93410700001</v>
      </c>
      <c r="R26">
        <v>148675</v>
      </c>
      <c r="S26">
        <v>156208.81848802042</v>
      </c>
      <c r="T26">
        <v>140715.5</v>
      </c>
      <c r="U26">
        <v>13190</v>
      </c>
      <c r="V26">
        <v>13230</v>
      </c>
      <c r="W26">
        <v>11820</v>
      </c>
      <c r="X26">
        <v>15090</v>
      </c>
      <c r="Y26">
        <v>15010</v>
      </c>
      <c r="Z26">
        <v>16800</v>
      </c>
      <c r="AA26">
        <v>14750</v>
      </c>
      <c r="AB26">
        <v>14350</v>
      </c>
      <c r="AC26">
        <v>16450</v>
      </c>
      <c r="AD26">
        <v>15040</v>
      </c>
      <c r="AE26">
        <v>145730</v>
      </c>
      <c r="AF26">
        <v>139940.73075281459</v>
      </c>
      <c r="AG26">
        <v>145730</v>
      </c>
      <c r="AH26">
        <v>145730</v>
      </c>
      <c r="AI26">
        <v>1432.32</v>
      </c>
      <c r="AJ26">
        <v>0.86470000000000002</v>
      </c>
      <c r="AK26">
        <v>0.86729999999999996</v>
      </c>
      <c r="AL26">
        <v>0.87170000000000003</v>
      </c>
      <c r="AM26">
        <v>0.87629999999999997</v>
      </c>
      <c r="AN26">
        <v>0.82750000000000001</v>
      </c>
      <c r="AO26">
        <v>0.94169999999999998</v>
      </c>
      <c r="AP26">
        <v>0.93369999999999997</v>
      </c>
      <c r="AQ26">
        <v>0.92820000000000003</v>
      </c>
      <c r="AR26">
        <v>0.90190000000000003</v>
      </c>
      <c r="AS26">
        <v>0.97350000000000003</v>
      </c>
      <c r="AT26">
        <v>0.98019169329073486</v>
      </c>
      <c r="AU26">
        <v>2.0403207567412589</v>
      </c>
      <c r="AV26">
        <v>2.1847387201121737</v>
      </c>
      <c r="AW26">
        <v>2.2799999999999998</v>
      </c>
      <c r="AX26">
        <v>2.38</v>
      </c>
      <c r="AY26">
        <v>2.23</v>
      </c>
      <c r="AZ26">
        <v>2.2599999999999998</v>
      </c>
      <c r="BB26">
        <v>2.2875000000000001</v>
      </c>
      <c r="BC26">
        <v>0.89870000000000005</v>
      </c>
      <c r="BD26">
        <v>0.89194350021475799</v>
      </c>
      <c r="BE26">
        <v>1</v>
      </c>
      <c r="BF26">
        <v>71500</v>
      </c>
      <c r="BG26">
        <v>56992</v>
      </c>
      <c r="BH26">
        <v>12000</v>
      </c>
      <c r="BI26">
        <v>26793</v>
      </c>
      <c r="BJ26" s="9" t="s">
        <v>150</v>
      </c>
    </row>
    <row r="27" spans="1:62" ht="105" x14ac:dyDescent="0.25">
      <c r="A27" s="37">
        <v>45877</v>
      </c>
      <c r="B27">
        <v>261950.62903225806</v>
      </c>
      <c r="C27">
        <v>4.419354838709677</v>
      </c>
      <c r="D27">
        <v>3.6225451612903221</v>
      </c>
      <c r="E27">
        <v>0.81969999999999998</v>
      </c>
      <c r="F27">
        <v>0.99</v>
      </c>
      <c r="G27">
        <v>0</v>
      </c>
      <c r="H27">
        <v>78034</v>
      </c>
      <c r="I27">
        <v>34766</v>
      </c>
      <c r="J27">
        <v>40221</v>
      </c>
      <c r="K27">
        <v>41140</v>
      </c>
      <c r="L27">
        <v>194161</v>
      </c>
      <c r="M27">
        <v>190129.50231800001</v>
      </c>
      <c r="N27">
        <v>214476.67</v>
      </c>
      <c r="O27">
        <v>20315.670000000013</v>
      </c>
      <c r="P27">
        <v>20315.670000000013</v>
      </c>
      <c r="Q27">
        <v>214476.67</v>
      </c>
      <c r="R27">
        <v>214476.67</v>
      </c>
      <c r="S27">
        <v>204286.17882562635</v>
      </c>
      <c r="T27">
        <v>214476.67</v>
      </c>
      <c r="U27">
        <v>15370</v>
      </c>
      <c r="V27">
        <v>15350</v>
      </c>
      <c r="W27">
        <v>13900</v>
      </c>
      <c r="X27">
        <v>17700</v>
      </c>
      <c r="Y27">
        <v>17670</v>
      </c>
      <c r="Z27">
        <v>26070</v>
      </c>
      <c r="AA27">
        <v>22220</v>
      </c>
      <c r="AB27">
        <v>22530</v>
      </c>
      <c r="AC27">
        <v>25490</v>
      </c>
      <c r="AD27">
        <v>22740</v>
      </c>
      <c r="AE27">
        <v>199040</v>
      </c>
      <c r="AF27">
        <v>218996.74600511781</v>
      </c>
      <c r="AG27">
        <v>219355.67</v>
      </c>
      <c r="AH27">
        <v>218996.74600511781</v>
      </c>
      <c r="AI27">
        <v>1719.01</v>
      </c>
      <c r="AJ27">
        <v>0.61550000000000005</v>
      </c>
      <c r="AK27">
        <v>0.61460000000000004</v>
      </c>
      <c r="AL27">
        <v>0.626</v>
      </c>
      <c r="AM27">
        <v>0.62770000000000004</v>
      </c>
      <c r="AN27">
        <v>0.63170000000000004</v>
      </c>
      <c r="AO27">
        <v>0.88070000000000004</v>
      </c>
      <c r="AP27">
        <v>0.8831</v>
      </c>
      <c r="AQ27">
        <v>0.87860000000000005</v>
      </c>
      <c r="AR27">
        <v>0.87770000000000004</v>
      </c>
      <c r="AS27">
        <v>0.88690000000000002</v>
      </c>
      <c r="AT27">
        <v>1.0251286303634612</v>
      </c>
      <c r="AU27">
        <v>2.9996737062937067</v>
      </c>
      <c r="AV27">
        <v>2.8571493542045645</v>
      </c>
      <c r="AW27">
        <v>3.63</v>
      </c>
      <c r="AX27">
        <v>3.67</v>
      </c>
      <c r="AY27">
        <v>3.7</v>
      </c>
      <c r="AZ27">
        <v>3.7</v>
      </c>
      <c r="BB27">
        <v>3.6749999999999998</v>
      </c>
      <c r="BC27">
        <v>0.75219999999999998</v>
      </c>
      <c r="BD27">
        <v>0.81623774320917197</v>
      </c>
      <c r="BE27">
        <v>1</v>
      </c>
      <c r="BF27">
        <v>71500</v>
      </c>
      <c r="BG27">
        <v>56992</v>
      </c>
      <c r="BH27">
        <v>12000</v>
      </c>
      <c r="BI27">
        <v>30030</v>
      </c>
      <c r="BJ27" s="9" t="s">
        <v>149</v>
      </c>
    </row>
    <row r="28" spans="1:62" ht="105" x14ac:dyDescent="0.25">
      <c r="A28" s="37">
        <v>45876</v>
      </c>
      <c r="B28">
        <v>261950.62903225806</v>
      </c>
      <c r="C28">
        <v>4.419354838709677</v>
      </c>
      <c r="D28">
        <v>3.6225451612903221</v>
      </c>
      <c r="E28">
        <v>0.81969999999999998</v>
      </c>
      <c r="F28">
        <v>0.99</v>
      </c>
      <c r="G28">
        <v>32548</v>
      </c>
      <c r="H28">
        <v>73153</v>
      </c>
      <c r="I28">
        <v>46699</v>
      </c>
      <c r="J28">
        <v>51401</v>
      </c>
      <c r="K28">
        <v>49026</v>
      </c>
      <c r="L28">
        <v>252827</v>
      </c>
      <c r="M28">
        <v>248516.26174500003</v>
      </c>
      <c r="N28">
        <v>253360.33</v>
      </c>
      <c r="O28">
        <v>533.32999999998719</v>
      </c>
      <c r="P28">
        <v>533.32999999998719</v>
      </c>
      <c r="Q28">
        <v>253360.33</v>
      </c>
      <c r="R28">
        <v>253360.33</v>
      </c>
      <c r="S28">
        <v>255348.34057684487</v>
      </c>
      <c r="T28">
        <v>253360.33</v>
      </c>
      <c r="U28">
        <v>24100</v>
      </c>
      <c r="V28">
        <v>22950</v>
      </c>
      <c r="W28">
        <v>20650</v>
      </c>
      <c r="X28">
        <v>25790</v>
      </c>
      <c r="Y28">
        <v>26210</v>
      </c>
      <c r="Z28">
        <v>33220</v>
      </c>
      <c r="AA28">
        <v>28880</v>
      </c>
      <c r="AB28">
        <v>28640</v>
      </c>
      <c r="AC28">
        <v>33460</v>
      </c>
      <c r="AD28">
        <v>29670</v>
      </c>
      <c r="AE28">
        <v>273570</v>
      </c>
      <c r="AF28">
        <v>272766.08222481498</v>
      </c>
      <c r="AG28">
        <v>274103.32999999996</v>
      </c>
      <c r="AH28">
        <v>273570</v>
      </c>
      <c r="AI28">
        <v>1717.89</v>
      </c>
      <c r="AJ28">
        <v>0.77270000000000005</v>
      </c>
      <c r="AK28">
        <v>0.73609999999999998</v>
      </c>
      <c r="AL28">
        <v>0.74480000000000002</v>
      </c>
      <c r="AM28">
        <v>0.73270000000000002</v>
      </c>
      <c r="AN28">
        <v>0.72119999999999995</v>
      </c>
      <c r="AO28">
        <v>0.87970000000000004</v>
      </c>
      <c r="AP28">
        <v>0.90390000000000004</v>
      </c>
      <c r="AQ28">
        <v>0.87570000000000003</v>
      </c>
      <c r="AR28">
        <v>0.90710000000000002</v>
      </c>
      <c r="AS28">
        <v>0.90700000000000003</v>
      </c>
      <c r="AT28">
        <v>1.0820442436923272</v>
      </c>
      <c r="AU28">
        <v>3.5435011188811187</v>
      </c>
      <c r="AV28">
        <v>3.571305462613215</v>
      </c>
      <c r="AW28">
        <v>4.6100000000000003</v>
      </c>
      <c r="AX28">
        <v>4.7699999999999996</v>
      </c>
      <c r="AY28">
        <v>4.72</v>
      </c>
      <c r="AZ28">
        <v>4.62</v>
      </c>
      <c r="BB28">
        <v>4.68</v>
      </c>
      <c r="BC28">
        <v>0.81810000000000005</v>
      </c>
      <c r="BD28">
        <v>0.75715835873528181</v>
      </c>
      <c r="BE28">
        <v>1</v>
      </c>
      <c r="BF28">
        <v>71500</v>
      </c>
      <c r="BG28">
        <v>56992</v>
      </c>
      <c r="BH28">
        <v>19583</v>
      </c>
      <c r="BI28">
        <v>30030</v>
      </c>
      <c r="BJ28" s="9" t="s">
        <v>149</v>
      </c>
    </row>
    <row r="29" spans="1:62" ht="60" x14ac:dyDescent="0.25">
      <c r="A29" s="37">
        <v>45875</v>
      </c>
      <c r="B29">
        <v>261950.62903225806</v>
      </c>
      <c r="C29">
        <v>4.419354838709677</v>
      </c>
      <c r="D29">
        <v>3.6225451612903221</v>
      </c>
      <c r="E29">
        <v>0.81969999999999998</v>
      </c>
      <c r="F29">
        <v>0.99</v>
      </c>
      <c r="G29">
        <v>48785</v>
      </c>
      <c r="H29">
        <v>48978</v>
      </c>
      <c r="I29">
        <v>33930</v>
      </c>
      <c r="J29">
        <v>39492</v>
      </c>
      <c r="K29">
        <v>40012</v>
      </c>
      <c r="L29">
        <v>211197</v>
      </c>
      <c r="M29">
        <v>204534.99444800001</v>
      </c>
      <c r="N29">
        <v>193267.33</v>
      </c>
      <c r="O29">
        <v>-17929.670000000013</v>
      </c>
      <c r="P29">
        <v>0</v>
      </c>
      <c r="Q29">
        <v>204534.99444800001</v>
      </c>
      <c r="R29">
        <v>211197</v>
      </c>
      <c r="S29">
        <v>204534.99444800001</v>
      </c>
      <c r="T29">
        <v>193267.33</v>
      </c>
      <c r="U29">
        <v>18790</v>
      </c>
      <c r="V29">
        <v>18450</v>
      </c>
      <c r="W29">
        <v>16470</v>
      </c>
      <c r="X29">
        <v>21030</v>
      </c>
      <c r="Y29">
        <v>21590</v>
      </c>
      <c r="Z29">
        <v>22730</v>
      </c>
      <c r="AA29">
        <v>19610</v>
      </c>
      <c r="AB29">
        <v>19750</v>
      </c>
      <c r="AC29">
        <v>23380</v>
      </c>
      <c r="AD29">
        <v>20410</v>
      </c>
      <c r="AE29">
        <v>202210</v>
      </c>
      <c r="AF29">
        <v>191343.37856623717</v>
      </c>
      <c r="AG29">
        <v>202210</v>
      </c>
      <c r="AH29">
        <v>202210</v>
      </c>
      <c r="AI29">
        <v>1462.64</v>
      </c>
      <c r="AJ29">
        <v>0.88949999999999996</v>
      </c>
      <c r="AK29">
        <v>0.873</v>
      </c>
      <c r="AL29">
        <v>0.87690000000000001</v>
      </c>
      <c r="AM29">
        <v>0.88160000000000005</v>
      </c>
      <c r="AN29">
        <v>0.88839999999999997</v>
      </c>
      <c r="AO29">
        <v>0.91930000000000001</v>
      </c>
      <c r="AP29">
        <v>0.91869999999999996</v>
      </c>
      <c r="AQ29">
        <v>0.9224</v>
      </c>
      <c r="AR29">
        <v>0.94889999999999997</v>
      </c>
      <c r="AS29">
        <v>0.95320000000000005</v>
      </c>
      <c r="AT29">
        <v>0.95744731222507895</v>
      </c>
      <c r="AU29">
        <v>2.8606292929790214</v>
      </c>
      <c r="AV29">
        <v>2.8606292929790214</v>
      </c>
      <c r="AW29">
        <v>3.08</v>
      </c>
      <c r="AX29">
        <v>3.19</v>
      </c>
      <c r="AY29">
        <v>3.19</v>
      </c>
      <c r="AZ29">
        <v>3.13</v>
      </c>
      <c r="BB29">
        <v>3.1475</v>
      </c>
      <c r="BC29">
        <v>0.90720000000000001</v>
      </c>
      <c r="BD29">
        <v>0.90885759904019747</v>
      </c>
      <c r="BE29">
        <v>1</v>
      </c>
      <c r="BF29">
        <v>71500</v>
      </c>
      <c r="BG29">
        <v>56992</v>
      </c>
      <c r="BH29">
        <v>24000</v>
      </c>
      <c r="BI29">
        <v>30030</v>
      </c>
      <c r="BJ29" s="9" t="s">
        <v>148</v>
      </c>
    </row>
    <row r="30" spans="1:62" ht="60" x14ac:dyDescent="0.25">
      <c r="A30" s="37">
        <v>45874</v>
      </c>
      <c r="B30">
        <v>261950.62903225806</v>
      </c>
      <c r="C30">
        <v>4.419354838709677</v>
      </c>
      <c r="D30">
        <v>3.6225451612903221</v>
      </c>
      <c r="E30">
        <v>0.81969999999999998</v>
      </c>
      <c r="F30">
        <v>0.99</v>
      </c>
      <c r="G30">
        <v>61857</v>
      </c>
      <c r="H30">
        <v>61873</v>
      </c>
      <c r="I30">
        <v>41648</v>
      </c>
      <c r="J30">
        <v>46253</v>
      </c>
      <c r="K30">
        <v>46288</v>
      </c>
      <c r="L30">
        <v>257919</v>
      </c>
      <c r="M30">
        <v>257408.35127899999</v>
      </c>
      <c r="N30">
        <v>258907.67</v>
      </c>
      <c r="O30">
        <v>988.67000000001281</v>
      </c>
      <c r="P30">
        <v>988.67000000001281</v>
      </c>
      <c r="Q30">
        <v>258907.67</v>
      </c>
      <c r="R30">
        <v>258907.67</v>
      </c>
      <c r="S30">
        <v>257408.35127899999</v>
      </c>
      <c r="T30">
        <v>258907.67</v>
      </c>
      <c r="U30">
        <v>25420</v>
      </c>
      <c r="V30">
        <v>25670</v>
      </c>
      <c r="W30">
        <v>22130</v>
      </c>
      <c r="X30">
        <v>28300</v>
      </c>
      <c r="Y30">
        <v>28520</v>
      </c>
      <c r="Z30">
        <v>30770</v>
      </c>
      <c r="AA30">
        <v>26640</v>
      </c>
      <c r="AB30">
        <v>26650</v>
      </c>
      <c r="AC30">
        <v>30350</v>
      </c>
      <c r="AD30">
        <v>27390</v>
      </c>
      <c r="AE30">
        <v>271840</v>
      </c>
      <c r="AF30">
        <v>262783.64420791448</v>
      </c>
      <c r="AG30">
        <v>272828.67000000004</v>
      </c>
      <c r="AH30">
        <v>271840</v>
      </c>
      <c r="AI30">
        <v>1646.44</v>
      </c>
      <c r="AJ30">
        <v>0.84050000000000002</v>
      </c>
      <c r="AK30">
        <v>0.8488</v>
      </c>
      <c r="AL30">
        <v>0.82310000000000005</v>
      </c>
      <c r="AM30">
        <v>0.82909999999999995</v>
      </c>
      <c r="AN30">
        <v>0.83909999999999996</v>
      </c>
      <c r="AO30">
        <v>0.874</v>
      </c>
      <c r="AP30">
        <v>0.91310000000000002</v>
      </c>
      <c r="AQ30">
        <v>0.87390000000000001</v>
      </c>
      <c r="AR30">
        <v>0.9012</v>
      </c>
      <c r="AS30">
        <v>0.89829999999999999</v>
      </c>
      <c r="AT30">
        <v>1.053974309763918</v>
      </c>
      <c r="AU30">
        <v>3.621086293706294</v>
      </c>
      <c r="AV30">
        <v>3.6001168011048952</v>
      </c>
      <c r="AW30">
        <v>4.21</v>
      </c>
      <c r="AX30">
        <v>4.46</v>
      </c>
      <c r="AY30">
        <v>4.4000000000000004</v>
      </c>
      <c r="AZ30">
        <v>4.4800000000000004</v>
      </c>
      <c r="BB30">
        <v>4.3875000000000002</v>
      </c>
      <c r="BC30">
        <v>0.86409999999999998</v>
      </c>
      <c r="BD30">
        <v>0.82531881338035185</v>
      </c>
      <c r="BE30">
        <v>1</v>
      </c>
      <c r="BF30">
        <v>71500</v>
      </c>
      <c r="BG30">
        <v>56992</v>
      </c>
      <c r="BH30">
        <v>23267</v>
      </c>
      <c r="BI30">
        <v>29988</v>
      </c>
      <c r="BJ30" s="9" t="s">
        <v>147</v>
      </c>
    </row>
    <row r="31" spans="1:62" ht="60" x14ac:dyDescent="0.25">
      <c r="A31" s="37">
        <v>45873</v>
      </c>
      <c r="B31">
        <v>261950.62903225806</v>
      </c>
      <c r="C31">
        <v>4.419354838709677</v>
      </c>
      <c r="D31">
        <v>3.6225451612903221</v>
      </c>
      <c r="E31">
        <v>0.81969999999999998</v>
      </c>
      <c r="F31">
        <v>0.99</v>
      </c>
      <c r="G31">
        <v>44767</v>
      </c>
      <c r="H31">
        <v>45034</v>
      </c>
      <c r="I31">
        <v>32304</v>
      </c>
      <c r="J31">
        <v>37996</v>
      </c>
      <c r="K31">
        <v>39092</v>
      </c>
      <c r="L31">
        <v>199193</v>
      </c>
      <c r="M31">
        <v>189988.37547200004</v>
      </c>
      <c r="N31">
        <v>179978.5</v>
      </c>
      <c r="O31">
        <v>-19214.5</v>
      </c>
      <c r="P31">
        <v>0</v>
      </c>
      <c r="Q31">
        <v>189988.37547200004</v>
      </c>
      <c r="R31">
        <v>199193</v>
      </c>
      <c r="S31">
        <v>193066.61824660408</v>
      </c>
      <c r="T31">
        <v>179978.5</v>
      </c>
      <c r="U31">
        <v>14500</v>
      </c>
      <c r="V31">
        <v>10880</v>
      </c>
      <c r="W31">
        <v>12970</v>
      </c>
      <c r="X31">
        <v>16690</v>
      </c>
      <c r="Y31">
        <v>15570</v>
      </c>
      <c r="Z31">
        <v>18680</v>
      </c>
      <c r="AA31">
        <v>16530</v>
      </c>
      <c r="AB31">
        <v>16210</v>
      </c>
      <c r="AC31">
        <v>18170</v>
      </c>
      <c r="AD31">
        <v>17120</v>
      </c>
      <c r="AE31">
        <v>157320</v>
      </c>
      <c r="AF31">
        <v>154032.66401335763</v>
      </c>
      <c r="AG31">
        <v>157320</v>
      </c>
      <c r="AH31">
        <v>157320</v>
      </c>
      <c r="AI31">
        <v>1614.14</v>
      </c>
      <c r="AJ31">
        <v>0.88029999999999997</v>
      </c>
      <c r="AK31">
        <v>0.66059999999999997</v>
      </c>
      <c r="AL31">
        <v>0.8861</v>
      </c>
      <c r="AM31">
        <v>0.89759999999999995</v>
      </c>
      <c r="AN31">
        <v>0.79200000000000004</v>
      </c>
      <c r="AO31">
        <v>0.92669999999999997</v>
      </c>
      <c r="AP31">
        <v>0.96179999999999999</v>
      </c>
      <c r="AQ31">
        <v>0.92820000000000003</v>
      </c>
      <c r="AR31">
        <v>0.91579999999999995</v>
      </c>
      <c r="AS31">
        <v>0.98029999999999995</v>
      </c>
      <c r="AT31">
        <v>0.78978678969642513</v>
      </c>
      <c r="AU31">
        <v>2.657180076531469</v>
      </c>
      <c r="AV31">
        <v>2.7002324230294277</v>
      </c>
      <c r="AW31">
        <v>2.48</v>
      </c>
      <c r="AX31">
        <v>2.58</v>
      </c>
      <c r="AY31">
        <v>2.52</v>
      </c>
      <c r="AZ31">
        <v>2.44</v>
      </c>
      <c r="BB31">
        <v>2.5049999999999999</v>
      </c>
      <c r="BC31">
        <v>0.88290000000000002</v>
      </c>
      <c r="BD31">
        <v>1.0607505295534807</v>
      </c>
      <c r="BE31">
        <v>1</v>
      </c>
      <c r="BF31">
        <v>71500</v>
      </c>
      <c r="BG31">
        <v>56992</v>
      </c>
      <c r="BH31">
        <v>22643</v>
      </c>
      <c r="BI31">
        <v>30030</v>
      </c>
      <c r="BJ31" s="9" t="s">
        <v>147</v>
      </c>
    </row>
    <row r="32" spans="1:62" ht="105" x14ac:dyDescent="0.25">
      <c r="A32" s="37">
        <v>45872</v>
      </c>
      <c r="B32">
        <v>261950.62903225806</v>
      </c>
      <c r="C32">
        <v>4.419354838709677</v>
      </c>
      <c r="D32">
        <v>3.6225451612903221</v>
      </c>
      <c r="E32">
        <v>0.81969999999999998</v>
      </c>
      <c r="F32">
        <v>0.99</v>
      </c>
      <c r="G32">
        <v>45753</v>
      </c>
      <c r="H32">
        <v>7194</v>
      </c>
      <c r="I32">
        <v>17769</v>
      </c>
      <c r="J32">
        <v>24604</v>
      </c>
      <c r="K32">
        <v>26550</v>
      </c>
      <c r="L32">
        <v>121870</v>
      </c>
      <c r="M32">
        <v>117592.857713</v>
      </c>
      <c r="N32">
        <v>119396.67</v>
      </c>
      <c r="O32">
        <v>-2473.3300000000017</v>
      </c>
      <c r="P32">
        <v>0</v>
      </c>
      <c r="Q32">
        <v>119396.67</v>
      </c>
      <c r="R32">
        <v>121870</v>
      </c>
      <c r="S32">
        <v>127915.50183846822</v>
      </c>
      <c r="T32">
        <v>119396.67</v>
      </c>
      <c r="U32">
        <v>13760</v>
      </c>
      <c r="V32">
        <v>11980</v>
      </c>
      <c r="W32">
        <v>12120</v>
      </c>
      <c r="X32">
        <v>15030</v>
      </c>
      <c r="Y32">
        <v>15410</v>
      </c>
      <c r="Z32">
        <v>18960</v>
      </c>
      <c r="AA32">
        <v>16330</v>
      </c>
      <c r="AB32">
        <v>16540</v>
      </c>
      <c r="AC32">
        <v>20250</v>
      </c>
      <c r="AD32">
        <v>16610</v>
      </c>
      <c r="AE32">
        <v>156990</v>
      </c>
      <c r="AF32">
        <v>159683.88580214826</v>
      </c>
      <c r="AG32">
        <v>156990</v>
      </c>
      <c r="AH32">
        <v>159683.88580214826</v>
      </c>
      <c r="AI32">
        <v>1286.1600000000001</v>
      </c>
      <c r="AJ32">
        <v>0.75800000000000001</v>
      </c>
      <c r="AK32">
        <v>0.65969999999999995</v>
      </c>
      <c r="AL32">
        <v>0.75080000000000002</v>
      </c>
      <c r="AM32">
        <v>0.73329999999999995</v>
      </c>
      <c r="AN32">
        <v>0.7379</v>
      </c>
      <c r="AO32">
        <v>0.94820000000000004</v>
      </c>
      <c r="AP32">
        <v>0.92759999999999998</v>
      </c>
      <c r="AQ32">
        <v>0.9546</v>
      </c>
      <c r="AR32">
        <v>0.99660000000000004</v>
      </c>
      <c r="AS32">
        <v>0.95860000000000001</v>
      </c>
      <c r="AT32">
        <v>1.2881759251661606</v>
      </c>
      <c r="AU32">
        <v>1.6698834965034965</v>
      </c>
      <c r="AV32">
        <v>1.7890279977408143</v>
      </c>
      <c r="AW32">
        <v>2.54</v>
      </c>
      <c r="AX32">
        <v>2.74</v>
      </c>
      <c r="AY32">
        <v>2.5</v>
      </c>
      <c r="AZ32">
        <v>2.69</v>
      </c>
      <c r="BB32">
        <v>2.6175000000000002</v>
      </c>
      <c r="BC32">
        <v>0.84250000000000003</v>
      </c>
      <c r="BD32">
        <v>0.63796886208347525</v>
      </c>
      <c r="BE32">
        <v>1</v>
      </c>
      <c r="BF32">
        <v>71500</v>
      </c>
      <c r="BG32">
        <v>56992</v>
      </c>
      <c r="BH32">
        <v>12000</v>
      </c>
      <c r="BI32">
        <v>30030</v>
      </c>
      <c r="BJ32" s="9" t="s">
        <v>146</v>
      </c>
    </row>
    <row r="33" spans="1:62" ht="105" x14ac:dyDescent="0.25">
      <c r="A33" s="37">
        <v>45871</v>
      </c>
      <c r="B33">
        <v>261950.62903225806</v>
      </c>
      <c r="C33">
        <v>4.419354838709677</v>
      </c>
      <c r="D33">
        <v>3.6225451612903221</v>
      </c>
      <c r="E33">
        <v>0.81969999999999998</v>
      </c>
      <c r="F33">
        <v>0.99</v>
      </c>
      <c r="G33">
        <v>67521</v>
      </c>
      <c r="H33">
        <v>0</v>
      </c>
      <c r="I33">
        <v>30346.5</v>
      </c>
      <c r="J33">
        <v>36639</v>
      </c>
      <c r="K33">
        <v>38144</v>
      </c>
      <c r="L33">
        <v>172650.5</v>
      </c>
      <c r="M33">
        <v>169598.35584</v>
      </c>
      <c r="N33">
        <v>187576.67</v>
      </c>
      <c r="O33">
        <v>14926.170000000013</v>
      </c>
      <c r="P33">
        <v>14926.170000000013</v>
      </c>
      <c r="Q33">
        <v>187576.67</v>
      </c>
      <c r="R33">
        <v>187576.67</v>
      </c>
      <c r="S33">
        <v>182981.42133453506</v>
      </c>
      <c r="T33">
        <v>187576.67</v>
      </c>
      <c r="U33">
        <v>13240</v>
      </c>
      <c r="V33">
        <v>12200</v>
      </c>
      <c r="W33">
        <v>11580</v>
      </c>
      <c r="X33">
        <v>14460</v>
      </c>
      <c r="Y33">
        <v>14610</v>
      </c>
      <c r="Z33">
        <v>22090</v>
      </c>
      <c r="AA33">
        <v>18520</v>
      </c>
      <c r="AB33">
        <v>18830</v>
      </c>
      <c r="AC33">
        <v>22490</v>
      </c>
      <c r="AD33">
        <v>19010</v>
      </c>
      <c r="AE33">
        <v>167030</v>
      </c>
      <c r="AF33">
        <v>183769.57616888895</v>
      </c>
      <c r="AG33">
        <v>181956.17</v>
      </c>
      <c r="AH33">
        <v>183769.57616888895</v>
      </c>
      <c r="AI33">
        <v>1440.88</v>
      </c>
      <c r="AJ33">
        <v>0.60189999999999999</v>
      </c>
      <c r="AK33">
        <v>0.55430000000000001</v>
      </c>
      <c r="AL33">
        <v>0.59199999999999997</v>
      </c>
      <c r="AM33">
        <v>0.58220000000000005</v>
      </c>
      <c r="AN33">
        <v>0.58440000000000003</v>
      </c>
      <c r="AO33">
        <v>0.92049999999999998</v>
      </c>
      <c r="AP33">
        <v>0.90290000000000004</v>
      </c>
      <c r="AQ33">
        <v>0.90559999999999996</v>
      </c>
      <c r="AR33">
        <v>0.94989999999999997</v>
      </c>
      <c r="AS33">
        <v>0.91410000000000002</v>
      </c>
      <c r="AT33">
        <v>0.9674457936698706</v>
      </c>
      <c r="AU33">
        <v>2.6234499300699303</v>
      </c>
      <c r="AV33">
        <v>2.5591807179655253</v>
      </c>
      <c r="AW33">
        <v>2.96</v>
      </c>
      <c r="AX33">
        <v>3.28</v>
      </c>
      <c r="AY33">
        <v>3</v>
      </c>
      <c r="AZ33">
        <v>3.26</v>
      </c>
      <c r="BB33">
        <v>3.125</v>
      </c>
      <c r="BC33">
        <v>0.75080000000000002</v>
      </c>
      <c r="BD33">
        <v>0.83950397762237772</v>
      </c>
      <c r="BE33">
        <v>1</v>
      </c>
      <c r="BF33">
        <v>71500</v>
      </c>
      <c r="BG33">
        <v>56992</v>
      </c>
      <c r="BH33">
        <v>11550</v>
      </c>
      <c r="BI33">
        <v>30030</v>
      </c>
      <c r="BJ33" s="9" t="s">
        <v>145</v>
      </c>
    </row>
    <row r="34" spans="1:62" ht="120" x14ac:dyDescent="0.25">
      <c r="A34" s="37">
        <v>45870</v>
      </c>
      <c r="B34">
        <v>261950.62903225806</v>
      </c>
      <c r="C34">
        <v>4.419354838709677</v>
      </c>
      <c r="D34">
        <v>3.6225451612903221</v>
      </c>
      <c r="E34">
        <v>0.81969999999999998</v>
      </c>
      <c r="F34">
        <v>0.99</v>
      </c>
      <c r="G34">
        <v>81970</v>
      </c>
      <c r="H34">
        <v>20072</v>
      </c>
      <c r="I34">
        <v>12624</v>
      </c>
      <c r="J34">
        <v>76348</v>
      </c>
      <c r="K34">
        <v>74753</v>
      </c>
      <c r="L34">
        <v>265767</v>
      </c>
      <c r="M34">
        <v>258408.10515800002</v>
      </c>
      <c r="N34">
        <v>308087</v>
      </c>
      <c r="O34">
        <v>42320</v>
      </c>
      <c r="P34">
        <v>42320</v>
      </c>
      <c r="Q34">
        <v>308087</v>
      </c>
      <c r="R34">
        <v>308087</v>
      </c>
      <c r="S34">
        <v>279511.07950568676</v>
      </c>
      <c r="T34">
        <v>306423.33020000003</v>
      </c>
      <c r="U34">
        <v>19310</v>
      </c>
      <c r="V34">
        <v>18860</v>
      </c>
      <c r="W34">
        <v>16120</v>
      </c>
      <c r="X34">
        <v>20920</v>
      </c>
      <c r="Y34">
        <v>20930</v>
      </c>
      <c r="Z34">
        <v>33490</v>
      </c>
      <c r="AA34">
        <v>28150</v>
      </c>
      <c r="AB34">
        <v>28660</v>
      </c>
      <c r="AC34">
        <v>33290</v>
      </c>
      <c r="AD34">
        <v>28930</v>
      </c>
      <c r="AE34">
        <v>248660</v>
      </c>
      <c r="AF34">
        <v>304156.91307529254</v>
      </c>
      <c r="AG34">
        <v>290980</v>
      </c>
      <c r="AH34">
        <v>304156.91307529254</v>
      </c>
      <c r="AI34">
        <v>1776.44</v>
      </c>
      <c r="AJ34">
        <v>0.52480000000000004</v>
      </c>
      <c r="AK34">
        <v>0.51280000000000003</v>
      </c>
      <c r="AL34">
        <v>0.49309999999999998</v>
      </c>
      <c r="AM34">
        <v>0.52300000000000002</v>
      </c>
      <c r="AN34">
        <v>0.51910000000000001</v>
      </c>
      <c r="AO34">
        <v>0.79879999999999995</v>
      </c>
      <c r="AP34">
        <v>0.80910000000000004</v>
      </c>
      <c r="AQ34">
        <v>0.78920000000000001</v>
      </c>
      <c r="AR34">
        <v>0.82889999999999997</v>
      </c>
      <c r="AS34">
        <v>0.79649999999999999</v>
      </c>
      <c r="AT34">
        <v>0.93563158706686689</v>
      </c>
      <c r="AU34">
        <v>4.3089090909090908</v>
      </c>
      <c r="AV34">
        <v>3.9092458672124022</v>
      </c>
      <c r="AW34">
        <v>5.0199999999999996</v>
      </c>
      <c r="AX34">
        <v>5.29</v>
      </c>
      <c r="AY34">
        <v>5.24</v>
      </c>
      <c r="AZ34">
        <v>5.25</v>
      </c>
      <c r="BA34">
        <v>5.45</v>
      </c>
      <c r="BB34">
        <v>5.2499999999999991</v>
      </c>
      <c r="BC34">
        <v>0.65949999999999998</v>
      </c>
      <c r="BD34">
        <v>0.82074458874458889</v>
      </c>
      <c r="BE34">
        <v>0.99460000000000004</v>
      </c>
      <c r="BF34">
        <v>71500</v>
      </c>
      <c r="BG34">
        <v>56992</v>
      </c>
      <c r="BH34">
        <v>13933</v>
      </c>
      <c r="BI34">
        <v>24000</v>
      </c>
      <c r="BJ34" s="9" t="s">
        <v>144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5A765CC13CE44D8BB8A645A953BC18" ma:contentTypeVersion="13" ma:contentTypeDescription="Create a new document." ma:contentTypeScope="" ma:versionID="4647b8d21a0818c09b4dfdb05811604b">
  <xsd:schema xmlns:xsd="http://www.w3.org/2001/XMLSchema" xmlns:xs="http://www.w3.org/2001/XMLSchema" xmlns:p="http://schemas.microsoft.com/office/2006/metadata/properties" xmlns:ns2="b0e008f8-b527-4eb4-9df9-90af7823231a" xmlns:ns3="da235f55-6234-43b0-bb9a-e30190ccfe07" targetNamespace="http://schemas.microsoft.com/office/2006/metadata/properties" ma:root="true" ma:fieldsID="bac3524f764f1a4af0c8579faff8978b" ns2:_="" ns3:_="">
    <xsd:import namespace="b0e008f8-b527-4eb4-9df9-90af7823231a"/>
    <xsd:import namespace="da235f55-6234-43b0-bb9a-e30190ccfe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e008f8-b527-4eb4-9df9-90af782323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eaf5d43-d253-4a67-8644-c0a78e8837e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235f55-6234-43b0-bb9a-e30190ccfe0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0e6e5df-b3f4-47d3-ac52-164dee8d54cb}" ma:internalName="TaxCatchAll" ma:showField="CatchAllData" ma:web="da235f55-6234-43b0-bb9a-e30190ccfe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a235f55-6234-43b0-bb9a-e30190ccfe07" xsi:nil="true"/>
    <lcf76f155ced4ddcb4097134ff3c332f xmlns="b0e008f8-b527-4eb4-9df9-90af7823231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20D2D5-6D30-464C-85D8-9FFA8602E2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e008f8-b527-4eb4-9df9-90af7823231a"/>
    <ds:schemaRef ds:uri="da235f55-6234-43b0-bb9a-e30190ccfe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69952E-845E-429C-89BF-ABD17471C21C}">
  <ds:schemaRefs>
    <ds:schemaRef ds:uri="http://schemas.microsoft.com/sharepoint/v3/contenttype/forms"/>
  </ds:schemaRefs>
</ds:datastoreItem>
</file>

<file path=customXml/itemProps3.xml><?xml version="1.0" encoding="utf-8"?>
<ds:datastoreItem xmlns:ds="http://schemas.openxmlformats.org/officeDocument/2006/customXml" ds:itemID="{F801C1EF-C80F-47DE-88A6-13B9AD62ABDE}">
  <ds:schemaRefs>
    <ds:schemaRef ds:uri="http://schemas.microsoft.com/office/2006/metadata/properties"/>
    <ds:schemaRef ds:uri="http://schemas.microsoft.com/office/infopath/2007/PartnerControls"/>
    <ds:schemaRef ds:uri="da235f55-6234-43b0-bb9a-e30190ccfe07"/>
    <ds:schemaRef ds:uri="b0e008f8-b527-4eb4-9df9-90af782323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Targets Daily 2025</vt:lpstr>
      <vt:lpstr>Detail1</vt:lpstr>
      <vt:lpstr>Detail2</vt:lpstr>
      <vt:lpstr>Summary (PV)</vt:lpstr>
      <vt:lpstr>Sheet2</vt:lpstr>
      <vt:lpstr>Sheet5</vt:lpstr>
      <vt:lpstr>Sheet6</vt:lpstr>
      <vt:lpstr>Detail3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Ghafar Bin Mohd Yusof</dc:creator>
  <cp:keywords/>
  <dc:description/>
  <cp:lastModifiedBy>Operation and Maintenance PLTS IKN 50 MW</cp:lastModifiedBy>
  <cp:revision/>
  <dcterms:created xsi:type="dcterms:W3CDTF">2021-06-24T09:09:40Z</dcterms:created>
  <dcterms:modified xsi:type="dcterms:W3CDTF">2026-05-17T06:34:55Z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0x0101008B5A765CC13CE44D8BB8A645A953BC18</vt:lpwstr>
  </property>
  <property fmtid="{D5CDD505-2E9C-101B-9397-08002B2CF9AE}" pid="3" name="Order">
    <vt:r8>59405500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MediaServiceImageTags">
    <vt:lpwstr/>
  </property>
  <property fmtid="{D5CDD505-2E9C-101B-9397-08002B2CF9AE}" pid="10" name="MSIP_Label_990c0be1-bb3d-41f4-a01f-ac7e5848c08e_Enabled">
    <vt:lpwstr>true</vt:lpwstr>
  </property>
  <property fmtid="{D5CDD505-2E9C-101B-9397-08002B2CF9AE}" pid="11" name="MSIP_Label_990c0be1-bb3d-41f4-a01f-ac7e5848c08e_SetDate">
    <vt:lpwstr>2022-10-14T03:34:44Z</vt:lpwstr>
  </property>
  <property fmtid="{D5CDD505-2E9C-101B-9397-08002B2CF9AE}" pid="12" name="MSIP_Label_990c0be1-bb3d-41f4-a01f-ac7e5848c08e_Method">
    <vt:lpwstr>Standard</vt:lpwstr>
  </property>
  <property fmtid="{D5CDD505-2E9C-101B-9397-08002B2CF9AE}" pid="13" name="MSIP_Label_990c0be1-bb3d-41f4-a01f-ac7e5848c08e_Name">
    <vt:lpwstr>Restricted</vt:lpwstr>
  </property>
  <property fmtid="{D5CDD505-2E9C-101B-9397-08002B2CF9AE}" pid="14" name="MSIP_Label_990c0be1-bb3d-41f4-a01f-ac7e5848c08e_SiteId">
    <vt:lpwstr>812b1e72-2671-4a1e-bc3f-0519db4e3723</vt:lpwstr>
  </property>
  <property fmtid="{D5CDD505-2E9C-101B-9397-08002B2CF9AE}" pid="15" name="MSIP_Label_990c0be1-bb3d-41f4-a01f-ac7e5848c08e_ActionId">
    <vt:lpwstr>c20dce47-7b54-49f2-8acc-c16e4f059ba2</vt:lpwstr>
  </property>
  <property fmtid="{D5CDD505-2E9C-101B-9397-08002B2CF9AE}" pid="16" name="MSIP_Label_990c0be1-bb3d-41f4-a01f-ac7e5848c08e_ContentBits">
    <vt:lpwstr>0</vt:lpwstr>
  </property>
</Properties>
</file>