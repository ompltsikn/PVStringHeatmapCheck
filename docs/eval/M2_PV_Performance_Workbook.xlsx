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Config" sheetId="2" state="visible" r:id="rId4"/>
    <sheet name="Raw_Data" sheetId="3" state="visible" r:id="rId5"/>
    <sheet name="EmptyPVMap" sheetId="4" state="visible" r:id="rId6"/>
    <sheet name="Helpers_M2e" sheetId="5" state="visible" r:id="rId7"/>
    <sheet name="M2e_Availability" sheetId="6" state="visible" r:id="rId8"/>
    <sheet name="M2e_AllStrings" sheetId="7" state="visible" r:id="rId9"/>
    <sheet name="Findings_Summary" sheetId="8" state="visible" r:id="rId10"/>
  </sheets>
  <definedNames>
    <definedName function="false" hidden="true" localSheetId="7" name="_xlnm._FilterDatabase" vbProcedure="false">Findings_Summary!$A$4:$H$16</definedName>
    <definedName function="false" hidden="false" name="cfg_critical_below" vbProcedure="false">Config!$C$4</definedName>
    <definedName function="false" hidden="false" name="cfg_debounce_consecutive_steps" vbProcedure="false">Config!$C$12</definedName>
    <definedName function="false" hidden="false" name="cfg_emit_normal" vbProcedure="false">Config!$C$8</definedName>
    <definedName function="false" hidden="false" name="cfg_high_below" vbProcedure="false">Config!$C$5</definedName>
    <definedName function="false" hidden="false" name="cfg_info_below" vbProcedure="false">Config!$C$7</definedName>
    <definedName function="false" hidden="false" name="cfg_interval_minutes" vbProcedure="false">Config!$C$13</definedName>
    <definedName function="false" hidden="false" name="cfg_medium_below" vbProcedure="false">Config!$C$6</definedName>
    <definedName function="false" hidden="false" name="cfg_min_active_siblings_pct" vbProcedure="false">Config!$C$11</definedName>
    <definedName function="false" hidden="false" name="cfg_n_pv_total_in_workbook" vbProcedure="false">Config!$C$15</definedName>
    <definedName function="false" hidden="false" name="cfg_pstr_zero_threshold_kw" vbProcedure="false">Config!$C$9</definedName>
    <definedName function="false" hidden="false" name="cfg_pv_max" vbProcedure="false">Config!$C$14</definedName>
    <definedName function="false" hidden="false" name="cfg_sibling_median_active_kw" vbProcedure="false">Config!$C$10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<sst xmlns="http://schemas.openxmlformats.org/spreadsheetml/2006/main" count="266" uniqueCount="148">
  <si>
    <t xml:space="preserve">M2 PV Performance — Workbook Excel</t>
  </si>
  <si>
    <t xml:space="preserve">Reverse engineering dari pv_pipeline/ (notebook 20260514stringmap_v1.5.ipynb)</t>
  </si>
  <si>
    <t xml:space="preserve">Iterasi log</t>
  </si>
  <si>
    <t xml:space="preserve">Iterasi</t>
  </si>
  <si>
    <t xml:space="preserve">Tanggal</t>
  </si>
  <si>
    <t xml:space="preserve">Detector</t>
  </si>
  <si>
    <t xml:space="preserve">Sheet yang ditambah</t>
  </si>
  <si>
    <t xml:space="preserve">1 (Phase 1)</t>
  </si>
  <si>
    <t xml:space="preserve">2026-05-28</t>
  </si>
  <si>
    <t xml:space="preserve">—</t>
  </si>
  <si>
    <t xml:space="preserve">Hanya dokumen overview (.docx + .md). Belum ada Excel.</t>
  </si>
  <si>
    <t xml:space="preserve">2</t>
  </si>
  <si>
    <t xml:space="preserve">M2eAvailability</t>
  </si>
  <si>
    <t xml:space="preserve">README, Config, Raw_Data, EmptyPVMap, Helpers_M2e, M2e_Availability, M2e_AllStrings, Findings_Summary</t>
  </si>
  <si>
    <t xml:space="preserve">Cara membaca</t>
  </si>
  <si>
    <t xml:space="preserve">• Sheet 'Config' adalah single source of truth untuk semua threshold. Edit di sini → seluruh workbook recalc.</t>
  </si>
  <si>
    <t xml:space="preserve">• Sheet 'Raw_Data' berisi data dummy realistis. Ganti dengan data aktual mu (paste over) untuk pakai workbook ini di lapangan.</t>
  </si>
  <si>
    <t xml:space="preserve">• Sheet 'Helpers_M2e' adalah JEMBATAN antara Raw_Data dan M2e_Availability. Tiap kolom punya formula yang ekuivalen dengan satu langkah di pv_pipeline/availability.py.</t>
  </si>
  <si>
    <t xml:space="preserve">• Sheet 'M2e_Availability' menampilkan hasil akhir per inverter &amp; per string + severity. Sheet 'M2e_AllStrings' mereplika output sheet xlsx Python.</t>
  </si>
  <si>
    <t xml:space="preserve">• Severity dihitung via IFS() dari uptime_pct ke threshold di Config.</t>
  </si>
  <si>
    <t xml:space="preserve">• Workbook ini akan TUMBUH per iterasi — sheet baru ditambah tanpa mengubah yang lama.</t>
  </si>
  <si>
    <t xml:space="preserve">M2 Configuration (mirror config/m2_config.yaml)</t>
  </si>
  <si>
    <t xml:space="preserve">Section</t>
  </si>
  <si>
    <t xml:space="preserve">Key</t>
  </si>
  <si>
    <t xml:space="preserve">Value</t>
  </si>
  <si>
    <t xml:space="preserve">Unit / Notes</t>
  </si>
  <si>
    <t xml:space="preserve">m2e.severity</t>
  </si>
  <si>
    <t xml:space="preserve">critical_below</t>
  </si>
  <si>
    <t xml:space="preserve">% uptime; &lt; ini → CRITICAL</t>
  </si>
  <si>
    <t xml:space="preserve">high_below</t>
  </si>
  <si>
    <t xml:space="preserve">% uptime; &lt; ini → HIGH</t>
  </si>
  <si>
    <t xml:space="preserve">medium_below</t>
  </si>
  <si>
    <t xml:space="preserve">% uptime; &lt; ini → MEDIUM</t>
  </si>
  <si>
    <t xml:space="preserve">info_below</t>
  </si>
  <si>
    <t xml:space="preserve">% uptime; &lt; ini → INFO; ≥ ini → NORMAL</t>
  </si>
  <si>
    <t xml:space="preserve">emit_normal</t>
  </si>
  <si>
    <t xml:space="preserve">1=emit NORMAL findings, 0=skip</t>
  </si>
  <si>
    <t xml:space="preserve">m2e.string_proxy</t>
  </si>
  <si>
    <t xml:space="preserve">pstr_zero_threshold_kw</t>
  </si>
  <si>
    <t xml:space="preserve">kW; PV power &lt; ini → string dianggap mati</t>
  </si>
  <si>
    <t xml:space="preserve">sibling_median_active_kw</t>
  </si>
  <si>
    <t xml:space="preserve">kW; median sibling &gt;= ini → timestamp 'produktif'</t>
  </si>
  <si>
    <t xml:space="preserve">min_active_siblings_pct</t>
  </si>
  <si>
    <t xml:space="preserve">%; minimum % sibling aktif → 'qualified' timestamp</t>
  </si>
  <si>
    <t xml:space="preserve">debounce_consecutive_steps</t>
  </si>
  <si>
    <t xml:space="preserve">step; run candidate &gt;= ini → genuine event</t>
  </si>
  <si>
    <t xml:space="preserve">system</t>
  </si>
  <si>
    <t xml:space="preserve">interval_minutes</t>
  </si>
  <si>
    <t xml:space="preserve">menit; median selisih Start Time (auto-detected, override saat dummy)</t>
  </si>
  <si>
    <t xml:space="preserve">pv_max</t>
  </si>
  <si>
    <t xml:space="preserve">PV string per inverter (hardcoded Huawei cap)</t>
  </si>
  <si>
    <t xml:space="preserve">n_pv_total_in_workbook</t>
  </si>
  <si>
    <t xml:space="preserve">PV string yang ada di sheet ini (PV1..PV5)</t>
  </si>
  <si>
    <t xml:space="preserve">Raw_Data (dummy realistis — 2 inverter × 12 timestep)</t>
  </si>
  <si>
    <t xml:space="preserve">Skenario: INV01 punya PV3 fault 6-timestep; INV02 down 4-timestep. PV5 (kedua inverter) ada di EmptyPVMap.</t>
  </si>
  <si>
    <t xml:space="preserve">Inverter_ID</t>
  </si>
  <si>
    <t xml:space="preserve">Start Time</t>
  </si>
  <si>
    <t xml:space="preserve">Inverter status</t>
  </si>
  <si>
    <t xml:space="preserve">PV1 Power(kW)</t>
  </si>
  <si>
    <t xml:space="preserve">PV2 Power(kW)</t>
  </si>
  <si>
    <t xml:space="preserve">PV3 Power(kW)</t>
  </si>
  <si>
    <t xml:space="preserve">PV4 Power(kW)</t>
  </si>
  <si>
    <t xml:space="preserve">PV5 Power(kW)</t>
  </si>
  <si>
    <t xml:space="preserve">WB02-INV01</t>
  </si>
  <si>
    <t xml:space="preserve">Grid connected</t>
  </si>
  <si>
    <t xml:space="preserve">WB02-INV02</t>
  </si>
  <si>
    <t xml:space="preserve">Shutdown command</t>
  </si>
  <si>
    <t xml:space="preserve">EmptyPVMap — slot PV yang fisik tidak terpasang (skip dari peer comparison)</t>
  </si>
  <si>
    <t xml:space="preserve">Replica config/strings.yaml (245 inverter dalam file aktual). Di sini hanya entry yang relevan untuk dummy.</t>
  </si>
  <si>
    <t xml:space="preserve">Empty PV indices (CSV)</t>
  </si>
  <si>
    <t xml:space="preserve">Note</t>
  </si>
  <si>
    <t xml:space="preserve">5</t>
  </si>
  <si>
    <t xml:space="preserve">DEMO: PV5 EMPTY by design</t>
  </si>
  <si>
    <t xml:space="preserve">WB01-INV01</t>
  </si>
  <si>
    <t xml:space="preserve">19,20,21,22,23,24,25,26,27,28</t>
  </si>
  <si>
    <t xml:space="preserve">Pola WB01 produksi (PV19-28 kosong)</t>
  </si>
  <si>
    <t xml:space="preserve">WB03-INV01</t>
  </si>
  <si>
    <t xml:space="preserve">(contoh: tidak ada slot kosong)</t>
  </si>
  <si>
    <t xml:space="preserve">Helpers_M2e — derived columns dari Raw_Data (per-row formulas)</t>
  </si>
  <si>
    <t xml:space="preserve">Setiap kolom = 1 langkah di pv_pipeline/availability.py. Edit Raw_Data → recalc otomatis.</t>
  </si>
  <si>
    <t xml:space="preserve">status_raw</t>
  </si>
  <si>
    <t xml:space="preserve">_status_class</t>
  </si>
  <si>
    <t xml:space="preserve">sib_median_kW</t>
  </si>
  <si>
    <t xml:space="preserve">active_count</t>
  </si>
  <si>
    <t xml:space="preserve">active_pct</t>
  </si>
  <si>
    <t xml:space="preserve">qualified</t>
  </si>
  <si>
    <t xml:space="preserve">is_on</t>
  </si>
  <si>
    <t xml:space="preserve">cand_PV1</t>
  </si>
  <si>
    <t xml:space="preserve">run_id_PV1</t>
  </si>
  <si>
    <t xml:space="preserve">run_len_PV1</t>
  </si>
  <si>
    <t xml:space="preserve">in_event_PV1</t>
  </si>
  <si>
    <t xml:space="preserve">cand_PV2</t>
  </si>
  <si>
    <t xml:space="preserve">run_id_PV2</t>
  </si>
  <si>
    <t xml:space="preserve">run_len_PV2</t>
  </si>
  <si>
    <t xml:space="preserve">in_event_PV2</t>
  </si>
  <si>
    <t xml:space="preserve">cand_PV3</t>
  </si>
  <si>
    <t xml:space="preserve">run_id_PV3</t>
  </si>
  <si>
    <t xml:space="preserve">run_len_PV3</t>
  </si>
  <si>
    <t xml:space="preserve">in_event_PV3</t>
  </si>
  <si>
    <t xml:space="preserve">cand_PV4</t>
  </si>
  <si>
    <t xml:space="preserve">run_id_PV4</t>
  </si>
  <si>
    <t xml:space="preserve">run_len_PV4</t>
  </si>
  <si>
    <t xml:space="preserve">in_event_PV4</t>
  </si>
  <si>
    <t xml:space="preserve">cand_PV5</t>
  </si>
  <si>
    <t xml:space="preserve">run_id_PV5</t>
  </si>
  <si>
    <t xml:space="preserve">run_len_PV5</t>
  </si>
  <si>
    <t xml:space="preserve">in_event_PV5</t>
  </si>
  <si>
    <t xml:space="preserve">M2e Availability — output finding per inverter &amp; per string</t>
  </si>
  <si>
    <t xml:space="preserve">Section A: per-inverter uptime%. Section B: per-string proxy down. Severity di-derive dari uptime_pct vs threshold di Config.</t>
  </si>
  <si>
    <t xml:space="preserve">A. Per-inverter daily uptime</t>
  </si>
  <si>
    <t xml:space="preserve">n_on</t>
  </si>
  <si>
    <t xml:space="preserve">n_down</t>
  </si>
  <si>
    <t xml:space="preserve">denom</t>
  </si>
  <si>
    <t xml:space="preserve">uptime_pct</t>
  </si>
  <si>
    <t xml:space="preserve">downtime_min</t>
  </si>
  <si>
    <t xml:space="preserve">severity</t>
  </si>
  <si>
    <t xml:space="preserve">threshold_breached</t>
  </si>
  <si>
    <t xml:space="preserve">message</t>
  </si>
  <si>
    <t xml:space="preserve">B. Per-string proxy down (event_minutes_total + uptime_pct + severity)</t>
  </si>
  <si>
    <t xml:space="preserve">PV_string</t>
  </si>
  <si>
    <t xml:space="preserve">daylight_minutes_inv</t>
  </si>
  <si>
    <t xml:space="preserve">event_minutes</t>
  </si>
  <si>
    <t xml:space="preserve">n_events</t>
  </si>
  <si>
    <t xml:space="preserve">string_uptime_pct</t>
  </si>
  <si>
    <t xml:space="preserve">is_empty</t>
  </si>
  <si>
    <t xml:space="preserve">PV1</t>
  </si>
  <si>
    <t xml:space="preserve">PV2</t>
  </si>
  <si>
    <t xml:space="preserve">PV3</t>
  </si>
  <si>
    <t xml:space="preserve">PV4</t>
  </si>
  <si>
    <t xml:space="preserve">PV5</t>
  </si>
  <si>
    <t xml:space="preserve">M2e_AllStrings — tabel rapi per (inverter × PV string) — replika output Python</t>
  </si>
  <si>
    <t xml:space="preserve">Setiap baris = 1 PV slot. status ∈ {EMPTY, NO_DAYLIGHT, NORMAL, INFO, MEDIUM, HIGH, CRITICAL}. Pull dari M2e_Availability Section B.</t>
  </si>
  <si>
    <t xml:space="preserve">inverter_id</t>
  </si>
  <si>
    <t xml:space="preserve">pv_string</t>
  </si>
  <si>
    <t xml:space="preserve">status</t>
  </si>
  <si>
    <t xml:space="preserve">downtime_minutes</t>
  </si>
  <si>
    <t xml:space="preserve">daylight_minutes</t>
  </si>
  <si>
    <t xml:space="preserve">Findings_Summary — agregat semua finding NON-NORMAL &amp; NON-EMPTY</t>
  </si>
  <si>
    <t xml:space="preserve">Saat ini hanya M2e. Akan tumbuh: M2b, M2a, IsolationForest, dst. Setiap iterasi tambah sheet detector → tambah baris di sini.</t>
  </si>
  <si>
    <t xml:space="preserve">Source Sheet</t>
  </si>
  <si>
    <t xml:space="preserve">sub_module</t>
  </si>
  <si>
    <t xml:space="preserve">value (uptime_pct)</t>
  </si>
  <si>
    <t xml:space="preserve">threshold</t>
  </si>
  <si>
    <t xml:space="preserve">M2e_Availability!A (inverter)</t>
  </si>
  <si>
    <t xml:space="preserve">M2e_inverter</t>
  </si>
  <si>
    <t xml:space="preserve">M2e_Availability!B (string proxy)</t>
  </si>
  <si>
    <t xml:space="preserve">M2e_string_proxy</t>
  </si>
  <si>
    <t xml:space="preserve">(see Config)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</si>
</sst>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\ hh:mm:ss"/>
    <numFmt numFmtId="166" formatCode="0.000"/>
    <numFmt numFmtId="167" formatCode="0.0"/>
    <numFmt numFmtId="168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305496"/>
      <name val="Cambria"/>
      <family val="0"/>
      <charset val="1"/>
    </font>
    <font>
      <i val="true"/>
      <sz val="11"/>
      <color rgb="FF595959"/>
      <name val="Cambria"/>
      <family val="0"/>
      <charset val="1"/>
    </font>
    <font>
      <b val="true"/>
      <sz val="10"/>
      <name val="Calibri"/>
      <family val="0"/>
      <charset val="1"/>
    </font>
    <font>
      <b val="true"/>
      <sz val="14"/>
      <color rgb="FF305496"/>
      <name val="Cambria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DDDDD"/>
      </patternFill>
    </fill>
    <fill>
      <patternFill patternType="solid">
        <fgColor rgb="FF305496"/>
        <bgColor rgb="FF59595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>
          <bgColor rgb="FFE06666"/>
        </patternFill>
      </fill>
    </dxf>
    <dxf>
      <fill>
        <patternFill>
          <bgColor rgb="FFF6B26B"/>
        </patternFill>
      </fill>
    </dxf>
    <dxf>
      <fill>
        <patternFill>
          <bgColor rgb="FFFFD966"/>
        </patternFill>
      </fill>
    </dxf>
    <dxf>
      <fill>
        <patternFill>
          <bgColor rgb="FFA4C2F4"/>
        </patternFill>
      </fill>
    </dxf>
    <dxf>
      <fill>
        <patternFill>
          <bgColor rgb="FFB6D7A8"/>
        </patternFill>
      </fill>
    </dxf>
    <dxf>
      <fill>
        <patternFill>
          <bgColor rgb="FFDDDDDD"/>
        </patternFill>
      </fill>
    </dxf>
    <dxf>
      <fill>
        <patternFill>
          <bgColor rgb="FFEFEFEF"/>
        </patternFill>
      </fill>
    </dxf>
    <dxf>
      <fill>
        <patternFill patternType="solid">
          <fgColor rgb="FF30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FEFEF"/>
      <rgbColor rgb="FFB6D7A8"/>
      <rgbColor rgb="FF660066"/>
      <rgbColor rgb="FFE06666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DDDD"/>
      <rgbColor rgb="FFFFFF99"/>
      <rgbColor rgb="FFA4C2F4"/>
      <rgbColor rgb="FFF6B26B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15" hidden="false" customHeight="false" outlineLevel="0" collapsed="false">
      <c r="A6" s="5" t="s">
        <v>7</v>
      </c>
      <c r="B6" s="5" t="s">
        <v>8</v>
      </c>
      <c r="C6" s="5" t="s">
        <v>9</v>
      </c>
      <c r="D6" s="5" t="s">
        <v>10</v>
      </c>
    </row>
    <row r="7" customFormat="false" ht="15" hidden="false" customHeight="false" outlineLevel="0" collapsed="false">
      <c r="A7" s="5" t="s">
        <v>11</v>
      </c>
      <c r="B7" s="5" t="s">
        <v>8</v>
      </c>
      <c r="C7" s="5" t="s">
        <v>12</v>
      </c>
      <c r="D7" s="5" t="s">
        <v>13</v>
      </c>
    </row>
    <row r="10" customFormat="false" ht="15" hidden="false" customHeight="false" outlineLevel="0" collapsed="false">
      <c r="A10" s="3" t="s">
        <v>14</v>
      </c>
    </row>
    <row r="11" customFormat="false" ht="30" hidden="false" customHeight="true" outlineLevel="0" collapsed="false">
      <c r="A11" s="6" t="s">
        <v>15</v>
      </c>
    </row>
    <row r="12" customFormat="false" ht="30" hidden="false" customHeight="true" outlineLevel="0" collapsed="false">
      <c r="A12" s="6" t="s">
        <v>16</v>
      </c>
    </row>
    <row r="13" customFormat="false" ht="30" hidden="false" customHeight="true" outlineLevel="0" collapsed="false">
      <c r="A13" s="6" t="s">
        <v>17</v>
      </c>
    </row>
    <row r="14" customFormat="false" ht="30" hidden="false" customHeight="true" outlineLevel="0" collapsed="false">
      <c r="A14" s="6" t="s">
        <v>18</v>
      </c>
    </row>
    <row r="15" customFormat="false" ht="30" hidden="false" customHeight="true" outlineLevel="0" collapsed="false">
      <c r="A15" s="6" t="s">
        <v>19</v>
      </c>
    </row>
    <row r="16" customFormat="false" ht="30" hidden="false" customHeight="true" outlineLevel="0" collapsed="false">
      <c r="A16" s="6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2"/>
    <col collapsed="false" customWidth="true" hidden="false" outlineLevel="0" max="3" min="3" style="0" width="14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7" t="s">
        <v>21</v>
      </c>
    </row>
    <row r="3" customFormat="false" ht="15" hidden="false" customHeight="false" outlineLevel="0" collapsed="false">
      <c r="A3" s="8" t="s">
        <v>22</v>
      </c>
      <c r="B3" s="8" t="s">
        <v>23</v>
      </c>
      <c r="C3" s="8" t="s">
        <v>24</v>
      </c>
      <c r="D3" s="8" t="s">
        <v>25</v>
      </c>
    </row>
    <row r="4" customFormat="false" ht="15" hidden="false" customHeight="false" outlineLevel="0" collapsed="false">
      <c r="A4" s="5" t="s">
        <v>26</v>
      </c>
      <c r="B4" s="5" t="s">
        <v>27</v>
      </c>
      <c r="C4" s="9" t="n">
        <v>90</v>
      </c>
      <c r="D4" s="5" t="s">
        <v>28</v>
      </c>
    </row>
    <row r="5" customFormat="false" ht="15" hidden="false" customHeight="false" outlineLevel="0" collapsed="false">
      <c r="A5" s="5" t="s">
        <v>26</v>
      </c>
      <c r="B5" s="5" t="s">
        <v>29</v>
      </c>
      <c r="C5" s="9" t="n">
        <v>95</v>
      </c>
      <c r="D5" s="5" t="s">
        <v>30</v>
      </c>
    </row>
    <row r="6" customFormat="false" ht="15" hidden="false" customHeight="false" outlineLevel="0" collapsed="false">
      <c r="A6" s="5" t="s">
        <v>26</v>
      </c>
      <c r="B6" s="5" t="s">
        <v>31</v>
      </c>
      <c r="C6" s="9" t="n">
        <v>97</v>
      </c>
      <c r="D6" s="5" t="s">
        <v>32</v>
      </c>
    </row>
    <row r="7" customFormat="false" ht="15" hidden="false" customHeight="false" outlineLevel="0" collapsed="false">
      <c r="A7" s="5" t="s">
        <v>26</v>
      </c>
      <c r="B7" s="5" t="s">
        <v>33</v>
      </c>
      <c r="C7" s="9" t="n">
        <v>99</v>
      </c>
      <c r="D7" s="5" t="s">
        <v>34</v>
      </c>
    </row>
    <row r="8" customFormat="false" ht="15" hidden="false" customHeight="false" outlineLevel="0" collapsed="false">
      <c r="A8" s="5" t="s">
        <v>26</v>
      </c>
      <c r="B8" s="5" t="s">
        <v>35</v>
      </c>
      <c r="C8" s="9" t="n">
        <v>0</v>
      </c>
      <c r="D8" s="5" t="s">
        <v>36</v>
      </c>
    </row>
    <row r="9" customFormat="false" ht="15" hidden="false" customHeight="false" outlineLevel="0" collapsed="false">
      <c r="A9" s="5" t="s">
        <v>37</v>
      </c>
      <c r="B9" s="5" t="s">
        <v>38</v>
      </c>
      <c r="C9" s="9" t="n">
        <v>0.1</v>
      </c>
      <c r="D9" s="5" t="s">
        <v>39</v>
      </c>
    </row>
    <row r="10" customFormat="false" ht="15" hidden="false" customHeight="false" outlineLevel="0" collapsed="false">
      <c r="A10" s="5" t="s">
        <v>37</v>
      </c>
      <c r="B10" s="5" t="s">
        <v>40</v>
      </c>
      <c r="C10" s="9" t="n">
        <v>1</v>
      </c>
      <c r="D10" s="5" t="s">
        <v>41</v>
      </c>
    </row>
    <row r="11" customFormat="false" ht="15" hidden="false" customHeight="false" outlineLevel="0" collapsed="false">
      <c r="A11" s="5" t="s">
        <v>37</v>
      </c>
      <c r="B11" s="5" t="s">
        <v>42</v>
      </c>
      <c r="C11" s="9" t="n">
        <v>50</v>
      </c>
      <c r="D11" s="5" t="s">
        <v>43</v>
      </c>
    </row>
    <row r="12" customFormat="false" ht="15" hidden="false" customHeight="false" outlineLevel="0" collapsed="false">
      <c r="A12" s="5" t="s">
        <v>37</v>
      </c>
      <c r="B12" s="5" t="s">
        <v>44</v>
      </c>
      <c r="C12" s="9" t="n">
        <v>20</v>
      </c>
      <c r="D12" s="5" t="s">
        <v>45</v>
      </c>
    </row>
    <row r="13" customFormat="false" ht="15" hidden="false" customHeight="false" outlineLevel="0" collapsed="false">
      <c r="A13" s="5" t="s">
        <v>46</v>
      </c>
      <c r="B13" s="5" t="s">
        <v>47</v>
      </c>
      <c r="C13" s="9" t="n">
        <v>5</v>
      </c>
      <c r="D13" s="5" t="s">
        <v>48</v>
      </c>
    </row>
    <row r="14" customFormat="false" ht="15" hidden="false" customHeight="false" outlineLevel="0" collapsed="false">
      <c r="A14" s="5" t="s">
        <v>46</v>
      </c>
      <c r="B14" s="5" t="s">
        <v>49</v>
      </c>
      <c r="C14" s="9" t="n">
        <v>28</v>
      </c>
      <c r="D14" s="5" t="s">
        <v>50</v>
      </c>
    </row>
    <row r="15" customFormat="false" ht="15" hidden="false" customHeight="false" outlineLevel="0" collapsed="false">
      <c r="A15" s="5" t="s">
        <v>46</v>
      </c>
      <c r="B15" s="5" t="s">
        <v>51</v>
      </c>
      <c r="C15" s="9" t="n">
        <v>5</v>
      </c>
      <c r="D15" s="5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8" min="4" style="0" width="14"/>
  </cols>
  <sheetData>
    <row r="1" customFormat="false" ht="17.35" hidden="false" customHeight="false" outlineLevel="0" collapsed="false">
      <c r="A1" s="7" t="s">
        <v>53</v>
      </c>
    </row>
    <row r="2" customFormat="false" ht="15" hidden="false" customHeight="false" outlineLevel="0" collapsed="false">
      <c r="A2" s="2" t="s">
        <v>54</v>
      </c>
    </row>
    <row r="4" customFormat="false" ht="23.85" hidden="false" customHeight="false" outlineLevel="0" collapsed="false">
      <c r="A4" s="10" t="s">
        <v>55</v>
      </c>
      <c r="B4" s="10" t="s">
        <v>56</v>
      </c>
      <c r="C4" s="10" t="s">
        <v>57</v>
      </c>
      <c r="D4" s="10" t="s">
        <v>58</v>
      </c>
      <c r="E4" s="10" t="s">
        <v>59</v>
      </c>
      <c r="F4" s="10" t="s">
        <v>60</v>
      </c>
      <c r="G4" s="10" t="s">
        <v>61</v>
      </c>
      <c r="H4" s="10" t="s">
        <v>62</v>
      </c>
    </row>
    <row r="5" customFormat="false" ht="15" hidden="false" customHeight="false" outlineLevel="0" collapsed="false">
      <c r="A5" s="5" t="s">
        <v>63</v>
      </c>
      <c r="B5" s="11" t="n">
        <v>46156.4166666667</v>
      </c>
      <c r="C5" s="5" t="s">
        <v>64</v>
      </c>
      <c r="D5" s="12" t="n">
        <v>5</v>
      </c>
      <c r="E5" s="12" t="n">
        <v>4.9</v>
      </c>
      <c r="F5" s="12" t="n">
        <v>5.1</v>
      </c>
      <c r="G5" s="12" t="n">
        <v>5</v>
      </c>
      <c r="H5" s="12" t="n">
        <v>0</v>
      </c>
    </row>
    <row r="6" customFormat="false" ht="15" hidden="false" customHeight="false" outlineLevel="0" collapsed="false">
      <c r="A6" s="5" t="s">
        <v>63</v>
      </c>
      <c r="B6" s="11" t="n">
        <v>46156.4201388889</v>
      </c>
      <c r="C6" s="5" t="s">
        <v>64</v>
      </c>
      <c r="D6" s="12" t="n">
        <v>5.05</v>
      </c>
      <c r="E6" s="12" t="n">
        <v>4.94</v>
      </c>
      <c r="F6" s="12" t="n">
        <v>5.1</v>
      </c>
      <c r="G6" s="12" t="n">
        <v>5.03</v>
      </c>
      <c r="H6" s="12" t="n">
        <v>0</v>
      </c>
    </row>
    <row r="7" customFormat="false" ht="15" hidden="false" customHeight="false" outlineLevel="0" collapsed="false">
      <c r="A7" s="5" t="s">
        <v>63</v>
      </c>
      <c r="B7" s="11" t="n">
        <v>46156.4236111111</v>
      </c>
      <c r="C7" s="5" t="s">
        <v>64</v>
      </c>
      <c r="D7" s="12" t="n">
        <v>5.1</v>
      </c>
      <c r="E7" s="12" t="n">
        <v>4.98</v>
      </c>
      <c r="F7" s="12" t="n">
        <v>5.1</v>
      </c>
      <c r="G7" s="12" t="n">
        <v>5.06</v>
      </c>
      <c r="H7" s="12" t="n">
        <v>0</v>
      </c>
    </row>
    <row r="8" customFormat="false" ht="15" hidden="false" customHeight="false" outlineLevel="0" collapsed="false">
      <c r="A8" s="5" t="s">
        <v>63</v>
      </c>
      <c r="B8" s="11" t="n">
        <v>46156.4270833333</v>
      </c>
      <c r="C8" s="5" t="s">
        <v>64</v>
      </c>
      <c r="D8" s="12" t="n">
        <v>5.15</v>
      </c>
      <c r="E8" s="12" t="n">
        <v>5.02</v>
      </c>
      <c r="F8" s="12" t="n">
        <v>0</v>
      </c>
      <c r="G8" s="12" t="n">
        <v>5</v>
      </c>
      <c r="H8" s="12" t="n">
        <v>0</v>
      </c>
    </row>
    <row r="9" customFormat="false" ht="15" hidden="false" customHeight="false" outlineLevel="0" collapsed="false">
      <c r="A9" s="5" t="s">
        <v>63</v>
      </c>
      <c r="B9" s="11" t="n">
        <v>46156.4305555556</v>
      </c>
      <c r="C9" s="5" t="s">
        <v>64</v>
      </c>
      <c r="D9" s="12" t="n">
        <v>5</v>
      </c>
      <c r="E9" s="12" t="n">
        <v>5.06</v>
      </c>
      <c r="F9" s="12" t="n">
        <v>0</v>
      </c>
      <c r="G9" s="12" t="n">
        <v>5.03</v>
      </c>
      <c r="H9" s="12" t="n">
        <v>0</v>
      </c>
    </row>
    <row r="10" customFormat="false" ht="15" hidden="false" customHeight="false" outlineLevel="0" collapsed="false">
      <c r="A10" s="5" t="s">
        <v>63</v>
      </c>
      <c r="B10" s="11" t="n">
        <v>46156.4340277778</v>
      </c>
      <c r="C10" s="5" t="s">
        <v>64</v>
      </c>
      <c r="D10" s="12" t="n">
        <v>5.05</v>
      </c>
      <c r="E10" s="12" t="n">
        <v>4.9</v>
      </c>
      <c r="F10" s="12" t="n">
        <v>0</v>
      </c>
      <c r="G10" s="12" t="n">
        <v>5.06</v>
      </c>
      <c r="H10" s="12" t="n">
        <v>0</v>
      </c>
    </row>
    <row r="11" customFormat="false" ht="15" hidden="false" customHeight="false" outlineLevel="0" collapsed="false">
      <c r="A11" s="5" t="s">
        <v>63</v>
      </c>
      <c r="B11" s="11" t="n">
        <v>46156.4375</v>
      </c>
      <c r="C11" s="5" t="s">
        <v>64</v>
      </c>
      <c r="D11" s="12" t="n">
        <v>5.1</v>
      </c>
      <c r="E11" s="12" t="n">
        <v>4.94</v>
      </c>
      <c r="F11" s="12" t="n">
        <v>0</v>
      </c>
      <c r="G11" s="12" t="n">
        <v>5</v>
      </c>
      <c r="H11" s="12" t="n">
        <v>0</v>
      </c>
    </row>
    <row r="12" customFormat="false" ht="15" hidden="false" customHeight="false" outlineLevel="0" collapsed="false">
      <c r="A12" s="5" t="s">
        <v>63</v>
      </c>
      <c r="B12" s="11" t="n">
        <v>46156.4409722222</v>
      </c>
      <c r="C12" s="5" t="s">
        <v>64</v>
      </c>
      <c r="D12" s="12" t="n">
        <v>5.15</v>
      </c>
      <c r="E12" s="12" t="n">
        <v>4.98</v>
      </c>
      <c r="F12" s="12" t="n">
        <v>0</v>
      </c>
      <c r="G12" s="12" t="n">
        <v>5.03</v>
      </c>
      <c r="H12" s="12" t="n">
        <v>0</v>
      </c>
    </row>
    <row r="13" customFormat="false" ht="15" hidden="false" customHeight="false" outlineLevel="0" collapsed="false">
      <c r="A13" s="5" t="s">
        <v>63</v>
      </c>
      <c r="B13" s="11" t="n">
        <v>46156.4444444445</v>
      </c>
      <c r="C13" s="5" t="s">
        <v>64</v>
      </c>
      <c r="D13" s="12" t="n">
        <v>5</v>
      </c>
      <c r="E13" s="12" t="n">
        <v>5.02</v>
      </c>
      <c r="F13" s="12" t="n">
        <v>0</v>
      </c>
      <c r="G13" s="12" t="n">
        <v>5.06</v>
      </c>
      <c r="H13" s="12" t="n">
        <v>0</v>
      </c>
    </row>
    <row r="14" customFormat="false" ht="15" hidden="false" customHeight="false" outlineLevel="0" collapsed="false">
      <c r="A14" s="5" t="s">
        <v>63</v>
      </c>
      <c r="B14" s="11" t="n">
        <v>46156.4479166667</v>
      </c>
      <c r="C14" s="5" t="s">
        <v>64</v>
      </c>
      <c r="D14" s="12" t="n">
        <v>5.05</v>
      </c>
      <c r="E14" s="12" t="n">
        <v>5.06</v>
      </c>
      <c r="F14" s="12" t="n">
        <v>5.1</v>
      </c>
      <c r="G14" s="12" t="n">
        <v>5</v>
      </c>
      <c r="H14" s="12" t="n">
        <v>0</v>
      </c>
    </row>
    <row r="15" customFormat="false" ht="15" hidden="false" customHeight="false" outlineLevel="0" collapsed="false">
      <c r="A15" s="5" t="s">
        <v>63</v>
      </c>
      <c r="B15" s="11" t="n">
        <v>46156.4513888889</v>
      </c>
      <c r="C15" s="5" t="s">
        <v>64</v>
      </c>
      <c r="D15" s="12" t="n">
        <v>5.1</v>
      </c>
      <c r="E15" s="12" t="n">
        <v>4.9</v>
      </c>
      <c r="F15" s="12" t="n">
        <v>5.1</v>
      </c>
      <c r="G15" s="12" t="n">
        <v>5.03</v>
      </c>
      <c r="H15" s="12" t="n">
        <v>0</v>
      </c>
    </row>
    <row r="16" customFormat="false" ht="15" hidden="false" customHeight="false" outlineLevel="0" collapsed="false">
      <c r="A16" s="5" t="s">
        <v>63</v>
      </c>
      <c r="B16" s="11" t="n">
        <v>46156.4548611111</v>
      </c>
      <c r="C16" s="5" t="s">
        <v>64</v>
      </c>
      <c r="D16" s="12" t="n">
        <v>5.15</v>
      </c>
      <c r="E16" s="12" t="n">
        <v>4.94</v>
      </c>
      <c r="F16" s="12" t="n">
        <v>5.1</v>
      </c>
      <c r="G16" s="12" t="n">
        <v>5.06</v>
      </c>
      <c r="H16" s="12" t="n">
        <v>0</v>
      </c>
    </row>
    <row r="17" customFormat="false" ht="15" hidden="false" customHeight="false" outlineLevel="0" collapsed="false">
      <c r="A17" s="5" t="s">
        <v>65</v>
      </c>
      <c r="B17" s="11" t="n">
        <v>46156.4166666667</v>
      </c>
      <c r="C17" s="5" t="s">
        <v>64</v>
      </c>
      <c r="D17" s="12" t="n">
        <v>5</v>
      </c>
      <c r="E17" s="12" t="n">
        <v>5</v>
      </c>
      <c r="F17" s="12" t="n">
        <v>5</v>
      </c>
      <c r="G17" s="12" t="n">
        <v>5</v>
      </c>
      <c r="H17" s="12" t="n">
        <v>0</v>
      </c>
    </row>
    <row r="18" customFormat="false" ht="15" hidden="false" customHeight="false" outlineLevel="0" collapsed="false">
      <c r="A18" s="5" t="s">
        <v>65</v>
      </c>
      <c r="B18" s="11" t="n">
        <v>46156.4201388889</v>
      </c>
      <c r="C18" s="5" t="s">
        <v>64</v>
      </c>
      <c r="D18" s="12" t="n">
        <v>5</v>
      </c>
      <c r="E18" s="12" t="n">
        <v>5</v>
      </c>
      <c r="F18" s="12" t="n">
        <v>5</v>
      </c>
      <c r="G18" s="12" t="n">
        <v>5</v>
      </c>
      <c r="H18" s="12" t="n">
        <v>0</v>
      </c>
    </row>
    <row r="19" customFormat="false" ht="15" hidden="false" customHeight="false" outlineLevel="0" collapsed="false">
      <c r="A19" s="5" t="s">
        <v>65</v>
      </c>
      <c r="B19" s="11" t="n">
        <v>46156.4236111111</v>
      </c>
      <c r="C19" s="5" t="s">
        <v>64</v>
      </c>
      <c r="D19" s="12" t="n">
        <v>5</v>
      </c>
      <c r="E19" s="12" t="n">
        <v>5</v>
      </c>
      <c r="F19" s="12" t="n">
        <v>5</v>
      </c>
      <c r="G19" s="12" t="n">
        <v>5</v>
      </c>
      <c r="H19" s="12" t="n">
        <v>0</v>
      </c>
    </row>
    <row r="20" customFormat="false" ht="15" hidden="false" customHeight="false" outlineLevel="0" collapsed="false">
      <c r="A20" s="5" t="s">
        <v>65</v>
      </c>
      <c r="B20" s="11" t="n">
        <v>46156.4270833333</v>
      </c>
      <c r="C20" s="5" t="s">
        <v>64</v>
      </c>
      <c r="D20" s="12" t="n">
        <v>5</v>
      </c>
      <c r="E20" s="12" t="n">
        <v>5</v>
      </c>
      <c r="F20" s="12" t="n">
        <v>5</v>
      </c>
      <c r="G20" s="12" t="n">
        <v>5</v>
      </c>
      <c r="H20" s="12" t="n">
        <v>0</v>
      </c>
    </row>
    <row r="21" customFormat="false" ht="15" hidden="false" customHeight="false" outlineLevel="0" collapsed="false">
      <c r="A21" s="5" t="s">
        <v>65</v>
      </c>
      <c r="B21" s="11" t="n">
        <v>46156.4305555556</v>
      </c>
      <c r="C21" s="5" t="s">
        <v>66</v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</row>
    <row r="22" customFormat="false" ht="15" hidden="false" customHeight="false" outlineLevel="0" collapsed="false">
      <c r="A22" s="5" t="s">
        <v>65</v>
      </c>
      <c r="B22" s="11" t="n">
        <v>46156.4340277778</v>
      </c>
      <c r="C22" s="5" t="s">
        <v>66</v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</row>
    <row r="23" customFormat="false" ht="15" hidden="false" customHeight="false" outlineLevel="0" collapsed="false">
      <c r="A23" s="5" t="s">
        <v>65</v>
      </c>
      <c r="B23" s="11" t="n">
        <v>46156.4375</v>
      </c>
      <c r="C23" s="5" t="s">
        <v>66</v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</row>
    <row r="24" customFormat="false" ht="15" hidden="false" customHeight="false" outlineLevel="0" collapsed="false">
      <c r="A24" s="5" t="s">
        <v>65</v>
      </c>
      <c r="B24" s="11" t="n">
        <v>46156.4409722222</v>
      </c>
      <c r="C24" s="5" t="s">
        <v>66</v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</row>
    <row r="25" customFormat="false" ht="15" hidden="false" customHeight="false" outlineLevel="0" collapsed="false">
      <c r="A25" s="5" t="s">
        <v>65</v>
      </c>
      <c r="B25" s="11" t="n">
        <v>46156.4444444445</v>
      </c>
      <c r="C25" s="5" t="s">
        <v>64</v>
      </c>
      <c r="D25" s="12" t="n">
        <v>5</v>
      </c>
      <c r="E25" s="12" t="n">
        <v>5</v>
      </c>
      <c r="F25" s="12" t="n">
        <v>5</v>
      </c>
      <c r="G25" s="12" t="n">
        <v>5</v>
      </c>
      <c r="H25" s="12" t="n">
        <v>0</v>
      </c>
    </row>
    <row r="26" customFormat="false" ht="15" hidden="false" customHeight="false" outlineLevel="0" collapsed="false">
      <c r="A26" s="5" t="s">
        <v>65</v>
      </c>
      <c r="B26" s="11" t="n">
        <v>46156.4479166667</v>
      </c>
      <c r="C26" s="5" t="s">
        <v>64</v>
      </c>
      <c r="D26" s="12" t="n">
        <v>5</v>
      </c>
      <c r="E26" s="12" t="n">
        <v>5</v>
      </c>
      <c r="F26" s="12" t="n">
        <v>5</v>
      </c>
      <c r="G26" s="12" t="n">
        <v>5</v>
      </c>
      <c r="H26" s="12" t="n">
        <v>0</v>
      </c>
    </row>
    <row r="27" customFormat="false" ht="15" hidden="false" customHeight="false" outlineLevel="0" collapsed="false">
      <c r="A27" s="5" t="s">
        <v>65</v>
      </c>
      <c r="B27" s="11" t="n">
        <v>46156.4513888889</v>
      </c>
      <c r="C27" s="5" t="s">
        <v>64</v>
      </c>
      <c r="D27" s="12" t="n">
        <v>5</v>
      </c>
      <c r="E27" s="12" t="n">
        <v>5</v>
      </c>
      <c r="F27" s="12" t="n">
        <v>5</v>
      </c>
      <c r="G27" s="12" t="n">
        <v>5</v>
      </c>
      <c r="H27" s="12" t="n">
        <v>0</v>
      </c>
    </row>
    <row r="28" customFormat="false" ht="15" hidden="false" customHeight="false" outlineLevel="0" collapsed="false">
      <c r="A28" s="5" t="s">
        <v>65</v>
      </c>
      <c r="B28" s="11" t="n">
        <v>46156.4548611111</v>
      </c>
      <c r="C28" s="5" t="s">
        <v>64</v>
      </c>
      <c r="D28" s="12" t="n">
        <v>5</v>
      </c>
      <c r="E28" s="12" t="n">
        <v>5</v>
      </c>
      <c r="F28" s="12" t="n">
        <v>5</v>
      </c>
      <c r="G28" s="12" t="n">
        <v>5</v>
      </c>
      <c r="H28" s="12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7" t="s">
        <v>67</v>
      </c>
    </row>
    <row r="2" customFormat="false" ht="15" hidden="false" customHeight="false" outlineLevel="0" collapsed="false">
      <c r="A2" s="2" t="s">
        <v>68</v>
      </c>
    </row>
    <row r="4" customFormat="false" ht="15" hidden="false" customHeight="false" outlineLevel="0" collapsed="false">
      <c r="A4" s="10" t="s">
        <v>55</v>
      </c>
      <c r="B4" s="10" t="s">
        <v>69</v>
      </c>
      <c r="C4" s="10" t="s">
        <v>70</v>
      </c>
    </row>
    <row r="5" customFormat="false" ht="15" hidden="false" customHeight="false" outlineLevel="0" collapsed="false">
      <c r="A5" s="5" t="s">
        <v>63</v>
      </c>
      <c r="B5" s="5" t="s">
        <v>71</v>
      </c>
      <c r="C5" s="5" t="s">
        <v>72</v>
      </c>
    </row>
    <row r="6" customFormat="false" ht="15" hidden="false" customHeight="false" outlineLevel="0" collapsed="false">
      <c r="A6" s="5" t="s">
        <v>65</v>
      </c>
      <c r="B6" s="5" t="s">
        <v>71</v>
      </c>
      <c r="C6" s="5" t="s">
        <v>72</v>
      </c>
    </row>
    <row r="7" customFormat="false" ht="15" hidden="false" customHeight="false" outlineLevel="0" collapsed="false">
      <c r="A7" s="5" t="s">
        <v>73</v>
      </c>
      <c r="B7" s="5" t="s">
        <v>74</v>
      </c>
      <c r="C7" s="5" t="s">
        <v>75</v>
      </c>
    </row>
    <row r="8" customFormat="false" ht="15" hidden="false" customHeight="false" outlineLevel="0" collapsed="false">
      <c r="A8" s="5" t="s">
        <v>76</v>
      </c>
      <c r="B8" s="5"/>
      <c r="C8" s="5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9"/>
    <col collapsed="false" customWidth="true" hidden="false" outlineLevel="0" max="3" min="3" style="0" width="18"/>
    <col collapsed="false" customWidth="true" hidden="false" outlineLevel="0" max="9" min="4" style="0" width="13"/>
    <col collapsed="false" customWidth="true" hidden="false" outlineLevel="0" max="29" min="10" style="0" width="10"/>
  </cols>
  <sheetData>
    <row r="1" customFormat="false" ht="17.35" hidden="false" customHeight="false" outlineLevel="0" collapsed="false">
      <c r="A1" s="7" t="s">
        <v>78</v>
      </c>
    </row>
    <row r="2" customFormat="false" ht="15" hidden="false" customHeight="false" outlineLevel="0" collapsed="false">
      <c r="A2" s="2" t="s">
        <v>79</v>
      </c>
    </row>
    <row r="4" customFormat="false" ht="23.85" hidden="false" customHeight="false" outlineLevel="0" collapsed="false">
      <c r="A4" s="10" t="s">
        <v>55</v>
      </c>
      <c r="B4" s="10" t="s">
        <v>56</v>
      </c>
      <c r="C4" s="10" t="s">
        <v>80</v>
      </c>
      <c r="D4" s="10" t="s">
        <v>81</v>
      </c>
      <c r="E4" s="10" t="s">
        <v>82</v>
      </c>
      <c r="F4" s="10" t="s">
        <v>83</v>
      </c>
      <c r="G4" s="10" t="s">
        <v>84</v>
      </c>
      <c r="H4" s="10" t="s">
        <v>85</v>
      </c>
      <c r="I4" s="10" t="s">
        <v>86</v>
      </c>
      <c r="J4" s="10" t="s">
        <v>87</v>
      </c>
      <c r="K4" s="10" t="s">
        <v>88</v>
      </c>
      <c r="L4" s="10" t="s">
        <v>89</v>
      </c>
      <c r="M4" s="10" t="s">
        <v>90</v>
      </c>
      <c r="N4" s="10" t="s">
        <v>91</v>
      </c>
      <c r="O4" s="10" t="s">
        <v>92</v>
      </c>
      <c r="P4" s="10" t="s">
        <v>93</v>
      </c>
      <c r="Q4" s="10" t="s">
        <v>94</v>
      </c>
      <c r="R4" s="10" t="s">
        <v>95</v>
      </c>
      <c r="S4" s="10" t="s">
        <v>96</v>
      </c>
      <c r="T4" s="10" t="s">
        <v>97</v>
      </c>
      <c r="U4" s="10" t="s">
        <v>98</v>
      </c>
      <c r="V4" s="10" t="s">
        <v>99</v>
      </c>
      <c r="W4" s="10" t="s">
        <v>100</v>
      </c>
      <c r="X4" s="10" t="s">
        <v>101</v>
      </c>
      <c r="Y4" s="10" t="s">
        <v>102</v>
      </c>
      <c r="Z4" s="10" t="s">
        <v>103</v>
      </c>
      <c r="AA4" s="10" t="s">
        <v>104</v>
      </c>
      <c r="AB4" s="10" t="s">
        <v>105</v>
      </c>
      <c r="AC4" s="10" t="s">
        <v>106</v>
      </c>
    </row>
    <row r="5" customFormat="false" ht="15" hidden="false" customHeight="false" outlineLevel="0" collapsed="false">
      <c r="A5" s="5" t="str">
        <f aca="false">Raw_Data!A5</f>
        <v>WB02-INV01</v>
      </c>
      <c r="B5" s="11" t="n">
        <f aca="false">Raw_Data!B5</f>
        <v>46156.4166666667</v>
      </c>
      <c r="C5" s="5" t="str">
        <f aca="false">Raw_Data!C5</f>
        <v>Grid connected</v>
      </c>
      <c r="D5" s="5" t="str">
        <f aca="false">IF(ISNUMBER(SEARCH("shutdown",LOWER(C5)))+ISNUMBER(SEARCH("fault",LOWER(C5))),"DOWN",IF(ISNUMBER(SEARCH("grid connected",LOWER(C5)))+ISNUMBER(SEARCH("on-grid",LOWER(C5))),"ON",IF(ISNUMBER(SEARCH("standby",LOWER(C5)))+ISNUMBER(SEARCH("no sunlight",LOWER(C5))),"TRANSITIONAL","UNKNOWN")))</f>
        <v>ON</v>
      </c>
      <c r="E5" s="12" t="n">
        <f aca="false">MEDIAN(Raw_Data!D5:H5)</f>
        <v>5</v>
      </c>
      <c r="F5" s="5" t="n">
        <f aca="false">COUNTIF(Raw_Data!D5:H5, "&gt;"&amp;cfg_pstr_zero_threshold_kw)</f>
        <v>4</v>
      </c>
      <c r="G5" s="13" t="n">
        <f aca="false">100*F5/cfg_n_pv_total_in_workbook</f>
        <v>80</v>
      </c>
      <c r="H5" s="5" t="n">
        <f aca="false">IF(AND(E5&gt;=cfg_sibling_median_active_kw, G5&gt;=cfg_min_active_siblings_pct),1,0)</f>
        <v>1</v>
      </c>
      <c r="I5" s="5" t="n">
        <f aca="false">IF(D5="ON",1,0)</f>
        <v>1</v>
      </c>
      <c r="J5" s="5" t="n">
        <f aca="false">IF(AND(I5=1, H5=1, Raw_Data!D5&lt;cfg_pstr_zero_threshold_kw),1,0)</f>
        <v>0</v>
      </c>
      <c r="K5" s="5" t="n">
        <f aca="false">IF(J5=1,1,0)</f>
        <v>0</v>
      </c>
      <c r="L5" s="5" t="n">
        <f aca="false">IF(J5=1,COUNTIFS($A$5:$A$28,A5,$K$5:$K$28,K5,$J$5:$J$28,1),0)</f>
        <v>0</v>
      </c>
      <c r="M5" s="5" t="n">
        <f aca="false">IF(AND(J5=1, L5&gt;=cfg_debounce_consecutive_steps),1,0)</f>
        <v>0</v>
      </c>
      <c r="N5" s="5" t="n">
        <f aca="false">IF(AND(I5=1, H5=1, Raw_Data!E5&lt;cfg_pstr_zero_threshold_kw),1,0)</f>
        <v>0</v>
      </c>
      <c r="O5" s="5" t="n">
        <f aca="false">IF(N5=1,1,0)</f>
        <v>0</v>
      </c>
      <c r="P5" s="5" t="n">
        <f aca="false">IF(N5=1,COUNTIFS($A$5:$A$28,A5,$O$5:$O$28,O5,$N$5:$N$28,1),0)</f>
        <v>0</v>
      </c>
      <c r="Q5" s="5" t="n">
        <f aca="false">IF(AND(N5=1, P5&gt;=cfg_debounce_consecutive_steps),1,0)</f>
        <v>0</v>
      </c>
      <c r="R5" s="5" t="n">
        <f aca="false">IF(AND(I5=1, H5=1, Raw_Data!F5&lt;cfg_pstr_zero_threshold_kw),1,0)</f>
        <v>0</v>
      </c>
      <c r="S5" s="5" t="n">
        <f aca="false">IF(R5=1,1,0)</f>
        <v>0</v>
      </c>
      <c r="T5" s="5" t="n">
        <f aca="false">IF(R5=1,COUNTIFS($A$5:$A$28,A5,$S$5:$S$28,S5,$R$5:$R$28,1),0)</f>
        <v>0</v>
      </c>
      <c r="U5" s="5" t="n">
        <f aca="false">IF(AND(R5=1, T5&gt;=cfg_debounce_consecutive_steps),1,0)</f>
        <v>0</v>
      </c>
      <c r="V5" s="5" t="n">
        <f aca="false">IF(AND(I5=1, H5=1, Raw_Data!G5&lt;cfg_pstr_zero_threshold_kw),1,0)</f>
        <v>0</v>
      </c>
      <c r="W5" s="5" t="n">
        <f aca="false">IF(V5=1,1,0)</f>
        <v>0</v>
      </c>
      <c r="X5" s="5" t="n">
        <f aca="false">IF(V5=1,COUNTIFS($A$5:$A$28,A5,$W$5:$W$28,W5,$V$5:$V$28,1),0)</f>
        <v>0</v>
      </c>
      <c r="Y5" s="5" t="n">
        <f aca="false">IF(AND(V5=1, X5&gt;=cfg_debounce_consecutive_steps),1,0)</f>
        <v>0</v>
      </c>
      <c r="Z5" s="5" t="n">
        <f aca="false">IF(AND(I5=1, H5=1, Raw_Data!H5&lt;cfg_pstr_zero_threshold_kw),1,0)</f>
        <v>1</v>
      </c>
      <c r="AA5" s="5" t="n">
        <f aca="false">IF(Z5=1,1,0)</f>
        <v>1</v>
      </c>
      <c r="AB5" s="5" t="n">
        <f aca="false">IF(Z5=1,COUNTIFS($A$5:$A$28,A5,$AA$5:$AA$28,AA5,$Z$5:$Z$28,1),0)</f>
        <v>12</v>
      </c>
      <c r="AC5" s="5" t="n">
        <f aca="false">IF(AND(Z5=1, AB5&gt;=cfg_debounce_consecutive_steps),1,0)</f>
        <v>0</v>
      </c>
    </row>
    <row r="6" customFormat="false" ht="15" hidden="false" customHeight="false" outlineLevel="0" collapsed="false">
      <c r="A6" s="5" t="str">
        <f aca="false">Raw_Data!A6</f>
        <v>WB02-INV01</v>
      </c>
      <c r="B6" s="11" t="n">
        <f aca="false">Raw_Data!B6</f>
        <v>46156.4201388889</v>
      </c>
      <c r="C6" s="5" t="str">
        <f aca="false">Raw_Data!C6</f>
        <v>Grid connected</v>
      </c>
      <c r="D6" s="5" t="str">
        <f aca="false">IF(ISNUMBER(SEARCH("shutdown",LOWER(C6)))+ISNUMBER(SEARCH("fault",LOWER(C6))),"DOWN",IF(ISNUMBER(SEARCH("grid connected",LOWER(C6)))+ISNUMBER(SEARCH("on-grid",LOWER(C6))),"ON",IF(ISNUMBER(SEARCH("standby",LOWER(C6)))+ISNUMBER(SEARCH("no sunlight",LOWER(C6))),"TRANSITIONAL","UNKNOWN")))</f>
        <v>ON</v>
      </c>
      <c r="E6" s="12" t="n">
        <f aca="false">MEDIAN(Raw_Data!D6:H6)</f>
        <v>5.03</v>
      </c>
      <c r="F6" s="5" t="n">
        <f aca="false">COUNTIF(Raw_Data!D6:H6, "&gt;"&amp;cfg_pstr_zero_threshold_kw)</f>
        <v>4</v>
      </c>
      <c r="G6" s="13" t="n">
        <f aca="false">100*F6/cfg_n_pv_total_in_workbook</f>
        <v>80</v>
      </c>
      <c r="H6" s="5" t="n">
        <f aca="false">IF(AND(E6&gt;=cfg_sibling_median_active_kw, G6&gt;=cfg_min_active_siblings_pct),1,0)</f>
        <v>1</v>
      </c>
      <c r="I6" s="5" t="n">
        <f aca="false">IF(D6="ON",1,0)</f>
        <v>1</v>
      </c>
      <c r="J6" s="5" t="n">
        <f aca="false">IF(AND(I6=1, H6=1, Raw_Data!D6&lt;cfg_pstr_zero_threshold_kw),1,0)</f>
        <v>0</v>
      </c>
      <c r="K6" s="5" t="n">
        <f aca="false">IF(A6&lt;&gt;A5,IF(J6=1, MAX($K$5:K5)+1, 0),IF(AND(J6=1, J5=0), K5+1,IF(J6=1, K5, K5)))</f>
        <v>0</v>
      </c>
      <c r="L6" s="5" t="n">
        <f aca="false">IF(J6=1,COUNTIFS($A$5:$A$28,A6,$K$5:$K$28,K6,$J$5:$J$28,1),0)</f>
        <v>0</v>
      </c>
      <c r="M6" s="5" t="n">
        <f aca="false">IF(AND(J6=1, L6&gt;=cfg_debounce_consecutive_steps),1,0)</f>
        <v>0</v>
      </c>
      <c r="N6" s="5" t="n">
        <f aca="false">IF(AND(I6=1, H6=1, Raw_Data!E6&lt;cfg_pstr_zero_threshold_kw),1,0)</f>
        <v>0</v>
      </c>
      <c r="O6" s="5" t="n">
        <f aca="false">IF(A6&lt;&gt;A5,IF(N6=1, MAX($O$5:O5)+1, 0),IF(AND(N6=1, N5=0), O5+1,IF(N6=1, O5, O5)))</f>
        <v>0</v>
      </c>
      <c r="P6" s="5" t="n">
        <f aca="false">IF(N6=1,COUNTIFS($A$5:$A$28,A6,$O$5:$O$28,O6,$N$5:$N$28,1),0)</f>
        <v>0</v>
      </c>
      <c r="Q6" s="5" t="n">
        <f aca="false">IF(AND(N6=1, P6&gt;=cfg_debounce_consecutive_steps),1,0)</f>
        <v>0</v>
      </c>
      <c r="R6" s="5" t="n">
        <f aca="false">IF(AND(I6=1, H6=1, Raw_Data!F6&lt;cfg_pstr_zero_threshold_kw),1,0)</f>
        <v>0</v>
      </c>
      <c r="S6" s="5" t="n">
        <f aca="false">IF(A6&lt;&gt;A5,IF(R6=1, MAX($S$5:S5)+1, 0),IF(AND(R6=1, R5=0), S5+1,IF(R6=1, S5, S5)))</f>
        <v>0</v>
      </c>
      <c r="T6" s="5" t="n">
        <f aca="false">IF(R6=1,COUNTIFS($A$5:$A$28,A6,$S$5:$S$28,S6,$R$5:$R$28,1),0)</f>
        <v>0</v>
      </c>
      <c r="U6" s="5" t="n">
        <f aca="false">IF(AND(R6=1, T6&gt;=cfg_debounce_consecutive_steps),1,0)</f>
        <v>0</v>
      </c>
      <c r="V6" s="5" t="n">
        <f aca="false">IF(AND(I6=1, H6=1, Raw_Data!G6&lt;cfg_pstr_zero_threshold_kw),1,0)</f>
        <v>0</v>
      </c>
      <c r="W6" s="5" t="n">
        <f aca="false">IF(A6&lt;&gt;A5,IF(V6=1, MAX($W$5:W5)+1, 0),IF(AND(V6=1, V5=0), W5+1,IF(V6=1, W5, W5)))</f>
        <v>0</v>
      </c>
      <c r="X6" s="5" t="n">
        <f aca="false">IF(V6=1,COUNTIFS($A$5:$A$28,A6,$W$5:$W$28,W6,$V$5:$V$28,1),0)</f>
        <v>0</v>
      </c>
      <c r="Y6" s="5" t="n">
        <f aca="false">IF(AND(V6=1, X6&gt;=cfg_debounce_consecutive_steps),1,0)</f>
        <v>0</v>
      </c>
      <c r="Z6" s="5" t="n">
        <f aca="false">IF(AND(I6=1, H6=1, Raw_Data!H6&lt;cfg_pstr_zero_threshold_kw),1,0)</f>
        <v>1</v>
      </c>
      <c r="AA6" s="5" t="n">
        <f aca="false">IF(A6&lt;&gt;A5,IF(Z6=1, MAX($AA$5:AA5)+1, 0),IF(AND(Z6=1, Z5=0), AA5+1,IF(Z6=1, AA5, AA5)))</f>
        <v>1</v>
      </c>
      <c r="AB6" s="5" t="n">
        <f aca="false">IF(Z6=1,COUNTIFS($A$5:$A$28,A6,$AA$5:$AA$28,AA6,$Z$5:$Z$28,1),0)</f>
        <v>12</v>
      </c>
      <c r="AC6" s="5" t="n">
        <f aca="false">IF(AND(Z6=1, AB6&gt;=cfg_debounce_consecutive_steps),1,0)</f>
        <v>0</v>
      </c>
    </row>
    <row r="7" customFormat="false" ht="15" hidden="false" customHeight="false" outlineLevel="0" collapsed="false">
      <c r="A7" s="5" t="str">
        <f aca="false">Raw_Data!A7</f>
        <v>WB02-INV01</v>
      </c>
      <c r="B7" s="11" t="n">
        <f aca="false">Raw_Data!B7</f>
        <v>46156.4236111111</v>
      </c>
      <c r="C7" s="5" t="str">
        <f aca="false">Raw_Data!C7</f>
        <v>Grid connected</v>
      </c>
      <c r="D7" s="5" t="str">
        <f aca="false">IF(ISNUMBER(SEARCH("shutdown",LOWER(C7)))+ISNUMBER(SEARCH("fault",LOWER(C7))),"DOWN",IF(ISNUMBER(SEARCH("grid connected",LOWER(C7)))+ISNUMBER(SEARCH("on-grid",LOWER(C7))),"ON",IF(ISNUMBER(SEARCH("standby",LOWER(C7)))+ISNUMBER(SEARCH("no sunlight",LOWER(C7))),"TRANSITIONAL","UNKNOWN")))</f>
        <v>ON</v>
      </c>
      <c r="E7" s="12" t="n">
        <f aca="false">MEDIAN(Raw_Data!D7:H7)</f>
        <v>5.06</v>
      </c>
      <c r="F7" s="5" t="n">
        <f aca="false">COUNTIF(Raw_Data!D7:H7, "&gt;"&amp;cfg_pstr_zero_threshold_kw)</f>
        <v>4</v>
      </c>
      <c r="G7" s="13" t="n">
        <f aca="false">100*F7/cfg_n_pv_total_in_workbook</f>
        <v>80</v>
      </c>
      <c r="H7" s="5" t="n">
        <f aca="false">IF(AND(E7&gt;=cfg_sibling_median_active_kw, G7&gt;=cfg_min_active_siblings_pct),1,0)</f>
        <v>1</v>
      </c>
      <c r="I7" s="5" t="n">
        <f aca="false">IF(D7="ON",1,0)</f>
        <v>1</v>
      </c>
      <c r="J7" s="5" t="n">
        <f aca="false">IF(AND(I7=1, H7=1, Raw_Data!D7&lt;cfg_pstr_zero_threshold_kw),1,0)</f>
        <v>0</v>
      </c>
      <c r="K7" s="5" t="n">
        <f aca="false">IF(A7&lt;&gt;A6,IF(J7=1, MAX($K$5:K6)+1, 0),IF(AND(J7=1, J6=0), K6+1,IF(J7=1, K6, K6)))</f>
        <v>0</v>
      </c>
      <c r="L7" s="5" t="n">
        <f aca="false">IF(J7=1,COUNTIFS($A$5:$A$28,A7,$K$5:$K$28,K7,$J$5:$J$28,1),0)</f>
        <v>0</v>
      </c>
      <c r="M7" s="5" t="n">
        <f aca="false">IF(AND(J7=1, L7&gt;=cfg_debounce_consecutive_steps),1,0)</f>
        <v>0</v>
      </c>
      <c r="N7" s="5" t="n">
        <f aca="false">IF(AND(I7=1, H7=1, Raw_Data!E7&lt;cfg_pstr_zero_threshold_kw),1,0)</f>
        <v>0</v>
      </c>
      <c r="O7" s="5" t="n">
        <f aca="false">IF(A7&lt;&gt;A6,IF(N7=1, MAX($O$5:O6)+1, 0),IF(AND(N7=1, N6=0), O6+1,IF(N7=1, O6, O6)))</f>
        <v>0</v>
      </c>
      <c r="P7" s="5" t="n">
        <f aca="false">IF(N7=1,COUNTIFS($A$5:$A$28,A7,$O$5:$O$28,O7,$N$5:$N$28,1),0)</f>
        <v>0</v>
      </c>
      <c r="Q7" s="5" t="n">
        <f aca="false">IF(AND(N7=1, P7&gt;=cfg_debounce_consecutive_steps),1,0)</f>
        <v>0</v>
      </c>
      <c r="R7" s="5" t="n">
        <f aca="false">IF(AND(I7=1, H7=1, Raw_Data!F7&lt;cfg_pstr_zero_threshold_kw),1,0)</f>
        <v>0</v>
      </c>
      <c r="S7" s="5" t="n">
        <f aca="false">IF(A7&lt;&gt;A6,IF(R7=1, MAX($S$5:S6)+1, 0),IF(AND(R7=1, R6=0), S6+1,IF(R7=1, S6, S6)))</f>
        <v>0</v>
      </c>
      <c r="T7" s="5" t="n">
        <f aca="false">IF(R7=1,COUNTIFS($A$5:$A$28,A7,$S$5:$S$28,S7,$R$5:$R$28,1),0)</f>
        <v>0</v>
      </c>
      <c r="U7" s="5" t="n">
        <f aca="false">IF(AND(R7=1, T7&gt;=cfg_debounce_consecutive_steps),1,0)</f>
        <v>0</v>
      </c>
      <c r="V7" s="5" t="n">
        <f aca="false">IF(AND(I7=1, H7=1, Raw_Data!G7&lt;cfg_pstr_zero_threshold_kw),1,0)</f>
        <v>0</v>
      </c>
      <c r="W7" s="5" t="n">
        <f aca="false">IF(A7&lt;&gt;A6,IF(V7=1, MAX($W$5:W6)+1, 0),IF(AND(V7=1, V6=0), W6+1,IF(V7=1, W6, W6)))</f>
        <v>0</v>
      </c>
      <c r="X7" s="5" t="n">
        <f aca="false">IF(V7=1,COUNTIFS($A$5:$A$28,A7,$W$5:$W$28,W7,$V$5:$V$28,1),0)</f>
        <v>0</v>
      </c>
      <c r="Y7" s="5" t="n">
        <f aca="false">IF(AND(V7=1, X7&gt;=cfg_debounce_consecutive_steps),1,0)</f>
        <v>0</v>
      </c>
      <c r="Z7" s="5" t="n">
        <f aca="false">IF(AND(I7=1, H7=1, Raw_Data!H7&lt;cfg_pstr_zero_threshold_kw),1,0)</f>
        <v>1</v>
      </c>
      <c r="AA7" s="5" t="n">
        <f aca="false">IF(A7&lt;&gt;A6,IF(Z7=1, MAX($AA$5:AA6)+1, 0),IF(AND(Z7=1, Z6=0), AA6+1,IF(Z7=1, AA6, AA6)))</f>
        <v>1</v>
      </c>
      <c r="AB7" s="5" t="n">
        <f aca="false">IF(Z7=1,COUNTIFS($A$5:$A$28,A7,$AA$5:$AA$28,AA7,$Z$5:$Z$28,1),0)</f>
        <v>12</v>
      </c>
      <c r="AC7" s="5" t="n">
        <f aca="false">IF(AND(Z7=1, AB7&gt;=cfg_debounce_consecutive_steps),1,0)</f>
        <v>0</v>
      </c>
    </row>
    <row r="8" customFormat="false" ht="15" hidden="false" customHeight="false" outlineLevel="0" collapsed="false">
      <c r="A8" s="5" t="str">
        <f aca="false">Raw_Data!A8</f>
        <v>WB02-INV01</v>
      </c>
      <c r="B8" s="11" t="n">
        <f aca="false">Raw_Data!B8</f>
        <v>46156.4270833333</v>
      </c>
      <c r="C8" s="5" t="str">
        <f aca="false">Raw_Data!C8</f>
        <v>Grid connected</v>
      </c>
      <c r="D8" s="5" t="str">
        <f aca="false">IF(ISNUMBER(SEARCH("shutdown",LOWER(C8)))+ISNUMBER(SEARCH("fault",LOWER(C8))),"DOWN",IF(ISNUMBER(SEARCH("grid connected",LOWER(C8)))+ISNUMBER(SEARCH("on-grid",LOWER(C8))),"ON",IF(ISNUMBER(SEARCH("standby",LOWER(C8)))+ISNUMBER(SEARCH("no sunlight",LOWER(C8))),"TRANSITIONAL","UNKNOWN")))</f>
        <v>ON</v>
      </c>
      <c r="E8" s="12" t="n">
        <f aca="false">MEDIAN(Raw_Data!D8:H8)</f>
        <v>5</v>
      </c>
      <c r="F8" s="5" t="n">
        <f aca="false">COUNTIF(Raw_Data!D8:H8, "&gt;"&amp;cfg_pstr_zero_threshold_kw)</f>
        <v>3</v>
      </c>
      <c r="G8" s="13" t="n">
        <f aca="false">100*F8/cfg_n_pv_total_in_workbook</f>
        <v>60</v>
      </c>
      <c r="H8" s="5" t="n">
        <f aca="false">IF(AND(E8&gt;=cfg_sibling_median_active_kw, G8&gt;=cfg_min_active_siblings_pct),1,0)</f>
        <v>1</v>
      </c>
      <c r="I8" s="5" t="n">
        <f aca="false">IF(D8="ON",1,0)</f>
        <v>1</v>
      </c>
      <c r="J8" s="5" t="n">
        <f aca="false">IF(AND(I8=1, H8=1, Raw_Data!D8&lt;cfg_pstr_zero_threshold_kw),1,0)</f>
        <v>0</v>
      </c>
      <c r="K8" s="5" t="n">
        <f aca="false">IF(A8&lt;&gt;A7,IF(J8=1, MAX($K$5:K7)+1, 0),IF(AND(J8=1, J7=0), K7+1,IF(J8=1, K7, K7)))</f>
        <v>0</v>
      </c>
      <c r="L8" s="5" t="n">
        <f aca="false">IF(J8=1,COUNTIFS($A$5:$A$28,A8,$K$5:$K$28,K8,$J$5:$J$28,1),0)</f>
        <v>0</v>
      </c>
      <c r="M8" s="5" t="n">
        <f aca="false">IF(AND(J8=1, L8&gt;=cfg_debounce_consecutive_steps),1,0)</f>
        <v>0</v>
      </c>
      <c r="N8" s="5" t="n">
        <f aca="false">IF(AND(I8=1, H8=1, Raw_Data!E8&lt;cfg_pstr_zero_threshold_kw),1,0)</f>
        <v>0</v>
      </c>
      <c r="O8" s="5" t="n">
        <f aca="false">IF(A8&lt;&gt;A7,IF(N8=1, MAX($O$5:O7)+1, 0),IF(AND(N8=1, N7=0), O7+1,IF(N8=1, O7, O7)))</f>
        <v>0</v>
      </c>
      <c r="P8" s="5" t="n">
        <f aca="false">IF(N8=1,COUNTIFS($A$5:$A$28,A8,$O$5:$O$28,O8,$N$5:$N$28,1),0)</f>
        <v>0</v>
      </c>
      <c r="Q8" s="5" t="n">
        <f aca="false">IF(AND(N8=1, P8&gt;=cfg_debounce_consecutive_steps),1,0)</f>
        <v>0</v>
      </c>
      <c r="R8" s="5" t="n">
        <f aca="false">IF(AND(I8=1, H8=1, Raw_Data!F8&lt;cfg_pstr_zero_threshold_kw),1,0)</f>
        <v>1</v>
      </c>
      <c r="S8" s="5" t="n">
        <f aca="false">IF(A8&lt;&gt;A7,IF(R8=1, MAX($S$5:S7)+1, 0),IF(AND(R8=1, R7=0), S7+1,IF(R8=1, S7, S7)))</f>
        <v>1</v>
      </c>
      <c r="T8" s="5" t="n">
        <f aca="false">IF(R8=1,COUNTIFS($A$5:$A$28,A8,$S$5:$S$28,S8,$R$5:$R$28,1),0)</f>
        <v>6</v>
      </c>
      <c r="U8" s="5" t="n">
        <f aca="false">IF(AND(R8=1, T8&gt;=cfg_debounce_consecutive_steps),1,0)</f>
        <v>0</v>
      </c>
      <c r="V8" s="5" t="n">
        <f aca="false">IF(AND(I8=1, H8=1, Raw_Data!G8&lt;cfg_pstr_zero_threshold_kw),1,0)</f>
        <v>0</v>
      </c>
      <c r="W8" s="5" t="n">
        <f aca="false">IF(A8&lt;&gt;A7,IF(V8=1, MAX($W$5:W7)+1, 0),IF(AND(V8=1, V7=0), W7+1,IF(V8=1, W7, W7)))</f>
        <v>0</v>
      </c>
      <c r="X8" s="5" t="n">
        <f aca="false">IF(V8=1,COUNTIFS($A$5:$A$28,A8,$W$5:$W$28,W8,$V$5:$V$28,1),0)</f>
        <v>0</v>
      </c>
      <c r="Y8" s="5" t="n">
        <f aca="false">IF(AND(V8=1, X8&gt;=cfg_debounce_consecutive_steps),1,0)</f>
        <v>0</v>
      </c>
      <c r="Z8" s="5" t="n">
        <f aca="false">IF(AND(I8=1, H8=1, Raw_Data!H8&lt;cfg_pstr_zero_threshold_kw),1,0)</f>
        <v>1</v>
      </c>
      <c r="AA8" s="5" t="n">
        <f aca="false">IF(A8&lt;&gt;A7,IF(Z8=1, MAX($AA$5:AA7)+1, 0),IF(AND(Z8=1, Z7=0), AA7+1,IF(Z8=1, AA7, AA7)))</f>
        <v>1</v>
      </c>
      <c r="AB8" s="5" t="n">
        <f aca="false">IF(Z8=1,COUNTIFS($A$5:$A$28,A8,$AA$5:$AA$28,AA8,$Z$5:$Z$28,1),0)</f>
        <v>12</v>
      </c>
      <c r="AC8" s="5" t="n">
        <f aca="false">IF(AND(Z8=1, AB8&gt;=cfg_debounce_consecutive_steps),1,0)</f>
        <v>0</v>
      </c>
    </row>
    <row r="9" customFormat="false" ht="15" hidden="false" customHeight="false" outlineLevel="0" collapsed="false">
      <c r="A9" s="5" t="str">
        <f aca="false">Raw_Data!A9</f>
        <v>WB02-INV01</v>
      </c>
      <c r="B9" s="11" t="n">
        <f aca="false">Raw_Data!B9</f>
        <v>46156.4305555556</v>
      </c>
      <c r="C9" s="5" t="str">
        <f aca="false">Raw_Data!C9</f>
        <v>Grid connected</v>
      </c>
      <c r="D9" s="5" t="str">
        <f aca="false">IF(ISNUMBER(SEARCH("shutdown",LOWER(C9)))+ISNUMBER(SEARCH("fault",LOWER(C9))),"DOWN",IF(ISNUMBER(SEARCH("grid connected",LOWER(C9)))+ISNUMBER(SEARCH("on-grid",LOWER(C9))),"ON",IF(ISNUMBER(SEARCH("standby",LOWER(C9)))+ISNUMBER(SEARCH("no sunlight",LOWER(C9))),"TRANSITIONAL","UNKNOWN")))</f>
        <v>ON</v>
      </c>
      <c r="E9" s="12" t="n">
        <f aca="false">MEDIAN(Raw_Data!D9:H9)</f>
        <v>5</v>
      </c>
      <c r="F9" s="5" t="n">
        <f aca="false">COUNTIF(Raw_Data!D9:H9, "&gt;"&amp;cfg_pstr_zero_threshold_kw)</f>
        <v>3</v>
      </c>
      <c r="G9" s="13" t="n">
        <f aca="false">100*F9/cfg_n_pv_total_in_workbook</f>
        <v>60</v>
      </c>
      <c r="H9" s="5" t="n">
        <f aca="false">IF(AND(E9&gt;=cfg_sibling_median_active_kw, G9&gt;=cfg_min_active_siblings_pct),1,0)</f>
        <v>1</v>
      </c>
      <c r="I9" s="5" t="n">
        <f aca="false">IF(D9="ON",1,0)</f>
        <v>1</v>
      </c>
      <c r="J9" s="5" t="n">
        <f aca="false">IF(AND(I9=1, H9=1, Raw_Data!D9&lt;cfg_pstr_zero_threshold_kw),1,0)</f>
        <v>0</v>
      </c>
      <c r="K9" s="5" t="n">
        <f aca="false">IF(A9&lt;&gt;A8,IF(J9=1, MAX($K$5:K8)+1, 0),IF(AND(J9=1, J8=0), K8+1,IF(J9=1, K8, K8)))</f>
        <v>0</v>
      </c>
      <c r="L9" s="5" t="n">
        <f aca="false">IF(J9=1,COUNTIFS($A$5:$A$28,A9,$K$5:$K$28,K9,$J$5:$J$28,1),0)</f>
        <v>0</v>
      </c>
      <c r="M9" s="5" t="n">
        <f aca="false">IF(AND(J9=1, L9&gt;=cfg_debounce_consecutive_steps),1,0)</f>
        <v>0</v>
      </c>
      <c r="N9" s="5" t="n">
        <f aca="false">IF(AND(I9=1, H9=1, Raw_Data!E9&lt;cfg_pstr_zero_threshold_kw),1,0)</f>
        <v>0</v>
      </c>
      <c r="O9" s="5" t="n">
        <f aca="false">IF(A9&lt;&gt;A8,IF(N9=1, MAX($O$5:O8)+1, 0),IF(AND(N9=1, N8=0), O8+1,IF(N9=1, O8, O8)))</f>
        <v>0</v>
      </c>
      <c r="P9" s="5" t="n">
        <f aca="false">IF(N9=1,COUNTIFS($A$5:$A$28,A9,$O$5:$O$28,O9,$N$5:$N$28,1),0)</f>
        <v>0</v>
      </c>
      <c r="Q9" s="5" t="n">
        <f aca="false">IF(AND(N9=1, P9&gt;=cfg_debounce_consecutive_steps),1,0)</f>
        <v>0</v>
      </c>
      <c r="R9" s="5" t="n">
        <f aca="false">IF(AND(I9=1, H9=1, Raw_Data!F9&lt;cfg_pstr_zero_threshold_kw),1,0)</f>
        <v>1</v>
      </c>
      <c r="S9" s="5" t="n">
        <f aca="false">IF(A9&lt;&gt;A8,IF(R9=1, MAX($S$5:S8)+1, 0),IF(AND(R9=1, R8=0), S8+1,IF(R9=1, S8, S8)))</f>
        <v>1</v>
      </c>
      <c r="T9" s="5" t="n">
        <f aca="false">IF(R9=1,COUNTIFS($A$5:$A$28,A9,$S$5:$S$28,S9,$R$5:$R$28,1),0)</f>
        <v>6</v>
      </c>
      <c r="U9" s="5" t="n">
        <f aca="false">IF(AND(R9=1, T9&gt;=cfg_debounce_consecutive_steps),1,0)</f>
        <v>0</v>
      </c>
      <c r="V9" s="5" t="n">
        <f aca="false">IF(AND(I9=1, H9=1, Raw_Data!G9&lt;cfg_pstr_zero_threshold_kw),1,0)</f>
        <v>0</v>
      </c>
      <c r="W9" s="5" t="n">
        <f aca="false">IF(A9&lt;&gt;A8,IF(V9=1, MAX($W$5:W8)+1, 0),IF(AND(V9=1, V8=0), W8+1,IF(V9=1, W8, W8)))</f>
        <v>0</v>
      </c>
      <c r="X9" s="5" t="n">
        <f aca="false">IF(V9=1,COUNTIFS($A$5:$A$28,A9,$W$5:$W$28,W9,$V$5:$V$28,1),0)</f>
        <v>0</v>
      </c>
      <c r="Y9" s="5" t="n">
        <f aca="false">IF(AND(V9=1, X9&gt;=cfg_debounce_consecutive_steps),1,0)</f>
        <v>0</v>
      </c>
      <c r="Z9" s="5" t="n">
        <f aca="false">IF(AND(I9=1, H9=1, Raw_Data!H9&lt;cfg_pstr_zero_threshold_kw),1,0)</f>
        <v>1</v>
      </c>
      <c r="AA9" s="5" t="n">
        <f aca="false">IF(A9&lt;&gt;A8,IF(Z9=1, MAX($AA$5:AA8)+1, 0),IF(AND(Z9=1, Z8=0), AA8+1,IF(Z9=1, AA8, AA8)))</f>
        <v>1</v>
      </c>
      <c r="AB9" s="5" t="n">
        <f aca="false">IF(Z9=1,COUNTIFS($A$5:$A$28,A9,$AA$5:$AA$28,AA9,$Z$5:$Z$28,1),0)</f>
        <v>12</v>
      </c>
      <c r="AC9" s="5" t="n">
        <f aca="false">IF(AND(Z9=1, AB9&gt;=cfg_debounce_consecutive_steps),1,0)</f>
        <v>0</v>
      </c>
    </row>
    <row r="10" customFormat="false" ht="15" hidden="false" customHeight="false" outlineLevel="0" collapsed="false">
      <c r="A10" s="5" t="str">
        <f aca="false">Raw_Data!A10</f>
        <v>WB02-INV01</v>
      </c>
      <c r="B10" s="11" t="n">
        <f aca="false">Raw_Data!B10</f>
        <v>46156.4340277778</v>
      </c>
      <c r="C10" s="5" t="str">
        <f aca="false">Raw_Data!C10</f>
        <v>Grid connected</v>
      </c>
      <c r="D10" s="5" t="str">
        <f aca="false">IF(ISNUMBER(SEARCH("shutdown",LOWER(C10)))+ISNUMBER(SEARCH("fault",LOWER(C10))),"DOWN",IF(ISNUMBER(SEARCH("grid connected",LOWER(C10)))+ISNUMBER(SEARCH("on-grid",LOWER(C10))),"ON",IF(ISNUMBER(SEARCH("standby",LOWER(C10)))+ISNUMBER(SEARCH("no sunlight",LOWER(C10))),"TRANSITIONAL","UNKNOWN")))</f>
        <v>ON</v>
      </c>
      <c r="E10" s="12" t="n">
        <f aca="false">MEDIAN(Raw_Data!D10:H10)</f>
        <v>4.9</v>
      </c>
      <c r="F10" s="5" t="n">
        <f aca="false">COUNTIF(Raw_Data!D10:H10, "&gt;"&amp;cfg_pstr_zero_threshold_kw)</f>
        <v>3</v>
      </c>
      <c r="G10" s="13" t="n">
        <f aca="false">100*F10/cfg_n_pv_total_in_workbook</f>
        <v>60</v>
      </c>
      <c r="H10" s="5" t="n">
        <f aca="false">IF(AND(E10&gt;=cfg_sibling_median_active_kw, G10&gt;=cfg_min_active_siblings_pct),1,0)</f>
        <v>1</v>
      </c>
      <c r="I10" s="5" t="n">
        <f aca="false">IF(D10="ON",1,0)</f>
        <v>1</v>
      </c>
      <c r="J10" s="5" t="n">
        <f aca="false">IF(AND(I10=1, H10=1, Raw_Data!D10&lt;cfg_pstr_zero_threshold_kw),1,0)</f>
        <v>0</v>
      </c>
      <c r="K10" s="5" t="n">
        <f aca="false">IF(A10&lt;&gt;A9,IF(J10=1, MAX($K$5:K9)+1, 0),IF(AND(J10=1, J9=0), K9+1,IF(J10=1, K9, K9)))</f>
        <v>0</v>
      </c>
      <c r="L10" s="5" t="n">
        <f aca="false">IF(J10=1,COUNTIFS($A$5:$A$28,A10,$K$5:$K$28,K10,$J$5:$J$28,1),0)</f>
        <v>0</v>
      </c>
      <c r="M10" s="5" t="n">
        <f aca="false">IF(AND(J10=1, L10&gt;=cfg_debounce_consecutive_steps),1,0)</f>
        <v>0</v>
      </c>
      <c r="N10" s="5" t="n">
        <f aca="false">IF(AND(I10=1, H10=1, Raw_Data!E10&lt;cfg_pstr_zero_threshold_kw),1,0)</f>
        <v>0</v>
      </c>
      <c r="O10" s="5" t="n">
        <f aca="false">IF(A10&lt;&gt;A9,IF(N10=1, MAX($O$5:O9)+1, 0),IF(AND(N10=1, N9=0), O9+1,IF(N10=1, O9, O9)))</f>
        <v>0</v>
      </c>
      <c r="P10" s="5" t="n">
        <f aca="false">IF(N10=1,COUNTIFS($A$5:$A$28,A10,$O$5:$O$28,O10,$N$5:$N$28,1),0)</f>
        <v>0</v>
      </c>
      <c r="Q10" s="5" t="n">
        <f aca="false">IF(AND(N10=1, P10&gt;=cfg_debounce_consecutive_steps),1,0)</f>
        <v>0</v>
      </c>
      <c r="R10" s="5" t="n">
        <f aca="false">IF(AND(I10=1, H10=1, Raw_Data!F10&lt;cfg_pstr_zero_threshold_kw),1,0)</f>
        <v>1</v>
      </c>
      <c r="S10" s="5" t="n">
        <f aca="false">IF(A10&lt;&gt;A9,IF(R10=1, MAX($S$5:S9)+1, 0),IF(AND(R10=1, R9=0), S9+1,IF(R10=1, S9, S9)))</f>
        <v>1</v>
      </c>
      <c r="T10" s="5" t="n">
        <f aca="false">IF(R10=1,COUNTIFS($A$5:$A$28,A10,$S$5:$S$28,S10,$R$5:$R$28,1),0)</f>
        <v>6</v>
      </c>
      <c r="U10" s="5" t="n">
        <f aca="false">IF(AND(R10=1, T10&gt;=cfg_debounce_consecutive_steps),1,0)</f>
        <v>0</v>
      </c>
      <c r="V10" s="5" t="n">
        <f aca="false">IF(AND(I10=1, H10=1, Raw_Data!G10&lt;cfg_pstr_zero_threshold_kw),1,0)</f>
        <v>0</v>
      </c>
      <c r="W10" s="5" t="n">
        <f aca="false">IF(A10&lt;&gt;A9,IF(V10=1, MAX($W$5:W9)+1, 0),IF(AND(V10=1, V9=0), W9+1,IF(V10=1, W9, W9)))</f>
        <v>0</v>
      </c>
      <c r="X10" s="5" t="n">
        <f aca="false">IF(V10=1,COUNTIFS($A$5:$A$28,A10,$W$5:$W$28,W10,$V$5:$V$28,1),0)</f>
        <v>0</v>
      </c>
      <c r="Y10" s="5" t="n">
        <f aca="false">IF(AND(V10=1, X10&gt;=cfg_debounce_consecutive_steps),1,0)</f>
        <v>0</v>
      </c>
      <c r="Z10" s="5" t="n">
        <f aca="false">IF(AND(I10=1, H10=1, Raw_Data!H10&lt;cfg_pstr_zero_threshold_kw),1,0)</f>
        <v>1</v>
      </c>
      <c r="AA10" s="5" t="n">
        <f aca="false">IF(A10&lt;&gt;A9,IF(Z10=1, MAX($AA$5:AA9)+1, 0),IF(AND(Z10=1, Z9=0), AA9+1,IF(Z10=1, AA9, AA9)))</f>
        <v>1</v>
      </c>
      <c r="AB10" s="5" t="n">
        <f aca="false">IF(Z10=1,COUNTIFS($A$5:$A$28,A10,$AA$5:$AA$28,AA10,$Z$5:$Z$28,1),0)</f>
        <v>12</v>
      </c>
      <c r="AC10" s="5" t="n">
        <f aca="false">IF(AND(Z10=1, AB10&gt;=cfg_debounce_consecutive_steps),1,0)</f>
        <v>0</v>
      </c>
    </row>
    <row r="11" customFormat="false" ht="15" hidden="false" customHeight="false" outlineLevel="0" collapsed="false">
      <c r="A11" s="5" t="str">
        <f aca="false">Raw_Data!A11</f>
        <v>WB02-INV01</v>
      </c>
      <c r="B11" s="11" t="n">
        <f aca="false">Raw_Data!B11</f>
        <v>46156.4375</v>
      </c>
      <c r="C11" s="5" t="str">
        <f aca="false">Raw_Data!C11</f>
        <v>Grid connected</v>
      </c>
      <c r="D11" s="5" t="str">
        <f aca="false">IF(ISNUMBER(SEARCH("shutdown",LOWER(C11)))+ISNUMBER(SEARCH("fault",LOWER(C11))),"DOWN",IF(ISNUMBER(SEARCH("grid connected",LOWER(C11)))+ISNUMBER(SEARCH("on-grid",LOWER(C11))),"ON",IF(ISNUMBER(SEARCH("standby",LOWER(C11)))+ISNUMBER(SEARCH("no sunlight",LOWER(C11))),"TRANSITIONAL","UNKNOWN")))</f>
        <v>ON</v>
      </c>
      <c r="E11" s="12" t="n">
        <f aca="false">MEDIAN(Raw_Data!D11:H11)</f>
        <v>4.94</v>
      </c>
      <c r="F11" s="5" t="n">
        <f aca="false">COUNTIF(Raw_Data!D11:H11, "&gt;"&amp;cfg_pstr_zero_threshold_kw)</f>
        <v>3</v>
      </c>
      <c r="G11" s="13" t="n">
        <f aca="false">100*F11/cfg_n_pv_total_in_workbook</f>
        <v>60</v>
      </c>
      <c r="H11" s="5" t="n">
        <f aca="false">IF(AND(E11&gt;=cfg_sibling_median_active_kw, G11&gt;=cfg_min_active_siblings_pct),1,0)</f>
        <v>1</v>
      </c>
      <c r="I11" s="5" t="n">
        <f aca="false">IF(D11="ON",1,0)</f>
        <v>1</v>
      </c>
      <c r="J11" s="5" t="n">
        <f aca="false">IF(AND(I11=1, H11=1, Raw_Data!D11&lt;cfg_pstr_zero_threshold_kw),1,0)</f>
        <v>0</v>
      </c>
      <c r="K11" s="5" t="n">
        <f aca="false">IF(A11&lt;&gt;A10,IF(J11=1, MAX($K$5:K10)+1, 0),IF(AND(J11=1, J10=0), K10+1,IF(J11=1, K10, K10)))</f>
        <v>0</v>
      </c>
      <c r="L11" s="5" t="n">
        <f aca="false">IF(J11=1,COUNTIFS($A$5:$A$28,A11,$K$5:$K$28,K11,$J$5:$J$28,1),0)</f>
        <v>0</v>
      </c>
      <c r="M11" s="5" t="n">
        <f aca="false">IF(AND(J11=1, L11&gt;=cfg_debounce_consecutive_steps),1,0)</f>
        <v>0</v>
      </c>
      <c r="N11" s="5" t="n">
        <f aca="false">IF(AND(I11=1, H11=1, Raw_Data!E11&lt;cfg_pstr_zero_threshold_kw),1,0)</f>
        <v>0</v>
      </c>
      <c r="O11" s="5" t="n">
        <f aca="false">IF(A11&lt;&gt;A10,IF(N11=1, MAX($O$5:O10)+1, 0),IF(AND(N11=1, N10=0), O10+1,IF(N11=1, O10, O10)))</f>
        <v>0</v>
      </c>
      <c r="P11" s="5" t="n">
        <f aca="false">IF(N11=1,COUNTIFS($A$5:$A$28,A11,$O$5:$O$28,O11,$N$5:$N$28,1),0)</f>
        <v>0</v>
      </c>
      <c r="Q11" s="5" t="n">
        <f aca="false">IF(AND(N11=1, P11&gt;=cfg_debounce_consecutive_steps),1,0)</f>
        <v>0</v>
      </c>
      <c r="R11" s="5" t="n">
        <f aca="false">IF(AND(I11=1, H11=1, Raw_Data!F11&lt;cfg_pstr_zero_threshold_kw),1,0)</f>
        <v>1</v>
      </c>
      <c r="S11" s="5" t="n">
        <f aca="false">IF(A11&lt;&gt;A10,IF(R11=1, MAX($S$5:S10)+1, 0),IF(AND(R11=1, R10=0), S10+1,IF(R11=1, S10, S10)))</f>
        <v>1</v>
      </c>
      <c r="T11" s="5" t="n">
        <f aca="false">IF(R11=1,COUNTIFS($A$5:$A$28,A11,$S$5:$S$28,S11,$R$5:$R$28,1),0)</f>
        <v>6</v>
      </c>
      <c r="U11" s="5" t="n">
        <f aca="false">IF(AND(R11=1, T11&gt;=cfg_debounce_consecutive_steps),1,0)</f>
        <v>0</v>
      </c>
      <c r="V11" s="5" t="n">
        <f aca="false">IF(AND(I11=1, H11=1, Raw_Data!G11&lt;cfg_pstr_zero_threshold_kw),1,0)</f>
        <v>0</v>
      </c>
      <c r="W11" s="5" t="n">
        <f aca="false">IF(A11&lt;&gt;A10,IF(V11=1, MAX($W$5:W10)+1, 0),IF(AND(V11=1, V10=0), W10+1,IF(V11=1, W10, W10)))</f>
        <v>0</v>
      </c>
      <c r="X11" s="5" t="n">
        <f aca="false">IF(V11=1,COUNTIFS($A$5:$A$28,A11,$W$5:$W$28,W11,$V$5:$V$28,1),0)</f>
        <v>0</v>
      </c>
      <c r="Y11" s="5" t="n">
        <f aca="false">IF(AND(V11=1, X11&gt;=cfg_debounce_consecutive_steps),1,0)</f>
        <v>0</v>
      </c>
      <c r="Z11" s="5" t="n">
        <f aca="false">IF(AND(I11=1, H11=1, Raw_Data!H11&lt;cfg_pstr_zero_threshold_kw),1,0)</f>
        <v>1</v>
      </c>
      <c r="AA11" s="5" t="n">
        <f aca="false">IF(A11&lt;&gt;A10,IF(Z11=1, MAX($AA$5:AA10)+1, 0),IF(AND(Z11=1, Z10=0), AA10+1,IF(Z11=1, AA10, AA10)))</f>
        <v>1</v>
      </c>
      <c r="AB11" s="5" t="n">
        <f aca="false">IF(Z11=1,COUNTIFS($A$5:$A$28,A11,$AA$5:$AA$28,AA11,$Z$5:$Z$28,1),0)</f>
        <v>12</v>
      </c>
      <c r="AC11" s="5" t="n">
        <f aca="false">IF(AND(Z11=1, AB11&gt;=cfg_debounce_consecutive_steps),1,0)</f>
        <v>0</v>
      </c>
    </row>
    <row r="12" customFormat="false" ht="15" hidden="false" customHeight="false" outlineLevel="0" collapsed="false">
      <c r="A12" s="5" t="str">
        <f aca="false">Raw_Data!A12</f>
        <v>WB02-INV01</v>
      </c>
      <c r="B12" s="11" t="n">
        <f aca="false">Raw_Data!B12</f>
        <v>46156.4409722222</v>
      </c>
      <c r="C12" s="5" t="str">
        <f aca="false">Raw_Data!C12</f>
        <v>Grid connected</v>
      </c>
      <c r="D12" s="5" t="str">
        <f aca="false">IF(ISNUMBER(SEARCH("shutdown",LOWER(C12)))+ISNUMBER(SEARCH("fault",LOWER(C12))),"DOWN",IF(ISNUMBER(SEARCH("grid connected",LOWER(C12)))+ISNUMBER(SEARCH("on-grid",LOWER(C12))),"ON",IF(ISNUMBER(SEARCH("standby",LOWER(C12)))+ISNUMBER(SEARCH("no sunlight",LOWER(C12))),"TRANSITIONAL","UNKNOWN")))</f>
        <v>ON</v>
      </c>
      <c r="E12" s="12" t="n">
        <f aca="false">MEDIAN(Raw_Data!D12:H12)</f>
        <v>4.98</v>
      </c>
      <c r="F12" s="5" t="n">
        <f aca="false">COUNTIF(Raw_Data!D12:H12, "&gt;"&amp;cfg_pstr_zero_threshold_kw)</f>
        <v>3</v>
      </c>
      <c r="G12" s="13" t="n">
        <f aca="false">100*F12/cfg_n_pv_total_in_workbook</f>
        <v>60</v>
      </c>
      <c r="H12" s="5" t="n">
        <f aca="false">IF(AND(E12&gt;=cfg_sibling_median_active_kw, G12&gt;=cfg_min_active_siblings_pct),1,0)</f>
        <v>1</v>
      </c>
      <c r="I12" s="5" t="n">
        <f aca="false">IF(D12="ON",1,0)</f>
        <v>1</v>
      </c>
      <c r="J12" s="5" t="n">
        <f aca="false">IF(AND(I12=1, H12=1, Raw_Data!D12&lt;cfg_pstr_zero_threshold_kw),1,0)</f>
        <v>0</v>
      </c>
      <c r="K12" s="5" t="n">
        <f aca="false">IF(A12&lt;&gt;A11,IF(J12=1, MAX($K$5:K11)+1, 0),IF(AND(J12=1, J11=0), K11+1,IF(J12=1, K11, K11)))</f>
        <v>0</v>
      </c>
      <c r="L12" s="5" t="n">
        <f aca="false">IF(J12=1,COUNTIFS($A$5:$A$28,A12,$K$5:$K$28,K12,$J$5:$J$28,1),0)</f>
        <v>0</v>
      </c>
      <c r="M12" s="5" t="n">
        <f aca="false">IF(AND(J12=1, L12&gt;=cfg_debounce_consecutive_steps),1,0)</f>
        <v>0</v>
      </c>
      <c r="N12" s="5" t="n">
        <f aca="false">IF(AND(I12=1, H12=1, Raw_Data!E12&lt;cfg_pstr_zero_threshold_kw),1,0)</f>
        <v>0</v>
      </c>
      <c r="O12" s="5" t="n">
        <f aca="false">IF(A12&lt;&gt;A11,IF(N12=1, MAX($O$5:O11)+1, 0),IF(AND(N12=1, N11=0), O11+1,IF(N12=1, O11, O11)))</f>
        <v>0</v>
      </c>
      <c r="P12" s="5" t="n">
        <f aca="false">IF(N12=1,COUNTIFS($A$5:$A$28,A12,$O$5:$O$28,O12,$N$5:$N$28,1),0)</f>
        <v>0</v>
      </c>
      <c r="Q12" s="5" t="n">
        <f aca="false">IF(AND(N12=1, P12&gt;=cfg_debounce_consecutive_steps),1,0)</f>
        <v>0</v>
      </c>
      <c r="R12" s="5" t="n">
        <f aca="false">IF(AND(I12=1, H12=1, Raw_Data!F12&lt;cfg_pstr_zero_threshold_kw),1,0)</f>
        <v>1</v>
      </c>
      <c r="S12" s="5" t="n">
        <f aca="false">IF(A12&lt;&gt;A11,IF(R12=1, MAX($S$5:S11)+1, 0),IF(AND(R12=1, R11=0), S11+1,IF(R12=1, S11, S11)))</f>
        <v>1</v>
      </c>
      <c r="T12" s="5" t="n">
        <f aca="false">IF(R12=1,COUNTIFS($A$5:$A$28,A12,$S$5:$S$28,S12,$R$5:$R$28,1),0)</f>
        <v>6</v>
      </c>
      <c r="U12" s="5" t="n">
        <f aca="false">IF(AND(R12=1, T12&gt;=cfg_debounce_consecutive_steps),1,0)</f>
        <v>0</v>
      </c>
      <c r="V12" s="5" t="n">
        <f aca="false">IF(AND(I12=1, H12=1, Raw_Data!G12&lt;cfg_pstr_zero_threshold_kw),1,0)</f>
        <v>0</v>
      </c>
      <c r="W12" s="5" t="n">
        <f aca="false">IF(A12&lt;&gt;A11,IF(V12=1, MAX($W$5:W11)+1, 0),IF(AND(V12=1, V11=0), W11+1,IF(V12=1, W11, W11)))</f>
        <v>0</v>
      </c>
      <c r="X12" s="5" t="n">
        <f aca="false">IF(V12=1,COUNTIFS($A$5:$A$28,A12,$W$5:$W$28,W12,$V$5:$V$28,1),0)</f>
        <v>0</v>
      </c>
      <c r="Y12" s="5" t="n">
        <f aca="false">IF(AND(V12=1, X12&gt;=cfg_debounce_consecutive_steps),1,0)</f>
        <v>0</v>
      </c>
      <c r="Z12" s="5" t="n">
        <f aca="false">IF(AND(I12=1, H12=1, Raw_Data!H12&lt;cfg_pstr_zero_threshold_kw),1,0)</f>
        <v>1</v>
      </c>
      <c r="AA12" s="5" t="n">
        <f aca="false">IF(A12&lt;&gt;A11,IF(Z12=1, MAX($AA$5:AA11)+1, 0),IF(AND(Z12=1, Z11=0), AA11+1,IF(Z12=1, AA11, AA11)))</f>
        <v>1</v>
      </c>
      <c r="AB12" s="5" t="n">
        <f aca="false">IF(Z12=1,COUNTIFS($A$5:$A$28,A12,$AA$5:$AA$28,AA12,$Z$5:$Z$28,1),0)</f>
        <v>12</v>
      </c>
      <c r="AC12" s="5" t="n">
        <f aca="false">IF(AND(Z12=1, AB12&gt;=cfg_debounce_consecutive_steps),1,0)</f>
        <v>0</v>
      </c>
    </row>
    <row r="13" customFormat="false" ht="15" hidden="false" customHeight="false" outlineLevel="0" collapsed="false">
      <c r="A13" s="5" t="str">
        <f aca="false">Raw_Data!A13</f>
        <v>WB02-INV01</v>
      </c>
      <c r="B13" s="11" t="n">
        <f aca="false">Raw_Data!B13</f>
        <v>46156.4444444445</v>
      </c>
      <c r="C13" s="5" t="str">
        <f aca="false">Raw_Data!C13</f>
        <v>Grid connected</v>
      </c>
      <c r="D13" s="5" t="str">
        <f aca="false">IF(ISNUMBER(SEARCH("shutdown",LOWER(C13)))+ISNUMBER(SEARCH("fault",LOWER(C13))),"DOWN",IF(ISNUMBER(SEARCH("grid connected",LOWER(C13)))+ISNUMBER(SEARCH("on-grid",LOWER(C13))),"ON",IF(ISNUMBER(SEARCH("standby",LOWER(C13)))+ISNUMBER(SEARCH("no sunlight",LOWER(C13))),"TRANSITIONAL","UNKNOWN")))</f>
        <v>ON</v>
      </c>
      <c r="E13" s="12" t="n">
        <f aca="false">MEDIAN(Raw_Data!D13:H13)</f>
        <v>5</v>
      </c>
      <c r="F13" s="5" t="n">
        <f aca="false">COUNTIF(Raw_Data!D13:H13, "&gt;"&amp;cfg_pstr_zero_threshold_kw)</f>
        <v>3</v>
      </c>
      <c r="G13" s="13" t="n">
        <f aca="false">100*F13/cfg_n_pv_total_in_workbook</f>
        <v>60</v>
      </c>
      <c r="H13" s="5" t="n">
        <f aca="false">IF(AND(E13&gt;=cfg_sibling_median_active_kw, G13&gt;=cfg_min_active_siblings_pct),1,0)</f>
        <v>1</v>
      </c>
      <c r="I13" s="5" t="n">
        <f aca="false">IF(D13="ON",1,0)</f>
        <v>1</v>
      </c>
      <c r="J13" s="5" t="n">
        <f aca="false">IF(AND(I13=1, H13=1, Raw_Data!D13&lt;cfg_pstr_zero_threshold_kw),1,0)</f>
        <v>0</v>
      </c>
      <c r="K13" s="5" t="n">
        <f aca="false">IF(A13&lt;&gt;A12,IF(J13=1, MAX($K$5:K12)+1, 0),IF(AND(J13=1, J12=0), K12+1,IF(J13=1, K12, K12)))</f>
        <v>0</v>
      </c>
      <c r="L13" s="5" t="n">
        <f aca="false">IF(J13=1,COUNTIFS($A$5:$A$28,A13,$K$5:$K$28,K13,$J$5:$J$28,1),0)</f>
        <v>0</v>
      </c>
      <c r="M13" s="5" t="n">
        <f aca="false">IF(AND(J13=1, L13&gt;=cfg_debounce_consecutive_steps),1,0)</f>
        <v>0</v>
      </c>
      <c r="N13" s="5" t="n">
        <f aca="false">IF(AND(I13=1, H13=1, Raw_Data!E13&lt;cfg_pstr_zero_threshold_kw),1,0)</f>
        <v>0</v>
      </c>
      <c r="O13" s="5" t="n">
        <f aca="false">IF(A13&lt;&gt;A12,IF(N13=1, MAX($O$5:O12)+1, 0),IF(AND(N13=1, N12=0), O12+1,IF(N13=1, O12, O12)))</f>
        <v>0</v>
      </c>
      <c r="P13" s="5" t="n">
        <f aca="false">IF(N13=1,COUNTIFS($A$5:$A$28,A13,$O$5:$O$28,O13,$N$5:$N$28,1),0)</f>
        <v>0</v>
      </c>
      <c r="Q13" s="5" t="n">
        <f aca="false">IF(AND(N13=1, P13&gt;=cfg_debounce_consecutive_steps),1,0)</f>
        <v>0</v>
      </c>
      <c r="R13" s="5" t="n">
        <f aca="false">IF(AND(I13=1, H13=1, Raw_Data!F13&lt;cfg_pstr_zero_threshold_kw),1,0)</f>
        <v>1</v>
      </c>
      <c r="S13" s="5" t="n">
        <f aca="false">IF(A13&lt;&gt;A12,IF(R13=1, MAX($S$5:S12)+1, 0),IF(AND(R13=1, R12=0), S12+1,IF(R13=1, S12, S12)))</f>
        <v>1</v>
      </c>
      <c r="T13" s="5" t="n">
        <f aca="false">IF(R13=1,COUNTIFS($A$5:$A$28,A13,$S$5:$S$28,S13,$R$5:$R$28,1),0)</f>
        <v>6</v>
      </c>
      <c r="U13" s="5" t="n">
        <f aca="false">IF(AND(R13=1, T13&gt;=cfg_debounce_consecutive_steps),1,0)</f>
        <v>0</v>
      </c>
      <c r="V13" s="5" t="n">
        <f aca="false">IF(AND(I13=1, H13=1, Raw_Data!G13&lt;cfg_pstr_zero_threshold_kw),1,0)</f>
        <v>0</v>
      </c>
      <c r="W13" s="5" t="n">
        <f aca="false">IF(A13&lt;&gt;A12,IF(V13=1, MAX($W$5:W12)+1, 0),IF(AND(V13=1, V12=0), W12+1,IF(V13=1, W12, W12)))</f>
        <v>0</v>
      </c>
      <c r="X13" s="5" t="n">
        <f aca="false">IF(V13=1,COUNTIFS($A$5:$A$28,A13,$W$5:$W$28,W13,$V$5:$V$28,1),0)</f>
        <v>0</v>
      </c>
      <c r="Y13" s="5" t="n">
        <f aca="false">IF(AND(V13=1, X13&gt;=cfg_debounce_consecutive_steps),1,0)</f>
        <v>0</v>
      </c>
      <c r="Z13" s="5" t="n">
        <f aca="false">IF(AND(I13=1, H13=1, Raw_Data!H13&lt;cfg_pstr_zero_threshold_kw),1,0)</f>
        <v>1</v>
      </c>
      <c r="AA13" s="5" t="n">
        <f aca="false">IF(A13&lt;&gt;A12,IF(Z13=1, MAX($AA$5:AA12)+1, 0),IF(AND(Z13=1, Z12=0), AA12+1,IF(Z13=1, AA12, AA12)))</f>
        <v>1</v>
      </c>
      <c r="AB13" s="5" t="n">
        <f aca="false">IF(Z13=1,COUNTIFS($A$5:$A$28,A13,$AA$5:$AA$28,AA13,$Z$5:$Z$28,1),0)</f>
        <v>12</v>
      </c>
      <c r="AC13" s="5" t="n">
        <f aca="false">IF(AND(Z13=1, AB13&gt;=cfg_debounce_consecutive_steps),1,0)</f>
        <v>0</v>
      </c>
    </row>
    <row r="14" customFormat="false" ht="15" hidden="false" customHeight="false" outlineLevel="0" collapsed="false">
      <c r="A14" s="5" t="str">
        <f aca="false">Raw_Data!A14</f>
        <v>WB02-INV01</v>
      </c>
      <c r="B14" s="11" t="n">
        <f aca="false">Raw_Data!B14</f>
        <v>46156.4479166667</v>
      </c>
      <c r="C14" s="5" t="str">
        <f aca="false">Raw_Data!C14</f>
        <v>Grid connected</v>
      </c>
      <c r="D14" s="5" t="str">
        <f aca="false">IF(ISNUMBER(SEARCH("shutdown",LOWER(C14)))+ISNUMBER(SEARCH("fault",LOWER(C14))),"DOWN",IF(ISNUMBER(SEARCH("grid connected",LOWER(C14)))+ISNUMBER(SEARCH("on-grid",LOWER(C14))),"ON",IF(ISNUMBER(SEARCH("standby",LOWER(C14)))+ISNUMBER(SEARCH("no sunlight",LOWER(C14))),"TRANSITIONAL","UNKNOWN")))</f>
        <v>ON</v>
      </c>
      <c r="E14" s="12" t="n">
        <f aca="false">MEDIAN(Raw_Data!D14:H14)</f>
        <v>5.05</v>
      </c>
      <c r="F14" s="5" t="n">
        <f aca="false">COUNTIF(Raw_Data!D14:H14, "&gt;"&amp;cfg_pstr_zero_threshold_kw)</f>
        <v>4</v>
      </c>
      <c r="G14" s="13" t="n">
        <f aca="false">100*F14/cfg_n_pv_total_in_workbook</f>
        <v>80</v>
      </c>
      <c r="H14" s="5" t="n">
        <f aca="false">IF(AND(E14&gt;=cfg_sibling_median_active_kw, G14&gt;=cfg_min_active_siblings_pct),1,0)</f>
        <v>1</v>
      </c>
      <c r="I14" s="5" t="n">
        <f aca="false">IF(D14="ON",1,0)</f>
        <v>1</v>
      </c>
      <c r="J14" s="5" t="n">
        <f aca="false">IF(AND(I14=1, H14=1, Raw_Data!D14&lt;cfg_pstr_zero_threshold_kw),1,0)</f>
        <v>0</v>
      </c>
      <c r="K14" s="5" t="n">
        <f aca="false">IF(A14&lt;&gt;A13,IF(J14=1, MAX($K$5:K13)+1, 0),IF(AND(J14=1, J13=0), K13+1,IF(J14=1, K13, K13)))</f>
        <v>0</v>
      </c>
      <c r="L14" s="5" t="n">
        <f aca="false">IF(J14=1,COUNTIFS($A$5:$A$28,A14,$K$5:$K$28,K14,$J$5:$J$28,1),0)</f>
        <v>0</v>
      </c>
      <c r="M14" s="5" t="n">
        <f aca="false">IF(AND(J14=1, L14&gt;=cfg_debounce_consecutive_steps),1,0)</f>
        <v>0</v>
      </c>
      <c r="N14" s="5" t="n">
        <f aca="false">IF(AND(I14=1, H14=1, Raw_Data!E14&lt;cfg_pstr_zero_threshold_kw),1,0)</f>
        <v>0</v>
      </c>
      <c r="O14" s="5" t="n">
        <f aca="false">IF(A14&lt;&gt;A13,IF(N14=1, MAX($O$5:O13)+1, 0),IF(AND(N14=1, N13=0), O13+1,IF(N14=1, O13, O13)))</f>
        <v>0</v>
      </c>
      <c r="P14" s="5" t="n">
        <f aca="false">IF(N14=1,COUNTIFS($A$5:$A$28,A14,$O$5:$O$28,O14,$N$5:$N$28,1),0)</f>
        <v>0</v>
      </c>
      <c r="Q14" s="5" t="n">
        <f aca="false">IF(AND(N14=1, P14&gt;=cfg_debounce_consecutive_steps),1,0)</f>
        <v>0</v>
      </c>
      <c r="R14" s="5" t="n">
        <f aca="false">IF(AND(I14=1, H14=1, Raw_Data!F14&lt;cfg_pstr_zero_threshold_kw),1,0)</f>
        <v>0</v>
      </c>
      <c r="S14" s="5" t="n">
        <f aca="false">IF(A14&lt;&gt;A13,IF(R14=1, MAX($S$5:S13)+1, 0),IF(AND(R14=1, R13=0), S13+1,IF(R14=1, S13, S13)))</f>
        <v>1</v>
      </c>
      <c r="T14" s="5" t="n">
        <f aca="false">IF(R14=1,COUNTIFS($A$5:$A$28,A14,$S$5:$S$28,S14,$R$5:$R$28,1),0)</f>
        <v>0</v>
      </c>
      <c r="U14" s="5" t="n">
        <f aca="false">IF(AND(R14=1, T14&gt;=cfg_debounce_consecutive_steps),1,0)</f>
        <v>0</v>
      </c>
      <c r="V14" s="5" t="n">
        <f aca="false">IF(AND(I14=1, H14=1, Raw_Data!G14&lt;cfg_pstr_zero_threshold_kw),1,0)</f>
        <v>0</v>
      </c>
      <c r="W14" s="5" t="n">
        <f aca="false">IF(A14&lt;&gt;A13,IF(V14=1, MAX($W$5:W13)+1, 0),IF(AND(V14=1, V13=0), W13+1,IF(V14=1, W13, W13)))</f>
        <v>0</v>
      </c>
      <c r="X14" s="5" t="n">
        <f aca="false">IF(V14=1,COUNTIFS($A$5:$A$28,A14,$W$5:$W$28,W14,$V$5:$V$28,1),0)</f>
        <v>0</v>
      </c>
      <c r="Y14" s="5" t="n">
        <f aca="false">IF(AND(V14=1, X14&gt;=cfg_debounce_consecutive_steps),1,0)</f>
        <v>0</v>
      </c>
      <c r="Z14" s="5" t="n">
        <f aca="false">IF(AND(I14=1, H14=1, Raw_Data!H14&lt;cfg_pstr_zero_threshold_kw),1,0)</f>
        <v>1</v>
      </c>
      <c r="AA14" s="5" t="n">
        <f aca="false">IF(A14&lt;&gt;A13,IF(Z14=1, MAX($AA$5:AA13)+1, 0),IF(AND(Z14=1, Z13=0), AA13+1,IF(Z14=1, AA13, AA13)))</f>
        <v>1</v>
      </c>
      <c r="AB14" s="5" t="n">
        <f aca="false">IF(Z14=1,COUNTIFS($A$5:$A$28,A14,$AA$5:$AA$28,AA14,$Z$5:$Z$28,1),0)</f>
        <v>12</v>
      </c>
      <c r="AC14" s="5" t="n">
        <f aca="false">IF(AND(Z14=1, AB14&gt;=cfg_debounce_consecutive_steps),1,0)</f>
        <v>0</v>
      </c>
    </row>
    <row r="15" customFormat="false" ht="15" hidden="false" customHeight="false" outlineLevel="0" collapsed="false">
      <c r="A15" s="5" t="str">
        <f aca="false">Raw_Data!A15</f>
        <v>WB02-INV01</v>
      </c>
      <c r="B15" s="11" t="n">
        <f aca="false">Raw_Data!B15</f>
        <v>46156.4513888889</v>
      </c>
      <c r="C15" s="5" t="str">
        <f aca="false">Raw_Data!C15</f>
        <v>Grid connected</v>
      </c>
      <c r="D15" s="5" t="str">
        <f aca="false">IF(ISNUMBER(SEARCH("shutdown",LOWER(C15)))+ISNUMBER(SEARCH("fault",LOWER(C15))),"DOWN",IF(ISNUMBER(SEARCH("grid connected",LOWER(C15)))+ISNUMBER(SEARCH("on-grid",LOWER(C15))),"ON",IF(ISNUMBER(SEARCH("standby",LOWER(C15)))+ISNUMBER(SEARCH("no sunlight",LOWER(C15))),"TRANSITIONAL","UNKNOWN")))</f>
        <v>ON</v>
      </c>
      <c r="E15" s="12" t="n">
        <f aca="false">MEDIAN(Raw_Data!D15:H15)</f>
        <v>5.03</v>
      </c>
      <c r="F15" s="5" t="n">
        <f aca="false">COUNTIF(Raw_Data!D15:H15, "&gt;"&amp;cfg_pstr_zero_threshold_kw)</f>
        <v>4</v>
      </c>
      <c r="G15" s="13" t="n">
        <f aca="false">100*F15/cfg_n_pv_total_in_workbook</f>
        <v>80</v>
      </c>
      <c r="H15" s="5" t="n">
        <f aca="false">IF(AND(E15&gt;=cfg_sibling_median_active_kw, G15&gt;=cfg_min_active_siblings_pct),1,0)</f>
        <v>1</v>
      </c>
      <c r="I15" s="5" t="n">
        <f aca="false">IF(D15="ON",1,0)</f>
        <v>1</v>
      </c>
      <c r="J15" s="5" t="n">
        <f aca="false">IF(AND(I15=1, H15=1, Raw_Data!D15&lt;cfg_pstr_zero_threshold_kw),1,0)</f>
        <v>0</v>
      </c>
      <c r="K15" s="5" t="n">
        <f aca="false">IF(A15&lt;&gt;A14,IF(J15=1, MAX($K$5:K14)+1, 0),IF(AND(J15=1, J14=0), K14+1,IF(J15=1, K14, K14)))</f>
        <v>0</v>
      </c>
      <c r="L15" s="5" t="n">
        <f aca="false">IF(J15=1,COUNTIFS($A$5:$A$28,A15,$K$5:$K$28,K15,$J$5:$J$28,1),0)</f>
        <v>0</v>
      </c>
      <c r="M15" s="5" t="n">
        <f aca="false">IF(AND(J15=1, L15&gt;=cfg_debounce_consecutive_steps),1,0)</f>
        <v>0</v>
      </c>
      <c r="N15" s="5" t="n">
        <f aca="false">IF(AND(I15=1, H15=1, Raw_Data!E15&lt;cfg_pstr_zero_threshold_kw),1,0)</f>
        <v>0</v>
      </c>
      <c r="O15" s="5" t="n">
        <f aca="false">IF(A15&lt;&gt;A14,IF(N15=1, MAX($O$5:O14)+1, 0),IF(AND(N15=1, N14=0), O14+1,IF(N15=1, O14, O14)))</f>
        <v>0</v>
      </c>
      <c r="P15" s="5" t="n">
        <f aca="false">IF(N15=1,COUNTIFS($A$5:$A$28,A15,$O$5:$O$28,O15,$N$5:$N$28,1),0)</f>
        <v>0</v>
      </c>
      <c r="Q15" s="5" t="n">
        <f aca="false">IF(AND(N15=1, P15&gt;=cfg_debounce_consecutive_steps),1,0)</f>
        <v>0</v>
      </c>
      <c r="R15" s="5" t="n">
        <f aca="false">IF(AND(I15=1, H15=1, Raw_Data!F15&lt;cfg_pstr_zero_threshold_kw),1,0)</f>
        <v>0</v>
      </c>
      <c r="S15" s="5" t="n">
        <f aca="false">IF(A15&lt;&gt;A14,IF(R15=1, MAX($S$5:S14)+1, 0),IF(AND(R15=1, R14=0), S14+1,IF(R15=1, S14, S14)))</f>
        <v>1</v>
      </c>
      <c r="T15" s="5" t="n">
        <f aca="false">IF(R15=1,COUNTIFS($A$5:$A$28,A15,$S$5:$S$28,S15,$R$5:$R$28,1),0)</f>
        <v>0</v>
      </c>
      <c r="U15" s="5" t="n">
        <f aca="false">IF(AND(R15=1, T15&gt;=cfg_debounce_consecutive_steps),1,0)</f>
        <v>0</v>
      </c>
      <c r="V15" s="5" t="n">
        <f aca="false">IF(AND(I15=1, H15=1, Raw_Data!G15&lt;cfg_pstr_zero_threshold_kw),1,0)</f>
        <v>0</v>
      </c>
      <c r="W15" s="5" t="n">
        <f aca="false">IF(A15&lt;&gt;A14,IF(V15=1, MAX($W$5:W14)+1, 0),IF(AND(V15=1, V14=0), W14+1,IF(V15=1, W14, W14)))</f>
        <v>0</v>
      </c>
      <c r="X15" s="5" t="n">
        <f aca="false">IF(V15=1,COUNTIFS($A$5:$A$28,A15,$W$5:$W$28,W15,$V$5:$V$28,1),0)</f>
        <v>0</v>
      </c>
      <c r="Y15" s="5" t="n">
        <f aca="false">IF(AND(V15=1, X15&gt;=cfg_debounce_consecutive_steps),1,0)</f>
        <v>0</v>
      </c>
      <c r="Z15" s="5" t="n">
        <f aca="false">IF(AND(I15=1, H15=1, Raw_Data!H15&lt;cfg_pstr_zero_threshold_kw),1,0)</f>
        <v>1</v>
      </c>
      <c r="AA15" s="5" t="n">
        <f aca="false">IF(A15&lt;&gt;A14,IF(Z15=1, MAX($AA$5:AA14)+1, 0),IF(AND(Z15=1, Z14=0), AA14+1,IF(Z15=1, AA14, AA14)))</f>
        <v>1</v>
      </c>
      <c r="AB15" s="5" t="n">
        <f aca="false">IF(Z15=1,COUNTIFS($A$5:$A$28,A15,$AA$5:$AA$28,AA15,$Z$5:$Z$28,1),0)</f>
        <v>12</v>
      </c>
      <c r="AC15" s="5" t="n">
        <f aca="false">IF(AND(Z15=1, AB15&gt;=cfg_debounce_consecutive_steps),1,0)</f>
        <v>0</v>
      </c>
    </row>
    <row r="16" customFormat="false" ht="15" hidden="false" customHeight="false" outlineLevel="0" collapsed="false">
      <c r="A16" s="5" t="str">
        <f aca="false">Raw_Data!A16</f>
        <v>WB02-INV01</v>
      </c>
      <c r="B16" s="11" t="n">
        <f aca="false">Raw_Data!B16</f>
        <v>46156.4548611111</v>
      </c>
      <c r="C16" s="5" t="str">
        <f aca="false">Raw_Data!C16</f>
        <v>Grid connected</v>
      </c>
      <c r="D16" s="5" t="str">
        <f aca="false">IF(ISNUMBER(SEARCH("shutdown",LOWER(C16)))+ISNUMBER(SEARCH("fault",LOWER(C16))),"DOWN",IF(ISNUMBER(SEARCH("grid connected",LOWER(C16)))+ISNUMBER(SEARCH("on-grid",LOWER(C16))),"ON",IF(ISNUMBER(SEARCH("standby",LOWER(C16)))+ISNUMBER(SEARCH("no sunlight",LOWER(C16))),"TRANSITIONAL","UNKNOWN")))</f>
        <v>ON</v>
      </c>
      <c r="E16" s="12" t="n">
        <f aca="false">MEDIAN(Raw_Data!D16:H16)</f>
        <v>5.06</v>
      </c>
      <c r="F16" s="5" t="n">
        <f aca="false">COUNTIF(Raw_Data!D16:H16, "&gt;"&amp;cfg_pstr_zero_threshold_kw)</f>
        <v>4</v>
      </c>
      <c r="G16" s="13" t="n">
        <f aca="false">100*F16/cfg_n_pv_total_in_workbook</f>
        <v>80</v>
      </c>
      <c r="H16" s="5" t="n">
        <f aca="false">IF(AND(E16&gt;=cfg_sibling_median_active_kw, G16&gt;=cfg_min_active_siblings_pct),1,0)</f>
        <v>1</v>
      </c>
      <c r="I16" s="5" t="n">
        <f aca="false">IF(D16="ON",1,0)</f>
        <v>1</v>
      </c>
      <c r="J16" s="5" t="n">
        <f aca="false">IF(AND(I16=1, H16=1, Raw_Data!D16&lt;cfg_pstr_zero_threshold_kw),1,0)</f>
        <v>0</v>
      </c>
      <c r="K16" s="5" t="n">
        <f aca="false">IF(A16&lt;&gt;A15,IF(J16=1, MAX($K$5:K15)+1, 0),IF(AND(J16=1, J15=0), K15+1,IF(J16=1, K15, K15)))</f>
        <v>0</v>
      </c>
      <c r="L16" s="5" t="n">
        <f aca="false">IF(J16=1,COUNTIFS($A$5:$A$28,A16,$K$5:$K$28,K16,$J$5:$J$28,1),0)</f>
        <v>0</v>
      </c>
      <c r="M16" s="5" t="n">
        <f aca="false">IF(AND(J16=1, L16&gt;=cfg_debounce_consecutive_steps),1,0)</f>
        <v>0</v>
      </c>
      <c r="N16" s="5" t="n">
        <f aca="false">IF(AND(I16=1, H16=1, Raw_Data!E16&lt;cfg_pstr_zero_threshold_kw),1,0)</f>
        <v>0</v>
      </c>
      <c r="O16" s="5" t="n">
        <f aca="false">IF(A16&lt;&gt;A15,IF(N16=1, MAX($O$5:O15)+1, 0),IF(AND(N16=1, N15=0), O15+1,IF(N16=1, O15, O15)))</f>
        <v>0</v>
      </c>
      <c r="P16" s="5" t="n">
        <f aca="false">IF(N16=1,COUNTIFS($A$5:$A$28,A16,$O$5:$O$28,O16,$N$5:$N$28,1),0)</f>
        <v>0</v>
      </c>
      <c r="Q16" s="5" t="n">
        <f aca="false">IF(AND(N16=1, P16&gt;=cfg_debounce_consecutive_steps),1,0)</f>
        <v>0</v>
      </c>
      <c r="R16" s="5" t="n">
        <f aca="false">IF(AND(I16=1, H16=1, Raw_Data!F16&lt;cfg_pstr_zero_threshold_kw),1,0)</f>
        <v>0</v>
      </c>
      <c r="S16" s="5" t="n">
        <f aca="false">IF(A16&lt;&gt;A15,IF(R16=1, MAX($S$5:S15)+1, 0),IF(AND(R16=1, R15=0), S15+1,IF(R16=1, S15, S15)))</f>
        <v>1</v>
      </c>
      <c r="T16" s="5" t="n">
        <f aca="false">IF(R16=1,COUNTIFS($A$5:$A$28,A16,$S$5:$S$28,S16,$R$5:$R$28,1),0)</f>
        <v>0</v>
      </c>
      <c r="U16" s="5" t="n">
        <f aca="false">IF(AND(R16=1, T16&gt;=cfg_debounce_consecutive_steps),1,0)</f>
        <v>0</v>
      </c>
      <c r="V16" s="5" t="n">
        <f aca="false">IF(AND(I16=1, H16=1, Raw_Data!G16&lt;cfg_pstr_zero_threshold_kw),1,0)</f>
        <v>0</v>
      </c>
      <c r="W16" s="5" t="n">
        <f aca="false">IF(A16&lt;&gt;A15,IF(V16=1, MAX($W$5:W15)+1, 0),IF(AND(V16=1, V15=0), W15+1,IF(V16=1, W15, W15)))</f>
        <v>0</v>
      </c>
      <c r="X16" s="5" t="n">
        <f aca="false">IF(V16=1,COUNTIFS($A$5:$A$28,A16,$W$5:$W$28,W16,$V$5:$V$28,1),0)</f>
        <v>0</v>
      </c>
      <c r="Y16" s="5" t="n">
        <f aca="false">IF(AND(V16=1, X16&gt;=cfg_debounce_consecutive_steps),1,0)</f>
        <v>0</v>
      </c>
      <c r="Z16" s="5" t="n">
        <f aca="false">IF(AND(I16=1, H16=1, Raw_Data!H16&lt;cfg_pstr_zero_threshold_kw),1,0)</f>
        <v>1</v>
      </c>
      <c r="AA16" s="5" t="n">
        <f aca="false">IF(A16&lt;&gt;A15,IF(Z16=1, MAX($AA$5:AA15)+1, 0),IF(AND(Z16=1, Z15=0), AA15+1,IF(Z16=1, AA15, AA15)))</f>
        <v>1</v>
      </c>
      <c r="AB16" s="5" t="n">
        <f aca="false">IF(Z16=1,COUNTIFS($A$5:$A$28,A16,$AA$5:$AA$28,AA16,$Z$5:$Z$28,1),0)</f>
        <v>12</v>
      </c>
      <c r="AC16" s="5" t="n">
        <f aca="false">IF(AND(Z16=1, AB16&gt;=cfg_debounce_consecutive_steps),1,0)</f>
        <v>0</v>
      </c>
    </row>
    <row r="17" customFormat="false" ht="15" hidden="false" customHeight="false" outlineLevel="0" collapsed="false">
      <c r="A17" s="5" t="str">
        <f aca="false">Raw_Data!A17</f>
        <v>WB02-INV02</v>
      </c>
      <c r="B17" s="11" t="n">
        <f aca="false">Raw_Data!B17</f>
        <v>46156.4166666667</v>
      </c>
      <c r="C17" s="5" t="str">
        <f aca="false">Raw_Data!C17</f>
        <v>Grid connected</v>
      </c>
      <c r="D17" s="5" t="str">
        <f aca="false">IF(ISNUMBER(SEARCH("shutdown",LOWER(C17)))+ISNUMBER(SEARCH("fault",LOWER(C17))),"DOWN",IF(ISNUMBER(SEARCH("grid connected",LOWER(C17)))+ISNUMBER(SEARCH("on-grid",LOWER(C17))),"ON",IF(ISNUMBER(SEARCH("standby",LOWER(C17)))+ISNUMBER(SEARCH("no sunlight",LOWER(C17))),"TRANSITIONAL","UNKNOWN")))</f>
        <v>ON</v>
      </c>
      <c r="E17" s="12" t="n">
        <f aca="false">MEDIAN(Raw_Data!D17:H17)</f>
        <v>5</v>
      </c>
      <c r="F17" s="5" t="n">
        <f aca="false">COUNTIF(Raw_Data!D17:H17, "&gt;"&amp;cfg_pstr_zero_threshold_kw)</f>
        <v>4</v>
      </c>
      <c r="G17" s="13" t="n">
        <f aca="false">100*F17/cfg_n_pv_total_in_workbook</f>
        <v>80</v>
      </c>
      <c r="H17" s="5" t="n">
        <f aca="false">IF(AND(E17&gt;=cfg_sibling_median_active_kw, G17&gt;=cfg_min_active_siblings_pct),1,0)</f>
        <v>1</v>
      </c>
      <c r="I17" s="5" t="n">
        <f aca="false">IF(D17="ON",1,0)</f>
        <v>1</v>
      </c>
      <c r="J17" s="5" t="n">
        <f aca="false">IF(AND(I17=1, H17=1, Raw_Data!D17&lt;cfg_pstr_zero_threshold_kw),1,0)</f>
        <v>0</v>
      </c>
      <c r="K17" s="5" t="n">
        <f aca="false">IF(A17&lt;&gt;A16,IF(J17=1, MAX($K$5:K16)+1, 0),IF(AND(J17=1, J16=0), K16+1,IF(J17=1, K16, K16)))</f>
        <v>0</v>
      </c>
      <c r="L17" s="5" t="n">
        <f aca="false">IF(J17=1,COUNTIFS($A$5:$A$28,A17,$K$5:$K$28,K17,$J$5:$J$28,1),0)</f>
        <v>0</v>
      </c>
      <c r="M17" s="5" t="n">
        <f aca="false">IF(AND(J17=1, L17&gt;=cfg_debounce_consecutive_steps),1,0)</f>
        <v>0</v>
      </c>
      <c r="N17" s="5" t="n">
        <f aca="false">IF(AND(I17=1, H17=1, Raw_Data!E17&lt;cfg_pstr_zero_threshold_kw),1,0)</f>
        <v>0</v>
      </c>
      <c r="O17" s="5" t="n">
        <f aca="false">IF(A17&lt;&gt;A16,IF(N17=1, MAX($O$5:O16)+1, 0),IF(AND(N17=1, N16=0), O16+1,IF(N17=1, O16, O16)))</f>
        <v>0</v>
      </c>
      <c r="P17" s="5" t="n">
        <f aca="false">IF(N17=1,COUNTIFS($A$5:$A$28,A17,$O$5:$O$28,O17,$N$5:$N$28,1),0)</f>
        <v>0</v>
      </c>
      <c r="Q17" s="5" t="n">
        <f aca="false">IF(AND(N17=1, P17&gt;=cfg_debounce_consecutive_steps),1,0)</f>
        <v>0</v>
      </c>
      <c r="R17" s="5" t="n">
        <f aca="false">IF(AND(I17=1, H17=1, Raw_Data!F17&lt;cfg_pstr_zero_threshold_kw),1,0)</f>
        <v>0</v>
      </c>
      <c r="S17" s="5" t="n">
        <f aca="false">IF(A17&lt;&gt;A16,IF(R17=1, MAX($S$5:S16)+1, 0),IF(AND(R17=1, R16=0), S16+1,IF(R17=1, S16, S16)))</f>
        <v>0</v>
      </c>
      <c r="T17" s="5" t="n">
        <f aca="false">IF(R17=1,COUNTIFS($A$5:$A$28,A17,$S$5:$S$28,S17,$R$5:$R$28,1),0)</f>
        <v>0</v>
      </c>
      <c r="U17" s="5" t="n">
        <f aca="false">IF(AND(R17=1, T17&gt;=cfg_debounce_consecutive_steps),1,0)</f>
        <v>0</v>
      </c>
      <c r="V17" s="5" t="n">
        <f aca="false">IF(AND(I17=1, H17=1, Raw_Data!G17&lt;cfg_pstr_zero_threshold_kw),1,0)</f>
        <v>0</v>
      </c>
      <c r="W17" s="5" t="n">
        <f aca="false">IF(A17&lt;&gt;A16,IF(V17=1, MAX($W$5:W16)+1, 0),IF(AND(V17=1, V16=0), W16+1,IF(V17=1, W16, W16)))</f>
        <v>0</v>
      </c>
      <c r="X17" s="5" t="n">
        <f aca="false">IF(V17=1,COUNTIFS($A$5:$A$28,A17,$W$5:$W$28,W17,$V$5:$V$28,1),0)</f>
        <v>0</v>
      </c>
      <c r="Y17" s="5" t="n">
        <f aca="false">IF(AND(V17=1, X17&gt;=cfg_debounce_consecutive_steps),1,0)</f>
        <v>0</v>
      </c>
      <c r="Z17" s="5" t="n">
        <f aca="false">IF(AND(I17=1, H17=1, Raw_Data!H17&lt;cfg_pstr_zero_threshold_kw),1,0)</f>
        <v>1</v>
      </c>
      <c r="AA17" s="5" t="n">
        <f aca="false">IF(A17&lt;&gt;A16,IF(Z17=1, MAX($AA$5:AA16)+1, 0),IF(AND(Z17=1, Z16=0), AA16+1,IF(Z17=1, AA16, AA16)))</f>
        <v>2</v>
      </c>
      <c r="AB17" s="5" t="n">
        <f aca="false">IF(Z17=1,COUNTIFS($A$5:$A$28,A17,$AA$5:$AA$28,AA17,$Z$5:$Z$28,1),0)</f>
        <v>4</v>
      </c>
      <c r="AC17" s="5" t="n">
        <f aca="false">IF(AND(Z17=1, AB17&gt;=cfg_debounce_consecutive_steps),1,0)</f>
        <v>0</v>
      </c>
    </row>
    <row r="18" customFormat="false" ht="15" hidden="false" customHeight="false" outlineLevel="0" collapsed="false">
      <c r="A18" s="5" t="str">
        <f aca="false">Raw_Data!A18</f>
        <v>WB02-INV02</v>
      </c>
      <c r="B18" s="11" t="n">
        <f aca="false">Raw_Data!B18</f>
        <v>46156.4201388889</v>
      </c>
      <c r="C18" s="5" t="str">
        <f aca="false">Raw_Data!C18</f>
        <v>Grid connected</v>
      </c>
      <c r="D18" s="5" t="str">
        <f aca="false">IF(ISNUMBER(SEARCH("shutdown",LOWER(C18)))+ISNUMBER(SEARCH("fault",LOWER(C18))),"DOWN",IF(ISNUMBER(SEARCH("grid connected",LOWER(C18)))+ISNUMBER(SEARCH("on-grid",LOWER(C18))),"ON",IF(ISNUMBER(SEARCH("standby",LOWER(C18)))+ISNUMBER(SEARCH("no sunlight",LOWER(C18))),"TRANSITIONAL","UNKNOWN")))</f>
        <v>ON</v>
      </c>
      <c r="E18" s="12" t="n">
        <f aca="false">MEDIAN(Raw_Data!D18:H18)</f>
        <v>5</v>
      </c>
      <c r="F18" s="5" t="n">
        <f aca="false">COUNTIF(Raw_Data!D18:H18, "&gt;"&amp;cfg_pstr_zero_threshold_kw)</f>
        <v>4</v>
      </c>
      <c r="G18" s="13" t="n">
        <f aca="false">100*F18/cfg_n_pv_total_in_workbook</f>
        <v>80</v>
      </c>
      <c r="H18" s="5" t="n">
        <f aca="false">IF(AND(E18&gt;=cfg_sibling_median_active_kw, G18&gt;=cfg_min_active_siblings_pct),1,0)</f>
        <v>1</v>
      </c>
      <c r="I18" s="5" t="n">
        <f aca="false">IF(D18="ON",1,0)</f>
        <v>1</v>
      </c>
      <c r="J18" s="5" t="n">
        <f aca="false">IF(AND(I18=1, H18=1, Raw_Data!D18&lt;cfg_pstr_zero_threshold_kw),1,0)</f>
        <v>0</v>
      </c>
      <c r="K18" s="5" t="n">
        <f aca="false">IF(A18&lt;&gt;A17,IF(J18=1, MAX($K$5:K17)+1, 0),IF(AND(J18=1, J17=0), K17+1,IF(J18=1, K17, K17)))</f>
        <v>0</v>
      </c>
      <c r="L18" s="5" t="n">
        <f aca="false">IF(J18=1,COUNTIFS($A$5:$A$28,A18,$K$5:$K$28,K18,$J$5:$J$28,1),0)</f>
        <v>0</v>
      </c>
      <c r="M18" s="5" t="n">
        <f aca="false">IF(AND(J18=1, L18&gt;=cfg_debounce_consecutive_steps),1,0)</f>
        <v>0</v>
      </c>
      <c r="N18" s="5" t="n">
        <f aca="false">IF(AND(I18=1, H18=1, Raw_Data!E18&lt;cfg_pstr_zero_threshold_kw),1,0)</f>
        <v>0</v>
      </c>
      <c r="O18" s="5" t="n">
        <f aca="false">IF(A18&lt;&gt;A17,IF(N18=1, MAX($O$5:O17)+1, 0),IF(AND(N18=1, N17=0), O17+1,IF(N18=1, O17, O17)))</f>
        <v>0</v>
      </c>
      <c r="P18" s="5" t="n">
        <f aca="false">IF(N18=1,COUNTIFS($A$5:$A$28,A18,$O$5:$O$28,O18,$N$5:$N$28,1),0)</f>
        <v>0</v>
      </c>
      <c r="Q18" s="5" t="n">
        <f aca="false">IF(AND(N18=1, P18&gt;=cfg_debounce_consecutive_steps),1,0)</f>
        <v>0</v>
      </c>
      <c r="R18" s="5" t="n">
        <f aca="false">IF(AND(I18=1, H18=1, Raw_Data!F18&lt;cfg_pstr_zero_threshold_kw),1,0)</f>
        <v>0</v>
      </c>
      <c r="S18" s="5" t="n">
        <f aca="false">IF(A18&lt;&gt;A17,IF(R18=1, MAX($S$5:S17)+1, 0),IF(AND(R18=1, R17=0), S17+1,IF(R18=1, S17, S17)))</f>
        <v>0</v>
      </c>
      <c r="T18" s="5" t="n">
        <f aca="false">IF(R18=1,COUNTIFS($A$5:$A$28,A18,$S$5:$S$28,S18,$R$5:$R$28,1),0)</f>
        <v>0</v>
      </c>
      <c r="U18" s="5" t="n">
        <f aca="false">IF(AND(R18=1, T18&gt;=cfg_debounce_consecutive_steps),1,0)</f>
        <v>0</v>
      </c>
      <c r="V18" s="5" t="n">
        <f aca="false">IF(AND(I18=1, H18=1, Raw_Data!G18&lt;cfg_pstr_zero_threshold_kw),1,0)</f>
        <v>0</v>
      </c>
      <c r="W18" s="5" t="n">
        <f aca="false">IF(A18&lt;&gt;A17,IF(V18=1, MAX($W$5:W17)+1, 0),IF(AND(V18=1, V17=0), W17+1,IF(V18=1, W17, W17)))</f>
        <v>0</v>
      </c>
      <c r="X18" s="5" t="n">
        <f aca="false">IF(V18=1,COUNTIFS($A$5:$A$28,A18,$W$5:$W$28,W18,$V$5:$V$28,1),0)</f>
        <v>0</v>
      </c>
      <c r="Y18" s="5" t="n">
        <f aca="false">IF(AND(V18=1, X18&gt;=cfg_debounce_consecutive_steps),1,0)</f>
        <v>0</v>
      </c>
      <c r="Z18" s="5" t="n">
        <f aca="false">IF(AND(I18=1, H18=1, Raw_Data!H18&lt;cfg_pstr_zero_threshold_kw),1,0)</f>
        <v>1</v>
      </c>
      <c r="AA18" s="5" t="n">
        <f aca="false">IF(A18&lt;&gt;A17,IF(Z18=1, MAX($AA$5:AA17)+1, 0),IF(AND(Z18=1, Z17=0), AA17+1,IF(Z18=1, AA17, AA17)))</f>
        <v>2</v>
      </c>
      <c r="AB18" s="5" t="n">
        <f aca="false">IF(Z18=1,COUNTIFS($A$5:$A$28,A18,$AA$5:$AA$28,AA18,$Z$5:$Z$28,1),0)</f>
        <v>4</v>
      </c>
      <c r="AC18" s="5" t="n">
        <f aca="false">IF(AND(Z18=1, AB18&gt;=cfg_debounce_consecutive_steps),1,0)</f>
        <v>0</v>
      </c>
    </row>
    <row r="19" customFormat="false" ht="15" hidden="false" customHeight="false" outlineLevel="0" collapsed="false">
      <c r="A19" s="5" t="str">
        <f aca="false">Raw_Data!A19</f>
        <v>WB02-INV02</v>
      </c>
      <c r="B19" s="11" t="n">
        <f aca="false">Raw_Data!B19</f>
        <v>46156.4236111111</v>
      </c>
      <c r="C19" s="5" t="str">
        <f aca="false">Raw_Data!C19</f>
        <v>Grid connected</v>
      </c>
      <c r="D19" s="5" t="str">
        <f aca="false">IF(ISNUMBER(SEARCH("shutdown",LOWER(C19)))+ISNUMBER(SEARCH("fault",LOWER(C19))),"DOWN",IF(ISNUMBER(SEARCH("grid connected",LOWER(C19)))+ISNUMBER(SEARCH("on-grid",LOWER(C19))),"ON",IF(ISNUMBER(SEARCH("standby",LOWER(C19)))+ISNUMBER(SEARCH("no sunlight",LOWER(C19))),"TRANSITIONAL","UNKNOWN")))</f>
        <v>ON</v>
      </c>
      <c r="E19" s="12" t="n">
        <f aca="false">MEDIAN(Raw_Data!D19:H19)</f>
        <v>5</v>
      </c>
      <c r="F19" s="5" t="n">
        <f aca="false">COUNTIF(Raw_Data!D19:H19, "&gt;"&amp;cfg_pstr_zero_threshold_kw)</f>
        <v>4</v>
      </c>
      <c r="G19" s="13" t="n">
        <f aca="false">100*F19/cfg_n_pv_total_in_workbook</f>
        <v>80</v>
      </c>
      <c r="H19" s="5" t="n">
        <f aca="false">IF(AND(E19&gt;=cfg_sibling_median_active_kw, G19&gt;=cfg_min_active_siblings_pct),1,0)</f>
        <v>1</v>
      </c>
      <c r="I19" s="5" t="n">
        <f aca="false">IF(D19="ON",1,0)</f>
        <v>1</v>
      </c>
      <c r="J19" s="5" t="n">
        <f aca="false">IF(AND(I19=1, H19=1, Raw_Data!D19&lt;cfg_pstr_zero_threshold_kw),1,0)</f>
        <v>0</v>
      </c>
      <c r="K19" s="5" t="n">
        <f aca="false">IF(A19&lt;&gt;A18,IF(J19=1, MAX($K$5:K18)+1, 0),IF(AND(J19=1, J18=0), K18+1,IF(J19=1, K18, K18)))</f>
        <v>0</v>
      </c>
      <c r="L19" s="5" t="n">
        <f aca="false">IF(J19=1,COUNTIFS($A$5:$A$28,A19,$K$5:$K$28,K19,$J$5:$J$28,1),0)</f>
        <v>0</v>
      </c>
      <c r="M19" s="5" t="n">
        <f aca="false">IF(AND(J19=1, L19&gt;=cfg_debounce_consecutive_steps),1,0)</f>
        <v>0</v>
      </c>
      <c r="N19" s="5" t="n">
        <f aca="false">IF(AND(I19=1, H19=1, Raw_Data!E19&lt;cfg_pstr_zero_threshold_kw),1,0)</f>
        <v>0</v>
      </c>
      <c r="O19" s="5" t="n">
        <f aca="false">IF(A19&lt;&gt;A18,IF(N19=1, MAX($O$5:O18)+1, 0),IF(AND(N19=1, N18=0), O18+1,IF(N19=1, O18, O18)))</f>
        <v>0</v>
      </c>
      <c r="P19" s="5" t="n">
        <f aca="false">IF(N19=1,COUNTIFS($A$5:$A$28,A19,$O$5:$O$28,O19,$N$5:$N$28,1),0)</f>
        <v>0</v>
      </c>
      <c r="Q19" s="5" t="n">
        <f aca="false">IF(AND(N19=1, P19&gt;=cfg_debounce_consecutive_steps),1,0)</f>
        <v>0</v>
      </c>
      <c r="R19" s="5" t="n">
        <f aca="false">IF(AND(I19=1, H19=1, Raw_Data!F19&lt;cfg_pstr_zero_threshold_kw),1,0)</f>
        <v>0</v>
      </c>
      <c r="S19" s="5" t="n">
        <f aca="false">IF(A19&lt;&gt;A18,IF(R19=1, MAX($S$5:S18)+1, 0),IF(AND(R19=1, R18=0), S18+1,IF(R19=1, S18, S18)))</f>
        <v>0</v>
      </c>
      <c r="T19" s="5" t="n">
        <f aca="false">IF(R19=1,COUNTIFS($A$5:$A$28,A19,$S$5:$S$28,S19,$R$5:$R$28,1),0)</f>
        <v>0</v>
      </c>
      <c r="U19" s="5" t="n">
        <f aca="false">IF(AND(R19=1, T19&gt;=cfg_debounce_consecutive_steps),1,0)</f>
        <v>0</v>
      </c>
      <c r="V19" s="5" t="n">
        <f aca="false">IF(AND(I19=1, H19=1, Raw_Data!G19&lt;cfg_pstr_zero_threshold_kw),1,0)</f>
        <v>0</v>
      </c>
      <c r="W19" s="5" t="n">
        <f aca="false">IF(A19&lt;&gt;A18,IF(V19=1, MAX($W$5:W18)+1, 0),IF(AND(V19=1, V18=0), W18+1,IF(V19=1, W18, W18)))</f>
        <v>0</v>
      </c>
      <c r="X19" s="5" t="n">
        <f aca="false">IF(V19=1,COUNTIFS($A$5:$A$28,A19,$W$5:$W$28,W19,$V$5:$V$28,1),0)</f>
        <v>0</v>
      </c>
      <c r="Y19" s="5" t="n">
        <f aca="false">IF(AND(V19=1, X19&gt;=cfg_debounce_consecutive_steps),1,0)</f>
        <v>0</v>
      </c>
      <c r="Z19" s="5" t="n">
        <f aca="false">IF(AND(I19=1, H19=1, Raw_Data!H19&lt;cfg_pstr_zero_threshold_kw),1,0)</f>
        <v>1</v>
      </c>
      <c r="AA19" s="5" t="n">
        <f aca="false">IF(A19&lt;&gt;A18,IF(Z19=1, MAX($AA$5:AA18)+1, 0),IF(AND(Z19=1, Z18=0), AA18+1,IF(Z19=1, AA18, AA18)))</f>
        <v>2</v>
      </c>
      <c r="AB19" s="5" t="n">
        <f aca="false">IF(Z19=1,COUNTIFS($A$5:$A$28,A19,$AA$5:$AA$28,AA19,$Z$5:$Z$28,1),0)</f>
        <v>4</v>
      </c>
      <c r="AC19" s="5" t="n">
        <f aca="false">IF(AND(Z19=1, AB19&gt;=cfg_debounce_consecutive_steps),1,0)</f>
        <v>0</v>
      </c>
    </row>
    <row r="20" customFormat="false" ht="15" hidden="false" customHeight="false" outlineLevel="0" collapsed="false">
      <c r="A20" s="5" t="str">
        <f aca="false">Raw_Data!A20</f>
        <v>WB02-INV02</v>
      </c>
      <c r="B20" s="11" t="n">
        <f aca="false">Raw_Data!B20</f>
        <v>46156.4270833333</v>
      </c>
      <c r="C20" s="5" t="str">
        <f aca="false">Raw_Data!C20</f>
        <v>Grid connected</v>
      </c>
      <c r="D20" s="5" t="str">
        <f aca="false">IF(ISNUMBER(SEARCH("shutdown",LOWER(C20)))+ISNUMBER(SEARCH("fault",LOWER(C20))),"DOWN",IF(ISNUMBER(SEARCH("grid connected",LOWER(C20)))+ISNUMBER(SEARCH("on-grid",LOWER(C20))),"ON",IF(ISNUMBER(SEARCH("standby",LOWER(C20)))+ISNUMBER(SEARCH("no sunlight",LOWER(C20))),"TRANSITIONAL","UNKNOWN")))</f>
        <v>ON</v>
      </c>
      <c r="E20" s="12" t="n">
        <f aca="false">MEDIAN(Raw_Data!D20:H20)</f>
        <v>5</v>
      </c>
      <c r="F20" s="5" t="n">
        <f aca="false">COUNTIF(Raw_Data!D20:H20, "&gt;"&amp;cfg_pstr_zero_threshold_kw)</f>
        <v>4</v>
      </c>
      <c r="G20" s="13" t="n">
        <f aca="false">100*F20/cfg_n_pv_total_in_workbook</f>
        <v>80</v>
      </c>
      <c r="H20" s="5" t="n">
        <f aca="false">IF(AND(E20&gt;=cfg_sibling_median_active_kw, G20&gt;=cfg_min_active_siblings_pct),1,0)</f>
        <v>1</v>
      </c>
      <c r="I20" s="5" t="n">
        <f aca="false">IF(D20="ON",1,0)</f>
        <v>1</v>
      </c>
      <c r="J20" s="5" t="n">
        <f aca="false">IF(AND(I20=1, H20=1, Raw_Data!D20&lt;cfg_pstr_zero_threshold_kw),1,0)</f>
        <v>0</v>
      </c>
      <c r="K20" s="5" t="n">
        <f aca="false">IF(A20&lt;&gt;A19,IF(J20=1, MAX($K$5:K19)+1, 0),IF(AND(J20=1, J19=0), K19+1,IF(J20=1, K19, K19)))</f>
        <v>0</v>
      </c>
      <c r="L20" s="5" t="n">
        <f aca="false">IF(J20=1,COUNTIFS($A$5:$A$28,A20,$K$5:$K$28,K20,$J$5:$J$28,1),0)</f>
        <v>0</v>
      </c>
      <c r="M20" s="5" t="n">
        <f aca="false">IF(AND(J20=1, L20&gt;=cfg_debounce_consecutive_steps),1,0)</f>
        <v>0</v>
      </c>
      <c r="N20" s="5" t="n">
        <f aca="false">IF(AND(I20=1, H20=1, Raw_Data!E20&lt;cfg_pstr_zero_threshold_kw),1,0)</f>
        <v>0</v>
      </c>
      <c r="O20" s="5" t="n">
        <f aca="false">IF(A20&lt;&gt;A19,IF(N20=1, MAX($O$5:O19)+1, 0),IF(AND(N20=1, N19=0), O19+1,IF(N20=1, O19, O19)))</f>
        <v>0</v>
      </c>
      <c r="P20" s="5" t="n">
        <f aca="false">IF(N20=1,COUNTIFS($A$5:$A$28,A20,$O$5:$O$28,O20,$N$5:$N$28,1),0)</f>
        <v>0</v>
      </c>
      <c r="Q20" s="5" t="n">
        <f aca="false">IF(AND(N20=1, P20&gt;=cfg_debounce_consecutive_steps),1,0)</f>
        <v>0</v>
      </c>
      <c r="R20" s="5" t="n">
        <f aca="false">IF(AND(I20=1, H20=1, Raw_Data!F20&lt;cfg_pstr_zero_threshold_kw),1,0)</f>
        <v>0</v>
      </c>
      <c r="S20" s="5" t="n">
        <f aca="false">IF(A20&lt;&gt;A19,IF(R20=1, MAX($S$5:S19)+1, 0),IF(AND(R20=1, R19=0), S19+1,IF(R20=1, S19, S19)))</f>
        <v>0</v>
      </c>
      <c r="T20" s="5" t="n">
        <f aca="false">IF(R20=1,COUNTIFS($A$5:$A$28,A20,$S$5:$S$28,S20,$R$5:$R$28,1),0)</f>
        <v>0</v>
      </c>
      <c r="U20" s="5" t="n">
        <f aca="false">IF(AND(R20=1, T20&gt;=cfg_debounce_consecutive_steps),1,0)</f>
        <v>0</v>
      </c>
      <c r="V20" s="5" t="n">
        <f aca="false">IF(AND(I20=1, H20=1, Raw_Data!G20&lt;cfg_pstr_zero_threshold_kw),1,0)</f>
        <v>0</v>
      </c>
      <c r="W20" s="5" t="n">
        <f aca="false">IF(A20&lt;&gt;A19,IF(V20=1, MAX($W$5:W19)+1, 0),IF(AND(V20=1, V19=0), W19+1,IF(V20=1, W19, W19)))</f>
        <v>0</v>
      </c>
      <c r="X20" s="5" t="n">
        <f aca="false">IF(V20=1,COUNTIFS($A$5:$A$28,A20,$W$5:$W$28,W20,$V$5:$V$28,1),0)</f>
        <v>0</v>
      </c>
      <c r="Y20" s="5" t="n">
        <f aca="false">IF(AND(V20=1, X20&gt;=cfg_debounce_consecutive_steps),1,0)</f>
        <v>0</v>
      </c>
      <c r="Z20" s="5" t="n">
        <f aca="false">IF(AND(I20=1, H20=1, Raw_Data!H20&lt;cfg_pstr_zero_threshold_kw),1,0)</f>
        <v>1</v>
      </c>
      <c r="AA20" s="5" t="n">
        <f aca="false">IF(A20&lt;&gt;A19,IF(Z20=1, MAX($AA$5:AA19)+1, 0),IF(AND(Z20=1, Z19=0), AA19+1,IF(Z20=1, AA19, AA19)))</f>
        <v>2</v>
      </c>
      <c r="AB20" s="5" t="n">
        <f aca="false">IF(Z20=1,COUNTIFS($A$5:$A$28,A20,$AA$5:$AA$28,AA20,$Z$5:$Z$28,1),0)</f>
        <v>4</v>
      </c>
      <c r="AC20" s="5" t="n">
        <f aca="false">IF(AND(Z20=1, AB20&gt;=cfg_debounce_consecutive_steps),1,0)</f>
        <v>0</v>
      </c>
    </row>
    <row r="21" customFormat="false" ht="15" hidden="false" customHeight="false" outlineLevel="0" collapsed="false">
      <c r="A21" s="5" t="str">
        <f aca="false">Raw_Data!A21</f>
        <v>WB02-INV02</v>
      </c>
      <c r="B21" s="11" t="n">
        <f aca="false">Raw_Data!B21</f>
        <v>46156.4305555556</v>
      </c>
      <c r="C21" s="5" t="str">
        <f aca="false">Raw_Data!C21</f>
        <v>Shutdown command</v>
      </c>
      <c r="D21" s="5" t="str">
        <f aca="false">IF(ISNUMBER(SEARCH("shutdown",LOWER(C21)))+ISNUMBER(SEARCH("fault",LOWER(C21))),"DOWN",IF(ISNUMBER(SEARCH("grid connected",LOWER(C21)))+ISNUMBER(SEARCH("on-grid",LOWER(C21))),"ON",IF(ISNUMBER(SEARCH("standby",LOWER(C21)))+ISNUMBER(SEARCH("no sunlight",LOWER(C21))),"TRANSITIONAL","UNKNOWN")))</f>
        <v>DOWN</v>
      </c>
      <c r="E21" s="12" t="n">
        <f aca="false">MEDIAN(Raw_Data!D21:H21)</f>
        <v>0</v>
      </c>
      <c r="F21" s="5" t="n">
        <f aca="false">COUNTIF(Raw_Data!D21:H21, "&gt;"&amp;cfg_pstr_zero_threshold_kw)</f>
        <v>0</v>
      </c>
      <c r="G21" s="13" t="n">
        <f aca="false">100*F21/cfg_n_pv_total_in_workbook</f>
        <v>0</v>
      </c>
      <c r="H21" s="5" t="n">
        <f aca="false">IF(AND(E21&gt;=cfg_sibling_median_active_kw, G21&gt;=cfg_min_active_siblings_pct),1,0)</f>
        <v>0</v>
      </c>
      <c r="I21" s="5" t="n">
        <f aca="false">IF(D21="ON",1,0)</f>
        <v>0</v>
      </c>
      <c r="J21" s="5" t="n">
        <f aca="false">IF(AND(I21=1, H21=1, Raw_Data!D21&lt;cfg_pstr_zero_threshold_kw),1,0)</f>
        <v>0</v>
      </c>
      <c r="K21" s="5" t="n">
        <f aca="false">IF(A21&lt;&gt;A20,IF(J21=1, MAX($K$5:K20)+1, 0),IF(AND(J21=1, J20=0), K20+1,IF(J21=1, K20, K20)))</f>
        <v>0</v>
      </c>
      <c r="L21" s="5" t="n">
        <f aca="false">IF(J21=1,COUNTIFS($A$5:$A$28,A21,$K$5:$K$28,K21,$J$5:$J$28,1),0)</f>
        <v>0</v>
      </c>
      <c r="M21" s="5" t="n">
        <f aca="false">IF(AND(J21=1, L21&gt;=cfg_debounce_consecutive_steps),1,0)</f>
        <v>0</v>
      </c>
      <c r="N21" s="5" t="n">
        <f aca="false">IF(AND(I21=1, H21=1, Raw_Data!E21&lt;cfg_pstr_zero_threshold_kw),1,0)</f>
        <v>0</v>
      </c>
      <c r="O21" s="5" t="n">
        <f aca="false">IF(A21&lt;&gt;A20,IF(N21=1, MAX($O$5:O20)+1, 0),IF(AND(N21=1, N20=0), O20+1,IF(N21=1, O20, O20)))</f>
        <v>0</v>
      </c>
      <c r="P21" s="5" t="n">
        <f aca="false">IF(N21=1,COUNTIFS($A$5:$A$28,A21,$O$5:$O$28,O21,$N$5:$N$28,1),0)</f>
        <v>0</v>
      </c>
      <c r="Q21" s="5" t="n">
        <f aca="false">IF(AND(N21=1, P21&gt;=cfg_debounce_consecutive_steps),1,0)</f>
        <v>0</v>
      </c>
      <c r="R21" s="5" t="n">
        <f aca="false">IF(AND(I21=1, H21=1, Raw_Data!F21&lt;cfg_pstr_zero_threshold_kw),1,0)</f>
        <v>0</v>
      </c>
      <c r="S21" s="5" t="n">
        <f aca="false">IF(A21&lt;&gt;A20,IF(R21=1, MAX($S$5:S20)+1, 0),IF(AND(R21=1, R20=0), S20+1,IF(R21=1, S20, S20)))</f>
        <v>0</v>
      </c>
      <c r="T21" s="5" t="n">
        <f aca="false">IF(R21=1,COUNTIFS($A$5:$A$28,A21,$S$5:$S$28,S21,$R$5:$R$28,1),0)</f>
        <v>0</v>
      </c>
      <c r="U21" s="5" t="n">
        <f aca="false">IF(AND(R21=1, T21&gt;=cfg_debounce_consecutive_steps),1,0)</f>
        <v>0</v>
      </c>
      <c r="V21" s="5" t="n">
        <f aca="false">IF(AND(I21=1, H21=1, Raw_Data!G21&lt;cfg_pstr_zero_threshold_kw),1,0)</f>
        <v>0</v>
      </c>
      <c r="W21" s="5" t="n">
        <f aca="false">IF(A21&lt;&gt;A20,IF(V21=1, MAX($W$5:W20)+1, 0),IF(AND(V21=1, V20=0), W20+1,IF(V21=1, W20, W20)))</f>
        <v>0</v>
      </c>
      <c r="X21" s="5" t="n">
        <f aca="false">IF(V21=1,COUNTIFS($A$5:$A$28,A21,$W$5:$W$28,W21,$V$5:$V$28,1),0)</f>
        <v>0</v>
      </c>
      <c r="Y21" s="5" t="n">
        <f aca="false">IF(AND(V21=1, X21&gt;=cfg_debounce_consecutive_steps),1,0)</f>
        <v>0</v>
      </c>
      <c r="Z21" s="5" t="n">
        <f aca="false">IF(AND(I21=1, H21=1, Raw_Data!H21&lt;cfg_pstr_zero_threshold_kw),1,0)</f>
        <v>0</v>
      </c>
      <c r="AA21" s="5" t="n">
        <f aca="false">IF(A21&lt;&gt;A20,IF(Z21=1, MAX($AA$5:AA20)+1, 0),IF(AND(Z21=1, Z20=0), AA20+1,IF(Z21=1, AA20, AA20)))</f>
        <v>2</v>
      </c>
      <c r="AB21" s="5" t="n">
        <f aca="false">IF(Z21=1,COUNTIFS($A$5:$A$28,A21,$AA$5:$AA$28,AA21,$Z$5:$Z$28,1),0)</f>
        <v>0</v>
      </c>
      <c r="AC21" s="5" t="n">
        <f aca="false">IF(AND(Z21=1, AB21&gt;=cfg_debounce_consecutive_steps),1,0)</f>
        <v>0</v>
      </c>
    </row>
    <row r="22" customFormat="false" ht="15" hidden="false" customHeight="false" outlineLevel="0" collapsed="false">
      <c r="A22" s="5" t="str">
        <f aca="false">Raw_Data!A22</f>
        <v>WB02-INV02</v>
      </c>
      <c r="B22" s="11" t="n">
        <f aca="false">Raw_Data!B22</f>
        <v>46156.4340277778</v>
      </c>
      <c r="C22" s="5" t="str">
        <f aca="false">Raw_Data!C22</f>
        <v>Shutdown command</v>
      </c>
      <c r="D22" s="5" t="str">
        <f aca="false">IF(ISNUMBER(SEARCH("shutdown",LOWER(C22)))+ISNUMBER(SEARCH("fault",LOWER(C22))),"DOWN",IF(ISNUMBER(SEARCH("grid connected",LOWER(C22)))+ISNUMBER(SEARCH("on-grid",LOWER(C22))),"ON",IF(ISNUMBER(SEARCH("standby",LOWER(C22)))+ISNUMBER(SEARCH("no sunlight",LOWER(C22))),"TRANSITIONAL","UNKNOWN")))</f>
        <v>DOWN</v>
      </c>
      <c r="E22" s="12" t="n">
        <f aca="false">MEDIAN(Raw_Data!D22:H22)</f>
        <v>0</v>
      </c>
      <c r="F22" s="5" t="n">
        <f aca="false">COUNTIF(Raw_Data!D22:H22, "&gt;"&amp;cfg_pstr_zero_threshold_kw)</f>
        <v>0</v>
      </c>
      <c r="G22" s="13" t="n">
        <f aca="false">100*F22/cfg_n_pv_total_in_workbook</f>
        <v>0</v>
      </c>
      <c r="H22" s="5" t="n">
        <f aca="false">IF(AND(E22&gt;=cfg_sibling_median_active_kw, G22&gt;=cfg_min_active_siblings_pct),1,0)</f>
        <v>0</v>
      </c>
      <c r="I22" s="5" t="n">
        <f aca="false">IF(D22="ON",1,0)</f>
        <v>0</v>
      </c>
      <c r="J22" s="5" t="n">
        <f aca="false">IF(AND(I22=1, H22=1, Raw_Data!D22&lt;cfg_pstr_zero_threshold_kw),1,0)</f>
        <v>0</v>
      </c>
      <c r="K22" s="5" t="n">
        <f aca="false">IF(A22&lt;&gt;A21,IF(J22=1, MAX($K$5:K21)+1, 0),IF(AND(J22=1, J21=0), K21+1,IF(J22=1, K21, K21)))</f>
        <v>0</v>
      </c>
      <c r="L22" s="5" t="n">
        <f aca="false">IF(J22=1,COUNTIFS($A$5:$A$28,A22,$K$5:$K$28,K22,$J$5:$J$28,1),0)</f>
        <v>0</v>
      </c>
      <c r="M22" s="5" t="n">
        <f aca="false">IF(AND(J22=1, L22&gt;=cfg_debounce_consecutive_steps),1,0)</f>
        <v>0</v>
      </c>
      <c r="N22" s="5" t="n">
        <f aca="false">IF(AND(I22=1, H22=1, Raw_Data!E22&lt;cfg_pstr_zero_threshold_kw),1,0)</f>
        <v>0</v>
      </c>
      <c r="O22" s="5" t="n">
        <f aca="false">IF(A22&lt;&gt;A21,IF(N22=1, MAX($O$5:O21)+1, 0),IF(AND(N22=1, N21=0), O21+1,IF(N22=1, O21, O21)))</f>
        <v>0</v>
      </c>
      <c r="P22" s="5" t="n">
        <f aca="false">IF(N22=1,COUNTIFS($A$5:$A$28,A22,$O$5:$O$28,O22,$N$5:$N$28,1),0)</f>
        <v>0</v>
      </c>
      <c r="Q22" s="5" t="n">
        <f aca="false">IF(AND(N22=1, P22&gt;=cfg_debounce_consecutive_steps),1,0)</f>
        <v>0</v>
      </c>
      <c r="R22" s="5" t="n">
        <f aca="false">IF(AND(I22=1, H22=1, Raw_Data!F22&lt;cfg_pstr_zero_threshold_kw),1,0)</f>
        <v>0</v>
      </c>
      <c r="S22" s="5" t="n">
        <f aca="false">IF(A22&lt;&gt;A21,IF(R22=1, MAX($S$5:S21)+1, 0),IF(AND(R22=1, R21=0), S21+1,IF(R22=1, S21, S21)))</f>
        <v>0</v>
      </c>
      <c r="T22" s="5" t="n">
        <f aca="false">IF(R22=1,COUNTIFS($A$5:$A$28,A22,$S$5:$S$28,S22,$R$5:$R$28,1),0)</f>
        <v>0</v>
      </c>
      <c r="U22" s="5" t="n">
        <f aca="false">IF(AND(R22=1, T22&gt;=cfg_debounce_consecutive_steps),1,0)</f>
        <v>0</v>
      </c>
      <c r="V22" s="5" t="n">
        <f aca="false">IF(AND(I22=1, H22=1, Raw_Data!G22&lt;cfg_pstr_zero_threshold_kw),1,0)</f>
        <v>0</v>
      </c>
      <c r="W22" s="5" t="n">
        <f aca="false">IF(A22&lt;&gt;A21,IF(V22=1, MAX($W$5:W21)+1, 0),IF(AND(V22=1, V21=0), W21+1,IF(V22=1, W21, W21)))</f>
        <v>0</v>
      </c>
      <c r="X22" s="5" t="n">
        <f aca="false">IF(V22=1,COUNTIFS($A$5:$A$28,A22,$W$5:$W$28,W22,$V$5:$V$28,1),0)</f>
        <v>0</v>
      </c>
      <c r="Y22" s="5" t="n">
        <f aca="false">IF(AND(V22=1, X22&gt;=cfg_debounce_consecutive_steps),1,0)</f>
        <v>0</v>
      </c>
      <c r="Z22" s="5" t="n">
        <f aca="false">IF(AND(I22=1, H22=1, Raw_Data!H22&lt;cfg_pstr_zero_threshold_kw),1,0)</f>
        <v>0</v>
      </c>
      <c r="AA22" s="5" t="n">
        <f aca="false">IF(A22&lt;&gt;A21,IF(Z22=1, MAX($AA$5:AA21)+1, 0),IF(AND(Z22=1, Z21=0), AA21+1,IF(Z22=1, AA21, AA21)))</f>
        <v>2</v>
      </c>
      <c r="AB22" s="5" t="n">
        <f aca="false">IF(Z22=1,COUNTIFS($A$5:$A$28,A22,$AA$5:$AA$28,AA22,$Z$5:$Z$28,1),0)</f>
        <v>0</v>
      </c>
      <c r="AC22" s="5" t="n">
        <f aca="false">IF(AND(Z22=1, AB22&gt;=cfg_debounce_consecutive_steps),1,0)</f>
        <v>0</v>
      </c>
    </row>
    <row r="23" customFormat="false" ht="15" hidden="false" customHeight="false" outlineLevel="0" collapsed="false">
      <c r="A23" s="5" t="str">
        <f aca="false">Raw_Data!A23</f>
        <v>WB02-INV02</v>
      </c>
      <c r="B23" s="11" t="n">
        <f aca="false">Raw_Data!B23</f>
        <v>46156.4375</v>
      </c>
      <c r="C23" s="5" t="str">
        <f aca="false">Raw_Data!C23</f>
        <v>Shutdown command</v>
      </c>
      <c r="D23" s="5" t="str">
        <f aca="false">IF(ISNUMBER(SEARCH("shutdown",LOWER(C23)))+ISNUMBER(SEARCH("fault",LOWER(C23))),"DOWN",IF(ISNUMBER(SEARCH("grid connected",LOWER(C23)))+ISNUMBER(SEARCH("on-grid",LOWER(C23))),"ON",IF(ISNUMBER(SEARCH("standby",LOWER(C23)))+ISNUMBER(SEARCH("no sunlight",LOWER(C23))),"TRANSITIONAL","UNKNOWN")))</f>
        <v>DOWN</v>
      </c>
      <c r="E23" s="12" t="n">
        <f aca="false">MEDIAN(Raw_Data!D23:H23)</f>
        <v>0</v>
      </c>
      <c r="F23" s="5" t="n">
        <f aca="false">COUNTIF(Raw_Data!D23:H23, "&gt;"&amp;cfg_pstr_zero_threshold_kw)</f>
        <v>0</v>
      </c>
      <c r="G23" s="13" t="n">
        <f aca="false">100*F23/cfg_n_pv_total_in_workbook</f>
        <v>0</v>
      </c>
      <c r="H23" s="5" t="n">
        <f aca="false">IF(AND(E23&gt;=cfg_sibling_median_active_kw, G23&gt;=cfg_min_active_siblings_pct),1,0)</f>
        <v>0</v>
      </c>
      <c r="I23" s="5" t="n">
        <f aca="false">IF(D23="ON",1,0)</f>
        <v>0</v>
      </c>
      <c r="J23" s="5" t="n">
        <f aca="false">IF(AND(I23=1, H23=1, Raw_Data!D23&lt;cfg_pstr_zero_threshold_kw),1,0)</f>
        <v>0</v>
      </c>
      <c r="K23" s="5" t="n">
        <f aca="false">IF(A23&lt;&gt;A22,IF(J23=1, MAX($K$5:K22)+1, 0),IF(AND(J23=1, J22=0), K22+1,IF(J23=1, K22, K22)))</f>
        <v>0</v>
      </c>
      <c r="L23" s="5" t="n">
        <f aca="false">IF(J23=1,COUNTIFS($A$5:$A$28,A23,$K$5:$K$28,K23,$J$5:$J$28,1),0)</f>
        <v>0</v>
      </c>
      <c r="M23" s="5" t="n">
        <f aca="false">IF(AND(J23=1, L23&gt;=cfg_debounce_consecutive_steps),1,0)</f>
        <v>0</v>
      </c>
      <c r="N23" s="5" t="n">
        <f aca="false">IF(AND(I23=1, H23=1, Raw_Data!E23&lt;cfg_pstr_zero_threshold_kw),1,0)</f>
        <v>0</v>
      </c>
      <c r="O23" s="5" t="n">
        <f aca="false">IF(A23&lt;&gt;A22,IF(N23=1, MAX($O$5:O22)+1, 0),IF(AND(N23=1, N22=0), O22+1,IF(N23=1, O22, O22)))</f>
        <v>0</v>
      </c>
      <c r="P23" s="5" t="n">
        <f aca="false">IF(N23=1,COUNTIFS($A$5:$A$28,A23,$O$5:$O$28,O23,$N$5:$N$28,1),0)</f>
        <v>0</v>
      </c>
      <c r="Q23" s="5" t="n">
        <f aca="false">IF(AND(N23=1, P23&gt;=cfg_debounce_consecutive_steps),1,0)</f>
        <v>0</v>
      </c>
      <c r="R23" s="5" t="n">
        <f aca="false">IF(AND(I23=1, H23=1, Raw_Data!F23&lt;cfg_pstr_zero_threshold_kw),1,0)</f>
        <v>0</v>
      </c>
      <c r="S23" s="5" t="n">
        <f aca="false">IF(A23&lt;&gt;A22,IF(R23=1, MAX($S$5:S22)+1, 0),IF(AND(R23=1, R22=0), S22+1,IF(R23=1, S22, S22)))</f>
        <v>0</v>
      </c>
      <c r="T23" s="5" t="n">
        <f aca="false">IF(R23=1,COUNTIFS($A$5:$A$28,A23,$S$5:$S$28,S23,$R$5:$R$28,1),0)</f>
        <v>0</v>
      </c>
      <c r="U23" s="5" t="n">
        <f aca="false">IF(AND(R23=1, T23&gt;=cfg_debounce_consecutive_steps),1,0)</f>
        <v>0</v>
      </c>
      <c r="V23" s="5" t="n">
        <f aca="false">IF(AND(I23=1, H23=1, Raw_Data!G23&lt;cfg_pstr_zero_threshold_kw),1,0)</f>
        <v>0</v>
      </c>
      <c r="W23" s="5" t="n">
        <f aca="false">IF(A23&lt;&gt;A22,IF(V23=1, MAX($W$5:W22)+1, 0),IF(AND(V23=1, V22=0), W22+1,IF(V23=1, W22, W22)))</f>
        <v>0</v>
      </c>
      <c r="X23" s="5" t="n">
        <f aca="false">IF(V23=1,COUNTIFS($A$5:$A$28,A23,$W$5:$W$28,W23,$V$5:$V$28,1),0)</f>
        <v>0</v>
      </c>
      <c r="Y23" s="5" t="n">
        <f aca="false">IF(AND(V23=1, X23&gt;=cfg_debounce_consecutive_steps),1,0)</f>
        <v>0</v>
      </c>
      <c r="Z23" s="5" t="n">
        <f aca="false">IF(AND(I23=1, H23=1, Raw_Data!H23&lt;cfg_pstr_zero_threshold_kw),1,0)</f>
        <v>0</v>
      </c>
      <c r="AA23" s="5" t="n">
        <f aca="false">IF(A23&lt;&gt;A22,IF(Z23=1, MAX($AA$5:AA22)+1, 0),IF(AND(Z23=1, Z22=0), AA22+1,IF(Z23=1, AA22, AA22)))</f>
        <v>2</v>
      </c>
      <c r="AB23" s="5" t="n">
        <f aca="false">IF(Z23=1,COUNTIFS($A$5:$A$28,A23,$AA$5:$AA$28,AA23,$Z$5:$Z$28,1),0)</f>
        <v>0</v>
      </c>
      <c r="AC23" s="5" t="n">
        <f aca="false">IF(AND(Z23=1, AB23&gt;=cfg_debounce_consecutive_steps),1,0)</f>
        <v>0</v>
      </c>
    </row>
    <row r="24" customFormat="false" ht="15" hidden="false" customHeight="false" outlineLevel="0" collapsed="false">
      <c r="A24" s="5" t="str">
        <f aca="false">Raw_Data!A24</f>
        <v>WB02-INV02</v>
      </c>
      <c r="B24" s="11" t="n">
        <f aca="false">Raw_Data!B24</f>
        <v>46156.4409722222</v>
      </c>
      <c r="C24" s="5" t="str">
        <f aca="false">Raw_Data!C24</f>
        <v>Shutdown command</v>
      </c>
      <c r="D24" s="5" t="str">
        <f aca="false">IF(ISNUMBER(SEARCH("shutdown",LOWER(C24)))+ISNUMBER(SEARCH("fault",LOWER(C24))),"DOWN",IF(ISNUMBER(SEARCH("grid connected",LOWER(C24)))+ISNUMBER(SEARCH("on-grid",LOWER(C24))),"ON",IF(ISNUMBER(SEARCH("standby",LOWER(C24)))+ISNUMBER(SEARCH("no sunlight",LOWER(C24))),"TRANSITIONAL","UNKNOWN")))</f>
        <v>DOWN</v>
      </c>
      <c r="E24" s="12" t="n">
        <f aca="false">MEDIAN(Raw_Data!D24:H24)</f>
        <v>0</v>
      </c>
      <c r="F24" s="5" t="n">
        <f aca="false">COUNTIF(Raw_Data!D24:H24, "&gt;"&amp;cfg_pstr_zero_threshold_kw)</f>
        <v>0</v>
      </c>
      <c r="G24" s="13" t="n">
        <f aca="false">100*F24/cfg_n_pv_total_in_workbook</f>
        <v>0</v>
      </c>
      <c r="H24" s="5" t="n">
        <f aca="false">IF(AND(E24&gt;=cfg_sibling_median_active_kw, G24&gt;=cfg_min_active_siblings_pct),1,0)</f>
        <v>0</v>
      </c>
      <c r="I24" s="5" t="n">
        <f aca="false">IF(D24="ON",1,0)</f>
        <v>0</v>
      </c>
      <c r="J24" s="5" t="n">
        <f aca="false">IF(AND(I24=1, H24=1, Raw_Data!D24&lt;cfg_pstr_zero_threshold_kw),1,0)</f>
        <v>0</v>
      </c>
      <c r="K24" s="5" t="n">
        <f aca="false">IF(A24&lt;&gt;A23,IF(J24=1, MAX($K$5:K23)+1, 0),IF(AND(J24=1, J23=0), K23+1,IF(J24=1, K23, K23)))</f>
        <v>0</v>
      </c>
      <c r="L24" s="5" t="n">
        <f aca="false">IF(J24=1,COUNTIFS($A$5:$A$28,A24,$K$5:$K$28,K24,$J$5:$J$28,1),0)</f>
        <v>0</v>
      </c>
      <c r="M24" s="5" t="n">
        <f aca="false">IF(AND(J24=1, L24&gt;=cfg_debounce_consecutive_steps),1,0)</f>
        <v>0</v>
      </c>
      <c r="N24" s="5" t="n">
        <f aca="false">IF(AND(I24=1, H24=1, Raw_Data!E24&lt;cfg_pstr_zero_threshold_kw),1,0)</f>
        <v>0</v>
      </c>
      <c r="O24" s="5" t="n">
        <f aca="false">IF(A24&lt;&gt;A23,IF(N24=1, MAX($O$5:O23)+1, 0),IF(AND(N24=1, N23=0), O23+1,IF(N24=1, O23, O23)))</f>
        <v>0</v>
      </c>
      <c r="P24" s="5" t="n">
        <f aca="false">IF(N24=1,COUNTIFS($A$5:$A$28,A24,$O$5:$O$28,O24,$N$5:$N$28,1),0)</f>
        <v>0</v>
      </c>
      <c r="Q24" s="5" t="n">
        <f aca="false">IF(AND(N24=1, P24&gt;=cfg_debounce_consecutive_steps),1,0)</f>
        <v>0</v>
      </c>
      <c r="R24" s="5" t="n">
        <f aca="false">IF(AND(I24=1, H24=1, Raw_Data!F24&lt;cfg_pstr_zero_threshold_kw),1,0)</f>
        <v>0</v>
      </c>
      <c r="S24" s="5" t="n">
        <f aca="false">IF(A24&lt;&gt;A23,IF(R24=1, MAX($S$5:S23)+1, 0),IF(AND(R24=1, R23=0), S23+1,IF(R24=1, S23, S23)))</f>
        <v>0</v>
      </c>
      <c r="T24" s="5" t="n">
        <f aca="false">IF(R24=1,COUNTIFS($A$5:$A$28,A24,$S$5:$S$28,S24,$R$5:$R$28,1),0)</f>
        <v>0</v>
      </c>
      <c r="U24" s="5" t="n">
        <f aca="false">IF(AND(R24=1, T24&gt;=cfg_debounce_consecutive_steps),1,0)</f>
        <v>0</v>
      </c>
      <c r="V24" s="5" t="n">
        <f aca="false">IF(AND(I24=1, H24=1, Raw_Data!G24&lt;cfg_pstr_zero_threshold_kw),1,0)</f>
        <v>0</v>
      </c>
      <c r="W24" s="5" t="n">
        <f aca="false">IF(A24&lt;&gt;A23,IF(V24=1, MAX($W$5:W23)+1, 0),IF(AND(V24=1, V23=0), W23+1,IF(V24=1, W23, W23)))</f>
        <v>0</v>
      </c>
      <c r="X24" s="5" t="n">
        <f aca="false">IF(V24=1,COUNTIFS($A$5:$A$28,A24,$W$5:$W$28,W24,$V$5:$V$28,1),0)</f>
        <v>0</v>
      </c>
      <c r="Y24" s="5" t="n">
        <f aca="false">IF(AND(V24=1, X24&gt;=cfg_debounce_consecutive_steps),1,0)</f>
        <v>0</v>
      </c>
      <c r="Z24" s="5" t="n">
        <f aca="false">IF(AND(I24=1, H24=1, Raw_Data!H24&lt;cfg_pstr_zero_threshold_kw),1,0)</f>
        <v>0</v>
      </c>
      <c r="AA24" s="5" t="n">
        <f aca="false">IF(A24&lt;&gt;A23,IF(Z24=1, MAX($AA$5:AA23)+1, 0),IF(AND(Z24=1, Z23=0), AA23+1,IF(Z24=1, AA23, AA23)))</f>
        <v>2</v>
      </c>
      <c r="AB24" s="5" t="n">
        <f aca="false">IF(Z24=1,COUNTIFS($A$5:$A$28,A24,$AA$5:$AA$28,AA24,$Z$5:$Z$28,1),0)</f>
        <v>0</v>
      </c>
      <c r="AC24" s="5" t="n">
        <f aca="false">IF(AND(Z24=1, AB24&gt;=cfg_debounce_consecutive_steps),1,0)</f>
        <v>0</v>
      </c>
    </row>
    <row r="25" customFormat="false" ht="15" hidden="false" customHeight="false" outlineLevel="0" collapsed="false">
      <c r="A25" s="5" t="str">
        <f aca="false">Raw_Data!A25</f>
        <v>WB02-INV02</v>
      </c>
      <c r="B25" s="11" t="n">
        <f aca="false">Raw_Data!B25</f>
        <v>46156.4444444445</v>
      </c>
      <c r="C25" s="5" t="str">
        <f aca="false">Raw_Data!C25</f>
        <v>Grid connected</v>
      </c>
      <c r="D25" s="5" t="str">
        <f aca="false">IF(ISNUMBER(SEARCH("shutdown",LOWER(C25)))+ISNUMBER(SEARCH("fault",LOWER(C25))),"DOWN",IF(ISNUMBER(SEARCH("grid connected",LOWER(C25)))+ISNUMBER(SEARCH("on-grid",LOWER(C25))),"ON",IF(ISNUMBER(SEARCH("standby",LOWER(C25)))+ISNUMBER(SEARCH("no sunlight",LOWER(C25))),"TRANSITIONAL","UNKNOWN")))</f>
        <v>ON</v>
      </c>
      <c r="E25" s="12" t="n">
        <f aca="false">MEDIAN(Raw_Data!D25:H25)</f>
        <v>5</v>
      </c>
      <c r="F25" s="5" t="n">
        <f aca="false">COUNTIF(Raw_Data!D25:H25, "&gt;"&amp;cfg_pstr_zero_threshold_kw)</f>
        <v>4</v>
      </c>
      <c r="G25" s="13" t="n">
        <f aca="false">100*F25/cfg_n_pv_total_in_workbook</f>
        <v>80</v>
      </c>
      <c r="H25" s="5" t="n">
        <f aca="false">IF(AND(E25&gt;=cfg_sibling_median_active_kw, G25&gt;=cfg_min_active_siblings_pct),1,0)</f>
        <v>1</v>
      </c>
      <c r="I25" s="5" t="n">
        <f aca="false">IF(D25="ON",1,0)</f>
        <v>1</v>
      </c>
      <c r="J25" s="5" t="n">
        <f aca="false">IF(AND(I25=1, H25=1, Raw_Data!D25&lt;cfg_pstr_zero_threshold_kw),1,0)</f>
        <v>0</v>
      </c>
      <c r="K25" s="5" t="n">
        <f aca="false">IF(A25&lt;&gt;A24,IF(J25=1, MAX($K$5:K24)+1, 0),IF(AND(J25=1, J24=0), K24+1,IF(J25=1, K24, K24)))</f>
        <v>0</v>
      </c>
      <c r="L25" s="5" t="n">
        <f aca="false">IF(J25=1,COUNTIFS($A$5:$A$28,A25,$K$5:$K$28,K25,$J$5:$J$28,1),0)</f>
        <v>0</v>
      </c>
      <c r="M25" s="5" t="n">
        <f aca="false">IF(AND(J25=1, L25&gt;=cfg_debounce_consecutive_steps),1,0)</f>
        <v>0</v>
      </c>
      <c r="N25" s="5" t="n">
        <f aca="false">IF(AND(I25=1, H25=1, Raw_Data!E25&lt;cfg_pstr_zero_threshold_kw),1,0)</f>
        <v>0</v>
      </c>
      <c r="O25" s="5" t="n">
        <f aca="false">IF(A25&lt;&gt;A24,IF(N25=1, MAX($O$5:O24)+1, 0),IF(AND(N25=1, N24=0), O24+1,IF(N25=1, O24, O24)))</f>
        <v>0</v>
      </c>
      <c r="P25" s="5" t="n">
        <f aca="false">IF(N25=1,COUNTIFS($A$5:$A$28,A25,$O$5:$O$28,O25,$N$5:$N$28,1),0)</f>
        <v>0</v>
      </c>
      <c r="Q25" s="5" t="n">
        <f aca="false">IF(AND(N25=1, P25&gt;=cfg_debounce_consecutive_steps),1,0)</f>
        <v>0</v>
      </c>
      <c r="R25" s="5" t="n">
        <f aca="false">IF(AND(I25=1, H25=1, Raw_Data!F25&lt;cfg_pstr_zero_threshold_kw),1,0)</f>
        <v>0</v>
      </c>
      <c r="S25" s="5" t="n">
        <f aca="false">IF(A25&lt;&gt;A24,IF(R25=1, MAX($S$5:S24)+1, 0),IF(AND(R25=1, R24=0), S24+1,IF(R25=1, S24, S24)))</f>
        <v>0</v>
      </c>
      <c r="T25" s="5" t="n">
        <f aca="false">IF(R25=1,COUNTIFS($A$5:$A$28,A25,$S$5:$S$28,S25,$R$5:$R$28,1),0)</f>
        <v>0</v>
      </c>
      <c r="U25" s="5" t="n">
        <f aca="false">IF(AND(R25=1, T25&gt;=cfg_debounce_consecutive_steps),1,0)</f>
        <v>0</v>
      </c>
      <c r="V25" s="5" t="n">
        <f aca="false">IF(AND(I25=1, H25=1, Raw_Data!G25&lt;cfg_pstr_zero_threshold_kw),1,0)</f>
        <v>0</v>
      </c>
      <c r="W25" s="5" t="n">
        <f aca="false">IF(A25&lt;&gt;A24,IF(V25=1, MAX($W$5:W24)+1, 0),IF(AND(V25=1, V24=0), W24+1,IF(V25=1, W24, W24)))</f>
        <v>0</v>
      </c>
      <c r="X25" s="5" t="n">
        <f aca="false">IF(V25=1,COUNTIFS($A$5:$A$28,A25,$W$5:$W$28,W25,$V$5:$V$28,1),0)</f>
        <v>0</v>
      </c>
      <c r="Y25" s="5" t="n">
        <f aca="false">IF(AND(V25=1, X25&gt;=cfg_debounce_consecutive_steps),1,0)</f>
        <v>0</v>
      </c>
      <c r="Z25" s="5" t="n">
        <f aca="false">IF(AND(I25=1, H25=1, Raw_Data!H25&lt;cfg_pstr_zero_threshold_kw),1,0)</f>
        <v>1</v>
      </c>
      <c r="AA25" s="5" t="n">
        <f aca="false">IF(A25&lt;&gt;A24,IF(Z25=1, MAX($AA$5:AA24)+1, 0),IF(AND(Z25=1, Z24=0), AA24+1,IF(Z25=1, AA24, AA24)))</f>
        <v>3</v>
      </c>
      <c r="AB25" s="5" t="n">
        <f aca="false">IF(Z25=1,COUNTIFS($A$5:$A$28,A25,$AA$5:$AA$28,AA25,$Z$5:$Z$28,1),0)</f>
        <v>4</v>
      </c>
      <c r="AC25" s="5" t="n">
        <f aca="false">IF(AND(Z25=1, AB25&gt;=cfg_debounce_consecutive_steps),1,0)</f>
        <v>0</v>
      </c>
    </row>
    <row r="26" customFormat="false" ht="15" hidden="false" customHeight="false" outlineLevel="0" collapsed="false">
      <c r="A26" s="5" t="str">
        <f aca="false">Raw_Data!A26</f>
        <v>WB02-INV02</v>
      </c>
      <c r="B26" s="11" t="n">
        <f aca="false">Raw_Data!B26</f>
        <v>46156.4479166667</v>
      </c>
      <c r="C26" s="5" t="str">
        <f aca="false">Raw_Data!C26</f>
        <v>Grid connected</v>
      </c>
      <c r="D26" s="5" t="str">
        <f aca="false">IF(ISNUMBER(SEARCH("shutdown",LOWER(C26)))+ISNUMBER(SEARCH("fault",LOWER(C26))),"DOWN",IF(ISNUMBER(SEARCH("grid connected",LOWER(C26)))+ISNUMBER(SEARCH("on-grid",LOWER(C26))),"ON",IF(ISNUMBER(SEARCH("standby",LOWER(C26)))+ISNUMBER(SEARCH("no sunlight",LOWER(C26))),"TRANSITIONAL","UNKNOWN")))</f>
        <v>ON</v>
      </c>
      <c r="E26" s="12" t="n">
        <f aca="false">MEDIAN(Raw_Data!D26:H26)</f>
        <v>5</v>
      </c>
      <c r="F26" s="5" t="n">
        <f aca="false">COUNTIF(Raw_Data!D26:H26, "&gt;"&amp;cfg_pstr_zero_threshold_kw)</f>
        <v>4</v>
      </c>
      <c r="G26" s="13" t="n">
        <f aca="false">100*F26/cfg_n_pv_total_in_workbook</f>
        <v>80</v>
      </c>
      <c r="H26" s="5" t="n">
        <f aca="false">IF(AND(E26&gt;=cfg_sibling_median_active_kw, G26&gt;=cfg_min_active_siblings_pct),1,0)</f>
        <v>1</v>
      </c>
      <c r="I26" s="5" t="n">
        <f aca="false">IF(D26="ON",1,0)</f>
        <v>1</v>
      </c>
      <c r="J26" s="5" t="n">
        <f aca="false">IF(AND(I26=1, H26=1, Raw_Data!D26&lt;cfg_pstr_zero_threshold_kw),1,0)</f>
        <v>0</v>
      </c>
      <c r="K26" s="5" t="n">
        <f aca="false">IF(A26&lt;&gt;A25,IF(J26=1, MAX($K$5:K25)+1, 0),IF(AND(J26=1, J25=0), K25+1,IF(J26=1, K25, K25)))</f>
        <v>0</v>
      </c>
      <c r="L26" s="5" t="n">
        <f aca="false">IF(J26=1,COUNTIFS($A$5:$A$28,A26,$K$5:$K$28,K26,$J$5:$J$28,1),0)</f>
        <v>0</v>
      </c>
      <c r="M26" s="5" t="n">
        <f aca="false">IF(AND(J26=1, L26&gt;=cfg_debounce_consecutive_steps),1,0)</f>
        <v>0</v>
      </c>
      <c r="N26" s="5" t="n">
        <f aca="false">IF(AND(I26=1, H26=1, Raw_Data!E26&lt;cfg_pstr_zero_threshold_kw),1,0)</f>
        <v>0</v>
      </c>
      <c r="O26" s="5" t="n">
        <f aca="false">IF(A26&lt;&gt;A25,IF(N26=1, MAX($O$5:O25)+1, 0),IF(AND(N26=1, N25=0), O25+1,IF(N26=1, O25, O25)))</f>
        <v>0</v>
      </c>
      <c r="P26" s="5" t="n">
        <f aca="false">IF(N26=1,COUNTIFS($A$5:$A$28,A26,$O$5:$O$28,O26,$N$5:$N$28,1),0)</f>
        <v>0</v>
      </c>
      <c r="Q26" s="5" t="n">
        <f aca="false">IF(AND(N26=1, P26&gt;=cfg_debounce_consecutive_steps),1,0)</f>
        <v>0</v>
      </c>
      <c r="R26" s="5" t="n">
        <f aca="false">IF(AND(I26=1, H26=1, Raw_Data!F26&lt;cfg_pstr_zero_threshold_kw),1,0)</f>
        <v>0</v>
      </c>
      <c r="S26" s="5" t="n">
        <f aca="false">IF(A26&lt;&gt;A25,IF(R26=1, MAX($S$5:S25)+1, 0),IF(AND(R26=1, R25=0), S25+1,IF(R26=1, S25, S25)))</f>
        <v>0</v>
      </c>
      <c r="T26" s="5" t="n">
        <f aca="false">IF(R26=1,COUNTIFS($A$5:$A$28,A26,$S$5:$S$28,S26,$R$5:$R$28,1),0)</f>
        <v>0</v>
      </c>
      <c r="U26" s="5" t="n">
        <f aca="false">IF(AND(R26=1, T26&gt;=cfg_debounce_consecutive_steps),1,0)</f>
        <v>0</v>
      </c>
      <c r="V26" s="5" t="n">
        <f aca="false">IF(AND(I26=1, H26=1, Raw_Data!G26&lt;cfg_pstr_zero_threshold_kw),1,0)</f>
        <v>0</v>
      </c>
      <c r="W26" s="5" t="n">
        <f aca="false">IF(A26&lt;&gt;A25,IF(V26=1, MAX($W$5:W25)+1, 0),IF(AND(V26=1, V25=0), W25+1,IF(V26=1, W25, W25)))</f>
        <v>0</v>
      </c>
      <c r="X26" s="5" t="n">
        <f aca="false">IF(V26=1,COUNTIFS($A$5:$A$28,A26,$W$5:$W$28,W26,$V$5:$V$28,1),0)</f>
        <v>0</v>
      </c>
      <c r="Y26" s="5" t="n">
        <f aca="false">IF(AND(V26=1, X26&gt;=cfg_debounce_consecutive_steps),1,0)</f>
        <v>0</v>
      </c>
      <c r="Z26" s="5" t="n">
        <f aca="false">IF(AND(I26=1, H26=1, Raw_Data!H26&lt;cfg_pstr_zero_threshold_kw),1,0)</f>
        <v>1</v>
      </c>
      <c r="AA26" s="5" t="n">
        <f aca="false">IF(A26&lt;&gt;A25,IF(Z26=1, MAX($AA$5:AA25)+1, 0),IF(AND(Z26=1, Z25=0), AA25+1,IF(Z26=1, AA25, AA25)))</f>
        <v>3</v>
      </c>
      <c r="AB26" s="5" t="n">
        <f aca="false">IF(Z26=1,COUNTIFS($A$5:$A$28,A26,$AA$5:$AA$28,AA26,$Z$5:$Z$28,1),0)</f>
        <v>4</v>
      </c>
      <c r="AC26" s="5" t="n">
        <f aca="false">IF(AND(Z26=1, AB26&gt;=cfg_debounce_consecutive_steps),1,0)</f>
        <v>0</v>
      </c>
    </row>
    <row r="27" customFormat="false" ht="15" hidden="false" customHeight="false" outlineLevel="0" collapsed="false">
      <c r="A27" s="5" t="str">
        <f aca="false">Raw_Data!A27</f>
        <v>WB02-INV02</v>
      </c>
      <c r="B27" s="11" t="n">
        <f aca="false">Raw_Data!B27</f>
        <v>46156.4513888889</v>
      </c>
      <c r="C27" s="5" t="str">
        <f aca="false">Raw_Data!C27</f>
        <v>Grid connected</v>
      </c>
      <c r="D27" s="5" t="str">
        <f aca="false">IF(ISNUMBER(SEARCH("shutdown",LOWER(C27)))+ISNUMBER(SEARCH("fault",LOWER(C27))),"DOWN",IF(ISNUMBER(SEARCH("grid connected",LOWER(C27)))+ISNUMBER(SEARCH("on-grid",LOWER(C27))),"ON",IF(ISNUMBER(SEARCH("standby",LOWER(C27)))+ISNUMBER(SEARCH("no sunlight",LOWER(C27))),"TRANSITIONAL","UNKNOWN")))</f>
        <v>ON</v>
      </c>
      <c r="E27" s="12" t="n">
        <f aca="false">MEDIAN(Raw_Data!D27:H27)</f>
        <v>5</v>
      </c>
      <c r="F27" s="5" t="n">
        <f aca="false">COUNTIF(Raw_Data!D27:H27, "&gt;"&amp;cfg_pstr_zero_threshold_kw)</f>
        <v>4</v>
      </c>
      <c r="G27" s="13" t="n">
        <f aca="false">100*F27/cfg_n_pv_total_in_workbook</f>
        <v>80</v>
      </c>
      <c r="H27" s="5" t="n">
        <f aca="false">IF(AND(E27&gt;=cfg_sibling_median_active_kw, G27&gt;=cfg_min_active_siblings_pct),1,0)</f>
        <v>1</v>
      </c>
      <c r="I27" s="5" t="n">
        <f aca="false">IF(D27="ON",1,0)</f>
        <v>1</v>
      </c>
      <c r="J27" s="5" t="n">
        <f aca="false">IF(AND(I27=1, H27=1, Raw_Data!D27&lt;cfg_pstr_zero_threshold_kw),1,0)</f>
        <v>0</v>
      </c>
      <c r="K27" s="5" t="n">
        <f aca="false">IF(A27&lt;&gt;A26,IF(J27=1, MAX($K$5:K26)+1, 0),IF(AND(J27=1, J26=0), K26+1,IF(J27=1, K26, K26)))</f>
        <v>0</v>
      </c>
      <c r="L27" s="5" t="n">
        <f aca="false">IF(J27=1,COUNTIFS($A$5:$A$28,A27,$K$5:$K$28,K27,$J$5:$J$28,1),0)</f>
        <v>0</v>
      </c>
      <c r="M27" s="5" t="n">
        <f aca="false">IF(AND(J27=1, L27&gt;=cfg_debounce_consecutive_steps),1,0)</f>
        <v>0</v>
      </c>
      <c r="N27" s="5" t="n">
        <f aca="false">IF(AND(I27=1, H27=1, Raw_Data!E27&lt;cfg_pstr_zero_threshold_kw),1,0)</f>
        <v>0</v>
      </c>
      <c r="O27" s="5" t="n">
        <f aca="false">IF(A27&lt;&gt;A26,IF(N27=1, MAX($O$5:O26)+1, 0),IF(AND(N27=1, N26=0), O26+1,IF(N27=1, O26, O26)))</f>
        <v>0</v>
      </c>
      <c r="P27" s="5" t="n">
        <f aca="false">IF(N27=1,COUNTIFS($A$5:$A$28,A27,$O$5:$O$28,O27,$N$5:$N$28,1),0)</f>
        <v>0</v>
      </c>
      <c r="Q27" s="5" t="n">
        <f aca="false">IF(AND(N27=1, P27&gt;=cfg_debounce_consecutive_steps),1,0)</f>
        <v>0</v>
      </c>
      <c r="R27" s="5" t="n">
        <f aca="false">IF(AND(I27=1, H27=1, Raw_Data!F27&lt;cfg_pstr_zero_threshold_kw),1,0)</f>
        <v>0</v>
      </c>
      <c r="S27" s="5" t="n">
        <f aca="false">IF(A27&lt;&gt;A26,IF(R27=1, MAX($S$5:S26)+1, 0),IF(AND(R27=1, R26=0), S26+1,IF(R27=1, S26, S26)))</f>
        <v>0</v>
      </c>
      <c r="T27" s="5" t="n">
        <f aca="false">IF(R27=1,COUNTIFS($A$5:$A$28,A27,$S$5:$S$28,S27,$R$5:$R$28,1),0)</f>
        <v>0</v>
      </c>
      <c r="U27" s="5" t="n">
        <f aca="false">IF(AND(R27=1, T27&gt;=cfg_debounce_consecutive_steps),1,0)</f>
        <v>0</v>
      </c>
      <c r="V27" s="5" t="n">
        <f aca="false">IF(AND(I27=1, H27=1, Raw_Data!G27&lt;cfg_pstr_zero_threshold_kw),1,0)</f>
        <v>0</v>
      </c>
      <c r="W27" s="5" t="n">
        <f aca="false">IF(A27&lt;&gt;A26,IF(V27=1, MAX($W$5:W26)+1, 0),IF(AND(V27=1, V26=0), W26+1,IF(V27=1, W26, W26)))</f>
        <v>0</v>
      </c>
      <c r="X27" s="5" t="n">
        <f aca="false">IF(V27=1,COUNTIFS($A$5:$A$28,A27,$W$5:$W$28,W27,$V$5:$V$28,1),0)</f>
        <v>0</v>
      </c>
      <c r="Y27" s="5" t="n">
        <f aca="false">IF(AND(V27=1, X27&gt;=cfg_debounce_consecutive_steps),1,0)</f>
        <v>0</v>
      </c>
      <c r="Z27" s="5" t="n">
        <f aca="false">IF(AND(I27=1, H27=1, Raw_Data!H27&lt;cfg_pstr_zero_threshold_kw),1,0)</f>
        <v>1</v>
      </c>
      <c r="AA27" s="5" t="n">
        <f aca="false">IF(A27&lt;&gt;A26,IF(Z27=1, MAX($AA$5:AA26)+1, 0),IF(AND(Z27=1, Z26=0), AA26+1,IF(Z27=1, AA26, AA26)))</f>
        <v>3</v>
      </c>
      <c r="AB27" s="5" t="n">
        <f aca="false">IF(Z27=1,COUNTIFS($A$5:$A$28,A27,$AA$5:$AA$28,AA27,$Z$5:$Z$28,1),0)</f>
        <v>4</v>
      </c>
      <c r="AC27" s="5" t="n">
        <f aca="false">IF(AND(Z27=1, AB27&gt;=cfg_debounce_consecutive_steps),1,0)</f>
        <v>0</v>
      </c>
    </row>
    <row r="28" customFormat="false" ht="15" hidden="false" customHeight="false" outlineLevel="0" collapsed="false">
      <c r="A28" s="5" t="str">
        <f aca="false">Raw_Data!A28</f>
        <v>WB02-INV02</v>
      </c>
      <c r="B28" s="11" t="n">
        <f aca="false">Raw_Data!B28</f>
        <v>46156.4548611111</v>
      </c>
      <c r="C28" s="5" t="str">
        <f aca="false">Raw_Data!C28</f>
        <v>Grid connected</v>
      </c>
      <c r="D28" s="5" t="str">
        <f aca="false">IF(ISNUMBER(SEARCH("shutdown",LOWER(C28)))+ISNUMBER(SEARCH("fault",LOWER(C28))),"DOWN",IF(ISNUMBER(SEARCH("grid connected",LOWER(C28)))+ISNUMBER(SEARCH("on-grid",LOWER(C28))),"ON",IF(ISNUMBER(SEARCH("standby",LOWER(C28)))+ISNUMBER(SEARCH("no sunlight",LOWER(C28))),"TRANSITIONAL","UNKNOWN")))</f>
        <v>ON</v>
      </c>
      <c r="E28" s="12" t="n">
        <f aca="false">MEDIAN(Raw_Data!D28:H28)</f>
        <v>5</v>
      </c>
      <c r="F28" s="5" t="n">
        <f aca="false">COUNTIF(Raw_Data!D28:H28, "&gt;"&amp;cfg_pstr_zero_threshold_kw)</f>
        <v>4</v>
      </c>
      <c r="G28" s="13" t="n">
        <f aca="false">100*F28/cfg_n_pv_total_in_workbook</f>
        <v>80</v>
      </c>
      <c r="H28" s="5" t="n">
        <f aca="false">IF(AND(E28&gt;=cfg_sibling_median_active_kw, G28&gt;=cfg_min_active_siblings_pct),1,0)</f>
        <v>1</v>
      </c>
      <c r="I28" s="5" t="n">
        <f aca="false">IF(D28="ON",1,0)</f>
        <v>1</v>
      </c>
      <c r="J28" s="5" t="n">
        <f aca="false">IF(AND(I28=1, H28=1, Raw_Data!D28&lt;cfg_pstr_zero_threshold_kw),1,0)</f>
        <v>0</v>
      </c>
      <c r="K28" s="5" t="n">
        <f aca="false">IF(A28&lt;&gt;A27,IF(J28=1, MAX($K$5:K27)+1, 0),IF(AND(J28=1, J27=0), K27+1,IF(J28=1, K27, K27)))</f>
        <v>0</v>
      </c>
      <c r="L28" s="5" t="n">
        <f aca="false">IF(J28=1,COUNTIFS($A$5:$A$28,A28,$K$5:$K$28,K28,$J$5:$J$28,1),0)</f>
        <v>0</v>
      </c>
      <c r="M28" s="5" t="n">
        <f aca="false">IF(AND(J28=1, L28&gt;=cfg_debounce_consecutive_steps),1,0)</f>
        <v>0</v>
      </c>
      <c r="N28" s="5" t="n">
        <f aca="false">IF(AND(I28=1, H28=1, Raw_Data!E28&lt;cfg_pstr_zero_threshold_kw),1,0)</f>
        <v>0</v>
      </c>
      <c r="O28" s="5" t="n">
        <f aca="false">IF(A28&lt;&gt;A27,IF(N28=1, MAX($O$5:O27)+1, 0),IF(AND(N28=1, N27=0), O27+1,IF(N28=1, O27, O27)))</f>
        <v>0</v>
      </c>
      <c r="P28" s="5" t="n">
        <f aca="false">IF(N28=1,COUNTIFS($A$5:$A$28,A28,$O$5:$O$28,O28,$N$5:$N$28,1),0)</f>
        <v>0</v>
      </c>
      <c r="Q28" s="5" t="n">
        <f aca="false">IF(AND(N28=1, P28&gt;=cfg_debounce_consecutive_steps),1,0)</f>
        <v>0</v>
      </c>
      <c r="R28" s="5" t="n">
        <f aca="false">IF(AND(I28=1, H28=1, Raw_Data!F28&lt;cfg_pstr_zero_threshold_kw),1,0)</f>
        <v>0</v>
      </c>
      <c r="S28" s="5" t="n">
        <f aca="false">IF(A28&lt;&gt;A27,IF(R28=1, MAX($S$5:S27)+1, 0),IF(AND(R28=1, R27=0), S27+1,IF(R28=1, S27, S27)))</f>
        <v>0</v>
      </c>
      <c r="T28" s="5" t="n">
        <f aca="false">IF(R28=1,COUNTIFS($A$5:$A$28,A28,$S$5:$S$28,S28,$R$5:$R$28,1),0)</f>
        <v>0</v>
      </c>
      <c r="U28" s="5" t="n">
        <f aca="false">IF(AND(R28=1, T28&gt;=cfg_debounce_consecutive_steps),1,0)</f>
        <v>0</v>
      </c>
      <c r="V28" s="5" t="n">
        <f aca="false">IF(AND(I28=1, H28=1, Raw_Data!G28&lt;cfg_pstr_zero_threshold_kw),1,0)</f>
        <v>0</v>
      </c>
      <c r="W28" s="5" t="n">
        <f aca="false">IF(A28&lt;&gt;A27,IF(V28=1, MAX($W$5:W27)+1, 0),IF(AND(V28=1, V27=0), W27+1,IF(V28=1, W27, W27)))</f>
        <v>0</v>
      </c>
      <c r="X28" s="5" t="n">
        <f aca="false">IF(V28=1,COUNTIFS($A$5:$A$28,A28,$W$5:$W$28,W28,$V$5:$V$28,1),0)</f>
        <v>0</v>
      </c>
      <c r="Y28" s="5" t="n">
        <f aca="false">IF(AND(V28=1, X28&gt;=cfg_debounce_consecutive_steps),1,0)</f>
        <v>0</v>
      </c>
      <c r="Z28" s="5" t="n">
        <f aca="false">IF(AND(I28=1, H28=1, Raw_Data!H28&lt;cfg_pstr_zero_threshold_kw),1,0)</f>
        <v>1</v>
      </c>
      <c r="AA28" s="5" t="n">
        <f aca="false">IF(A28&lt;&gt;A27,IF(Z28=1, MAX($AA$5:AA27)+1, 0),IF(AND(Z28=1, Z27=0), AA27+1,IF(Z28=1, AA27, AA27)))</f>
        <v>3</v>
      </c>
      <c r="AB28" s="5" t="n">
        <f aca="false">IF(Z28=1,COUNTIFS($A$5:$A$28,A28,$AA$5:$AA$28,AA28,$Z$5:$Z$28,1),0)</f>
        <v>4</v>
      </c>
      <c r="AC28" s="5" t="n">
        <f aca="false">IF(AND(Z28=1, AB28&gt;=cfg_debounce_consecutive_steps),1,0)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19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9"/>
    <col collapsed="false" customWidth="true" hidden="false" outlineLevel="0" max="9" min="9" style="0" width="70"/>
  </cols>
  <sheetData>
    <row r="1" customFormat="false" ht="17.35" hidden="false" customHeight="false" outlineLevel="0" collapsed="false">
      <c r="A1" s="7" t="s">
        <v>107</v>
      </c>
    </row>
    <row r="2" customFormat="false" ht="15" hidden="false" customHeight="false" outlineLevel="0" collapsed="false">
      <c r="A2" s="2" t="s">
        <v>108</v>
      </c>
    </row>
    <row r="4" customFormat="false" ht="15" hidden="false" customHeight="false" outlineLevel="0" collapsed="false">
      <c r="A4" s="14" t="s">
        <v>109</v>
      </c>
    </row>
    <row r="5" customFormat="false" ht="35.05" hidden="false" customHeight="false" outlineLevel="0" collapsed="false">
      <c r="A5" s="10" t="s">
        <v>55</v>
      </c>
      <c r="B5" s="10" t="s">
        <v>110</v>
      </c>
      <c r="C5" s="10" t="s">
        <v>111</v>
      </c>
      <c r="D5" s="10" t="s">
        <v>112</v>
      </c>
      <c r="E5" s="10" t="s">
        <v>113</v>
      </c>
      <c r="F5" s="10" t="s">
        <v>114</v>
      </c>
      <c r="G5" s="10" t="s">
        <v>115</v>
      </c>
      <c r="H5" s="10" t="s">
        <v>116</v>
      </c>
      <c r="I5" s="10" t="s">
        <v>117</v>
      </c>
    </row>
    <row r="6" customFormat="false" ht="15" hidden="false" customHeight="false" outlineLevel="0" collapsed="false">
      <c r="A6" s="5" t="s">
        <v>63</v>
      </c>
      <c r="B6" s="5" t="n">
        <f aca="false">COUNTIFS(Helpers_M2e!$A$5:$A$28, A6, Helpers_M2e!$D$5:$D$28, "ON")</f>
        <v>12</v>
      </c>
      <c r="C6" s="5" t="n">
        <f aca="false">COUNTIFS(Helpers_M2e!$A$5:$A$28, A6, Helpers_M2e!$D$5:$D$28, "DOWN")</f>
        <v>0</v>
      </c>
      <c r="D6" s="5" t="n">
        <f aca="false">B6+C6</f>
        <v>12</v>
      </c>
      <c r="E6" s="15" t="n">
        <f aca="false">IF(D6=0, NA(), 100*B6/D6)</f>
        <v>100</v>
      </c>
      <c r="F6" s="5" t="n">
        <f aca="false">C6*cfg_interval_minutes</f>
        <v>0</v>
      </c>
      <c r="G6" s="16" t="e">
        <f aca="false">ifs(ISNA(E6),"NO_DATA",E6&lt;cfg_critical_below,"CRITICAL",E6&lt;cfg_high_below,"HIGH",E6&lt;cfg_medium_below,"MEDIUM",E6&lt;cfg_info_below,"INFO",TRUE(),"NORMAL")</f>
        <v>#NAME?</v>
      </c>
      <c r="H6" s="5" t="e">
        <f aca="false">ifs(ISNA(E6),"",E6&lt;cfg_critical_below,cfg_critical_below,E6&lt;cfg_high_below,cfg_high_below,E6&lt;cfg_medium_below,cfg_medium_below,E6&lt;cfg_info_below,cfg_info_below,TRUE(),cfg_info_below)</f>
        <v>#NAME?</v>
      </c>
      <c r="I6" s="5" t="str">
        <f aca="false">"inverter uptime "&amp;TEXT(E6,"0.00")&amp;"% (n_on="&amp;B6&amp;", n_down="&amp;C6&amp;")"</f>
        <v>inverter uptime 100.00% (n_on=12, n_down=0)</v>
      </c>
    </row>
    <row r="7" customFormat="false" ht="15" hidden="false" customHeight="false" outlineLevel="0" collapsed="false">
      <c r="A7" s="5" t="s">
        <v>65</v>
      </c>
      <c r="B7" s="5" t="n">
        <f aca="false">COUNTIFS(Helpers_M2e!$A$5:$A$28, A7, Helpers_M2e!$D$5:$D$28, "ON")</f>
        <v>8</v>
      </c>
      <c r="C7" s="5" t="n">
        <f aca="false">COUNTIFS(Helpers_M2e!$A$5:$A$28, A7, Helpers_M2e!$D$5:$D$28, "DOWN")</f>
        <v>4</v>
      </c>
      <c r="D7" s="5" t="n">
        <f aca="false">B7+C7</f>
        <v>12</v>
      </c>
      <c r="E7" s="15" t="n">
        <f aca="false">IF(D7=0, NA(), 100*B7/D7)</f>
        <v>66.6666666666667</v>
      </c>
      <c r="F7" s="5" t="n">
        <f aca="false">C7*cfg_interval_minutes</f>
        <v>20</v>
      </c>
      <c r="G7" s="16" t="e">
        <f aca="false">ifs(ISNA(E7),"NO_DATA",E7&lt;cfg_critical_below,"CRITICAL",E7&lt;cfg_high_below,"HIGH",E7&lt;cfg_medium_below,"MEDIUM",E7&lt;cfg_info_below,"INFO",TRUE(),"NORMAL")</f>
        <v>#NAME?</v>
      </c>
      <c r="H7" s="5" t="e">
        <f aca="false">ifs(ISNA(E7),"",E7&lt;cfg_critical_below,cfg_critical_below,E7&lt;cfg_high_below,cfg_high_below,E7&lt;cfg_medium_below,cfg_medium_below,E7&lt;cfg_info_below,cfg_info_below,TRUE(),cfg_info_below)</f>
        <v>#NAME?</v>
      </c>
      <c r="I7" s="5" t="str">
        <f aca="false">"inverter uptime "&amp;TEXT(E7,"0.00")&amp;"% (n_on="&amp;B7&amp;", n_down="&amp;C7&amp;")"</f>
        <v>inverter uptime 66.67% (n_on=8, n_down=4)</v>
      </c>
    </row>
    <row r="11" customFormat="false" ht="15" hidden="false" customHeight="false" outlineLevel="0" collapsed="false">
      <c r="A11" s="14" t="s">
        <v>118</v>
      </c>
    </row>
    <row r="12" customFormat="false" ht="23.85" hidden="false" customHeight="false" outlineLevel="0" collapsed="false">
      <c r="A12" s="10" t="s">
        <v>55</v>
      </c>
      <c r="B12" s="10" t="s">
        <v>119</v>
      </c>
      <c r="C12" s="10" t="s">
        <v>120</v>
      </c>
      <c r="D12" s="10" t="s">
        <v>121</v>
      </c>
      <c r="E12" s="10" t="s">
        <v>122</v>
      </c>
      <c r="F12" s="10" t="s">
        <v>123</v>
      </c>
      <c r="G12" s="10" t="s">
        <v>115</v>
      </c>
      <c r="H12" s="10" t="s">
        <v>124</v>
      </c>
      <c r="I12" s="10" t="s">
        <v>117</v>
      </c>
    </row>
    <row r="13" customFormat="false" ht="15" hidden="false" customHeight="false" outlineLevel="0" collapsed="false">
      <c r="A13" s="5" t="s">
        <v>63</v>
      </c>
      <c r="B13" s="5" t="s">
        <v>125</v>
      </c>
      <c r="C13" s="5" t="n">
        <f aca="false">COUNTIFS(Helpers_M2e!$A$5:$A$28, A13, Helpers_M2e!$I$5:$I$28, 1) * cfg_interval_minutes</f>
        <v>60</v>
      </c>
      <c r="D13" s="5" t="n">
        <f aca="false">COUNTIFS(Helpers_M2e!$A$5:$A$28, A13, Helpers_M2e!$M$5:$M$28, 1) * cfg_interval_minutes</f>
        <v>0</v>
      </c>
      <c r="E13" s="5" t="n">
        <f aca="false">SUMPRODUCT((Helpers_M2e!$A$5:$A$28=A13)*(Helpers_M2e!$M$5:$M$28=1)*((Helpers_M2e!$M$4:$M$27=0)+(Helpers_M2e!$A$5:$A$28&lt;&gt;Helpers_M2e!$A$4:$A$27)&gt;=1))</f>
        <v>0</v>
      </c>
      <c r="F13" s="15" t="n">
        <f aca="false">IF(C13=0, NA(), MAX(0, 100 - 100*D13/C13))</f>
        <v>100</v>
      </c>
      <c r="G13" s="16" t="e">
        <f aca="false">ifs(H13=1,"EMPTY",C13=0,"NO_DAYLIGHT",F13&lt;cfg_critical_below,"CRITICAL",F13&lt;cfg_high_below,"HIGH",F13&lt;cfg_medium_below,"MEDIUM",F13&lt;cfg_info_below,"INFO",TRUE(),"NORMAL")</f>
        <v>#NAME?</v>
      </c>
      <c r="H13" s="5" t="n">
        <f aca="false">IFERROR(IF(ISNUMBER(SEARCH(","&amp;1&amp;",", ","&amp;VLOOKUP(A13, EmptyPVMap!$A$5:$B$8, 2, FALSE())&amp;",")), 1, 0), 0)</f>
        <v>0</v>
      </c>
      <c r="I13" s="5" t="str">
        <f aca="false">IF(H13=1, "EMPTY (skip)", IF(F13&gt;=cfg_info_below, "NORMAL", A13&amp;" "&amp;B13&amp;" proxy-down "&amp;D13&amp;"min/"&amp;C13&amp;"min daylight ("&amp;TEXT(F13,"0.00")&amp;"% uptime)"))</f>
        <v>NORMAL</v>
      </c>
    </row>
    <row r="14" customFormat="false" ht="15" hidden="false" customHeight="false" outlineLevel="0" collapsed="false">
      <c r="A14" s="5" t="s">
        <v>63</v>
      </c>
      <c r="B14" s="5" t="s">
        <v>126</v>
      </c>
      <c r="C14" s="5" t="n">
        <f aca="false">COUNTIFS(Helpers_M2e!$A$5:$A$28, A14, Helpers_M2e!$I$5:$I$28, 1) * cfg_interval_minutes</f>
        <v>60</v>
      </c>
      <c r="D14" s="5" t="n">
        <f aca="false">COUNTIFS(Helpers_M2e!$A$5:$A$28, A14, Helpers_M2e!$Q$5:$Q$28, 1) * cfg_interval_minutes</f>
        <v>0</v>
      </c>
      <c r="E14" s="5" t="n">
        <f aca="false">SUMPRODUCT((Helpers_M2e!$A$5:$A$28=A14)*(Helpers_M2e!$Q$5:$Q$28=1)*((Helpers_M2e!$Q$4:$Q$27=0)+(Helpers_M2e!$A$5:$A$28&lt;&gt;Helpers_M2e!$A$4:$A$27)&gt;=1))</f>
        <v>0</v>
      </c>
      <c r="F14" s="15" t="n">
        <f aca="false">IF(C14=0, NA(), MAX(0, 100 - 100*D14/C14))</f>
        <v>100</v>
      </c>
      <c r="G14" s="16" t="e">
        <f aca="false">ifs(H14=1,"EMPTY",C14=0,"NO_DAYLIGHT",F14&lt;cfg_critical_below,"CRITICAL",F14&lt;cfg_high_below,"HIGH",F14&lt;cfg_medium_below,"MEDIUM",F14&lt;cfg_info_below,"INFO",TRUE(),"NORMAL")</f>
        <v>#NAME?</v>
      </c>
      <c r="H14" s="5" t="n">
        <f aca="false">IFERROR(IF(ISNUMBER(SEARCH(","&amp;2&amp;",", ","&amp;VLOOKUP(A14, EmptyPVMap!$A$5:$B$8, 2, FALSE())&amp;",")), 1, 0), 0)</f>
        <v>0</v>
      </c>
      <c r="I14" s="5" t="str">
        <f aca="false">IF(H14=1, "EMPTY (skip)", IF(F14&gt;=cfg_info_below, "NORMAL", A14&amp;" "&amp;B14&amp;" proxy-down "&amp;D14&amp;"min/"&amp;C14&amp;"min daylight ("&amp;TEXT(F14,"0.00")&amp;"% uptime)"))</f>
        <v>NORMAL</v>
      </c>
    </row>
    <row r="15" customFormat="false" ht="15" hidden="false" customHeight="false" outlineLevel="0" collapsed="false">
      <c r="A15" s="5" t="s">
        <v>63</v>
      </c>
      <c r="B15" s="5" t="s">
        <v>127</v>
      </c>
      <c r="C15" s="5" t="n">
        <f aca="false">COUNTIFS(Helpers_M2e!$A$5:$A$28, A15, Helpers_M2e!$I$5:$I$28, 1) * cfg_interval_minutes</f>
        <v>60</v>
      </c>
      <c r="D15" s="5" t="n">
        <f aca="false">COUNTIFS(Helpers_M2e!$A$5:$A$28, A15, Helpers_M2e!$U$5:$U$28, 1) * cfg_interval_minutes</f>
        <v>0</v>
      </c>
      <c r="E15" s="5" t="n">
        <f aca="false">SUMPRODUCT((Helpers_M2e!$A$5:$A$28=A15)*(Helpers_M2e!$U$5:$U$28=1)*((Helpers_M2e!$U$4:$U$27=0)+(Helpers_M2e!$A$5:$A$28&lt;&gt;Helpers_M2e!$A$4:$A$27)&gt;=1))</f>
        <v>0</v>
      </c>
      <c r="F15" s="15" t="n">
        <f aca="false">IF(C15=0, NA(), MAX(0, 100 - 100*D15/C15))</f>
        <v>100</v>
      </c>
      <c r="G15" s="16" t="e">
        <f aca="false">ifs(H15=1,"EMPTY",C15=0,"NO_DAYLIGHT",F15&lt;cfg_critical_below,"CRITICAL",F15&lt;cfg_high_below,"HIGH",F15&lt;cfg_medium_below,"MEDIUM",F15&lt;cfg_info_below,"INFO",TRUE(),"NORMAL")</f>
        <v>#NAME?</v>
      </c>
      <c r="H15" s="5" t="n">
        <f aca="false">IFERROR(IF(ISNUMBER(SEARCH(","&amp;3&amp;",", ","&amp;VLOOKUP(A15, EmptyPVMap!$A$5:$B$8, 2, FALSE())&amp;",")), 1, 0), 0)</f>
        <v>0</v>
      </c>
      <c r="I15" s="5" t="str">
        <f aca="false">IF(H15=1, "EMPTY (skip)", IF(F15&gt;=cfg_info_below, "NORMAL", A15&amp;" "&amp;B15&amp;" proxy-down "&amp;D15&amp;"min/"&amp;C15&amp;"min daylight ("&amp;TEXT(F15,"0.00")&amp;"% uptime)"))</f>
        <v>NORMAL</v>
      </c>
    </row>
    <row r="16" customFormat="false" ht="15" hidden="false" customHeight="false" outlineLevel="0" collapsed="false">
      <c r="A16" s="5" t="s">
        <v>63</v>
      </c>
      <c r="B16" s="5" t="s">
        <v>128</v>
      </c>
      <c r="C16" s="5" t="n">
        <f aca="false">COUNTIFS(Helpers_M2e!$A$5:$A$28, A16, Helpers_M2e!$I$5:$I$28, 1) * cfg_interval_minutes</f>
        <v>60</v>
      </c>
      <c r="D16" s="5" t="n">
        <f aca="false">COUNTIFS(Helpers_M2e!$A$5:$A$28, A16, Helpers_M2e!$Y$5:$Y$28, 1) * cfg_interval_minutes</f>
        <v>0</v>
      </c>
      <c r="E16" s="5" t="n">
        <f aca="false">SUMPRODUCT((Helpers_M2e!$A$5:$A$28=A16)*(Helpers_M2e!$Y$5:$Y$28=1)*((Helpers_M2e!$Y$4:$Y$27=0)+(Helpers_M2e!$A$5:$A$28&lt;&gt;Helpers_M2e!$A$4:$A$27)&gt;=1))</f>
        <v>0</v>
      </c>
      <c r="F16" s="15" t="n">
        <f aca="false">IF(C16=0, NA(), MAX(0, 100 - 100*D16/C16))</f>
        <v>100</v>
      </c>
      <c r="G16" s="16" t="e">
        <f aca="false">ifs(H16=1,"EMPTY",C16=0,"NO_DAYLIGHT",F16&lt;cfg_critical_below,"CRITICAL",F16&lt;cfg_high_below,"HIGH",F16&lt;cfg_medium_below,"MEDIUM",F16&lt;cfg_info_below,"INFO",TRUE(),"NORMAL")</f>
        <v>#NAME?</v>
      </c>
      <c r="H16" s="5" t="n">
        <f aca="false">IFERROR(IF(ISNUMBER(SEARCH(","&amp;4&amp;",", ","&amp;VLOOKUP(A16, EmptyPVMap!$A$5:$B$8, 2, FALSE())&amp;",")), 1, 0), 0)</f>
        <v>0</v>
      </c>
      <c r="I16" s="5" t="str">
        <f aca="false">IF(H16=1, "EMPTY (skip)", IF(F16&gt;=cfg_info_below, "NORMAL", A16&amp;" "&amp;B16&amp;" proxy-down "&amp;D16&amp;"min/"&amp;C16&amp;"min daylight ("&amp;TEXT(F16,"0.00")&amp;"% uptime)"))</f>
        <v>NORMAL</v>
      </c>
    </row>
    <row r="17" customFormat="false" ht="15" hidden="false" customHeight="false" outlineLevel="0" collapsed="false">
      <c r="A17" s="5" t="s">
        <v>63</v>
      </c>
      <c r="B17" s="5" t="s">
        <v>129</v>
      </c>
      <c r="C17" s="5" t="n">
        <f aca="false">COUNTIFS(Helpers_M2e!$A$5:$A$28, A17, Helpers_M2e!$I$5:$I$28, 1) * cfg_interval_minutes</f>
        <v>60</v>
      </c>
      <c r="D17" s="5" t="n">
        <f aca="false">COUNTIFS(Helpers_M2e!$A$5:$A$28, A17, Helpers_M2e!$AC$5:$AC$28, 1) * cfg_interval_minutes</f>
        <v>0</v>
      </c>
      <c r="E17" s="5" t="n">
        <f aca="false">SUMPRODUCT((Helpers_M2e!$A$5:$A$28=A17)*(Helpers_M2e!$AC$5:$AC$28=1)*((Helpers_M2e!$AC$4:$AC$27=0)+(Helpers_M2e!$A$5:$A$28&lt;&gt;Helpers_M2e!$A$4:$A$27)&gt;=1))</f>
        <v>0</v>
      </c>
      <c r="F17" s="15" t="n">
        <f aca="false">IF(C17=0, NA(), MAX(0, 100 - 100*D17/C17))</f>
        <v>100</v>
      </c>
      <c r="G17" s="16" t="e">
        <f aca="false">ifs(H17=1,"EMPTY",C17=0,"NO_DAYLIGHT",F17&lt;cfg_critical_below,"CRITICAL",F17&lt;cfg_high_below,"HIGH",F17&lt;cfg_medium_below,"MEDIUM",F17&lt;cfg_info_below,"INFO",TRUE(),"NORMAL")</f>
        <v>#NAME?</v>
      </c>
      <c r="H17" s="5" t="n">
        <f aca="false">IFERROR(IF(ISNUMBER(SEARCH(","&amp;5&amp;",", ","&amp;VLOOKUP(A17, EmptyPVMap!$A$5:$B$8, 2, FALSE())&amp;",")), 1, 0), 0)</f>
        <v>1</v>
      </c>
      <c r="I17" s="5" t="str">
        <f aca="false">IF(H17=1, "EMPTY (skip)", IF(F17&gt;=cfg_info_below, "NORMAL", A17&amp;" "&amp;B17&amp;" proxy-down "&amp;D17&amp;"min/"&amp;C17&amp;"min daylight ("&amp;TEXT(F17,"0.00")&amp;"% uptime)"))</f>
        <v>EMPTY (skip)</v>
      </c>
    </row>
    <row r="18" customFormat="false" ht="15" hidden="false" customHeight="false" outlineLevel="0" collapsed="false">
      <c r="A18" s="5" t="s">
        <v>65</v>
      </c>
      <c r="B18" s="5" t="s">
        <v>125</v>
      </c>
      <c r="C18" s="5" t="n">
        <f aca="false">COUNTIFS(Helpers_M2e!$A$5:$A$28, A18, Helpers_M2e!$I$5:$I$28, 1) * cfg_interval_minutes</f>
        <v>40</v>
      </c>
      <c r="D18" s="5" t="n">
        <f aca="false">COUNTIFS(Helpers_M2e!$A$5:$A$28, A18, Helpers_M2e!$M$5:$M$28, 1) * cfg_interval_minutes</f>
        <v>0</v>
      </c>
      <c r="E18" s="5" t="n">
        <f aca="false">SUMPRODUCT((Helpers_M2e!$A$5:$A$28=A18)*(Helpers_M2e!$M$5:$M$28=1)*((Helpers_M2e!$M$4:$M$27=0)+(Helpers_M2e!$A$5:$A$28&lt;&gt;Helpers_M2e!$A$4:$A$27)&gt;=1))</f>
        <v>0</v>
      </c>
      <c r="F18" s="15" t="n">
        <f aca="false">IF(C18=0, NA(), MAX(0, 100 - 100*D18/C18))</f>
        <v>100</v>
      </c>
      <c r="G18" s="16" t="e">
        <f aca="false">ifs(H18=1,"EMPTY",C18=0,"NO_DAYLIGHT",F18&lt;cfg_critical_below,"CRITICAL",F18&lt;cfg_high_below,"HIGH",F18&lt;cfg_medium_below,"MEDIUM",F18&lt;cfg_info_below,"INFO",TRUE(),"NORMAL")</f>
        <v>#NAME?</v>
      </c>
      <c r="H18" s="5" t="n">
        <f aca="false">IFERROR(IF(ISNUMBER(SEARCH(","&amp;1&amp;",", ","&amp;VLOOKUP(A18, EmptyPVMap!$A$5:$B$8, 2, FALSE())&amp;",")), 1, 0), 0)</f>
        <v>0</v>
      </c>
      <c r="I18" s="5" t="str">
        <f aca="false">IF(H18=1, "EMPTY (skip)", IF(F18&gt;=cfg_info_below, "NORMAL", A18&amp;" "&amp;B18&amp;" proxy-down "&amp;D18&amp;"min/"&amp;C18&amp;"min daylight ("&amp;TEXT(F18,"0.00")&amp;"% uptime)"))</f>
        <v>NORMAL</v>
      </c>
    </row>
    <row r="19" customFormat="false" ht="15" hidden="false" customHeight="false" outlineLevel="0" collapsed="false">
      <c r="A19" s="5" t="s">
        <v>65</v>
      </c>
      <c r="B19" s="5" t="s">
        <v>126</v>
      </c>
      <c r="C19" s="5" t="n">
        <f aca="false">COUNTIFS(Helpers_M2e!$A$5:$A$28, A19, Helpers_M2e!$I$5:$I$28, 1) * cfg_interval_minutes</f>
        <v>40</v>
      </c>
      <c r="D19" s="5" t="n">
        <f aca="false">COUNTIFS(Helpers_M2e!$A$5:$A$28, A19, Helpers_M2e!$Q$5:$Q$28, 1) * cfg_interval_minutes</f>
        <v>0</v>
      </c>
      <c r="E19" s="5" t="n">
        <f aca="false">SUMPRODUCT((Helpers_M2e!$A$5:$A$28=A19)*(Helpers_M2e!$Q$5:$Q$28=1)*((Helpers_M2e!$Q$4:$Q$27=0)+(Helpers_M2e!$A$5:$A$28&lt;&gt;Helpers_M2e!$A$4:$A$27)&gt;=1))</f>
        <v>0</v>
      </c>
      <c r="F19" s="15" t="n">
        <f aca="false">IF(C19=0, NA(), MAX(0, 100 - 100*D19/C19))</f>
        <v>100</v>
      </c>
      <c r="G19" s="16" t="e">
        <f aca="false">ifs(H19=1,"EMPTY",C19=0,"NO_DAYLIGHT",F19&lt;cfg_critical_below,"CRITICAL",F19&lt;cfg_high_below,"HIGH",F19&lt;cfg_medium_below,"MEDIUM",F19&lt;cfg_info_below,"INFO",TRUE(),"NORMAL")</f>
        <v>#NAME?</v>
      </c>
      <c r="H19" s="5" t="n">
        <f aca="false">IFERROR(IF(ISNUMBER(SEARCH(","&amp;2&amp;",", ","&amp;VLOOKUP(A19, EmptyPVMap!$A$5:$B$8, 2, FALSE())&amp;",")), 1, 0), 0)</f>
        <v>0</v>
      </c>
      <c r="I19" s="5" t="str">
        <f aca="false">IF(H19=1, "EMPTY (skip)", IF(F19&gt;=cfg_info_below, "NORMAL", A19&amp;" "&amp;B19&amp;" proxy-down "&amp;D19&amp;"min/"&amp;C19&amp;"min daylight ("&amp;TEXT(F19,"0.00")&amp;"% uptime)"))</f>
        <v>NORMAL</v>
      </c>
    </row>
    <row r="20" customFormat="false" ht="15" hidden="false" customHeight="false" outlineLevel="0" collapsed="false">
      <c r="A20" s="5" t="s">
        <v>65</v>
      </c>
      <c r="B20" s="5" t="s">
        <v>127</v>
      </c>
      <c r="C20" s="5" t="n">
        <f aca="false">COUNTIFS(Helpers_M2e!$A$5:$A$28, A20, Helpers_M2e!$I$5:$I$28, 1) * cfg_interval_minutes</f>
        <v>40</v>
      </c>
      <c r="D20" s="5" t="n">
        <f aca="false">COUNTIFS(Helpers_M2e!$A$5:$A$28, A20, Helpers_M2e!$U$5:$U$28, 1) * cfg_interval_minutes</f>
        <v>0</v>
      </c>
      <c r="E20" s="5" t="n">
        <f aca="false">SUMPRODUCT((Helpers_M2e!$A$5:$A$28=A20)*(Helpers_M2e!$U$5:$U$28=1)*((Helpers_M2e!$U$4:$U$27=0)+(Helpers_M2e!$A$5:$A$28&lt;&gt;Helpers_M2e!$A$4:$A$27)&gt;=1))</f>
        <v>0</v>
      </c>
      <c r="F20" s="15" t="n">
        <f aca="false">IF(C20=0, NA(), MAX(0, 100 - 100*D20/C20))</f>
        <v>100</v>
      </c>
      <c r="G20" s="16" t="e">
        <f aca="false">ifs(H20=1,"EMPTY",C20=0,"NO_DAYLIGHT",F20&lt;cfg_critical_below,"CRITICAL",F20&lt;cfg_high_below,"HIGH",F20&lt;cfg_medium_below,"MEDIUM",F20&lt;cfg_info_below,"INFO",TRUE(),"NORMAL")</f>
        <v>#NAME?</v>
      </c>
      <c r="H20" s="5" t="n">
        <f aca="false">IFERROR(IF(ISNUMBER(SEARCH(","&amp;3&amp;",", ","&amp;VLOOKUP(A20, EmptyPVMap!$A$5:$B$8, 2, FALSE())&amp;",")), 1, 0), 0)</f>
        <v>0</v>
      </c>
      <c r="I20" s="5" t="str">
        <f aca="false">IF(H20=1, "EMPTY (skip)", IF(F20&gt;=cfg_info_below, "NORMAL", A20&amp;" "&amp;B20&amp;" proxy-down "&amp;D20&amp;"min/"&amp;C20&amp;"min daylight ("&amp;TEXT(F20,"0.00")&amp;"% uptime)"))</f>
        <v>NORMAL</v>
      </c>
    </row>
    <row r="21" customFormat="false" ht="15" hidden="false" customHeight="false" outlineLevel="0" collapsed="false">
      <c r="A21" s="5" t="s">
        <v>65</v>
      </c>
      <c r="B21" s="5" t="s">
        <v>128</v>
      </c>
      <c r="C21" s="5" t="n">
        <f aca="false">COUNTIFS(Helpers_M2e!$A$5:$A$28, A21, Helpers_M2e!$I$5:$I$28, 1) * cfg_interval_minutes</f>
        <v>40</v>
      </c>
      <c r="D21" s="5" t="n">
        <f aca="false">COUNTIFS(Helpers_M2e!$A$5:$A$28, A21, Helpers_M2e!$Y$5:$Y$28, 1) * cfg_interval_minutes</f>
        <v>0</v>
      </c>
      <c r="E21" s="5" t="n">
        <f aca="false">SUMPRODUCT((Helpers_M2e!$A$5:$A$28=A21)*(Helpers_M2e!$Y$5:$Y$28=1)*((Helpers_M2e!$Y$4:$Y$27=0)+(Helpers_M2e!$A$5:$A$28&lt;&gt;Helpers_M2e!$A$4:$A$27)&gt;=1))</f>
        <v>0</v>
      </c>
      <c r="F21" s="15" t="n">
        <f aca="false">IF(C21=0, NA(), MAX(0, 100 - 100*D21/C21))</f>
        <v>100</v>
      </c>
      <c r="G21" s="16" t="e">
        <f aca="false">ifs(H21=1,"EMPTY",C21=0,"NO_DAYLIGHT",F21&lt;cfg_critical_below,"CRITICAL",F21&lt;cfg_high_below,"HIGH",F21&lt;cfg_medium_below,"MEDIUM",F21&lt;cfg_info_below,"INFO",TRUE(),"NORMAL")</f>
        <v>#NAME?</v>
      </c>
      <c r="H21" s="5" t="n">
        <f aca="false">IFERROR(IF(ISNUMBER(SEARCH(","&amp;4&amp;",", ","&amp;VLOOKUP(A21, EmptyPVMap!$A$5:$B$8, 2, FALSE())&amp;",")), 1, 0), 0)</f>
        <v>0</v>
      </c>
      <c r="I21" s="5" t="str">
        <f aca="false">IF(H21=1, "EMPTY (skip)", IF(F21&gt;=cfg_info_below, "NORMAL", A21&amp;" "&amp;B21&amp;" proxy-down "&amp;D21&amp;"min/"&amp;C21&amp;"min daylight ("&amp;TEXT(F21,"0.00")&amp;"% uptime)"))</f>
        <v>NORMAL</v>
      </c>
    </row>
    <row r="22" customFormat="false" ht="15" hidden="false" customHeight="false" outlineLevel="0" collapsed="false">
      <c r="A22" s="5" t="s">
        <v>65</v>
      </c>
      <c r="B22" s="5" t="s">
        <v>129</v>
      </c>
      <c r="C22" s="5" t="n">
        <f aca="false">COUNTIFS(Helpers_M2e!$A$5:$A$28, A22, Helpers_M2e!$I$5:$I$28, 1) * cfg_interval_minutes</f>
        <v>40</v>
      </c>
      <c r="D22" s="5" t="n">
        <f aca="false">COUNTIFS(Helpers_M2e!$A$5:$A$28, A22, Helpers_M2e!$AC$5:$AC$28, 1) * cfg_interval_minutes</f>
        <v>0</v>
      </c>
      <c r="E22" s="5" t="n">
        <f aca="false">SUMPRODUCT((Helpers_M2e!$A$5:$A$28=A22)*(Helpers_M2e!$AC$5:$AC$28=1)*((Helpers_M2e!$AC$4:$AC$27=0)+(Helpers_M2e!$A$5:$A$28&lt;&gt;Helpers_M2e!$A$4:$A$27)&gt;=1))</f>
        <v>0</v>
      </c>
      <c r="F22" s="15" t="n">
        <f aca="false">IF(C22=0, NA(), MAX(0, 100 - 100*D22/C22))</f>
        <v>100</v>
      </c>
      <c r="G22" s="16" t="e">
        <f aca="false">ifs(H22=1,"EMPTY",C22=0,"NO_DAYLIGHT",F22&lt;cfg_critical_below,"CRITICAL",F22&lt;cfg_high_below,"HIGH",F22&lt;cfg_medium_below,"MEDIUM",F22&lt;cfg_info_below,"INFO",TRUE(),"NORMAL")</f>
        <v>#NAME?</v>
      </c>
      <c r="H22" s="5" t="n">
        <f aca="false">IFERROR(IF(ISNUMBER(SEARCH(","&amp;5&amp;",", ","&amp;VLOOKUP(A22, EmptyPVMap!$A$5:$B$8, 2, FALSE())&amp;",")), 1, 0), 0)</f>
        <v>1</v>
      </c>
      <c r="I22" s="5" t="str">
        <f aca="false">IF(H22=1, "EMPTY (skip)", IF(F22&gt;=cfg_info_below, "NORMAL", A22&amp;" "&amp;B22&amp;" proxy-down "&amp;D22&amp;"min/"&amp;C22&amp;"min daylight ("&amp;TEXT(F22,"0.00")&amp;"% uptime)"))</f>
        <v>EMPTY (skip)</v>
      </c>
    </row>
  </sheetData>
  <conditionalFormatting sqref="G6:G7">
    <cfRule type="cellIs" priority="2" operator="equal" aboveAverage="0" equalAverage="0" bottom="0" percent="0" rank="0" text="" dxfId="0">
      <formula>"CRITICAL"</formula>
    </cfRule>
    <cfRule type="cellIs" priority="3" operator="equal" aboveAverage="0" equalAverage="0" bottom="0" percent="0" rank="0" text="" dxfId="1">
      <formula>"HIGH"</formula>
    </cfRule>
    <cfRule type="cellIs" priority="4" operator="equal" aboveAverage="0" equalAverage="0" bottom="0" percent="0" rank="0" text="" dxfId="2">
      <formula>"MEDIUM"</formula>
    </cfRule>
    <cfRule type="cellIs" priority="5" operator="equal" aboveAverage="0" equalAverage="0" bottom="0" percent="0" rank="0" text="" dxfId="3">
      <formula>"INFO"</formula>
    </cfRule>
    <cfRule type="cellIs" priority="6" operator="equal" aboveAverage="0" equalAverage="0" bottom="0" percent="0" rank="0" text="" dxfId="4">
      <formula>"NORMAL"</formula>
    </cfRule>
    <cfRule type="cellIs" priority="7" operator="equal" aboveAverage="0" equalAverage="0" bottom="0" percent="0" rank="0" text="" dxfId="5">
      <formula>"EMPTY"</formula>
    </cfRule>
    <cfRule type="cellIs" priority="8" operator="equal" aboveAverage="0" equalAverage="0" bottom="0" percent="0" rank="0" text="" dxfId="6">
      <formula>"NO_DAYLIGHT"</formula>
    </cfRule>
  </conditionalFormatting>
  <conditionalFormatting sqref="G13:G22">
    <cfRule type="cellIs" priority="9" operator="equal" aboveAverage="0" equalAverage="0" bottom="0" percent="0" rank="0" text="" dxfId="0">
      <formula>"CRITICAL"</formula>
    </cfRule>
    <cfRule type="cellIs" priority="10" operator="equal" aboveAverage="0" equalAverage="0" bottom="0" percent="0" rank="0" text="" dxfId="1">
      <formula>"HIGH"</formula>
    </cfRule>
    <cfRule type="cellIs" priority="11" operator="equal" aboveAverage="0" equalAverage="0" bottom="0" percent="0" rank="0" text="" dxfId="2">
      <formula>"MEDIUM"</formula>
    </cfRule>
    <cfRule type="cellIs" priority="12" operator="equal" aboveAverage="0" equalAverage="0" bottom="0" percent="0" rank="0" text="" dxfId="3">
      <formula>"INFO"</formula>
    </cfRule>
    <cfRule type="cellIs" priority="13" operator="equal" aboveAverage="0" equalAverage="0" bottom="0" percent="0" rank="0" text="" dxfId="4">
      <formula>"NORMAL"</formula>
    </cfRule>
    <cfRule type="cellIs" priority="14" operator="equal" aboveAverage="0" equalAverage="0" bottom="0" percent="0" rank="0" text="" dxfId="5">
      <formula>"EMPTY"</formula>
    </cfRule>
    <cfRule type="cellIs" priority="15" operator="equal" aboveAverage="0" equalAverage="0" bottom="0" percent="0" rank="0" text="" dxfId="6">
      <formula>"NO_DAYLIGHT"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17"/>
  </cols>
  <sheetData>
    <row r="1" customFormat="false" ht="17.35" hidden="false" customHeight="false" outlineLevel="0" collapsed="false">
      <c r="A1" s="7" t="s">
        <v>130</v>
      </c>
    </row>
    <row r="2" customFormat="false" ht="15" hidden="false" customHeight="false" outlineLevel="0" collapsed="false">
      <c r="A2" s="2" t="s">
        <v>131</v>
      </c>
    </row>
    <row r="4" customFormat="false" ht="23.85" hidden="false" customHeight="false" outlineLevel="0" collapsed="false">
      <c r="A4" s="10" t="s">
        <v>132</v>
      </c>
      <c r="B4" s="10" t="s">
        <v>133</v>
      </c>
      <c r="C4" s="10" t="s">
        <v>134</v>
      </c>
      <c r="D4" s="10" t="s">
        <v>113</v>
      </c>
      <c r="E4" s="10" t="s">
        <v>135</v>
      </c>
      <c r="F4" s="10" t="s">
        <v>121</v>
      </c>
      <c r="G4" s="10" t="s">
        <v>122</v>
      </c>
      <c r="H4" s="10" t="s">
        <v>136</v>
      </c>
    </row>
    <row r="5" customFormat="false" ht="15" hidden="false" customHeight="false" outlineLevel="0" collapsed="false">
      <c r="A5" s="5" t="str">
        <f aca="false">M2e_Availability!A13</f>
        <v>WB02-INV01</v>
      </c>
      <c r="B5" s="5" t="str">
        <f aca="false">M2e_Availability!B13</f>
        <v>PV1</v>
      </c>
      <c r="C5" s="16" t="e">
        <f aca="false">M2e_Availability!G13</f>
        <v>#NAME?</v>
      </c>
      <c r="D5" s="15" t="e">
        <f aca="false">IF(OR(M2e_Availability!G13="EMPTY",M2e_Availability!G13="NO_DAYLIGHT"),"",M2e_Availability!F13)</f>
        <v>#NAME?</v>
      </c>
      <c r="E5" s="5" t="e">
        <f aca="false">IF(OR(M2e_Availability!G13="EMPTY",M2e_Availability!G13="NO_DAYLIGHT"),"",M2e_Availability!D13)</f>
        <v>#NAME?</v>
      </c>
      <c r="F5" s="5" t="e">
        <f aca="false">IF(OR(M2e_Availability!G13="EMPTY",M2e_Availability!G13="NO_DAYLIGHT"),"",M2e_Availability!D13)</f>
        <v>#NAME?</v>
      </c>
      <c r="G5" s="5" t="e">
        <f aca="false">IF(M2e_Availability!G13="EMPTY",0,M2e_Availability!E13)</f>
        <v>#NAME?</v>
      </c>
      <c r="H5" s="5" t="n">
        <f aca="false">M2e_Availability!C13</f>
        <v>60</v>
      </c>
    </row>
    <row r="6" customFormat="false" ht="15" hidden="false" customHeight="false" outlineLevel="0" collapsed="false">
      <c r="A6" s="5" t="str">
        <f aca="false">M2e_Availability!A14</f>
        <v>WB02-INV01</v>
      </c>
      <c r="B6" s="5" t="str">
        <f aca="false">M2e_Availability!B14</f>
        <v>PV2</v>
      </c>
      <c r="C6" s="16" t="e">
        <f aca="false">M2e_Availability!G14</f>
        <v>#NAME?</v>
      </c>
      <c r="D6" s="15" t="e">
        <f aca="false">IF(OR(M2e_Availability!G14="EMPTY",M2e_Availability!G14="NO_DAYLIGHT"),"",M2e_Availability!F14)</f>
        <v>#NAME?</v>
      </c>
      <c r="E6" s="5" t="e">
        <f aca="false">IF(OR(M2e_Availability!G14="EMPTY",M2e_Availability!G14="NO_DAYLIGHT"),"",M2e_Availability!D14)</f>
        <v>#NAME?</v>
      </c>
      <c r="F6" s="5" t="e">
        <f aca="false">IF(OR(M2e_Availability!G14="EMPTY",M2e_Availability!G14="NO_DAYLIGHT"),"",M2e_Availability!D14)</f>
        <v>#NAME?</v>
      </c>
      <c r="G6" s="5" t="e">
        <f aca="false">IF(M2e_Availability!G14="EMPTY",0,M2e_Availability!E14)</f>
        <v>#NAME?</v>
      </c>
      <c r="H6" s="5" t="n">
        <f aca="false">M2e_Availability!C14</f>
        <v>60</v>
      </c>
    </row>
    <row r="7" customFormat="false" ht="15" hidden="false" customHeight="false" outlineLevel="0" collapsed="false">
      <c r="A7" s="5" t="str">
        <f aca="false">M2e_Availability!A15</f>
        <v>WB02-INV01</v>
      </c>
      <c r="B7" s="5" t="str">
        <f aca="false">M2e_Availability!B15</f>
        <v>PV3</v>
      </c>
      <c r="C7" s="16" t="e">
        <f aca="false">M2e_Availability!G15</f>
        <v>#NAME?</v>
      </c>
      <c r="D7" s="15" t="e">
        <f aca="false">IF(OR(M2e_Availability!G15="EMPTY",M2e_Availability!G15="NO_DAYLIGHT"),"",M2e_Availability!F15)</f>
        <v>#NAME?</v>
      </c>
      <c r="E7" s="5" t="e">
        <f aca="false">IF(OR(M2e_Availability!G15="EMPTY",M2e_Availability!G15="NO_DAYLIGHT"),"",M2e_Availability!D15)</f>
        <v>#NAME?</v>
      </c>
      <c r="F7" s="5" t="e">
        <f aca="false">IF(OR(M2e_Availability!G15="EMPTY",M2e_Availability!G15="NO_DAYLIGHT"),"",M2e_Availability!D15)</f>
        <v>#NAME?</v>
      </c>
      <c r="G7" s="5" t="e">
        <f aca="false">IF(M2e_Availability!G15="EMPTY",0,M2e_Availability!E15)</f>
        <v>#NAME?</v>
      </c>
      <c r="H7" s="5" t="n">
        <f aca="false">M2e_Availability!C15</f>
        <v>60</v>
      </c>
    </row>
    <row r="8" customFormat="false" ht="15" hidden="false" customHeight="false" outlineLevel="0" collapsed="false">
      <c r="A8" s="5" t="str">
        <f aca="false">M2e_Availability!A16</f>
        <v>WB02-INV01</v>
      </c>
      <c r="B8" s="5" t="str">
        <f aca="false">M2e_Availability!B16</f>
        <v>PV4</v>
      </c>
      <c r="C8" s="16" t="e">
        <f aca="false">M2e_Availability!G16</f>
        <v>#NAME?</v>
      </c>
      <c r="D8" s="15" t="e">
        <f aca="false">IF(OR(M2e_Availability!G16="EMPTY",M2e_Availability!G16="NO_DAYLIGHT"),"",M2e_Availability!F16)</f>
        <v>#NAME?</v>
      </c>
      <c r="E8" s="5" t="e">
        <f aca="false">IF(OR(M2e_Availability!G16="EMPTY",M2e_Availability!G16="NO_DAYLIGHT"),"",M2e_Availability!D16)</f>
        <v>#NAME?</v>
      </c>
      <c r="F8" s="5" t="e">
        <f aca="false">IF(OR(M2e_Availability!G16="EMPTY",M2e_Availability!G16="NO_DAYLIGHT"),"",M2e_Availability!D16)</f>
        <v>#NAME?</v>
      </c>
      <c r="G8" s="5" t="e">
        <f aca="false">IF(M2e_Availability!G16="EMPTY",0,M2e_Availability!E16)</f>
        <v>#NAME?</v>
      </c>
      <c r="H8" s="5" t="n">
        <f aca="false">M2e_Availability!C16</f>
        <v>60</v>
      </c>
    </row>
    <row r="9" customFormat="false" ht="15" hidden="false" customHeight="false" outlineLevel="0" collapsed="false">
      <c r="A9" s="5" t="str">
        <f aca="false">M2e_Availability!A17</f>
        <v>WB02-INV01</v>
      </c>
      <c r="B9" s="5" t="str">
        <f aca="false">M2e_Availability!B17</f>
        <v>PV5</v>
      </c>
      <c r="C9" s="16" t="e">
        <f aca="false">M2e_Availability!G17</f>
        <v>#NAME?</v>
      </c>
      <c r="D9" s="15" t="e">
        <f aca="false">IF(OR(M2e_Availability!G17="EMPTY",M2e_Availability!G17="NO_DAYLIGHT"),"",M2e_Availability!F17)</f>
        <v>#NAME?</v>
      </c>
      <c r="E9" s="5" t="e">
        <f aca="false">IF(OR(M2e_Availability!G17="EMPTY",M2e_Availability!G17="NO_DAYLIGHT"),"",M2e_Availability!D17)</f>
        <v>#NAME?</v>
      </c>
      <c r="F9" s="5" t="e">
        <f aca="false">IF(OR(M2e_Availability!G17="EMPTY",M2e_Availability!G17="NO_DAYLIGHT"),"",M2e_Availability!D17)</f>
        <v>#NAME?</v>
      </c>
      <c r="G9" s="5" t="e">
        <f aca="false">IF(M2e_Availability!G17="EMPTY",0,M2e_Availability!E17)</f>
        <v>#NAME?</v>
      </c>
      <c r="H9" s="5" t="n">
        <f aca="false">M2e_Availability!C17</f>
        <v>60</v>
      </c>
    </row>
    <row r="10" customFormat="false" ht="15" hidden="false" customHeight="false" outlineLevel="0" collapsed="false">
      <c r="A10" s="5" t="str">
        <f aca="false">M2e_Availability!A18</f>
        <v>WB02-INV02</v>
      </c>
      <c r="B10" s="5" t="str">
        <f aca="false">M2e_Availability!B18</f>
        <v>PV1</v>
      </c>
      <c r="C10" s="16" t="e">
        <f aca="false">M2e_Availability!G18</f>
        <v>#NAME?</v>
      </c>
      <c r="D10" s="15" t="e">
        <f aca="false">IF(OR(M2e_Availability!G18="EMPTY",M2e_Availability!G18="NO_DAYLIGHT"),"",M2e_Availability!F18)</f>
        <v>#NAME?</v>
      </c>
      <c r="E10" s="5" t="e">
        <f aca="false">IF(OR(M2e_Availability!G18="EMPTY",M2e_Availability!G18="NO_DAYLIGHT"),"",M2e_Availability!D18)</f>
        <v>#NAME?</v>
      </c>
      <c r="F10" s="5" t="e">
        <f aca="false">IF(OR(M2e_Availability!G18="EMPTY",M2e_Availability!G18="NO_DAYLIGHT"),"",M2e_Availability!D18)</f>
        <v>#NAME?</v>
      </c>
      <c r="G10" s="5" t="e">
        <f aca="false">IF(M2e_Availability!G18="EMPTY",0,M2e_Availability!E18)</f>
        <v>#NAME?</v>
      </c>
      <c r="H10" s="5" t="n">
        <f aca="false">M2e_Availability!C18</f>
        <v>40</v>
      </c>
    </row>
    <row r="11" customFormat="false" ht="15" hidden="false" customHeight="false" outlineLevel="0" collapsed="false">
      <c r="A11" s="5" t="str">
        <f aca="false">M2e_Availability!A19</f>
        <v>WB02-INV02</v>
      </c>
      <c r="B11" s="5" t="str">
        <f aca="false">M2e_Availability!B19</f>
        <v>PV2</v>
      </c>
      <c r="C11" s="16" t="e">
        <f aca="false">M2e_Availability!G19</f>
        <v>#NAME?</v>
      </c>
      <c r="D11" s="15" t="e">
        <f aca="false">IF(OR(M2e_Availability!G19="EMPTY",M2e_Availability!G19="NO_DAYLIGHT"),"",M2e_Availability!F19)</f>
        <v>#NAME?</v>
      </c>
      <c r="E11" s="5" t="e">
        <f aca="false">IF(OR(M2e_Availability!G19="EMPTY",M2e_Availability!G19="NO_DAYLIGHT"),"",M2e_Availability!D19)</f>
        <v>#NAME?</v>
      </c>
      <c r="F11" s="5" t="e">
        <f aca="false">IF(OR(M2e_Availability!G19="EMPTY",M2e_Availability!G19="NO_DAYLIGHT"),"",M2e_Availability!D19)</f>
        <v>#NAME?</v>
      </c>
      <c r="G11" s="5" t="e">
        <f aca="false">IF(M2e_Availability!G19="EMPTY",0,M2e_Availability!E19)</f>
        <v>#NAME?</v>
      </c>
      <c r="H11" s="5" t="n">
        <f aca="false">M2e_Availability!C19</f>
        <v>40</v>
      </c>
    </row>
    <row r="12" customFormat="false" ht="15" hidden="false" customHeight="false" outlineLevel="0" collapsed="false">
      <c r="A12" s="5" t="str">
        <f aca="false">M2e_Availability!A20</f>
        <v>WB02-INV02</v>
      </c>
      <c r="B12" s="5" t="str">
        <f aca="false">M2e_Availability!B20</f>
        <v>PV3</v>
      </c>
      <c r="C12" s="16" t="e">
        <f aca="false">M2e_Availability!G20</f>
        <v>#NAME?</v>
      </c>
      <c r="D12" s="15" t="e">
        <f aca="false">IF(OR(M2e_Availability!G20="EMPTY",M2e_Availability!G20="NO_DAYLIGHT"),"",M2e_Availability!F20)</f>
        <v>#NAME?</v>
      </c>
      <c r="E12" s="5" t="e">
        <f aca="false">IF(OR(M2e_Availability!G20="EMPTY",M2e_Availability!G20="NO_DAYLIGHT"),"",M2e_Availability!D20)</f>
        <v>#NAME?</v>
      </c>
      <c r="F12" s="5" t="e">
        <f aca="false">IF(OR(M2e_Availability!G20="EMPTY",M2e_Availability!G20="NO_DAYLIGHT"),"",M2e_Availability!D20)</f>
        <v>#NAME?</v>
      </c>
      <c r="G12" s="5" t="e">
        <f aca="false">IF(M2e_Availability!G20="EMPTY",0,M2e_Availability!E20)</f>
        <v>#NAME?</v>
      </c>
      <c r="H12" s="5" t="n">
        <f aca="false">M2e_Availability!C20</f>
        <v>40</v>
      </c>
    </row>
    <row r="13" customFormat="false" ht="15" hidden="false" customHeight="false" outlineLevel="0" collapsed="false">
      <c r="A13" s="5" t="str">
        <f aca="false">M2e_Availability!A21</f>
        <v>WB02-INV02</v>
      </c>
      <c r="B13" s="5" t="str">
        <f aca="false">M2e_Availability!B21</f>
        <v>PV4</v>
      </c>
      <c r="C13" s="16" t="e">
        <f aca="false">M2e_Availability!G21</f>
        <v>#NAME?</v>
      </c>
      <c r="D13" s="15" t="e">
        <f aca="false">IF(OR(M2e_Availability!G21="EMPTY",M2e_Availability!G21="NO_DAYLIGHT"),"",M2e_Availability!F21)</f>
        <v>#NAME?</v>
      </c>
      <c r="E13" s="5" t="e">
        <f aca="false">IF(OR(M2e_Availability!G21="EMPTY",M2e_Availability!G21="NO_DAYLIGHT"),"",M2e_Availability!D21)</f>
        <v>#NAME?</v>
      </c>
      <c r="F13" s="5" t="e">
        <f aca="false">IF(OR(M2e_Availability!G21="EMPTY",M2e_Availability!G21="NO_DAYLIGHT"),"",M2e_Availability!D21)</f>
        <v>#NAME?</v>
      </c>
      <c r="G13" s="5" t="e">
        <f aca="false">IF(M2e_Availability!G21="EMPTY",0,M2e_Availability!E21)</f>
        <v>#NAME?</v>
      </c>
      <c r="H13" s="5" t="n">
        <f aca="false">M2e_Availability!C21</f>
        <v>40</v>
      </c>
    </row>
    <row r="14" customFormat="false" ht="15" hidden="false" customHeight="false" outlineLevel="0" collapsed="false">
      <c r="A14" s="5" t="str">
        <f aca="false">M2e_Availability!A22</f>
        <v>WB02-INV02</v>
      </c>
      <c r="B14" s="5" t="str">
        <f aca="false">M2e_Availability!B22</f>
        <v>PV5</v>
      </c>
      <c r="C14" s="16" t="e">
        <f aca="false">M2e_Availability!G22</f>
        <v>#NAME?</v>
      </c>
      <c r="D14" s="15" t="e">
        <f aca="false">IF(OR(M2e_Availability!G22="EMPTY",M2e_Availability!G22="NO_DAYLIGHT"),"",M2e_Availability!F22)</f>
        <v>#NAME?</v>
      </c>
      <c r="E14" s="5" t="e">
        <f aca="false">IF(OR(M2e_Availability!G22="EMPTY",M2e_Availability!G22="NO_DAYLIGHT"),"",M2e_Availability!D22)</f>
        <v>#NAME?</v>
      </c>
      <c r="F14" s="5" t="e">
        <f aca="false">IF(OR(M2e_Availability!G22="EMPTY",M2e_Availability!G22="NO_DAYLIGHT"),"",M2e_Availability!D22)</f>
        <v>#NAME?</v>
      </c>
      <c r="G14" s="5" t="e">
        <f aca="false">IF(M2e_Availability!G22="EMPTY",0,M2e_Availability!E22)</f>
        <v>#NAME?</v>
      </c>
      <c r="H14" s="5" t="n">
        <f aca="false">M2e_Availability!C22</f>
        <v>40</v>
      </c>
    </row>
  </sheetData>
  <conditionalFormatting sqref="C5:C14">
    <cfRule type="cellIs" priority="2" operator="equal" aboveAverage="0" equalAverage="0" bottom="0" percent="0" rank="0" text="" dxfId="0">
      <formula>"CRITICAL"</formula>
    </cfRule>
    <cfRule type="cellIs" priority="3" operator="equal" aboveAverage="0" equalAverage="0" bottom="0" percent="0" rank="0" text="" dxfId="1">
      <formula>"HIGH"</formula>
    </cfRule>
    <cfRule type="cellIs" priority="4" operator="equal" aboveAverage="0" equalAverage="0" bottom="0" percent="0" rank="0" text="" dxfId="2">
      <formula>"MEDIUM"</formula>
    </cfRule>
    <cfRule type="cellIs" priority="5" operator="equal" aboveAverage="0" equalAverage="0" bottom="0" percent="0" rank="0" text="" dxfId="3">
      <formula>"INFO"</formula>
    </cfRule>
    <cfRule type="cellIs" priority="6" operator="equal" aboveAverage="0" equalAverage="0" bottom="0" percent="0" rank="0" text="" dxfId="4">
      <formula>"NORMAL"</formula>
    </cfRule>
    <cfRule type="cellIs" priority="7" operator="equal" aboveAverage="0" equalAverage="0" bottom="0" percent="0" rank="0" text="" dxfId="5">
      <formula>"EMPTY"</formula>
    </cfRule>
    <cfRule type="cellIs" priority="8" operator="equal" aboveAverage="0" equalAverage="0" bottom="0" percent="0" rank="0" text="" dxfId="6">
      <formula>"NO_DAYLIGHT"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6" min="6" style="0" width="18"/>
    <col collapsed="false" customWidth="true" hidden="false" outlineLevel="0" max="7" min="7" style="0" width="12"/>
    <col collapsed="false" customWidth="true" hidden="false" outlineLevel="0" max="8" min="8" style="0" width="70"/>
  </cols>
  <sheetData>
    <row r="1" customFormat="false" ht="17.35" hidden="false" customHeight="false" outlineLevel="0" collapsed="false">
      <c r="A1" s="7" t="s">
        <v>137</v>
      </c>
    </row>
    <row r="2" customFormat="false" ht="15" hidden="false" customHeight="false" outlineLevel="0" collapsed="false">
      <c r="A2" s="2" t="s">
        <v>138</v>
      </c>
    </row>
    <row r="4" customFormat="false" ht="23.85" hidden="false" customHeight="false" outlineLevel="0" collapsed="false">
      <c r="A4" s="10" t="s">
        <v>139</v>
      </c>
      <c r="B4" s="10" t="s">
        <v>140</v>
      </c>
      <c r="C4" s="10" t="s">
        <v>132</v>
      </c>
      <c r="D4" s="10" t="s">
        <v>133</v>
      </c>
      <c r="E4" s="10" t="s">
        <v>115</v>
      </c>
      <c r="F4" s="10" t="s">
        <v>141</v>
      </c>
      <c r="G4" s="10" t="s">
        <v>142</v>
      </c>
      <c r="H4" s="10" t="s">
        <v>117</v>
      </c>
    </row>
    <row r="5" customFormat="false" ht="15" hidden="false" customHeight="false" outlineLevel="0" collapsed="false">
      <c r="A5" s="5" t="s">
        <v>143</v>
      </c>
      <c r="B5" s="5" t="s">
        <v>144</v>
      </c>
      <c r="C5" s="5" t="str">
        <f aca="false">M2e_Availability!A6</f>
        <v>WB02-INV01</v>
      </c>
      <c r="D5" s="5"/>
      <c r="E5" s="16" t="e">
        <f aca="false">M2e_Availability!G6</f>
        <v>#NAME?</v>
      </c>
      <c r="F5" s="15" t="n">
        <f aca="false">M2e_Availability!E6</f>
        <v>100</v>
      </c>
      <c r="G5" s="5" t="e">
        <f aca="false">M2e_Availability!H6</f>
        <v>#NAME?</v>
      </c>
      <c r="H5" s="5" t="str">
        <f aca="false">M2e_Availability!I6</f>
        <v>inverter uptime 100.00% (n_on=12, n_down=0)</v>
      </c>
    </row>
    <row r="6" customFormat="false" ht="15" hidden="false" customHeight="false" outlineLevel="0" collapsed="false">
      <c r="A6" s="5" t="s">
        <v>143</v>
      </c>
      <c r="B6" s="5" t="s">
        <v>144</v>
      </c>
      <c r="C6" s="5" t="str">
        <f aca="false">M2e_Availability!A7</f>
        <v>WB02-INV02</v>
      </c>
      <c r="D6" s="5"/>
      <c r="E6" s="16" t="e">
        <f aca="false">M2e_Availability!G7</f>
        <v>#NAME?</v>
      </c>
      <c r="F6" s="15" t="n">
        <f aca="false">M2e_Availability!E7</f>
        <v>66.6666666666667</v>
      </c>
      <c r="G6" s="5" t="e">
        <f aca="false">M2e_Availability!H7</f>
        <v>#NAME?</v>
      </c>
      <c r="H6" s="5" t="str">
        <f aca="false">M2e_Availability!I7</f>
        <v>inverter uptime 66.67% (n_on=8, n_down=4)</v>
      </c>
    </row>
    <row r="7" customFormat="false" ht="15" hidden="false" customHeight="false" outlineLevel="0" collapsed="false">
      <c r="A7" s="5" t="s">
        <v>145</v>
      </c>
      <c r="B7" s="5" t="s">
        <v>146</v>
      </c>
      <c r="C7" s="5" t="str">
        <f aca="false">M2e_Availability!A13</f>
        <v>WB02-INV01</v>
      </c>
      <c r="D7" s="5" t="str">
        <f aca="false">M2e_Availability!B13</f>
        <v>PV1</v>
      </c>
      <c r="E7" s="16" t="e">
        <f aca="false">M2e_Availability!G13</f>
        <v>#NAME?</v>
      </c>
      <c r="F7" s="15" t="n">
        <f aca="false">M2e_Availability!F13</f>
        <v>100</v>
      </c>
      <c r="G7" s="5" t="s">
        <v>147</v>
      </c>
      <c r="H7" s="5" t="str">
        <f aca="false">M2e_Availability!I13</f>
        <v>NORMAL</v>
      </c>
    </row>
    <row r="8" customFormat="false" ht="15" hidden="false" customHeight="false" outlineLevel="0" collapsed="false">
      <c r="A8" s="5" t="s">
        <v>145</v>
      </c>
      <c r="B8" s="5" t="s">
        <v>146</v>
      </c>
      <c r="C8" s="5" t="str">
        <f aca="false">M2e_Availability!A14</f>
        <v>WB02-INV01</v>
      </c>
      <c r="D8" s="5" t="str">
        <f aca="false">M2e_Availability!B14</f>
        <v>PV2</v>
      </c>
      <c r="E8" s="16" t="e">
        <f aca="false">M2e_Availability!G14</f>
        <v>#NAME?</v>
      </c>
      <c r="F8" s="15" t="n">
        <f aca="false">M2e_Availability!F14</f>
        <v>100</v>
      </c>
      <c r="G8" s="5" t="s">
        <v>147</v>
      </c>
      <c r="H8" s="5" t="str">
        <f aca="false">M2e_Availability!I14</f>
        <v>NORMAL</v>
      </c>
    </row>
    <row r="9" customFormat="false" ht="15" hidden="false" customHeight="false" outlineLevel="0" collapsed="false">
      <c r="A9" s="5" t="s">
        <v>145</v>
      </c>
      <c r="B9" s="5" t="s">
        <v>146</v>
      </c>
      <c r="C9" s="5" t="str">
        <f aca="false">M2e_Availability!A15</f>
        <v>WB02-INV01</v>
      </c>
      <c r="D9" s="5" t="str">
        <f aca="false">M2e_Availability!B15</f>
        <v>PV3</v>
      </c>
      <c r="E9" s="16" t="e">
        <f aca="false">M2e_Availability!G15</f>
        <v>#NAME?</v>
      </c>
      <c r="F9" s="15" t="n">
        <f aca="false">M2e_Availability!F15</f>
        <v>100</v>
      </c>
      <c r="G9" s="5" t="s">
        <v>147</v>
      </c>
      <c r="H9" s="5" t="str">
        <f aca="false">M2e_Availability!I15</f>
        <v>NORMAL</v>
      </c>
    </row>
    <row r="10" customFormat="false" ht="15" hidden="false" customHeight="false" outlineLevel="0" collapsed="false">
      <c r="A10" s="5" t="s">
        <v>145</v>
      </c>
      <c r="B10" s="5" t="s">
        <v>146</v>
      </c>
      <c r="C10" s="5" t="str">
        <f aca="false">M2e_Availability!A16</f>
        <v>WB02-INV01</v>
      </c>
      <c r="D10" s="5" t="str">
        <f aca="false">M2e_Availability!B16</f>
        <v>PV4</v>
      </c>
      <c r="E10" s="16" t="e">
        <f aca="false">M2e_Availability!G16</f>
        <v>#NAME?</v>
      </c>
      <c r="F10" s="15" t="n">
        <f aca="false">M2e_Availability!F16</f>
        <v>100</v>
      </c>
      <c r="G10" s="5" t="s">
        <v>147</v>
      </c>
      <c r="H10" s="5" t="str">
        <f aca="false">M2e_Availability!I16</f>
        <v>NORMAL</v>
      </c>
    </row>
    <row r="11" customFormat="false" ht="15" hidden="false" customHeight="false" outlineLevel="0" collapsed="false">
      <c r="A11" s="5" t="s">
        <v>145</v>
      </c>
      <c r="B11" s="5" t="s">
        <v>146</v>
      </c>
      <c r="C11" s="5" t="str">
        <f aca="false">M2e_Availability!A17</f>
        <v>WB02-INV01</v>
      </c>
      <c r="D11" s="5" t="str">
        <f aca="false">M2e_Availability!B17</f>
        <v>PV5</v>
      </c>
      <c r="E11" s="16" t="e">
        <f aca="false">M2e_Availability!G17</f>
        <v>#NAME?</v>
      </c>
      <c r="F11" s="15" t="n">
        <f aca="false">M2e_Availability!F17</f>
        <v>100</v>
      </c>
      <c r="G11" s="5" t="s">
        <v>147</v>
      </c>
      <c r="H11" s="5" t="str">
        <f aca="false">M2e_Availability!I17</f>
        <v>EMPTY (skip)</v>
      </c>
    </row>
    <row r="12" customFormat="false" ht="15" hidden="false" customHeight="false" outlineLevel="0" collapsed="false">
      <c r="A12" s="5" t="s">
        <v>145</v>
      </c>
      <c r="B12" s="5" t="s">
        <v>146</v>
      </c>
      <c r="C12" s="5" t="str">
        <f aca="false">M2e_Availability!A18</f>
        <v>WB02-INV02</v>
      </c>
      <c r="D12" s="5" t="str">
        <f aca="false">M2e_Availability!B18</f>
        <v>PV1</v>
      </c>
      <c r="E12" s="16" t="e">
        <f aca="false">M2e_Availability!G18</f>
        <v>#NAME?</v>
      </c>
      <c r="F12" s="15" t="n">
        <f aca="false">M2e_Availability!F18</f>
        <v>100</v>
      </c>
      <c r="G12" s="5" t="s">
        <v>147</v>
      </c>
      <c r="H12" s="5" t="str">
        <f aca="false">M2e_Availability!I18</f>
        <v>NORMAL</v>
      </c>
    </row>
    <row r="13" customFormat="false" ht="15" hidden="false" customHeight="false" outlineLevel="0" collapsed="false">
      <c r="A13" s="5" t="s">
        <v>145</v>
      </c>
      <c r="B13" s="5" t="s">
        <v>146</v>
      </c>
      <c r="C13" s="5" t="str">
        <f aca="false">M2e_Availability!A19</f>
        <v>WB02-INV02</v>
      </c>
      <c r="D13" s="5" t="str">
        <f aca="false">M2e_Availability!B19</f>
        <v>PV2</v>
      </c>
      <c r="E13" s="16" t="e">
        <f aca="false">M2e_Availability!G19</f>
        <v>#NAME?</v>
      </c>
      <c r="F13" s="15" t="n">
        <f aca="false">M2e_Availability!F19</f>
        <v>100</v>
      </c>
      <c r="G13" s="5" t="s">
        <v>147</v>
      </c>
      <c r="H13" s="5" t="str">
        <f aca="false">M2e_Availability!I19</f>
        <v>NORMAL</v>
      </c>
    </row>
    <row r="14" customFormat="false" ht="15" hidden="false" customHeight="false" outlineLevel="0" collapsed="false">
      <c r="A14" s="5" t="s">
        <v>145</v>
      </c>
      <c r="B14" s="5" t="s">
        <v>146</v>
      </c>
      <c r="C14" s="5" t="str">
        <f aca="false">M2e_Availability!A20</f>
        <v>WB02-INV02</v>
      </c>
      <c r="D14" s="5" t="str">
        <f aca="false">M2e_Availability!B20</f>
        <v>PV3</v>
      </c>
      <c r="E14" s="16" t="e">
        <f aca="false">M2e_Availability!G20</f>
        <v>#NAME?</v>
      </c>
      <c r="F14" s="15" t="n">
        <f aca="false">M2e_Availability!F20</f>
        <v>100</v>
      </c>
      <c r="G14" s="5" t="s">
        <v>147</v>
      </c>
      <c r="H14" s="5" t="str">
        <f aca="false">M2e_Availability!I20</f>
        <v>NORMAL</v>
      </c>
    </row>
    <row r="15" customFormat="false" ht="15" hidden="false" customHeight="false" outlineLevel="0" collapsed="false">
      <c r="A15" s="5" t="s">
        <v>145</v>
      </c>
      <c r="B15" s="5" t="s">
        <v>146</v>
      </c>
      <c r="C15" s="5" t="str">
        <f aca="false">M2e_Availability!A21</f>
        <v>WB02-INV02</v>
      </c>
      <c r="D15" s="5" t="str">
        <f aca="false">M2e_Availability!B21</f>
        <v>PV4</v>
      </c>
      <c r="E15" s="16" t="e">
        <f aca="false">M2e_Availability!G21</f>
        <v>#NAME?</v>
      </c>
      <c r="F15" s="15" t="n">
        <f aca="false">M2e_Availability!F21</f>
        <v>100</v>
      </c>
      <c r="G15" s="5" t="s">
        <v>147</v>
      </c>
      <c r="H15" s="5" t="str">
        <f aca="false">M2e_Availability!I21</f>
        <v>NORMAL</v>
      </c>
    </row>
    <row r="16" customFormat="false" ht="15" hidden="false" customHeight="false" outlineLevel="0" collapsed="false">
      <c r="A16" s="5" t="s">
        <v>145</v>
      </c>
      <c r="B16" s="5" t="s">
        <v>146</v>
      </c>
      <c r="C16" s="5" t="str">
        <f aca="false">M2e_Availability!A22</f>
        <v>WB02-INV02</v>
      </c>
      <c r="D16" s="5" t="str">
        <f aca="false">M2e_Availability!B22</f>
        <v>PV5</v>
      </c>
      <c r="E16" s="16" t="e">
        <f aca="false">M2e_Availability!G22</f>
        <v>#NAME?</v>
      </c>
      <c r="F16" s="15" t="n">
        <f aca="false">M2e_Availability!F22</f>
        <v>100</v>
      </c>
      <c r="G16" s="5" t="s">
        <v>147</v>
      </c>
      <c r="H16" s="5" t="str">
        <f aca="false">M2e_Availability!I22</f>
        <v>EMPTY (skip)</v>
      </c>
    </row>
  </sheetData>
  <autoFilter ref="A4:H16"/>
  <conditionalFormatting sqref="E5:E16">
    <cfRule type="cellIs" priority="2" operator="equal" aboveAverage="0" equalAverage="0" bottom="0" percent="0" rank="0" text="" dxfId="0">
      <formula>"CRITICAL"</formula>
    </cfRule>
    <cfRule type="cellIs" priority="3" operator="equal" aboveAverage="0" equalAverage="0" bottom="0" percent="0" rank="0" text="" dxfId="1">
      <formula>"HIGH"</formula>
    </cfRule>
    <cfRule type="cellIs" priority="4" operator="equal" aboveAverage="0" equalAverage="0" bottom="0" percent="0" rank="0" text="" dxfId="2">
      <formula>"MEDIUM"</formula>
    </cfRule>
    <cfRule type="cellIs" priority="5" operator="equal" aboveAverage="0" equalAverage="0" bottom="0" percent="0" rank="0" text="" dxfId="3">
      <formula>"INFO"</formula>
    </cfRule>
    <cfRule type="cellIs" priority="6" operator="equal" aboveAverage="0" equalAverage="0" bottom="0" percent="0" rank="0" text="" dxfId="4">
      <formula>"NORMAL"</formula>
    </cfRule>
    <cfRule type="cellIs" priority="7" operator="equal" aboveAverage="0" equalAverage="0" bottom="0" percent="0" rank="0" text="" dxfId="5">
      <formula>"EMPTY"</formula>
    </cfRule>
    <cfRule type="cellIs" priority="8" operator="equal" aboveAverage="0" equalAverage="0" bottom="0" percent="0" rank="0" text="" dxfId="6">
      <formula>"NO_DAYLIGHT"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2026-05-28T07:19:05Z</dcterms:created>
  <dc:creator>openpyxl</dc:creator>
  <dc:description/>
  <dc:language>en-US</dc:language>
  <cp:lastModifiedBy/>
  <dcterms:modified xsi:type="dcterms:W3CDTF">2026-05-28T07:19:05Z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