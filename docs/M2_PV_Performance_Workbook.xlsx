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EmptyPVMap" sheetId="4" state="visible" r:id="rId4"/>
    <sheet xmlns:r="http://schemas.openxmlformats.org/officeDocument/2006/relationships" name="Helpers_M2e" sheetId="5" state="visible" r:id="rId5"/>
    <sheet xmlns:r="http://schemas.openxmlformats.org/officeDocument/2006/relationships" name="M2e_Availability" sheetId="6" state="visible" r:id="rId6"/>
    <sheet xmlns:r="http://schemas.openxmlformats.org/officeDocument/2006/relationships" name="M2e_AllStrings" sheetId="7" state="visible" r:id="rId7"/>
    <sheet xmlns:r="http://schemas.openxmlformats.org/officeDocument/2006/relationships" name="Findings_Summary" sheetId="8" state="visible" r:id="rId8"/>
    <sheet xmlns:r="http://schemas.openxmlformats.org/officeDocument/2006/relationships" name="PanelSpec" sheetId="9" state="visible" r:id="rId9"/>
    <sheet xmlns:r="http://schemas.openxmlformats.org/officeDocument/2006/relationships" name="Raw_Data_M2b" sheetId="10" state="visible" r:id="rId10"/>
    <sheet xmlns:r="http://schemas.openxmlformats.org/officeDocument/2006/relationships" name="Meteo_Dummy" sheetId="11" state="visible" r:id="rId11"/>
    <sheet xmlns:r="http://schemas.openxmlformats.org/officeDocument/2006/relationships" name="Helpers_M2b" sheetId="12" state="visible" r:id="rId12"/>
    <sheet xmlns:r="http://schemas.openxmlformats.org/officeDocument/2006/relationships" name="M2b_PeerZScore" sheetId="13" state="visible" r:id="rId13"/>
    <sheet xmlns:r="http://schemas.openxmlformats.org/officeDocument/2006/relationships" name="M2b_StringStatus" sheetId="14" state="visible" r:id="rId14"/>
    <sheet xmlns:r="http://schemas.openxmlformats.org/officeDocument/2006/relationships" name="M2b_StatComparison" sheetId="15" state="visible" r:id="rId15"/>
    <sheet xmlns:r="http://schemas.openxmlformats.org/officeDocument/2006/relationships" name="Hampel_Preprocessing" sheetId="16" state="visible" r:id="rId16"/>
  </sheets>
  <definedNames>
    <definedName name="cfg_critical_below">Config!$C$4</definedName>
    <definedName name="cfg_high_below">Config!$C$5</definedName>
    <definedName name="cfg_medium_below">Config!$C$6</definedName>
    <definedName name="cfg_info_below">Config!$C$7</definedName>
    <definedName name="cfg_emit_normal">Config!$C$8</definedName>
    <definedName name="cfg_pstr_zero_threshold_kw">Config!$C$9</definedName>
    <definedName name="cfg_sibling_median_active_kw">Config!$C$10</definedName>
    <definedName name="cfg_min_active_siblings_pct">Config!$C$11</definedName>
    <definedName name="cfg_debounce_consecutive_steps">Config!$C$12</definedName>
    <definedName name="cfg_interval_minutes">Config!$C$13</definedName>
    <definedName name="cfg_pv_max">Config!$C$14</definedName>
    <definedName name="cfg_n_pv_total_in_workbook">Config!$C$15</definedName>
    <definedName name="cfg_poa_threshold_wm2">Config!$C$16</definedName>
    <definedName name="cfg_poa_floor_wm2">Config!$C$17</definedName>
    <definedName name="cfg_z_threshold">Config!$C$18</definedName>
    <definedName name="cfg_z_high_threshold">Config!$C$19</definedName>
    <definedName name="cfg_voc_ratio_threshold">Config!$C$20</definedName>
    <definedName name="cfg_stat_method">Config!$C$21</definedName>
    <definedName name="cfg_min_peer_strings">Config!$C$22</definedName>
    <definedName name="cfg_min_daylight_samples">Config!$C$23</definedName>
    <definedName name="cfg_i_clip_floor_a">Config!$C$24</definedName>
    <definedName name="cfg_i_threshold_a">Config!$C$25</definedName>
    <definedName name="cfg_min_voc_v">Config!$C$26</definedName>
    <definedName name="cfg_min_samples">Config!$C$27</definedName>
    <definedName name="cfg_hampel_window">Config!$C$28</definedName>
    <definedName name="cfg_hampel_max_deviation">Config!$C$29</definedName>
    <definedName name="cfg_enabled">Config!$C$30</definedName>
    <definedName name="cfg_default_source">Config!$C$31</definedName>
    <definedName name="panel_voc_stc_v">PanelSpec!$B$6</definedName>
    <definedName name="panel_vmp_stc_v">PanelSpec!$B$7</definedName>
    <definedName name="panel_imp_stc_a">PanelSpec!$B$8</definedName>
    <definedName name="panel_isc_stc_a">PanelSpec!$B$9</definedName>
    <definedName name="panel_pmax_stc_w">PanelSpec!$B$10</definedName>
    <definedName name="panel_voc_noct_v">PanelSpec!$B$11</definedName>
    <definedName name="panel_temp_coef_voc_pct_per_c">PanelSpec!$B$12</definedName>
    <definedName name="panel_temp_coef_pmax_pct_per_c">PanelSpec!$B$13</definedName>
    <definedName name="panel_temp_coef_isc_pct_per_c">PanelSpec!$B$14</definedName>
    <definedName name="panel_t_stc_c">PanelSpec!$B$15</definedName>
    <definedName name="panel_max_system_voltage_v">PanelSpec!$B$16</definedName>
    <definedName name="panel_default_modules_per_string">PanelSpec!$B$17</definedName>
    <definedName name="panel_modules_per_string_WB01">PanelSpec!$B$18</definedName>
    <definedName name="panel_modules_per_string_WB02">PanelSpec!$B$19</definedName>
    <definedName name="panel_modules_per_string_WB03_10">PanelSpec!$B$20</definedName>
    <definedName name="voc_per_module_calc">PanelSpec!$B$24</definedName>
    <definedName name="voc_string_24_calc">PanelSpec!$B$25</definedName>
    <definedName name="voc_string_26_calc">PanelSpec!$B$26</definedName>
    <definedName name="tcell_dummy_c">PanelSpec!$B$23</definedName>
    <definedName name="rstr_fleet_mean">M2b_PeerZScore!$B$15</definedName>
    <definedName name="rstr_fleet_median">M2b_PeerZScore!$B$16</definedName>
    <definedName name="rstr_fleet_std">M2b_PeerZScore!$B$17</definedName>
    <definedName name="_xlnm._FilterDatabase" localSheetId="7" hidden="1">'Findings_Summary'!$A$4:$H$22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0.0"/>
    <numFmt numFmtId="167" formatCode="yyyy-mm-dd h:mm:ss"/>
  </numFmts>
  <fonts count="8">
    <font>
      <name val="Calibri"/>
      <family val="2"/>
      <color theme="1"/>
      <sz val="11"/>
      <scheme val="minor"/>
    </font>
    <font>
      <b val="1"/>
      <color rgb="00305496"/>
      <sz val="16"/>
    </font>
    <font>
      <i val="1"/>
      <color rgb="00595959"/>
    </font>
    <font>
      <name val="Calibri"/>
      <b val="1"/>
      <sz val="10"/>
    </font>
    <font>
      <b val="1"/>
      <color rgb="00305496"/>
      <sz val="14"/>
    </font>
    <font>
      <name val="Calibri"/>
      <b val="1"/>
      <color rgb="00FFFFFF"/>
      <sz val="11"/>
    </font>
    <font>
      <b val="1"/>
    </font>
    <font>
      <i val="1"/>
      <color rgb="00A0A0A0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2" borderId="0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6" fillId="4" borderId="0" pivotButton="0" quotePrefix="0" xfId="0"/>
    <xf numFmtId="2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06666"/>
        </patternFill>
      </fill>
    </dxf>
    <dxf>
      <fill>
        <patternFill patternType="solid">
          <fgColor rgb="00F6B26B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A4C2F4"/>
        </patternFill>
      </fill>
    </dxf>
    <dxf>
      <fill>
        <patternFill patternType="solid">
          <fgColor rgb="00B6D7A8"/>
        </patternFill>
      </fill>
    </dxf>
    <dxf>
      <fill>
        <patternFill patternType="solid">
          <fgColor rgb="00DDDDDD"/>
        </patternFill>
      </fill>
    </dxf>
    <dxf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M2 PV Performance — Workbook Excel</t>
        </is>
      </c>
    </row>
    <row r="2">
      <c r="A2" s="2" t="inlineStr">
        <is>
          <t>Reverse engineering dari pv_pipeline/ (notebook 20260514stringmap_v1.5.ipynb)</t>
        </is>
      </c>
    </row>
    <row r="4">
      <c r="A4" s="3" t="inlineStr">
        <is>
          <t>Iterasi log</t>
        </is>
      </c>
    </row>
    <row r="5">
      <c r="A5" s="4" t="inlineStr">
        <is>
          <t>Iterasi</t>
        </is>
      </c>
      <c r="B5" s="4" t="inlineStr">
        <is>
          <t>Tanggal</t>
        </is>
      </c>
      <c r="C5" s="4" t="inlineStr">
        <is>
          <t>Detector</t>
        </is>
      </c>
      <c r="D5" s="4" t="inlineStr">
        <is>
          <t>Sheet yang ditambah</t>
        </is>
      </c>
    </row>
    <row r="6">
      <c r="A6" s="5" t="inlineStr">
        <is>
          <t>1 (Phase 1)</t>
        </is>
      </c>
      <c r="B6" s="5" t="inlineStr">
        <is>
          <t>2026-05-28</t>
        </is>
      </c>
      <c r="C6" s="5" t="inlineStr">
        <is>
          <t>—</t>
        </is>
      </c>
      <c r="D6" s="5" t="inlineStr">
        <is>
          <t>Hanya dokumen overview (.docx + .md). Belum ada Excel.</t>
        </is>
      </c>
    </row>
    <row r="7">
      <c r="A7" s="5" t="inlineStr">
        <is>
          <t>2</t>
        </is>
      </c>
      <c r="B7" s="5" t="inlineStr">
        <is>
          <t>2026-05-28</t>
        </is>
      </c>
      <c r="C7" s="5" t="inlineStr">
        <is>
          <t>M2eAvailability</t>
        </is>
      </c>
      <c r="D7" s="5" t="inlineStr">
        <is>
          <t>README, Config, Raw_Data, EmptyPVMap, Helpers_M2e, M2e_Availability, M2e_AllStrings, Findings_Summary</t>
        </is>
      </c>
    </row>
    <row r="8">
      <c r="A8" s="5" t="inlineStr">
        <is>
          <t>3</t>
        </is>
      </c>
      <c r="B8" s="5" t="inlineStr">
        <is>
          <t>2026-05-28</t>
        </is>
      </c>
      <c r="C8" s="5" t="inlineStr">
        <is>
          <t>M2bPeerZScore</t>
        </is>
      </c>
      <c r="D8" s="5" t="inlineStr">
        <is>
          <t>Meteo_Dummy, PanelSpec, Raw_Data_M2b, Helpers_M2b, M2b_PeerZScore, M2b_StringStatus, Hampel_Preprocessing, M2b_StatComparison</t>
        </is>
      </c>
    </row>
    <row r="10">
      <c r="A10" s="3" t="inlineStr">
        <is>
          <t>Cara membaca</t>
        </is>
      </c>
    </row>
    <row r="11" ht="30" customHeight="1">
      <c r="A11" s="6" t="inlineStr">
        <is>
          <t>• Sheet 'Config' adalah single source of truth untuk semua threshold. Edit di sini → seluruh workbook recalc.</t>
        </is>
      </c>
    </row>
    <row r="12" ht="30" customHeight="1">
      <c r="A12" s="6" t="inlineStr">
        <is>
          <t>• Sheet 'Raw_Data' berisi data dummy realistis. Ganti dengan data aktual mu (paste over) untuk pakai workbook ini di lapangan.</t>
        </is>
      </c>
    </row>
    <row r="13" ht="30" customHeight="1">
      <c r="A13" s="6" t="inlineStr">
        <is>
          <t>• Sheet 'Helpers_M2e' adalah JEMBATAN antara Raw_Data dan M2e_Availability. Tiap kolom punya formula yang ekuivalen dengan satu langkah di pv_pipeline/availability.py.</t>
        </is>
      </c>
    </row>
    <row r="14" ht="30" customHeight="1">
      <c r="A14" s="6" t="inlineStr">
        <is>
          <t>• Sheet 'M2e_Availability' menampilkan hasil akhir per inverter &amp; per string + severity. Sheet 'M2e_AllStrings' mereplika output sheet xlsx Python.</t>
        </is>
      </c>
    </row>
    <row r="15" ht="30" customHeight="1">
      <c r="A15" s="6" t="inlineStr">
        <is>
          <t>• Severity dihitung via IFS() dari uptime_pct ke threshold di Config.</t>
        </is>
      </c>
    </row>
    <row r="16" ht="30" customHeight="1">
      <c r="A16" s="6" t="inlineStr">
        <is>
          <t>• Workbook ini akan TUMBUH per iterasi — sheet baru ditambah tanpa mengubah yang lama.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60" customWidth="1" min="4" max="4"/>
  </cols>
  <sheetData>
    <row r="1">
      <c r="A1" s="7" t="inlineStr">
        <is>
          <t>M2 Configuration (mirror config/m2_config.yaml)</t>
        </is>
      </c>
    </row>
    <row r="3">
      <c r="A3" s="8" t="inlineStr">
        <is>
          <t>Section</t>
        </is>
      </c>
      <c r="B3" s="8" t="inlineStr">
        <is>
          <t>Key</t>
        </is>
      </c>
      <c r="C3" s="8" t="inlineStr">
        <is>
          <t>Value</t>
        </is>
      </c>
      <c r="D3" s="8" t="inlineStr">
        <is>
          <t>Unit / Notes</t>
        </is>
      </c>
    </row>
    <row r="4">
      <c r="A4" s="5" t="inlineStr">
        <is>
          <t>m2e.severity</t>
        </is>
      </c>
      <c r="B4" s="5" t="inlineStr">
        <is>
          <t>critical_below</t>
        </is>
      </c>
      <c r="C4" s="9" t="n">
        <v>90</v>
      </c>
      <c r="D4" s="5" t="inlineStr">
        <is>
          <t>% uptime; &lt; ini → CRITICAL</t>
        </is>
      </c>
    </row>
    <row r="5">
      <c r="A5" s="5" t="inlineStr">
        <is>
          <t>m2e.severity</t>
        </is>
      </c>
      <c r="B5" s="5" t="inlineStr">
        <is>
          <t>high_below</t>
        </is>
      </c>
      <c r="C5" s="9" t="n">
        <v>95</v>
      </c>
      <c r="D5" s="5" t="inlineStr">
        <is>
          <t>% uptime; &lt; ini → HIGH</t>
        </is>
      </c>
    </row>
    <row r="6">
      <c r="A6" s="5" t="inlineStr">
        <is>
          <t>m2e.severity</t>
        </is>
      </c>
      <c r="B6" s="5" t="inlineStr">
        <is>
          <t>medium_below</t>
        </is>
      </c>
      <c r="C6" s="9" t="n">
        <v>97</v>
      </c>
      <c r="D6" s="5" t="inlineStr">
        <is>
          <t>% uptime; &lt; ini → MEDIUM</t>
        </is>
      </c>
    </row>
    <row r="7">
      <c r="A7" s="5" t="inlineStr">
        <is>
          <t>m2e.severity</t>
        </is>
      </c>
      <c r="B7" s="5" t="inlineStr">
        <is>
          <t>info_below</t>
        </is>
      </c>
      <c r="C7" s="9" t="n">
        <v>99</v>
      </c>
      <c r="D7" s="5" t="inlineStr">
        <is>
          <t>% uptime; &lt; ini → INFO; ≥ ini → NORMAL</t>
        </is>
      </c>
    </row>
    <row r="8">
      <c r="A8" s="5" t="inlineStr">
        <is>
          <t>m2e.severity</t>
        </is>
      </c>
      <c r="B8" s="5" t="inlineStr">
        <is>
          <t>emit_normal</t>
        </is>
      </c>
      <c r="C8" s="9" t="n">
        <v>0</v>
      </c>
      <c r="D8" s="5" t="inlineStr">
        <is>
          <t>1=emit NORMAL findings, 0=skip</t>
        </is>
      </c>
    </row>
    <row r="9">
      <c r="A9" s="5" t="inlineStr">
        <is>
          <t>m2e.string_proxy</t>
        </is>
      </c>
      <c r="B9" s="5" t="inlineStr">
        <is>
          <t>pstr_zero_threshold_kw</t>
        </is>
      </c>
      <c r="C9" s="9" t="n">
        <v>0.1</v>
      </c>
      <c r="D9" s="5" t="inlineStr">
        <is>
          <t>kW; PV power &lt; ini → string dianggap mati</t>
        </is>
      </c>
    </row>
    <row r="10">
      <c r="A10" s="5" t="inlineStr">
        <is>
          <t>m2e.string_proxy</t>
        </is>
      </c>
      <c r="B10" s="5" t="inlineStr">
        <is>
          <t>sibling_median_active_kw</t>
        </is>
      </c>
      <c r="C10" s="9" t="n">
        <v>1</v>
      </c>
      <c r="D10" s="5" t="inlineStr">
        <is>
          <t>kW; median sibling &gt;= ini → timestamp 'produktif'</t>
        </is>
      </c>
    </row>
    <row r="11">
      <c r="A11" s="5" t="inlineStr">
        <is>
          <t>m2e.string_proxy</t>
        </is>
      </c>
      <c r="B11" s="5" t="inlineStr">
        <is>
          <t>min_active_siblings_pct</t>
        </is>
      </c>
      <c r="C11" s="9" t="n">
        <v>50</v>
      </c>
      <c r="D11" s="5" t="inlineStr">
        <is>
          <t>%; minimum % sibling aktif → 'qualified' timestamp</t>
        </is>
      </c>
    </row>
    <row r="12">
      <c r="A12" s="5" t="inlineStr">
        <is>
          <t>m2e.string_proxy</t>
        </is>
      </c>
      <c r="B12" s="5" t="inlineStr">
        <is>
          <t>debounce_consecutive_steps</t>
        </is>
      </c>
      <c r="C12" s="9" t="n">
        <v>2</v>
      </c>
      <c r="D12" s="5" t="inlineStr">
        <is>
          <t>step; run candidate &gt;= ini → genuine event. DUMMY=2 (original spec). PRODUKSI IKN=20 (~1h40m persist).</t>
        </is>
      </c>
    </row>
    <row r="13">
      <c r="A13" s="5" t="inlineStr">
        <is>
          <t>system</t>
        </is>
      </c>
      <c r="B13" s="5" t="inlineStr">
        <is>
          <t>interval_minutes</t>
        </is>
      </c>
      <c r="C13" s="9" t="n">
        <v>5</v>
      </c>
      <c r="D13" s="5" t="inlineStr">
        <is>
          <t>menit; median selisih Start Time (auto-detected, override saat dummy)</t>
        </is>
      </c>
    </row>
    <row r="14">
      <c r="A14" s="5" t="inlineStr">
        <is>
          <t>system</t>
        </is>
      </c>
      <c r="B14" s="5" t="inlineStr">
        <is>
          <t>pv_max</t>
        </is>
      </c>
      <c r="C14" s="9" t="n">
        <v>28</v>
      </c>
      <c r="D14" s="5" t="inlineStr">
        <is>
          <t>PV string per inverter (hardcoded Huawei cap)</t>
        </is>
      </c>
    </row>
    <row r="15">
      <c r="A15" s="5" t="inlineStr">
        <is>
          <t>system</t>
        </is>
      </c>
      <c r="B15" s="5" t="inlineStr">
        <is>
          <t>n_pv_total_in_workbook</t>
        </is>
      </c>
      <c r="C15" s="9" t="n">
        <v>5</v>
      </c>
      <c r="D15" s="5" t="inlineStr">
        <is>
          <t>PV string yang ada di sheet ini (PV1..PV5)</t>
        </is>
      </c>
    </row>
    <row r="16">
      <c r="A16" s="5" t="inlineStr">
        <is>
          <t>m2b</t>
        </is>
      </c>
      <c r="B16" s="5" t="inlineStr">
        <is>
          <t>poa_threshold_wm2</t>
        </is>
      </c>
      <c r="C16" s="9" t="n">
        <v>300</v>
      </c>
      <c r="D16" s="5" t="inlineStr">
        <is>
          <t>W/m²; |z| Z-score hanya hitung saat POA &gt; ini (spec 4.2.1)</t>
        </is>
      </c>
    </row>
    <row r="17">
      <c r="A17" s="5" t="inlineStr">
        <is>
          <t>m2b</t>
        </is>
      </c>
      <c r="B17" s="5" t="inlineStr">
        <is>
          <t>poa_floor_wm2</t>
        </is>
      </c>
      <c r="C17" s="9" t="n">
        <v>50</v>
      </c>
      <c r="D17" s="5" t="inlineStr">
        <is>
          <t>W/m²; sunset fix — POA harus &gt; ini (sensor lag protection)</t>
        </is>
      </c>
    </row>
    <row r="18">
      <c r="A18" s="5" t="inlineStr">
        <is>
          <t>m2b</t>
        </is>
      </c>
      <c r="B18" s="5" t="inlineStr">
        <is>
          <t>z_threshold</t>
        </is>
      </c>
      <c r="C18" s="9" t="n">
        <v>2.5</v>
      </c>
      <c r="D18" s="5" t="inlineStr">
        <is>
          <t>|z| &gt; ini → flag suspect (spec 4.2.1)</t>
        </is>
      </c>
    </row>
    <row r="19">
      <c r="A19" s="5" t="inlineStr">
        <is>
          <t>m2b</t>
        </is>
      </c>
      <c r="B19" s="5" t="inlineStr">
        <is>
          <t>z_high_threshold</t>
        </is>
      </c>
      <c r="C19" s="9" t="n">
        <v>3.5</v>
      </c>
      <c r="D19" s="5" t="inlineStr">
        <is>
          <t>|z| &gt; ini → severity HIGH; else MEDIUM</t>
        </is>
      </c>
    </row>
    <row r="20">
      <c r="A20" s="5" t="inlineStr">
        <is>
          <t>m2b</t>
        </is>
      </c>
      <c r="B20" s="5" t="inlineStr">
        <is>
          <t>voc_ratio_threshold</t>
        </is>
      </c>
      <c r="C20" s="9" t="n">
        <v>0.95</v>
      </c>
      <c r="D20" s="5" t="inlineStr">
        <is>
          <t>voc_actual/voc_string_nominal &gt; ini → confirm high_R (spec 4.2.3)</t>
        </is>
      </c>
    </row>
    <row r="21">
      <c r="A21" s="5" t="inlineStr">
        <is>
          <t>m2b</t>
        </is>
      </c>
      <c r="B21" s="5" t="inlineStr">
        <is>
          <t>stat_method</t>
        </is>
      </c>
      <c r="C21" s="9" t="inlineStr">
        <is>
          <t>median</t>
        </is>
      </c>
      <c r="D21" s="5" t="inlineStr">
        <is>
          <t>mean | median | both (z_primary picker)</t>
        </is>
      </c>
    </row>
    <row r="22">
      <c r="A22" s="5" t="inlineStr">
        <is>
          <t>m2b</t>
        </is>
      </c>
      <c r="B22" s="5" t="inlineStr">
        <is>
          <t>min_peer_strings</t>
        </is>
      </c>
      <c r="C22" s="9" t="n">
        <v>3</v>
      </c>
      <c r="D22" s="5" t="inlineStr">
        <is>
          <t>min sibling per inverter untuk valid peer comparison</t>
        </is>
      </c>
    </row>
    <row r="23">
      <c r="A23" s="5" t="inlineStr">
        <is>
          <t>m2b</t>
        </is>
      </c>
      <c r="B23" s="5" t="inlineStr">
        <is>
          <t>min_daylight_samples</t>
        </is>
      </c>
      <c r="C23" s="9" t="n">
        <v>10</v>
      </c>
      <c r="D23" s="5" t="inlineStr">
        <is>
          <t>min samples lulus POA gate per inverter</t>
        </is>
      </c>
    </row>
    <row r="24">
      <c r="A24" s="5" t="inlineStr">
        <is>
          <t>m2b</t>
        </is>
      </c>
      <c r="B24" s="5" t="inlineStr">
        <is>
          <t>i_clip_floor_a</t>
        </is>
      </c>
      <c r="C24" s="9" t="n">
        <v>0.1</v>
      </c>
      <c r="D24" s="5" t="inlineStr">
        <is>
          <t>clip(lower=0.1A) untuk hindari divide-by-zero saat R=V/I</t>
        </is>
      </c>
    </row>
    <row r="25">
      <c r="A25" s="5" t="inlineStr">
        <is>
          <t>voc_estimator</t>
        </is>
      </c>
      <c r="B25" s="5" t="inlineStr">
        <is>
          <t>i_threshold_a</t>
        </is>
      </c>
      <c r="C25" s="9" t="n">
        <v>0.5</v>
      </c>
      <c r="D25" s="5" t="inlineStr">
        <is>
          <t>I &lt; ini → dianggap open-circuit (sunrise/sunset)</t>
        </is>
      </c>
    </row>
    <row r="26">
      <c r="A26" s="5" t="inlineStr">
        <is>
          <t>voc_estimator</t>
        </is>
      </c>
      <c r="B26" s="5" t="inlineStr">
        <is>
          <t>min_voc_v</t>
        </is>
      </c>
      <c r="C26" s="9" t="n">
        <v>10</v>
      </c>
      <c r="D26" s="5" t="inlineStr">
        <is>
          <t>V &gt; ini → buang zero-reading sample</t>
        </is>
      </c>
    </row>
    <row r="27">
      <c r="A27" s="5" t="inlineStr">
        <is>
          <t>voc_estimator</t>
        </is>
      </c>
      <c r="B27" s="5" t="inlineStr">
        <is>
          <t>min_samples</t>
        </is>
      </c>
      <c r="C27" s="9" t="n">
        <v>3</v>
      </c>
      <c r="D27" s="5" t="inlineStr">
        <is>
          <t>minimum samples valid untuk median voc</t>
        </is>
      </c>
    </row>
    <row r="28">
      <c r="A28" s="5" t="inlineStr">
        <is>
          <t>preprocessing</t>
        </is>
      </c>
      <c r="B28" s="5" t="inlineStr">
        <is>
          <t>hampel_window</t>
        </is>
      </c>
      <c r="C28" s="9" t="n">
        <v>15</v>
      </c>
      <c r="D28" s="5" t="inlineStr">
        <is>
          <t>samples; rolling window (75 menit @ 5-min)</t>
        </is>
      </c>
    </row>
    <row r="29">
      <c r="A29" s="5" t="inlineStr">
        <is>
          <t>preprocessing</t>
        </is>
      </c>
      <c r="B29" s="5" t="inlineStr">
        <is>
          <t>hampel_max_deviation</t>
        </is>
      </c>
      <c r="C29" s="9" t="n">
        <v>3</v>
      </c>
      <c r="D29" s="5" t="inlineStr">
        <is>
          <t>MAD-sigma; |x - median| / MAD &gt; ini → outlier</t>
        </is>
      </c>
    </row>
    <row r="30">
      <c r="A30" s="5" t="inlineStr">
        <is>
          <t>preprocessing</t>
        </is>
      </c>
      <c r="B30" s="5" t="inlineStr">
        <is>
          <t>enabled</t>
        </is>
      </c>
      <c r="C30" s="9" t="n">
        <v>0</v>
      </c>
      <c r="D30" s="5" t="inlineStr">
        <is>
          <t>1=apply Hampel cleaning, 0=skip (raw V/I)</t>
        </is>
      </c>
    </row>
    <row r="31">
      <c r="A31" s="5" t="inlineStr">
        <is>
          <t>poa</t>
        </is>
      </c>
      <c r="B31" s="5" t="inlineStr">
        <is>
          <t>default_source</t>
        </is>
      </c>
      <c r="C31" s="9" t="inlineStr">
        <is>
          <t>pyranometer_avg</t>
        </is>
      </c>
      <c r="D31" s="5" t="inlineStr">
        <is>
          <t>single source di dummy (production: 5 sources)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Raw_Data (dummy realistis — 2 inverter × 12 timestep)</t>
        </is>
      </c>
    </row>
    <row r="2">
      <c r="A2" s="2" t="inlineStr">
        <is>
          <t>Skenario: INV01 punya PV3 fault 6-timestep; INV02 down 4-timestep. PV5 (kedua inverter) ada di EmptyPVMap.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Inverter status</t>
        </is>
      </c>
      <c r="D4" s="10" t="inlineStr">
        <is>
          <t>PV1 Power(kW)</t>
        </is>
      </c>
      <c r="E4" s="10" t="inlineStr">
        <is>
          <t>PV2 Power(kW)</t>
        </is>
      </c>
      <c r="F4" s="10" t="inlineStr">
        <is>
          <t>PV3 Power(kW)</t>
        </is>
      </c>
      <c r="G4" s="10" t="inlineStr">
        <is>
          <t>PV4 Power(kW)</t>
        </is>
      </c>
      <c r="H4" s="10" t="inlineStr">
        <is>
          <t>PV5 Power(kW)</t>
        </is>
      </c>
    </row>
    <row r="5">
      <c r="A5" s="5" t="inlineStr">
        <is>
          <t>WB02-INV01</t>
        </is>
      </c>
      <c r="B5" s="16" t="n">
        <v>46156.41666666666</v>
      </c>
      <c r="C5" s="5" t="inlineStr">
        <is>
          <t>Grid connected</t>
        </is>
      </c>
      <c r="D5" s="17" t="n">
        <v>5</v>
      </c>
      <c r="E5" s="17" t="n">
        <v>4.9</v>
      </c>
      <c r="F5" s="17" t="n">
        <v>5.1</v>
      </c>
      <c r="G5" s="17" t="n">
        <v>5</v>
      </c>
      <c r="H5" s="17" t="n">
        <v>0</v>
      </c>
    </row>
    <row r="6">
      <c r="A6" s="5" t="inlineStr">
        <is>
          <t>WB02-INV01</t>
        </is>
      </c>
      <c r="B6" s="16" t="n">
        <v>46156.42013888889</v>
      </c>
      <c r="C6" s="5" t="inlineStr">
        <is>
          <t>Grid connected</t>
        </is>
      </c>
      <c r="D6" s="17" t="n">
        <v>5.05</v>
      </c>
      <c r="E6" s="17" t="n">
        <v>4.94</v>
      </c>
      <c r="F6" s="17" t="n">
        <v>5.1</v>
      </c>
      <c r="G6" s="17" t="n">
        <v>5.03</v>
      </c>
      <c r="H6" s="17" t="n">
        <v>0</v>
      </c>
    </row>
    <row r="7">
      <c r="A7" s="5" t="inlineStr">
        <is>
          <t>WB02-INV01</t>
        </is>
      </c>
      <c r="B7" s="16" t="n">
        <v>46156.42361111111</v>
      </c>
      <c r="C7" s="5" t="inlineStr">
        <is>
          <t>Grid connected</t>
        </is>
      </c>
      <c r="D7" s="17" t="n">
        <v>5.1</v>
      </c>
      <c r="E7" s="17" t="n">
        <v>4.98</v>
      </c>
      <c r="F7" s="17" t="n">
        <v>5.1</v>
      </c>
      <c r="G7" s="17" t="n">
        <v>5.06</v>
      </c>
      <c r="H7" s="17" t="n">
        <v>0</v>
      </c>
    </row>
    <row r="8">
      <c r="A8" s="5" t="inlineStr">
        <is>
          <t>WB02-INV01</t>
        </is>
      </c>
      <c r="B8" s="16" t="n">
        <v>46156.42708333334</v>
      </c>
      <c r="C8" s="5" t="inlineStr">
        <is>
          <t>Grid connected</t>
        </is>
      </c>
      <c r="D8" s="17" t="n">
        <v>5.15</v>
      </c>
      <c r="E8" s="17" t="n">
        <v>5.02</v>
      </c>
      <c r="F8" s="17" t="n">
        <v>0</v>
      </c>
      <c r="G8" s="17" t="n">
        <v>5</v>
      </c>
      <c r="H8" s="17" t="n">
        <v>0</v>
      </c>
    </row>
    <row r="9">
      <c r="A9" s="5" t="inlineStr">
        <is>
          <t>WB02-INV01</t>
        </is>
      </c>
      <c r="B9" s="16" t="n">
        <v>46156.43055555555</v>
      </c>
      <c r="C9" s="5" t="inlineStr">
        <is>
          <t>Grid connected</t>
        </is>
      </c>
      <c r="D9" s="17" t="n">
        <v>5</v>
      </c>
      <c r="E9" s="17" t="n">
        <v>5.06</v>
      </c>
      <c r="F9" s="17" t="n">
        <v>0</v>
      </c>
      <c r="G9" s="17" t="n">
        <v>5.03</v>
      </c>
      <c r="H9" s="17" t="n">
        <v>0</v>
      </c>
    </row>
    <row r="10">
      <c r="A10" s="5" t="inlineStr">
        <is>
          <t>WB02-INV01</t>
        </is>
      </c>
      <c r="B10" s="16" t="n">
        <v>46156.43402777778</v>
      </c>
      <c r="C10" s="5" t="inlineStr">
        <is>
          <t>Grid connected</t>
        </is>
      </c>
      <c r="D10" s="17" t="n">
        <v>5.05</v>
      </c>
      <c r="E10" s="17" t="n">
        <v>4.9</v>
      </c>
      <c r="F10" s="17" t="n">
        <v>0</v>
      </c>
      <c r="G10" s="17" t="n">
        <v>5.06</v>
      </c>
      <c r="H10" s="17" t="n">
        <v>0</v>
      </c>
    </row>
    <row r="11">
      <c r="A11" s="5" t="inlineStr">
        <is>
          <t>WB02-INV01</t>
        </is>
      </c>
      <c r="B11" s="16" t="n">
        <v>46156.4375</v>
      </c>
      <c r="C11" s="5" t="inlineStr">
        <is>
          <t>Grid connected</t>
        </is>
      </c>
      <c r="D11" s="17" t="n">
        <v>5.1</v>
      </c>
      <c r="E11" s="17" t="n">
        <v>4.94</v>
      </c>
      <c r="F11" s="17" t="n">
        <v>0</v>
      </c>
      <c r="G11" s="17" t="n">
        <v>5</v>
      </c>
      <c r="H11" s="17" t="n">
        <v>0</v>
      </c>
    </row>
    <row r="12">
      <c r="A12" s="5" t="inlineStr">
        <is>
          <t>WB02-INV01</t>
        </is>
      </c>
      <c r="B12" s="16" t="n">
        <v>46156.44097222222</v>
      </c>
      <c r="C12" s="5" t="inlineStr">
        <is>
          <t>Grid connected</t>
        </is>
      </c>
      <c r="D12" s="17" t="n">
        <v>5.15</v>
      </c>
      <c r="E12" s="17" t="n">
        <v>4.98</v>
      </c>
      <c r="F12" s="17" t="n">
        <v>0</v>
      </c>
      <c r="G12" s="17" t="n">
        <v>5.03</v>
      </c>
      <c r="H12" s="17" t="n">
        <v>0</v>
      </c>
    </row>
    <row r="13">
      <c r="A13" s="5" t="inlineStr">
        <is>
          <t>WB02-INV01</t>
        </is>
      </c>
      <c r="B13" s="16" t="n">
        <v>46156.44444444445</v>
      </c>
      <c r="C13" s="5" t="inlineStr">
        <is>
          <t>Grid connected</t>
        </is>
      </c>
      <c r="D13" s="17" t="n">
        <v>5</v>
      </c>
      <c r="E13" s="17" t="n">
        <v>5.02</v>
      </c>
      <c r="F13" s="17" t="n">
        <v>0</v>
      </c>
      <c r="G13" s="17" t="n">
        <v>5.06</v>
      </c>
      <c r="H13" s="17" t="n">
        <v>0</v>
      </c>
    </row>
    <row r="14">
      <c r="A14" s="5" t="inlineStr">
        <is>
          <t>WB02-INV01</t>
        </is>
      </c>
      <c r="B14" s="16" t="n">
        <v>46156.44791666666</v>
      </c>
      <c r="C14" s="5" t="inlineStr">
        <is>
          <t>Grid connected</t>
        </is>
      </c>
      <c r="D14" s="17" t="n">
        <v>5.05</v>
      </c>
      <c r="E14" s="17" t="n">
        <v>5.06</v>
      </c>
      <c r="F14" s="17" t="n">
        <v>5.1</v>
      </c>
      <c r="G14" s="17" t="n">
        <v>5</v>
      </c>
      <c r="H14" s="17" t="n">
        <v>0</v>
      </c>
    </row>
    <row r="15">
      <c r="A15" s="5" t="inlineStr">
        <is>
          <t>WB02-INV01</t>
        </is>
      </c>
      <c r="B15" s="16" t="n">
        <v>46156.45138888889</v>
      </c>
      <c r="C15" s="5" t="inlineStr">
        <is>
          <t>Grid connected</t>
        </is>
      </c>
      <c r="D15" s="17" t="n">
        <v>5.1</v>
      </c>
      <c r="E15" s="17" t="n">
        <v>4.9</v>
      </c>
      <c r="F15" s="17" t="n">
        <v>5.1</v>
      </c>
      <c r="G15" s="17" t="n">
        <v>5.03</v>
      </c>
      <c r="H15" s="17" t="n">
        <v>0</v>
      </c>
    </row>
    <row r="16">
      <c r="A16" s="5" t="inlineStr">
        <is>
          <t>WB02-INV01</t>
        </is>
      </c>
      <c r="B16" s="16" t="n">
        <v>46156.45486111111</v>
      </c>
      <c r="C16" s="5" t="inlineStr">
        <is>
          <t>Grid connected</t>
        </is>
      </c>
      <c r="D16" s="17" t="n">
        <v>5.15</v>
      </c>
      <c r="E16" s="17" t="n">
        <v>4.94</v>
      </c>
      <c r="F16" s="17" t="n">
        <v>5.1</v>
      </c>
      <c r="G16" s="17" t="n">
        <v>5.06</v>
      </c>
      <c r="H16" s="17" t="n">
        <v>0</v>
      </c>
    </row>
    <row r="17">
      <c r="A17" s="5" t="inlineStr">
        <is>
          <t>WB02-INV02</t>
        </is>
      </c>
      <c r="B17" s="16" t="n">
        <v>46156.41666666666</v>
      </c>
      <c r="C17" s="5" t="inlineStr">
        <is>
          <t>Grid connected</t>
        </is>
      </c>
      <c r="D17" s="17" t="n">
        <v>5</v>
      </c>
      <c r="E17" s="17" t="n">
        <v>5</v>
      </c>
      <c r="F17" s="17" t="n">
        <v>5</v>
      </c>
      <c r="G17" s="17" t="n">
        <v>5</v>
      </c>
      <c r="H17" s="17" t="n">
        <v>0</v>
      </c>
    </row>
    <row r="18">
      <c r="A18" s="5" t="inlineStr">
        <is>
          <t>WB02-INV02</t>
        </is>
      </c>
      <c r="B18" s="16" t="n">
        <v>46156.42013888889</v>
      </c>
      <c r="C18" s="5" t="inlineStr">
        <is>
          <t>Grid connected</t>
        </is>
      </c>
      <c r="D18" s="17" t="n">
        <v>5</v>
      </c>
      <c r="E18" s="17" t="n">
        <v>5</v>
      </c>
      <c r="F18" s="17" t="n">
        <v>5</v>
      </c>
      <c r="G18" s="17" t="n">
        <v>5</v>
      </c>
      <c r="H18" s="17" t="n">
        <v>0</v>
      </c>
    </row>
    <row r="19">
      <c r="A19" s="5" t="inlineStr">
        <is>
          <t>WB02-INV02</t>
        </is>
      </c>
      <c r="B19" s="16" t="n">
        <v>46156.42361111111</v>
      </c>
      <c r="C19" s="5" t="inlineStr">
        <is>
          <t>Grid connected</t>
        </is>
      </c>
      <c r="D19" s="17" t="n">
        <v>5</v>
      </c>
      <c r="E19" s="17" t="n">
        <v>5</v>
      </c>
      <c r="F19" s="17" t="n">
        <v>5</v>
      </c>
      <c r="G19" s="17" t="n">
        <v>5</v>
      </c>
      <c r="H19" s="17" t="n">
        <v>0</v>
      </c>
    </row>
    <row r="20">
      <c r="A20" s="5" t="inlineStr">
        <is>
          <t>WB02-INV02</t>
        </is>
      </c>
      <c r="B20" s="16" t="n">
        <v>46156.42708333334</v>
      </c>
      <c r="C20" s="5" t="inlineStr">
        <is>
          <t>Grid connected</t>
        </is>
      </c>
      <c r="D20" s="17" t="n">
        <v>5</v>
      </c>
      <c r="E20" s="17" t="n">
        <v>5</v>
      </c>
      <c r="F20" s="17" t="n">
        <v>5</v>
      </c>
      <c r="G20" s="17" t="n">
        <v>5</v>
      </c>
      <c r="H20" s="17" t="n">
        <v>0</v>
      </c>
    </row>
    <row r="21">
      <c r="A21" s="5" t="inlineStr">
        <is>
          <t>WB02-INV02</t>
        </is>
      </c>
      <c r="B21" s="16" t="n">
        <v>46156.43055555555</v>
      </c>
      <c r="C21" s="5" t="inlineStr">
        <is>
          <t>Shutdown command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</row>
    <row r="22">
      <c r="A22" s="5" t="inlineStr">
        <is>
          <t>WB02-INV02</t>
        </is>
      </c>
      <c r="B22" s="16" t="n">
        <v>46156.43402777778</v>
      </c>
      <c r="C22" s="5" t="inlineStr">
        <is>
          <t>Shutdown command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</row>
    <row r="23">
      <c r="A23" s="5" t="inlineStr">
        <is>
          <t>WB02-INV02</t>
        </is>
      </c>
      <c r="B23" s="16" t="n">
        <v>46156.4375</v>
      </c>
      <c r="C23" s="5" t="inlineStr">
        <is>
          <t>Shutdown command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</row>
    <row r="24">
      <c r="A24" s="5" t="inlineStr">
        <is>
          <t>WB02-INV02</t>
        </is>
      </c>
      <c r="B24" s="16" t="n">
        <v>46156.44097222222</v>
      </c>
      <c r="C24" s="5" t="inlineStr">
        <is>
          <t>Shutdown command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</row>
    <row r="25">
      <c r="A25" s="5" t="inlineStr">
        <is>
          <t>WB02-INV02</t>
        </is>
      </c>
      <c r="B25" s="16" t="n">
        <v>46156.44444444445</v>
      </c>
      <c r="C25" s="5" t="inlineStr">
        <is>
          <t>Grid connected</t>
        </is>
      </c>
      <c r="D25" s="17" t="n">
        <v>5</v>
      </c>
      <c r="E25" s="17" t="n">
        <v>5</v>
      </c>
      <c r="F25" s="17" t="n">
        <v>5</v>
      </c>
      <c r="G25" s="17" t="n">
        <v>5</v>
      </c>
      <c r="H25" s="17" t="n">
        <v>0</v>
      </c>
    </row>
    <row r="26">
      <c r="A26" s="5" t="inlineStr">
        <is>
          <t>WB02-INV02</t>
        </is>
      </c>
      <c r="B26" s="16" t="n">
        <v>46156.44791666666</v>
      </c>
      <c r="C26" s="5" t="inlineStr">
        <is>
          <t>Grid connected</t>
        </is>
      </c>
      <c r="D26" s="17" t="n">
        <v>5</v>
      </c>
      <c r="E26" s="17" t="n">
        <v>5</v>
      </c>
      <c r="F26" s="17" t="n">
        <v>5</v>
      </c>
      <c r="G26" s="17" t="n">
        <v>5</v>
      </c>
      <c r="H26" s="17" t="n">
        <v>0</v>
      </c>
    </row>
    <row r="27">
      <c r="A27" s="5" t="inlineStr">
        <is>
          <t>WB02-INV02</t>
        </is>
      </c>
      <c r="B27" s="16" t="n">
        <v>46156.45138888889</v>
      </c>
      <c r="C27" s="5" t="inlineStr">
        <is>
          <t>Grid connected</t>
        </is>
      </c>
      <c r="D27" s="17" t="n">
        <v>5</v>
      </c>
      <c r="E27" s="17" t="n">
        <v>5</v>
      </c>
      <c r="F27" s="17" t="n">
        <v>5</v>
      </c>
      <c r="G27" s="17" t="n">
        <v>5</v>
      </c>
      <c r="H27" s="17" t="n">
        <v>0</v>
      </c>
    </row>
    <row r="28">
      <c r="A28" s="5" t="inlineStr">
        <is>
          <t>WB02-INV02</t>
        </is>
      </c>
      <c r="B28" s="16" t="n">
        <v>46156.45486111111</v>
      </c>
      <c r="C28" s="5" t="inlineStr">
        <is>
          <t>Grid connected</t>
        </is>
      </c>
      <c r="D28" s="17" t="n">
        <v>5</v>
      </c>
      <c r="E28" s="17" t="n">
        <v>5</v>
      </c>
      <c r="F28" s="17" t="n">
        <v>5</v>
      </c>
      <c r="G28" s="17" t="n">
        <v>5</v>
      </c>
      <c r="H28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7" t="inlineStr">
        <is>
          <t>EmptyPVMap — slot PV yang fisik tidak terpasang (skip dari peer comparison)</t>
        </is>
      </c>
    </row>
    <row r="2">
      <c r="A2" s="2" t="inlineStr">
        <is>
          <t>Replica config/strings.yaml (245 inverter dalam file aktual). Di sini hanya entry yang relevan untuk dummy.</t>
        </is>
      </c>
    </row>
    <row r="4">
      <c r="A4" s="10" t="inlineStr">
        <is>
          <t>Inverter_ID</t>
        </is>
      </c>
      <c r="B4" s="10" t="inlineStr">
        <is>
          <t>Empty PV indices (CSV)</t>
        </is>
      </c>
      <c r="C4" s="10" t="inlineStr">
        <is>
          <t>Note</t>
        </is>
      </c>
    </row>
    <row r="5">
      <c r="A5" s="5" t="inlineStr">
        <is>
          <t>WB02-INV01</t>
        </is>
      </c>
      <c r="B5" s="5" t="inlineStr">
        <is>
          <t>5</t>
        </is>
      </c>
      <c r="C5" s="5" t="inlineStr">
        <is>
          <t>DEMO: PV5 EMPTY by design</t>
        </is>
      </c>
    </row>
    <row r="6">
      <c r="A6" s="5" t="inlineStr">
        <is>
          <t>WB02-INV02</t>
        </is>
      </c>
      <c r="B6" s="5" t="inlineStr">
        <is>
          <t>5</t>
        </is>
      </c>
      <c r="C6" s="5" t="inlineStr">
        <is>
          <t>DEMO: PV5 EMPTY by design</t>
        </is>
      </c>
    </row>
    <row r="7">
      <c r="A7" s="5" t="inlineStr">
        <is>
          <t>WB01-INV01</t>
        </is>
      </c>
      <c r="B7" s="5" t="inlineStr">
        <is>
          <t>19,20,21,22,23,24,25,26,27,28</t>
        </is>
      </c>
      <c r="C7" s="5" t="inlineStr">
        <is>
          <t>Pola WB01 produksi (PV19-28 kosong)</t>
        </is>
      </c>
    </row>
    <row r="8">
      <c r="A8" s="5" t="inlineStr">
        <is>
          <t>WB03-INV01</t>
        </is>
      </c>
      <c r="B8" s="5" t="inlineStr"/>
      <c r="C8" s="5" t="inlineStr">
        <is>
          <t>(contoh: tidak ada slot kosong)</t>
        </is>
      </c>
    </row>
    <row r="9">
      <c r="A9" s="5" t="inlineStr">
        <is>
          <t>WB05-INV05</t>
        </is>
      </c>
      <c r="B9" s="5" t="inlineStr">
        <is>
          <t>5</t>
        </is>
      </c>
      <c r="C9" s="5" t="inlineStr">
        <is>
          <t>DEMO M2b: PV5 EMPTY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7" t="inlineStr">
        <is>
          <t>Helpers_M2e — derived columns dari Raw_Data (per-row formulas)</t>
        </is>
      </c>
    </row>
    <row r="2">
      <c r="A2" s="2" t="inlineStr">
        <is>
          <t>Setiap kolom = 1 langkah di pv_pipeline/availability.py. Edit Raw_Data → recalc otomatis.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status_raw</t>
        </is>
      </c>
      <c r="D4" s="10" t="inlineStr">
        <is>
          <t>_status_class</t>
        </is>
      </c>
      <c r="E4" s="10" t="inlineStr">
        <is>
          <t>sib_median_kW</t>
        </is>
      </c>
      <c r="F4" s="10" t="inlineStr">
        <is>
          <t>active_count</t>
        </is>
      </c>
      <c r="G4" s="10" t="inlineStr">
        <is>
          <t>active_pct</t>
        </is>
      </c>
      <c r="H4" s="10" t="inlineStr">
        <is>
          <t>qualified</t>
        </is>
      </c>
      <c r="I4" s="10" t="inlineStr">
        <is>
          <t>is_on</t>
        </is>
      </c>
      <c r="J4" s="10" t="inlineStr">
        <is>
          <t>cand_PV1</t>
        </is>
      </c>
      <c r="K4" s="10" t="inlineStr">
        <is>
          <t>run_id_PV1</t>
        </is>
      </c>
      <c r="L4" s="10" t="inlineStr">
        <is>
          <t>run_len_PV1</t>
        </is>
      </c>
      <c r="M4" s="10" t="inlineStr">
        <is>
          <t>in_event_PV1</t>
        </is>
      </c>
      <c r="N4" s="10" t="inlineStr">
        <is>
          <t>cand_PV2</t>
        </is>
      </c>
      <c r="O4" s="10" t="inlineStr">
        <is>
          <t>run_id_PV2</t>
        </is>
      </c>
      <c r="P4" s="10" t="inlineStr">
        <is>
          <t>run_len_PV2</t>
        </is>
      </c>
      <c r="Q4" s="10" t="inlineStr">
        <is>
          <t>in_event_PV2</t>
        </is>
      </c>
      <c r="R4" s="10" t="inlineStr">
        <is>
          <t>cand_PV3</t>
        </is>
      </c>
      <c r="S4" s="10" t="inlineStr">
        <is>
          <t>run_id_PV3</t>
        </is>
      </c>
      <c r="T4" s="10" t="inlineStr">
        <is>
          <t>run_len_PV3</t>
        </is>
      </c>
      <c r="U4" s="10" t="inlineStr">
        <is>
          <t>in_event_PV3</t>
        </is>
      </c>
      <c r="V4" s="10" t="inlineStr">
        <is>
          <t>cand_PV4</t>
        </is>
      </c>
      <c r="W4" s="10" t="inlineStr">
        <is>
          <t>run_id_PV4</t>
        </is>
      </c>
      <c r="X4" s="10" t="inlineStr">
        <is>
          <t>run_len_PV4</t>
        </is>
      </c>
      <c r="Y4" s="10" t="inlineStr">
        <is>
          <t>in_event_PV4</t>
        </is>
      </c>
      <c r="Z4" s="10" t="inlineStr">
        <is>
          <t>cand_PV5</t>
        </is>
      </c>
      <c r="AA4" s="10" t="inlineStr">
        <is>
          <t>run_id_PV5</t>
        </is>
      </c>
      <c r="AB4" s="10" t="inlineStr">
        <is>
          <t>run_len_PV5</t>
        </is>
      </c>
      <c r="AC4" s="10" t="inlineStr">
        <is>
          <t>in_event_PV5</t>
        </is>
      </c>
    </row>
    <row r="5">
      <c r="A5" s="5">
        <f>Raw_Data!A5</f>
        <v/>
      </c>
      <c r="B5" s="16">
        <f>Raw_Data!B5</f>
        <v/>
      </c>
      <c r="C5" s="5">
        <f>Raw_Data!C5</f>
        <v/>
      </c>
      <c r="D5" s="5">
        <f>IF(ISNUMBER(SEARCH("shutdown",LOWER(C5)))+ISNUMBER(SEARCH("fault",LOWER(C5))),"DOWN",IF(ISNUMBER(SEARCH("grid connected",LOWER(C5)))+ISNUMBER(SEARCH("on-grid",LOWER(C5))),"ON",IF(ISNUMBER(SEARCH("standby",LOWER(C5)))+ISNUMBER(SEARCH("no sunlight",LOWER(C5))),"TRANSITIONAL","UNKNOWN")))</f>
        <v/>
      </c>
      <c r="E5" s="17">
        <f>MEDIAN(Raw_Data!D5:H5)</f>
        <v/>
      </c>
      <c r="F5" s="5">
        <f>COUNTIF(Raw_Data!D5:H5, "&gt;"&amp;cfg_pstr_zero_threshold_kw)</f>
        <v/>
      </c>
      <c r="G5" s="18">
        <f>100*F5/cfg_n_pv_total_in_workbook</f>
        <v/>
      </c>
      <c r="H5" s="5">
        <f>IF(AND(E5&gt;=cfg_sibling_median_active_kw, G5&gt;=cfg_min_active_siblings_pct),1,0)</f>
        <v/>
      </c>
      <c r="I5" s="5">
        <f>IF(D5="ON",1,0)</f>
        <v/>
      </c>
      <c r="J5" s="5">
        <f>IF(AND(I5=1, H5=1, Raw_Data!D5&lt;cfg_pstr_zero_threshold_kw),1,0)</f>
        <v/>
      </c>
      <c r="K5" s="5">
        <f>IF(J5=1,1,0)</f>
        <v/>
      </c>
      <c r="L5" s="5">
        <f>IF(J5=1,COUNTIFS($A$5:$A$28,A5,$K$5:$K$28,K5,$J$5:$J$28,1),0)</f>
        <v/>
      </c>
      <c r="M5" s="5">
        <f>IF(AND(J5=1, L5&gt;=cfg_debounce_consecutive_steps),1,0)</f>
        <v/>
      </c>
      <c r="N5" s="5">
        <f>IF(AND(I5=1, H5=1, Raw_Data!E5&lt;cfg_pstr_zero_threshold_kw),1,0)</f>
        <v/>
      </c>
      <c r="O5" s="5">
        <f>IF(N5=1,1,0)</f>
        <v/>
      </c>
      <c r="P5" s="5">
        <f>IF(N5=1,COUNTIFS($A$5:$A$28,A5,$O$5:$O$28,O5,$N$5:$N$28,1),0)</f>
        <v/>
      </c>
      <c r="Q5" s="5">
        <f>IF(AND(N5=1, P5&gt;=cfg_debounce_consecutive_steps),1,0)</f>
        <v/>
      </c>
      <c r="R5" s="5">
        <f>IF(AND(I5=1, H5=1, Raw_Data!F5&lt;cfg_pstr_zero_threshold_kw),1,0)</f>
        <v/>
      </c>
      <c r="S5" s="5">
        <f>IF(R5=1,1,0)</f>
        <v/>
      </c>
      <c r="T5" s="5">
        <f>IF(R5=1,COUNTIFS($A$5:$A$28,A5,$S$5:$S$28,S5,$R$5:$R$28,1),0)</f>
        <v/>
      </c>
      <c r="U5" s="5">
        <f>IF(AND(R5=1, T5&gt;=cfg_debounce_consecutive_steps),1,0)</f>
        <v/>
      </c>
      <c r="V5" s="5">
        <f>IF(AND(I5=1, H5=1, Raw_Data!G5&lt;cfg_pstr_zero_threshold_kw),1,0)</f>
        <v/>
      </c>
      <c r="W5" s="5">
        <f>IF(V5=1,1,0)</f>
        <v/>
      </c>
      <c r="X5" s="5">
        <f>IF(V5=1,COUNTIFS($A$5:$A$28,A5,$W$5:$W$28,W5,$V$5:$V$28,1),0)</f>
        <v/>
      </c>
      <c r="Y5" s="5">
        <f>IF(AND(V5=1, X5&gt;=cfg_debounce_consecutive_steps),1,0)</f>
        <v/>
      </c>
      <c r="Z5" s="5">
        <f>IF(AND(I5=1, H5=1, Raw_Data!H5&lt;cfg_pstr_zero_threshold_kw),1,0)</f>
        <v/>
      </c>
      <c r="AA5" s="5">
        <f>IF(Z5=1,1,0)</f>
        <v/>
      </c>
      <c r="AB5" s="5">
        <f>IF(Z5=1,COUNTIFS($A$5:$A$28,A5,$AA$5:$AA$28,AA5,$Z$5:$Z$28,1),0)</f>
        <v/>
      </c>
      <c r="AC5" s="5">
        <f>IF(AND(Z5=1, AB5&gt;=cfg_debounce_consecutive_steps),1,0)</f>
        <v/>
      </c>
    </row>
    <row r="6">
      <c r="A6" s="5">
        <f>Raw_Data!A6</f>
        <v/>
      </c>
      <c r="B6" s="16">
        <f>Raw_Data!B6</f>
        <v/>
      </c>
      <c r="C6" s="5">
        <f>Raw_Data!C6</f>
        <v/>
      </c>
      <c r="D6" s="5">
        <f>IF(ISNUMBER(SEARCH("shutdown",LOWER(C6)))+ISNUMBER(SEARCH("fault",LOWER(C6))),"DOWN",IF(ISNUMBER(SEARCH("grid connected",LOWER(C6)))+ISNUMBER(SEARCH("on-grid",LOWER(C6))),"ON",IF(ISNUMBER(SEARCH("standby",LOWER(C6)))+ISNUMBER(SEARCH("no sunlight",LOWER(C6))),"TRANSITIONAL","UNKNOWN")))</f>
        <v/>
      </c>
      <c r="E6" s="17">
        <f>MEDIAN(Raw_Data!D6:H6)</f>
        <v/>
      </c>
      <c r="F6" s="5">
        <f>COUNTIF(Raw_Data!D6:H6, "&gt;"&amp;cfg_pstr_zero_threshold_kw)</f>
        <v/>
      </c>
      <c r="G6" s="18">
        <f>100*F6/cfg_n_pv_total_in_workbook</f>
        <v/>
      </c>
      <c r="H6" s="5">
        <f>IF(AND(E6&gt;=cfg_sibling_median_active_kw, G6&gt;=cfg_min_active_siblings_pct),1,0)</f>
        <v/>
      </c>
      <c r="I6" s="5">
        <f>IF(D6="ON",1,0)</f>
        <v/>
      </c>
      <c r="J6" s="5">
        <f>IF(AND(I6=1, H6=1, Raw_Data!D6&lt;cfg_pstr_zero_threshold_kw),1,0)</f>
        <v/>
      </c>
      <c r="K6" s="5">
        <f>IF(A6&lt;&gt;A5,IF(J6=1, MAX($K$5:K5)+1, 0),IF(AND(J6=1, J5=0), K5+1,IF(J6=1, K5, K5)))</f>
        <v/>
      </c>
      <c r="L6" s="5">
        <f>IF(J6=1,COUNTIFS($A$5:$A$28,A6,$K$5:$K$28,K6,$J$5:$J$28,1),0)</f>
        <v/>
      </c>
      <c r="M6" s="5">
        <f>IF(AND(J6=1, L6&gt;=cfg_debounce_consecutive_steps),1,0)</f>
        <v/>
      </c>
      <c r="N6" s="5">
        <f>IF(AND(I6=1, H6=1, Raw_Data!E6&lt;cfg_pstr_zero_threshold_kw),1,0)</f>
        <v/>
      </c>
      <c r="O6" s="5">
        <f>IF(A6&lt;&gt;A5,IF(N6=1, MAX($O$5:O5)+1, 0),IF(AND(N6=1, N5=0), O5+1,IF(N6=1, O5, O5)))</f>
        <v/>
      </c>
      <c r="P6" s="5">
        <f>IF(N6=1,COUNTIFS($A$5:$A$28,A6,$O$5:$O$28,O6,$N$5:$N$28,1),0)</f>
        <v/>
      </c>
      <c r="Q6" s="5">
        <f>IF(AND(N6=1, P6&gt;=cfg_debounce_consecutive_steps),1,0)</f>
        <v/>
      </c>
      <c r="R6" s="5">
        <f>IF(AND(I6=1, H6=1, Raw_Data!F6&lt;cfg_pstr_zero_threshold_kw),1,0)</f>
        <v/>
      </c>
      <c r="S6" s="5">
        <f>IF(A6&lt;&gt;A5,IF(R6=1, MAX($S$5:S5)+1, 0),IF(AND(R6=1, R5=0), S5+1,IF(R6=1, S5, S5)))</f>
        <v/>
      </c>
      <c r="T6" s="5">
        <f>IF(R6=1,COUNTIFS($A$5:$A$28,A6,$S$5:$S$28,S6,$R$5:$R$28,1),0)</f>
        <v/>
      </c>
      <c r="U6" s="5">
        <f>IF(AND(R6=1, T6&gt;=cfg_debounce_consecutive_steps),1,0)</f>
        <v/>
      </c>
      <c r="V6" s="5">
        <f>IF(AND(I6=1, H6=1, Raw_Data!G6&lt;cfg_pstr_zero_threshold_kw),1,0)</f>
        <v/>
      </c>
      <c r="W6" s="5">
        <f>IF(A6&lt;&gt;A5,IF(V6=1, MAX($W$5:W5)+1, 0),IF(AND(V6=1, V5=0), W5+1,IF(V6=1, W5, W5)))</f>
        <v/>
      </c>
      <c r="X6" s="5">
        <f>IF(V6=1,COUNTIFS($A$5:$A$28,A6,$W$5:$W$28,W6,$V$5:$V$28,1),0)</f>
        <v/>
      </c>
      <c r="Y6" s="5">
        <f>IF(AND(V6=1, X6&gt;=cfg_debounce_consecutive_steps),1,0)</f>
        <v/>
      </c>
      <c r="Z6" s="5">
        <f>IF(AND(I6=1, H6=1, Raw_Data!H6&lt;cfg_pstr_zero_threshold_kw),1,0)</f>
        <v/>
      </c>
      <c r="AA6" s="5">
        <f>IF(A6&lt;&gt;A5,IF(Z6=1, MAX($AA$5:AA5)+1, 0),IF(AND(Z6=1, Z5=0), AA5+1,IF(Z6=1, AA5, AA5)))</f>
        <v/>
      </c>
      <c r="AB6" s="5">
        <f>IF(Z6=1,COUNTIFS($A$5:$A$28,A6,$AA$5:$AA$28,AA6,$Z$5:$Z$28,1),0)</f>
        <v/>
      </c>
      <c r="AC6" s="5">
        <f>IF(AND(Z6=1, AB6&gt;=cfg_debounce_consecutive_steps),1,0)</f>
        <v/>
      </c>
    </row>
    <row r="7">
      <c r="A7" s="5">
        <f>Raw_Data!A7</f>
        <v/>
      </c>
      <c r="B7" s="16">
        <f>Raw_Data!B7</f>
        <v/>
      </c>
      <c r="C7" s="5">
        <f>Raw_Data!C7</f>
        <v/>
      </c>
      <c r="D7" s="5">
        <f>IF(ISNUMBER(SEARCH("shutdown",LOWER(C7)))+ISNUMBER(SEARCH("fault",LOWER(C7))),"DOWN",IF(ISNUMBER(SEARCH("grid connected",LOWER(C7)))+ISNUMBER(SEARCH("on-grid",LOWER(C7))),"ON",IF(ISNUMBER(SEARCH("standby",LOWER(C7)))+ISNUMBER(SEARCH("no sunlight",LOWER(C7))),"TRANSITIONAL","UNKNOWN")))</f>
        <v/>
      </c>
      <c r="E7" s="17">
        <f>MEDIAN(Raw_Data!D7:H7)</f>
        <v/>
      </c>
      <c r="F7" s="5">
        <f>COUNTIF(Raw_Data!D7:H7, "&gt;"&amp;cfg_pstr_zero_threshold_kw)</f>
        <v/>
      </c>
      <c r="G7" s="18">
        <f>100*F7/cfg_n_pv_total_in_workbook</f>
        <v/>
      </c>
      <c r="H7" s="5">
        <f>IF(AND(E7&gt;=cfg_sibling_median_active_kw, G7&gt;=cfg_min_active_siblings_pct),1,0)</f>
        <v/>
      </c>
      <c r="I7" s="5">
        <f>IF(D7="ON",1,0)</f>
        <v/>
      </c>
      <c r="J7" s="5">
        <f>IF(AND(I7=1, H7=1, Raw_Data!D7&lt;cfg_pstr_zero_threshold_kw),1,0)</f>
        <v/>
      </c>
      <c r="K7" s="5">
        <f>IF(A7&lt;&gt;A6,IF(J7=1, MAX($K$5:K6)+1, 0),IF(AND(J7=1, J6=0), K6+1,IF(J7=1, K6, K6)))</f>
        <v/>
      </c>
      <c r="L7" s="5">
        <f>IF(J7=1,COUNTIFS($A$5:$A$28,A7,$K$5:$K$28,K7,$J$5:$J$28,1),0)</f>
        <v/>
      </c>
      <c r="M7" s="5">
        <f>IF(AND(J7=1, L7&gt;=cfg_debounce_consecutive_steps),1,0)</f>
        <v/>
      </c>
      <c r="N7" s="5">
        <f>IF(AND(I7=1, H7=1, Raw_Data!E7&lt;cfg_pstr_zero_threshold_kw),1,0)</f>
        <v/>
      </c>
      <c r="O7" s="5">
        <f>IF(A7&lt;&gt;A6,IF(N7=1, MAX($O$5:O6)+1, 0),IF(AND(N7=1, N6=0), O6+1,IF(N7=1, O6, O6)))</f>
        <v/>
      </c>
      <c r="P7" s="5">
        <f>IF(N7=1,COUNTIFS($A$5:$A$28,A7,$O$5:$O$28,O7,$N$5:$N$28,1),0)</f>
        <v/>
      </c>
      <c r="Q7" s="5">
        <f>IF(AND(N7=1, P7&gt;=cfg_debounce_consecutive_steps),1,0)</f>
        <v/>
      </c>
      <c r="R7" s="5">
        <f>IF(AND(I7=1, H7=1, Raw_Data!F7&lt;cfg_pstr_zero_threshold_kw),1,0)</f>
        <v/>
      </c>
      <c r="S7" s="5">
        <f>IF(A7&lt;&gt;A6,IF(R7=1, MAX($S$5:S6)+1, 0),IF(AND(R7=1, R6=0), S6+1,IF(R7=1, S6, S6)))</f>
        <v/>
      </c>
      <c r="T7" s="5">
        <f>IF(R7=1,COUNTIFS($A$5:$A$28,A7,$S$5:$S$28,S7,$R$5:$R$28,1),0)</f>
        <v/>
      </c>
      <c r="U7" s="5">
        <f>IF(AND(R7=1, T7&gt;=cfg_debounce_consecutive_steps),1,0)</f>
        <v/>
      </c>
      <c r="V7" s="5">
        <f>IF(AND(I7=1, H7=1, Raw_Data!G7&lt;cfg_pstr_zero_threshold_kw),1,0)</f>
        <v/>
      </c>
      <c r="W7" s="5">
        <f>IF(A7&lt;&gt;A6,IF(V7=1, MAX($W$5:W6)+1, 0),IF(AND(V7=1, V6=0), W6+1,IF(V7=1, W6, W6)))</f>
        <v/>
      </c>
      <c r="X7" s="5">
        <f>IF(V7=1,COUNTIFS($A$5:$A$28,A7,$W$5:$W$28,W7,$V$5:$V$28,1),0)</f>
        <v/>
      </c>
      <c r="Y7" s="5">
        <f>IF(AND(V7=1, X7&gt;=cfg_debounce_consecutive_steps),1,0)</f>
        <v/>
      </c>
      <c r="Z7" s="5">
        <f>IF(AND(I7=1, H7=1, Raw_Data!H7&lt;cfg_pstr_zero_threshold_kw),1,0)</f>
        <v/>
      </c>
      <c r="AA7" s="5">
        <f>IF(A7&lt;&gt;A6,IF(Z7=1, MAX($AA$5:AA6)+1, 0),IF(AND(Z7=1, Z6=0), AA6+1,IF(Z7=1, AA6, AA6)))</f>
        <v/>
      </c>
      <c r="AB7" s="5">
        <f>IF(Z7=1,COUNTIFS($A$5:$A$28,A7,$AA$5:$AA$28,AA7,$Z$5:$Z$28,1),0)</f>
        <v/>
      </c>
      <c r="AC7" s="5">
        <f>IF(AND(Z7=1, AB7&gt;=cfg_debounce_consecutive_steps),1,0)</f>
        <v/>
      </c>
    </row>
    <row r="8">
      <c r="A8" s="5">
        <f>Raw_Data!A8</f>
        <v/>
      </c>
      <c r="B8" s="16">
        <f>Raw_Data!B8</f>
        <v/>
      </c>
      <c r="C8" s="5">
        <f>Raw_Data!C8</f>
        <v/>
      </c>
      <c r="D8" s="5">
        <f>IF(ISNUMBER(SEARCH("shutdown",LOWER(C8)))+ISNUMBER(SEARCH("fault",LOWER(C8))),"DOWN",IF(ISNUMBER(SEARCH("grid connected",LOWER(C8)))+ISNUMBER(SEARCH("on-grid",LOWER(C8))),"ON",IF(ISNUMBER(SEARCH("standby",LOWER(C8)))+ISNUMBER(SEARCH("no sunlight",LOWER(C8))),"TRANSITIONAL","UNKNOWN")))</f>
        <v/>
      </c>
      <c r="E8" s="17">
        <f>MEDIAN(Raw_Data!D8:H8)</f>
        <v/>
      </c>
      <c r="F8" s="5">
        <f>COUNTIF(Raw_Data!D8:H8, "&gt;"&amp;cfg_pstr_zero_threshold_kw)</f>
        <v/>
      </c>
      <c r="G8" s="18">
        <f>100*F8/cfg_n_pv_total_in_workbook</f>
        <v/>
      </c>
      <c r="H8" s="5">
        <f>IF(AND(E8&gt;=cfg_sibling_median_active_kw, G8&gt;=cfg_min_active_siblings_pct),1,0)</f>
        <v/>
      </c>
      <c r="I8" s="5">
        <f>IF(D8="ON",1,0)</f>
        <v/>
      </c>
      <c r="J8" s="5">
        <f>IF(AND(I8=1, H8=1, Raw_Data!D8&lt;cfg_pstr_zero_threshold_kw),1,0)</f>
        <v/>
      </c>
      <c r="K8" s="5">
        <f>IF(A8&lt;&gt;A7,IF(J8=1, MAX($K$5:K7)+1, 0),IF(AND(J8=1, J7=0), K7+1,IF(J8=1, K7, K7)))</f>
        <v/>
      </c>
      <c r="L8" s="5">
        <f>IF(J8=1,COUNTIFS($A$5:$A$28,A8,$K$5:$K$28,K8,$J$5:$J$28,1),0)</f>
        <v/>
      </c>
      <c r="M8" s="5">
        <f>IF(AND(J8=1, L8&gt;=cfg_debounce_consecutive_steps),1,0)</f>
        <v/>
      </c>
      <c r="N8" s="5">
        <f>IF(AND(I8=1, H8=1, Raw_Data!E8&lt;cfg_pstr_zero_threshold_kw),1,0)</f>
        <v/>
      </c>
      <c r="O8" s="5">
        <f>IF(A8&lt;&gt;A7,IF(N8=1, MAX($O$5:O7)+1, 0),IF(AND(N8=1, N7=0), O7+1,IF(N8=1, O7, O7)))</f>
        <v/>
      </c>
      <c r="P8" s="5">
        <f>IF(N8=1,COUNTIFS($A$5:$A$28,A8,$O$5:$O$28,O8,$N$5:$N$28,1),0)</f>
        <v/>
      </c>
      <c r="Q8" s="5">
        <f>IF(AND(N8=1, P8&gt;=cfg_debounce_consecutive_steps),1,0)</f>
        <v/>
      </c>
      <c r="R8" s="5">
        <f>IF(AND(I8=1, H8=1, Raw_Data!F8&lt;cfg_pstr_zero_threshold_kw),1,0)</f>
        <v/>
      </c>
      <c r="S8" s="5">
        <f>IF(A8&lt;&gt;A7,IF(R8=1, MAX($S$5:S7)+1, 0),IF(AND(R8=1, R7=0), S7+1,IF(R8=1, S7, S7)))</f>
        <v/>
      </c>
      <c r="T8" s="5">
        <f>IF(R8=1,COUNTIFS($A$5:$A$28,A8,$S$5:$S$28,S8,$R$5:$R$28,1),0)</f>
        <v/>
      </c>
      <c r="U8" s="5">
        <f>IF(AND(R8=1, T8&gt;=cfg_debounce_consecutive_steps),1,0)</f>
        <v/>
      </c>
      <c r="V8" s="5">
        <f>IF(AND(I8=1, H8=1, Raw_Data!G8&lt;cfg_pstr_zero_threshold_kw),1,0)</f>
        <v/>
      </c>
      <c r="W8" s="5">
        <f>IF(A8&lt;&gt;A7,IF(V8=1, MAX($W$5:W7)+1, 0),IF(AND(V8=1, V7=0), W7+1,IF(V8=1, W7, W7)))</f>
        <v/>
      </c>
      <c r="X8" s="5">
        <f>IF(V8=1,COUNTIFS($A$5:$A$28,A8,$W$5:$W$28,W8,$V$5:$V$28,1),0)</f>
        <v/>
      </c>
      <c r="Y8" s="5">
        <f>IF(AND(V8=1, X8&gt;=cfg_debounce_consecutive_steps),1,0)</f>
        <v/>
      </c>
      <c r="Z8" s="5">
        <f>IF(AND(I8=1, H8=1, Raw_Data!H8&lt;cfg_pstr_zero_threshold_kw),1,0)</f>
        <v/>
      </c>
      <c r="AA8" s="5">
        <f>IF(A8&lt;&gt;A7,IF(Z8=1, MAX($AA$5:AA7)+1, 0),IF(AND(Z8=1, Z7=0), AA7+1,IF(Z8=1, AA7, AA7)))</f>
        <v/>
      </c>
      <c r="AB8" s="5">
        <f>IF(Z8=1,COUNTIFS($A$5:$A$28,A8,$AA$5:$AA$28,AA8,$Z$5:$Z$28,1),0)</f>
        <v/>
      </c>
      <c r="AC8" s="5">
        <f>IF(AND(Z8=1, AB8&gt;=cfg_debounce_consecutive_steps),1,0)</f>
        <v/>
      </c>
    </row>
    <row r="9">
      <c r="A9" s="5">
        <f>Raw_Data!A9</f>
        <v/>
      </c>
      <c r="B9" s="16">
        <f>Raw_Data!B9</f>
        <v/>
      </c>
      <c r="C9" s="5">
        <f>Raw_Data!C9</f>
        <v/>
      </c>
      <c r="D9" s="5">
        <f>IF(ISNUMBER(SEARCH("shutdown",LOWER(C9)))+ISNUMBER(SEARCH("fault",LOWER(C9))),"DOWN",IF(ISNUMBER(SEARCH("grid connected",LOWER(C9)))+ISNUMBER(SEARCH("on-grid",LOWER(C9))),"ON",IF(ISNUMBER(SEARCH("standby",LOWER(C9)))+ISNUMBER(SEARCH("no sunlight",LOWER(C9))),"TRANSITIONAL","UNKNOWN")))</f>
        <v/>
      </c>
      <c r="E9" s="17">
        <f>MEDIAN(Raw_Data!D9:H9)</f>
        <v/>
      </c>
      <c r="F9" s="5">
        <f>COUNTIF(Raw_Data!D9:H9, "&gt;"&amp;cfg_pstr_zero_threshold_kw)</f>
        <v/>
      </c>
      <c r="G9" s="18">
        <f>100*F9/cfg_n_pv_total_in_workbook</f>
        <v/>
      </c>
      <c r="H9" s="5">
        <f>IF(AND(E9&gt;=cfg_sibling_median_active_kw, G9&gt;=cfg_min_active_siblings_pct),1,0)</f>
        <v/>
      </c>
      <c r="I9" s="5">
        <f>IF(D9="ON",1,0)</f>
        <v/>
      </c>
      <c r="J9" s="5">
        <f>IF(AND(I9=1, H9=1, Raw_Data!D9&lt;cfg_pstr_zero_threshold_kw),1,0)</f>
        <v/>
      </c>
      <c r="K9" s="5">
        <f>IF(A9&lt;&gt;A8,IF(J9=1, MAX($K$5:K8)+1, 0),IF(AND(J9=1, J8=0), K8+1,IF(J9=1, K8, K8)))</f>
        <v/>
      </c>
      <c r="L9" s="5">
        <f>IF(J9=1,COUNTIFS($A$5:$A$28,A9,$K$5:$K$28,K9,$J$5:$J$28,1),0)</f>
        <v/>
      </c>
      <c r="M9" s="5">
        <f>IF(AND(J9=1, L9&gt;=cfg_debounce_consecutive_steps),1,0)</f>
        <v/>
      </c>
      <c r="N9" s="5">
        <f>IF(AND(I9=1, H9=1, Raw_Data!E9&lt;cfg_pstr_zero_threshold_kw),1,0)</f>
        <v/>
      </c>
      <c r="O9" s="5">
        <f>IF(A9&lt;&gt;A8,IF(N9=1, MAX($O$5:O8)+1, 0),IF(AND(N9=1, N8=0), O8+1,IF(N9=1, O8, O8)))</f>
        <v/>
      </c>
      <c r="P9" s="5">
        <f>IF(N9=1,COUNTIFS($A$5:$A$28,A9,$O$5:$O$28,O9,$N$5:$N$28,1),0)</f>
        <v/>
      </c>
      <c r="Q9" s="5">
        <f>IF(AND(N9=1, P9&gt;=cfg_debounce_consecutive_steps),1,0)</f>
        <v/>
      </c>
      <c r="R9" s="5">
        <f>IF(AND(I9=1, H9=1, Raw_Data!F9&lt;cfg_pstr_zero_threshold_kw),1,0)</f>
        <v/>
      </c>
      <c r="S9" s="5">
        <f>IF(A9&lt;&gt;A8,IF(R9=1, MAX($S$5:S8)+1, 0),IF(AND(R9=1, R8=0), S8+1,IF(R9=1, S8, S8)))</f>
        <v/>
      </c>
      <c r="T9" s="5">
        <f>IF(R9=1,COUNTIFS($A$5:$A$28,A9,$S$5:$S$28,S9,$R$5:$R$28,1),0)</f>
        <v/>
      </c>
      <c r="U9" s="5">
        <f>IF(AND(R9=1, T9&gt;=cfg_debounce_consecutive_steps),1,0)</f>
        <v/>
      </c>
      <c r="V9" s="5">
        <f>IF(AND(I9=1, H9=1, Raw_Data!G9&lt;cfg_pstr_zero_threshold_kw),1,0)</f>
        <v/>
      </c>
      <c r="W9" s="5">
        <f>IF(A9&lt;&gt;A8,IF(V9=1, MAX($W$5:W8)+1, 0),IF(AND(V9=1, V8=0), W8+1,IF(V9=1, W8, W8)))</f>
        <v/>
      </c>
      <c r="X9" s="5">
        <f>IF(V9=1,COUNTIFS($A$5:$A$28,A9,$W$5:$W$28,W9,$V$5:$V$28,1),0)</f>
        <v/>
      </c>
      <c r="Y9" s="5">
        <f>IF(AND(V9=1, X9&gt;=cfg_debounce_consecutive_steps),1,0)</f>
        <v/>
      </c>
      <c r="Z9" s="5">
        <f>IF(AND(I9=1, H9=1, Raw_Data!H9&lt;cfg_pstr_zero_threshold_kw),1,0)</f>
        <v/>
      </c>
      <c r="AA9" s="5">
        <f>IF(A9&lt;&gt;A8,IF(Z9=1, MAX($AA$5:AA8)+1, 0),IF(AND(Z9=1, Z8=0), AA8+1,IF(Z9=1, AA8, AA8)))</f>
        <v/>
      </c>
      <c r="AB9" s="5">
        <f>IF(Z9=1,COUNTIFS($A$5:$A$28,A9,$AA$5:$AA$28,AA9,$Z$5:$Z$28,1),0)</f>
        <v/>
      </c>
      <c r="AC9" s="5">
        <f>IF(AND(Z9=1, AB9&gt;=cfg_debounce_consecutive_steps),1,0)</f>
        <v/>
      </c>
    </row>
    <row r="10">
      <c r="A10" s="5">
        <f>Raw_Data!A10</f>
        <v/>
      </c>
      <c r="B10" s="16">
        <f>Raw_Data!B10</f>
        <v/>
      </c>
      <c r="C10" s="5">
        <f>Raw_Data!C10</f>
        <v/>
      </c>
      <c r="D10" s="5">
        <f>IF(ISNUMBER(SEARCH("shutdown",LOWER(C10)))+ISNUMBER(SEARCH("fault",LOWER(C10))),"DOWN",IF(ISNUMBER(SEARCH("grid connected",LOWER(C10)))+ISNUMBER(SEARCH("on-grid",LOWER(C10))),"ON",IF(ISNUMBER(SEARCH("standby",LOWER(C10)))+ISNUMBER(SEARCH("no sunlight",LOWER(C10))),"TRANSITIONAL","UNKNOWN")))</f>
        <v/>
      </c>
      <c r="E10" s="17">
        <f>MEDIAN(Raw_Data!D10:H10)</f>
        <v/>
      </c>
      <c r="F10" s="5">
        <f>COUNTIF(Raw_Data!D10:H10, "&gt;"&amp;cfg_pstr_zero_threshold_kw)</f>
        <v/>
      </c>
      <c r="G10" s="18">
        <f>100*F10/cfg_n_pv_total_in_workbook</f>
        <v/>
      </c>
      <c r="H10" s="5">
        <f>IF(AND(E10&gt;=cfg_sibling_median_active_kw, G10&gt;=cfg_min_active_siblings_pct),1,0)</f>
        <v/>
      </c>
      <c r="I10" s="5">
        <f>IF(D10="ON",1,0)</f>
        <v/>
      </c>
      <c r="J10" s="5">
        <f>IF(AND(I10=1, H10=1, Raw_Data!D10&lt;cfg_pstr_zero_threshold_kw),1,0)</f>
        <v/>
      </c>
      <c r="K10" s="5">
        <f>IF(A10&lt;&gt;A9,IF(J10=1, MAX($K$5:K9)+1, 0),IF(AND(J10=1, J9=0), K9+1,IF(J10=1, K9, K9)))</f>
        <v/>
      </c>
      <c r="L10" s="5">
        <f>IF(J10=1,COUNTIFS($A$5:$A$28,A10,$K$5:$K$28,K10,$J$5:$J$28,1),0)</f>
        <v/>
      </c>
      <c r="M10" s="5">
        <f>IF(AND(J10=1, L10&gt;=cfg_debounce_consecutive_steps),1,0)</f>
        <v/>
      </c>
      <c r="N10" s="5">
        <f>IF(AND(I10=1, H10=1, Raw_Data!E10&lt;cfg_pstr_zero_threshold_kw),1,0)</f>
        <v/>
      </c>
      <c r="O10" s="5">
        <f>IF(A10&lt;&gt;A9,IF(N10=1, MAX($O$5:O9)+1, 0),IF(AND(N10=1, N9=0), O9+1,IF(N10=1, O9, O9)))</f>
        <v/>
      </c>
      <c r="P10" s="5">
        <f>IF(N10=1,COUNTIFS($A$5:$A$28,A10,$O$5:$O$28,O10,$N$5:$N$28,1),0)</f>
        <v/>
      </c>
      <c r="Q10" s="5">
        <f>IF(AND(N10=1, P10&gt;=cfg_debounce_consecutive_steps),1,0)</f>
        <v/>
      </c>
      <c r="R10" s="5">
        <f>IF(AND(I10=1, H10=1, Raw_Data!F10&lt;cfg_pstr_zero_threshold_kw),1,0)</f>
        <v/>
      </c>
      <c r="S10" s="5">
        <f>IF(A10&lt;&gt;A9,IF(R10=1, MAX($S$5:S9)+1, 0),IF(AND(R10=1, R9=0), S9+1,IF(R10=1, S9, S9)))</f>
        <v/>
      </c>
      <c r="T10" s="5">
        <f>IF(R10=1,COUNTIFS($A$5:$A$28,A10,$S$5:$S$28,S10,$R$5:$R$28,1),0)</f>
        <v/>
      </c>
      <c r="U10" s="5">
        <f>IF(AND(R10=1, T10&gt;=cfg_debounce_consecutive_steps),1,0)</f>
        <v/>
      </c>
      <c r="V10" s="5">
        <f>IF(AND(I10=1, H10=1, Raw_Data!G10&lt;cfg_pstr_zero_threshold_kw),1,0)</f>
        <v/>
      </c>
      <c r="W10" s="5">
        <f>IF(A10&lt;&gt;A9,IF(V10=1, MAX($W$5:W9)+1, 0),IF(AND(V10=1, V9=0), W9+1,IF(V10=1, W9, W9)))</f>
        <v/>
      </c>
      <c r="X10" s="5">
        <f>IF(V10=1,COUNTIFS($A$5:$A$28,A10,$W$5:$W$28,W10,$V$5:$V$28,1),0)</f>
        <v/>
      </c>
      <c r="Y10" s="5">
        <f>IF(AND(V10=1, X10&gt;=cfg_debounce_consecutive_steps),1,0)</f>
        <v/>
      </c>
      <c r="Z10" s="5">
        <f>IF(AND(I10=1, H10=1, Raw_Data!H10&lt;cfg_pstr_zero_threshold_kw),1,0)</f>
        <v/>
      </c>
      <c r="AA10" s="5">
        <f>IF(A10&lt;&gt;A9,IF(Z10=1, MAX($AA$5:AA9)+1, 0),IF(AND(Z10=1, Z9=0), AA9+1,IF(Z10=1, AA9, AA9)))</f>
        <v/>
      </c>
      <c r="AB10" s="5">
        <f>IF(Z10=1,COUNTIFS($A$5:$A$28,A10,$AA$5:$AA$28,AA10,$Z$5:$Z$28,1),0)</f>
        <v/>
      </c>
      <c r="AC10" s="5">
        <f>IF(AND(Z10=1, AB10&gt;=cfg_debounce_consecutive_steps),1,0)</f>
        <v/>
      </c>
    </row>
    <row r="11">
      <c r="A11" s="5">
        <f>Raw_Data!A11</f>
        <v/>
      </c>
      <c r="B11" s="16">
        <f>Raw_Data!B11</f>
        <v/>
      </c>
      <c r="C11" s="5">
        <f>Raw_Data!C11</f>
        <v/>
      </c>
      <c r="D11" s="5">
        <f>IF(ISNUMBER(SEARCH("shutdown",LOWER(C11)))+ISNUMBER(SEARCH("fault",LOWER(C11))),"DOWN",IF(ISNUMBER(SEARCH("grid connected",LOWER(C11)))+ISNUMBER(SEARCH("on-grid",LOWER(C11))),"ON",IF(ISNUMBER(SEARCH("standby",LOWER(C11)))+ISNUMBER(SEARCH("no sunlight",LOWER(C11))),"TRANSITIONAL","UNKNOWN")))</f>
        <v/>
      </c>
      <c r="E11" s="17">
        <f>MEDIAN(Raw_Data!D11:H11)</f>
        <v/>
      </c>
      <c r="F11" s="5">
        <f>COUNTIF(Raw_Data!D11:H11, "&gt;"&amp;cfg_pstr_zero_threshold_kw)</f>
        <v/>
      </c>
      <c r="G11" s="18">
        <f>100*F11/cfg_n_pv_total_in_workbook</f>
        <v/>
      </c>
      <c r="H11" s="5">
        <f>IF(AND(E11&gt;=cfg_sibling_median_active_kw, G11&gt;=cfg_min_active_siblings_pct),1,0)</f>
        <v/>
      </c>
      <c r="I11" s="5">
        <f>IF(D11="ON",1,0)</f>
        <v/>
      </c>
      <c r="J11" s="5">
        <f>IF(AND(I11=1, H11=1, Raw_Data!D11&lt;cfg_pstr_zero_threshold_kw),1,0)</f>
        <v/>
      </c>
      <c r="K11" s="5">
        <f>IF(A11&lt;&gt;A10,IF(J11=1, MAX($K$5:K10)+1, 0),IF(AND(J11=1, J10=0), K10+1,IF(J11=1, K10, K10)))</f>
        <v/>
      </c>
      <c r="L11" s="5">
        <f>IF(J11=1,COUNTIFS($A$5:$A$28,A11,$K$5:$K$28,K11,$J$5:$J$28,1),0)</f>
        <v/>
      </c>
      <c r="M11" s="5">
        <f>IF(AND(J11=1, L11&gt;=cfg_debounce_consecutive_steps),1,0)</f>
        <v/>
      </c>
      <c r="N11" s="5">
        <f>IF(AND(I11=1, H11=1, Raw_Data!E11&lt;cfg_pstr_zero_threshold_kw),1,0)</f>
        <v/>
      </c>
      <c r="O11" s="5">
        <f>IF(A11&lt;&gt;A10,IF(N11=1, MAX($O$5:O10)+1, 0),IF(AND(N11=1, N10=0), O10+1,IF(N11=1, O10, O10)))</f>
        <v/>
      </c>
      <c r="P11" s="5">
        <f>IF(N11=1,COUNTIFS($A$5:$A$28,A11,$O$5:$O$28,O11,$N$5:$N$28,1),0)</f>
        <v/>
      </c>
      <c r="Q11" s="5">
        <f>IF(AND(N11=1, P11&gt;=cfg_debounce_consecutive_steps),1,0)</f>
        <v/>
      </c>
      <c r="R11" s="5">
        <f>IF(AND(I11=1, H11=1, Raw_Data!F11&lt;cfg_pstr_zero_threshold_kw),1,0)</f>
        <v/>
      </c>
      <c r="S11" s="5">
        <f>IF(A11&lt;&gt;A10,IF(R11=1, MAX($S$5:S10)+1, 0),IF(AND(R11=1, R10=0), S10+1,IF(R11=1, S10, S10)))</f>
        <v/>
      </c>
      <c r="T11" s="5">
        <f>IF(R11=1,COUNTIFS($A$5:$A$28,A11,$S$5:$S$28,S11,$R$5:$R$28,1),0)</f>
        <v/>
      </c>
      <c r="U11" s="5">
        <f>IF(AND(R11=1, T11&gt;=cfg_debounce_consecutive_steps),1,0)</f>
        <v/>
      </c>
      <c r="V11" s="5">
        <f>IF(AND(I11=1, H11=1, Raw_Data!G11&lt;cfg_pstr_zero_threshold_kw),1,0)</f>
        <v/>
      </c>
      <c r="W11" s="5">
        <f>IF(A11&lt;&gt;A10,IF(V11=1, MAX($W$5:W10)+1, 0),IF(AND(V11=1, V10=0), W10+1,IF(V11=1, W10, W10)))</f>
        <v/>
      </c>
      <c r="X11" s="5">
        <f>IF(V11=1,COUNTIFS($A$5:$A$28,A11,$W$5:$W$28,W11,$V$5:$V$28,1),0)</f>
        <v/>
      </c>
      <c r="Y11" s="5">
        <f>IF(AND(V11=1, X11&gt;=cfg_debounce_consecutive_steps),1,0)</f>
        <v/>
      </c>
      <c r="Z11" s="5">
        <f>IF(AND(I11=1, H11=1, Raw_Data!H11&lt;cfg_pstr_zero_threshold_kw),1,0)</f>
        <v/>
      </c>
      <c r="AA11" s="5">
        <f>IF(A11&lt;&gt;A10,IF(Z11=1, MAX($AA$5:AA10)+1, 0),IF(AND(Z11=1, Z10=0), AA10+1,IF(Z11=1, AA10, AA10)))</f>
        <v/>
      </c>
      <c r="AB11" s="5">
        <f>IF(Z11=1,COUNTIFS($A$5:$A$28,A11,$AA$5:$AA$28,AA11,$Z$5:$Z$28,1),0)</f>
        <v/>
      </c>
      <c r="AC11" s="5">
        <f>IF(AND(Z11=1, AB11&gt;=cfg_debounce_consecutive_steps),1,0)</f>
        <v/>
      </c>
    </row>
    <row r="12">
      <c r="A12" s="5">
        <f>Raw_Data!A12</f>
        <v/>
      </c>
      <c r="B12" s="16">
        <f>Raw_Data!B12</f>
        <v/>
      </c>
      <c r="C12" s="5">
        <f>Raw_Data!C12</f>
        <v/>
      </c>
      <c r="D12" s="5">
        <f>IF(ISNUMBER(SEARCH("shutdown",LOWER(C12)))+ISNUMBER(SEARCH("fault",LOWER(C12))),"DOWN",IF(ISNUMBER(SEARCH("grid connected",LOWER(C12)))+ISNUMBER(SEARCH("on-grid",LOWER(C12))),"ON",IF(ISNUMBER(SEARCH("standby",LOWER(C12)))+ISNUMBER(SEARCH("no sunlight",LOWER(C12))),"TRANSITIONAL","UNKNOWN")))</f>
        <v/>
      </c>
      <c r="E12" s="17">
        <f>MEDIAN(Raw_Data!D12:H12)</f>
        <v/>
      </c>
      <c r="F12" s="5">
        <f>COUNTIF(Raw_Data!D12:H12, "&gt;"&amp;cfg_pstr_zero_threshold_kw)</f>
        <v/>
      </c>
      <c r="G12" s="18">
        <f>100*F12/cfg_n_pv_total_in_workbook</f>
        <v/>
      </c>
      <c r="H12" s="5">
        <f>IF(AND(E12&gt;=cfg_sibling_median_active_kw, G12&gt;=cfg_min_active_siblings_pct),1,0)</f>
        <v/>
      </c>
      <c r="I12" s="5">
        <f>IF(D12="ON",1,0)</f>
        <v/>
      </c>
      <c r="J12" s="5">
        <f>IF(AND(I12=1, H12=1, Raw_Data!D12&lt;cfg_pstr_zero_threshold_kw),1,0)</f>
        <v/>
      </c>
      <c r="K12" s="5">
        <f>IF(A12&lt;&gt;A11,IF(J12=1, MAX($K$5:K11)+1, 0),IF(AND(J12=1, J11=0), K11+1,IF(J12=1, K11, K11)))</f>
        <v/>
      </c>
      <c r="L12" s="5">
        <f>IF(J12=1,COUNTIFS($A$5:$A$28,A12,$K$5:$K$28,K12,$J$5:$J$28,1),0)</f>
        <v/>
      </c>
      <c r="M12" s="5">
        <f>IF(AND(J12=1, L12&gt;=cfg_debounce_consecutive_steps),1,0)</f>
        <v/>
      </c>
      <c r="N12" s="5">
        <f>IF(AND(I12=1, H12=1, Raw_Data!E12&lt;cfg_pstr_zero_threshold_kw),1,0)</f>
        <v/>
      </c>
      <c r="O12" s="5">
        <f>IF(A12&lt;&gt;A11,IF(N12=1, MAX($O$5:O11)+1, 0),IF(AND(N12=1, N11=0), O11+1,IF(N12=1, O11, O11)))</f>
        <v/>
      </c>
      <c r="P12" s="5">
        <f>IF(N12=1,COUNTIFS($A$5:$A$28,A12,$O$5:$O$28,O12,$N$5:$N$28,1),0)</f>
        <v/>
      </c>
      <c r="Q12" s="5">
        <f>IF(AND(N12=1, P12&gt;=cfg_debounce_consecutive_steps),1,0)</f>
        <v/>
      </c>
      <c r="R12" s="5">
        <f>IF(AND(I12=1, H12=1, Raw_Data!F12&lt;cfg_pstr_zero_threshold_kw),1,0)</f>
        <v/>
      </c>
      <c r="S12" s="5">
        <f>IF(A12&lt;&gt;A11,IF(R12=1, MAX($S$5:S11)+1, 0),IF(AND(R12=1, R11=0), S11+1,IF(R12=1, S11, S11)))</f>
        <v/>
      </c>
      <c r="T12" s="5">
        <f>IF(R12=1,COUNTIFS($A$5:$A$28,A12,$S$5:$S$28,S12,$R$5:$R$28,1),0)</f>
        <v/>
      </c>
      <c r="U12" s="5">
        <f>IF(AND(R12=1, T12&gt;=cfg_debounce_consecutive_steps),1,0)</f>
        <v/>
      </c>
      <c r="V12" s="5">
        <f>IF(AND(I12=1, H12=1, Raw_Data!G12&lt;cfg_pstr_zero_threshold_kw),1,0)</f>
        <v/>
      </c>
      <c r="W12" s="5">
        <f>IF(A12&lt;&gt;A11,IF(V12=1, MAX($W$5:W11)+1, 0),IF(AND(V12=1, V11=0), W11+1,IF(V12=1, W11, W11)))</f>
        <v/>
      </c>
      <c r="X12" s="5">
        <f>IF(V12=1,COUNTIFS($A$5:$A$28,A12,$W$5:$W$28,W12,$V$5:$V$28,1),0)</f>
        <v/>
      </c>
      <c r="Y12" s="5">
        <f>IF(AND(V12=1, X12&gt;=cfg_debounce_consecutive_steps),1,0)</f>
        <v/>
      </c>
      <c r="Z12" s="5">
        <f>IF(AND(I12=1, H12=1, Raw_Data!H12&lt;cfg_pstr_zero_threshold_kw),1,0)</f>
        <v/>
      </c>
      <c r="AA12" s="5">
        <f>IF(A12&lt;&gt;A11,IF(Z12=1, MAX($AA$5:AA11)+1, 0),IF(AND(Z12=1, Z11=0), AA11+1,IF(Z12=1, AA11, AA11)))</f>
        <v/>
      </c>
      <c r="AB12" s="5">
        <f>IF(Z12=1,COUNTIFS($A$5:$A$28,A12,$AA$5:$AA$28,AA12,$Z$5:$Z$28,1),0)</f>
        <v/>
      </c>
      <c r="AC12" s="5">
        <f>IF(AND(Z12=1, AB12&gt;=cfg_debounce_consecutive_steps),1,0)</f>
        <v/>
      </c>
    </row>
    <row r="13">
      <c r="A13" s="5">
        <f>Raw_Data!A13</f>
        <v/>
      </c>
      <c r="B13" s="16">
        <f>Raw_Data!B13</f>
        <v/>
      </c>
      <c r="C13" s="5">
        <f>Raw_Data!C13</f>
        <v/>
      </c>
      <c r="D13" s="5">
        <f>IF(ISNUMBER(SEARCH("shutdown",LOWER(C13)))+ISNUMBER(SEARCH("fault",LOWER(C13))),"DOWN",IF(ISNUMBER(SEARCH("grid connected",LOWER(C13)))+ISNUMBER(SEARCH("on-grid",LOWER(C13))),"ON",IF(ISNUMBER(SEARCH("standby",LOWER(C13)))+ISNUMBER(SEARCH("no sunlight",LOWER(C13))),"TRANSITIONAL","UNKNOWN")))</f>
        <v/>
      </c>
      <c r="E13" s="17">
        <f>MEDIAN(Raw_Data!D13:H13)</f>
        <v/>
      </c>
      <c r="F13" s="5">
        <f>COUNTIF(Raw_Data!D13:H13, "&gt;"&amp;cfg_pstr_zero_threshold_kw)</f>
        <v/>
      </c>
      <c r="G13" s="18">
        <f>100*F13/cfg_n_pv_total_in_workbook</f>
        <v/>
      </c>
      <c r="H13" s="5">
        <f>IF(AND(E13&gt;=cfg_sibling_median_active_kw, G13&gt;=cfg_min_active_siblings_pct),1,0)</f>
        <v/>
      </c>
      <c r="I13" s="5">
        <f>IF(D13="ON",1,0)</f>
        <v/>
      </c>
      <c r="J13" s="5">
        <f>IF(AND(I13=1, H13=1, Raw_Data!D13&lt;cfg_pstr_zero_threshold_kw),1,0)</f>
        <v/>
      </c>
      <c r="K13" s="5">
        <f>IF(A13&lt;&gt;A12,IF(J13=1, MAX($K$5:K12)+1, 0),IF(AND(J13=1, J12=0), K12+1,IF(J13=1, K12, K12)))</f>
        <v/>
      </c>
      <c r="L13" s="5">
        <f>IF(J13=1,COUNTIFS($A$5:$A$28,A13,$K$5:$K$28,K13,$J$5:$J$28,1),0)</f>
        <v/>
      </c>
      <c r="M13" s="5">
        <f>IF(AND(J13=1, L13&gt;=cfg_debounce_consecutive_steps),1,0)</f>
        <v/>
      </c>
      <c r="N13" s="5">
        <f>IF(AND(I13=1, H13=1, Raw_Data!E13&lt;cfg_pstr_zero_threshold_kw),1,0)</f>
        <v/>
      </c>
      <c r="O13" s="5">
        <f>IF(A13&lt;&gt;A12,IF(N13=1, MAX($O$5:O12)+1, 0),IF(AND(N13=1, N12=0), O12+1,IF(N13=1, O12, O12)))</f>
        <v/>
      </c>
      <c r="P13" s="5">
        <f>IF(N13=1,COUNTIFS($A$5:$A$28,A13,$O$5:$O$28,O13,$N$5:$N$28,1),0)</f>
        <v/>
      </c>
      <c r="Q13" s="5">
        <f>IF(AND(N13=1, P13&gt;=cfg_debounce_consecutive_steps),1,0)</f>
        <v/>
      </c>
      <c r="R13" s="5">
        <f>IF(AND(I13=1, H13=1, Raw_Data!F13&lt;cfg_pstr_zero_threshold_kw),1,0)</f>
        <v/>
      </c>
      <c r="S13" s="5">
        <f>IF(A13&lt;&gt;A12,IF(R13=1, MAX($S$5:S12)+1, 0),IF(AND(R13=1, R12=0), S12+1,IF(R13=1, S12, S12)))</f>
        <v/>
      </c>
      <c r="T13" s="5">
        <f>IF(R13=1,COUNTIFS($A$5:$A$28,A13,$S$5:$S$28,S13,$R$5:$R$28,1),0)</f>
        <v/>
      </c>
      <c r="U13" s="5">
        <f>IF(AND(R13=1, T13&gt;=cfg_debounce_consecutive_steps),1,0)</f>
        <v/>
      </c>
      <c r="V13" s="5">
        <f>IF(AND(I13=1, H13=1, Raw_Data!G13&lt;cfg_pstr_zero_threshold_kw),1,0)</f>
        <v/>
      </c>
      <c r="W13" s="5">
        <f>IF(A13&lt;&gt;A12,IF(V13=1, MAX($W$5:W12)+1, 0),IF(AND(V13=1, V12=0), W12+1,IF(V13=1, W12, W12)))</f>
        <v/>
      </c>
      <c r="X13" s="5">
        <f>IF(V13=1,COUNTIFS($A$5:$A$28,A13,$W$5:$W$28,W13,$V$5:$V$28,1),0)</f>
        <v/>
      </c>
      <c r="Y13" s="5">
        <f>IF(AND(V13=1, X13&gt;=cfg_debounce_consecutive_steps),1,0)</f>
        <v/>
      </c>
      <c r="Z13" s="5">
        <f>IF(AND(I13=1, H13=1, Raw_Data!H13&lt;cfg_pstr_zero_threshold_kw),1,0)</f>
        <v/>
      </c>
      <c r="AA13" s="5">
        <f>IF(A13&lt;&gt;A12,IF(Z13=1, MAX($AA$5:AA12)+1, 0),IF(AND(Z13=1, Z12=0), AA12+1,IF(Z13=1, AA12, AA12)))</f>
        <v/>
      </c>
      <c r="AB13" s="5">
        <f>IF(Z13=1,COUNTIFS($A$5:$A$28,A13,$AA$5:$AA$28,AA13,$Z$5:$Z$28,1),0)</f>
        <v/>
      </c>
      <c r="AC13" s="5">
        <f>IF(AND(Z13=1, AB13&gt;=cfg_debounce_consecutive_steps),1,0)</f>
        <v/>
      </c>
    </row>
    <row r="14">
      <c r="A14" s="5">
        <f>Raw_Data!A14</f>
        <v/>
      </c>
      <c r="B14" s="16">
        <f>Raw_Data!B14</f>
        <v/>
      </c>
      <c r="C14" s="5">
        <f>Raw_Data!C14</f>
        <v/>
      </c>
      <c r="D14" s="5">
        <f>IF(ISNUMBER(SEARCH("shutdown",LOWER(C14)))+ISNUMBER(SEARCH("fault",LOWER(C14))),"DOWN",IF(ISNUMBER(SEARCH("grid connected",LOWER(C14)))+ISNUMBER(SEARCH("on-grid",LOWER(C14))),"ON",IF(ISNUMBER(SEARCH("standby",LOWER(C14)))+ISNUMBER(SEARCH("no sunlight",LOWER(C14))),"TRANSITIONAL","UNKNOWN")))</f>
        <v/>
      </c>
      <c r="E14" s="17">
        <f>MEDIAN(Raw_Data!D14:H14)</f>
        <v/>
      </c>
      <c r="F14" s="5">
        <f>COUNTIF(Raw_Data!D14:H14, "&gt;"&amp;cfg_pstr_zero_threshold_kw)</f>
        <v/>
      </c>
      <c r="G14" s="18">
        <f>100*F14/cfg_n_pv_total_in_workbook</f>
        <v/>
      </c>
      <c r="H14" s="5">
        <f>IF(AND(E14&gt;=cfg_sibling_median_active_kw, G14&gt;=cfg_min_active_siblings_pct),1,0)</f>
        <v/>
      </c>
      <c r="I14" s="5">
        <f>IF(D14="ON",1,0)</f>
        <v/>
      </c>
      <c r="J14" s="5">
        <f>IF(AND(I14=1, H14=1, Raw_Data!D14&lt;cfg_pstr_zero_threshold_kw),1,0)</f>
        <v/>
      </c>
      <c r="K14" s="5">
        <f>IF(A14&lt;&gt;A13,IF(J14=1, MAX($K$5:K13)+1, 0),IF(AND(J14=1, J13=0), K13+1,IF(J14=1, K13, K13)))</f>
        <v/>
      </c>
      <c r="L14" s="5">
        <f>IF(J14=1,COUNTIFS($A$5:$A$28,A14,$K$5:$K$28,K14,$J$5:$J$28,1),0)</f>
        <v/>
      </c>
      <c r="M14" s="5">
        <f>IF(AND(J14=1, L14&gt;=cfg_debounce_consecutive_steps),1,0)</f>
        <v/>
      </c>
      <c r="N14" s="5">
        <f>IF(AND(I14=1, H14=1, Raw_Data!E14&lt;cfg_pstr_zero_threshold_kw),1,0)</f>
        <v/>
      </c>
      <c r="O14" s="5">
        <f>IF(A14&lt;&gt;A13,IF(N14=1, MAX($O$5:O13)+1, 0),IF(AND(N14=1, N13=0), O13+1,IF(N14=1, O13, O13)))</f>
        <v/>
      </c>
      <c r="P14" s="5">
        <f>IF(N14=1,COUNTIFS($A$5:$A$28,A14,$O$5:$O$28,O14,$N$5:$N$28,1),0)</f>
        <v/>
      </c>
      <c r="Q14" s="5">
        <f>IF(AND(N14=1, P14&gt;=cfg_debounce_consecutive_steps),1,0)</f>
        <v/>
      </c>
      <c r="R14" s="5">
        <f>IF(AND(I14=1, H14=1, Raw_Data!F14&lt;cfg_pstr_zero_threshold_kw),1,0)</f>
        <v/>
      </c>
      <c r="S14" s="5">
        <f>IF(A14&lt;&gt;A13,IF(R14=1, MAX($S$5:S13)+1, 0),IF(AND(R14=1, R13=0), S13+1,IF(R14=1, S13, S13)))</f>
        <v/>
      </c>
      <c r="T14" s="5">
        <f>IF(R14=1,COUNTIFS($A$5:$A$28,A14,$S$5:$S$28,S14,$R$5:$R$28,1),0)</f>
        <v/>
      </c>
      <c r="U14" s="5">
        <f>IF(AND(R14=1, T14&gt;=cfg_debounce_consecutive_steps),1,0)</f>
        <v/>
      </c>
      <c r="V14" s="5">
        <f>IF(AND(I14=1, H14=1, Raw_Data!G14&lt;cfg_pstr_zero_threshold_kw),1,0)</f>
        <v/>
      </c>
      <c r="W14" s="5">
        <f>IF(A14&lt;&gt;A13,IF(V14=1, MAX($W$5:W13)+1, 0),IF(AND(V14=1, V13=0), W13+1,IF(V14=1, W13, W13)))</f>
        <v/>
      </c>
      <c r="X14" s="5">
        <f>IF(V14=1,COUNTIFS($A$5:$A$28,A14,$W$5:$W$28,W14,$V$5:$V$28,1),0)</f>
        <v/>
      </c>
      <c r="Y14" s="5">
        <f>IF(AND(V14=1, X14&gt;=cfg_debounce_consecutive_steps),1,0)</f>
        <v/>
      </c>
      <c r="Z14" s="5">
        <f>IF(AND(I14=1, H14=1, Raw_Data!H14&lt;cfg_pstr_zero_threshold_kw),1,0)</f>
        <v/>
      </c>
      <c r="AA14" s="5">
        <f>IF(A14&lt;&gt;A13,IF(Z14=1, MAX($AA$5:AA13)+1, 0),IF(AND(Z14=1, Z13=0), AA13+1,IF(Z14=1, AA13, AA13)))</f>
        <v/>
      </c>
      <c r="AB14" s="5">
        <f>IF(Z14=1,COUNTIFS($A$5:$A$28,A14,$AA$5:$AA$28,AA14,$Z$5:$Z$28,1),0)</f>
        <v/>
      </c>
      <c r="AC14" s="5">
        <f>IF(AND(Z14=1, AB14&gt;=cfg_debounce_consecutive_steps),1,0)</f>
        <v/>
      </c>
    </row>
    <row r="15">
      <c r="A15" s="5">
        <f>Raw_Data!A15</f>
        <v/>
      </c>
      <c r="B15" s="16">
        <f>Raw_Data!B15</f>
        <v/>
      </c>
      <c r="C15" s="5">
        <f>Raw_Data!C15</f>
        <v/>
      </c>
      <c r="D15" s="5">
        <f>IF(ISNUMBER(SEARCH("shutdown",LOWER(C15)))+ISNUMBER(SEARCH("fault",LOWER(C15))),"DOWN",IF(ISNUMBER(SEARCH("grid connected",LOWER(C15)))+ISNUMBER(SEARCH("on-grid",LOWER(C15))),"ON",IF(ISNUMBER(SEARCH("standby",LOWER(C15)))+ISNUMBER(SEARCH("no sunlight",LOWER(C15))),"TRANSITIONAL","UNKNOWN")))</f>
        <v/>
      </c>
      <c r="E15" s="17">
        <f>MEDIAN(Raw_Data!D15:H15)</f>
        <v/>
      </c>
      <c r="F15" s="5">
        <f>COUNTIF(Raw_Data!D15:H15, "&gt;"&amp;cfg_pstr_zero_threshold_kw)</f>
        <v/>
      </c>
      <c r="G15" s="18">
        <f>100*F15/cfg_n_pv_total_in_workbook</f>
        <v/>
      </c>
      <c r="H15" s="5">
        <f>IF(AND(E15&gt;=cfg_sibling_median_active_kw, G15&gt;=cfg_min_active_siblings_pct),1,0)</f>
        <v/>
      </c>
      <c r="I15" s="5">
        <f>IF(D15="ON",1,0)</f>
        <v/>
      </c>
      <c r="J15" s="5">
        <f>IF(AND(I15=1, H15=1, Raw_Data!D15&lt;cfg_pstr_zero_threshold_kw),1,0)</f>
        <v/>
      </c>
      <c r="K15" s="5">
        <f>IF(A15&lt;&gt;A14,IF(J15=1, MAX($K$5:K14)+1, 0),IF(AND(J15=1, J14=0), K14+1,IF(J15=1, K14, K14)))</f>
        <v/>
      </c>
      <c r="L15" s="5">
        <f>IF(J15=1,COUNTIFS($A$5:$A$28,A15,$K$5:$K$28,K15,$J$5:$J$28,1),0)</f>
        <v/>
      </c>
      <c r="M15" s="5">
        <f>IF(AND(J15=1, L15&gt;=cfg_debounce_consecutive_steps),1,0)</f>
        <v/>
      </c>
      <c r="N15" s="5">
        <f>IF(AND(I15=1, H15=1, Raw_Data!E15&lt;cfg_pstr_zero_threshold_kw),1,0)</f>
        <v/>
      </c>
      <c r="O15" s="5">
        <f>IF(A15&lt;&gt;A14,IF(N15=1, MAX($O$5:O14)+1, 0),IF(AND(N15=1, N14=0), O14+1,IF(N15=1, O14, O14)))</f>
        <v/>
      </c>
      <c r="P15" s="5">
        <f>IF(N15=1,COUNTIFS($A$5:$A$28,A15,$O$5:$O$28,O15,$N$5:$N$28,1),0)</f>
        <v/>
      </c>
      <c r="Q15" s="5">
        <f>IF(AND(N15=1, P15&gt;=cfg_debounce_consecutive_steps),1,0)</f>
        <v/>
      </c>
      <c r="R15" s="5">
        <f>IF(AND(I15=1, H15=1, Raw_Data!F15&lt;cfg_pstr_zero_threshold_kw),1,0)</f>
        <v/>
      </c>
      <c r="S15" s="5">
        <f>IF(A15&lt;&gt;A14,IF(R15=1, MAX($S$5:S14)+1, 0),IF(AND(R15=1, R14=0), S14+1,IF(R15=1, S14, S14)))</f>
        <v/>
      </c>
      <c r="T15" s="5">
        <f>IF(R15=1,COUNTIFS($A$5:$A$28,A15,$S$5:$S$28,S15,$R$5:$R$28,1),0)</f>
        <v/>
      </c>
      <c r="U15" s="5">
        <f>IF(AND(R15=1, T15&gt;=cfg_debounce_consecutive_steps),1,0)</f>
        <v/>
      </c>
      <c r="V15" s="5">
        <f>IF(AND(I15=1, H15=1, Raw_Data!G15&lt;cfg_pstr_zero_threshold_kw),1,0)</f>
        <v/>
      </c>
      <c r="W15" s="5">
        <f>IF(A15&lt;&gt;A14,IF(V15=1, MAX($W$5:W14)+1, 0),IF(AND(V15=1, V14=0), W14+1,IF(V15=1, W14, W14)))</f>
        <v/>
      </c>
      <c r="X15" s="5">
        <f>IF(V15=1,COUNTIFS($A$5:$A$28,A15,$W$5:$W$28,W15,$V$5:$V$28,1),0)</f>
        <v/>
      </c>
      <c r="Y15" s="5">
        <f>IF(AND(V15=1, X15&gt;=cfg_debounce_consecutive_steps),1,0)</f>
        <v/>
      </c>
      <c r="Z15" s="5">
        <f>IF(AND(I15=1, H15=1, Raw_Data!H15&lt;cfg_pstr_zero_threshold_kw),1,0)</f>
        <v/>
      </c>
      <c r="AA15" s="5">
        <f>IF(A15&lt;&gt;A14,IF(Z15=1, MAX($AA$5:AA14)+1, 0),IF(AND(Z15=1, Z14=0), AA14+1,IF(Z15=1, AA14, AA14)))</f>
        <v/>
      </c>
      <c r="AB15" s="5">
        <f>IF(Z15=1,COUNTIFS($A$5:$A$28,A15,$AA$5:$AA$28,AA15,$Z$5:$Z$28,1),0)</f>
        <v/>
      </c>
      <c r="AC15" s="5">
        <f>IF(AND(Z15=1, AB15&gt;=cfg_debounce_consecutive_steps),1,0)</f>
        <v/>
      </c>
    </row>
    <row r="16">
      <c r="A16" s="5">
        <f>Raw_Data!A16</f>
        <v/>
      </c>
      <c r="B16" s="16">
        <f>Raw_Data!B16</f>
        <v/>
      </c>
      <c r="C16" s="5">
        <f>Raw_Data!C16</f>
        <v/>
      </c>
      <c r="D16" s="5">
        <f>IF(ISNUMBER(SEARCH("shutdown",LOWER(C16)))+ISNUMBER(SEARCH("fault",LOWER(C16))),"DOWN",IF(ISNUMBER(SEARCH("grid connected",LOWER(C16)))+ISNUMBER(SEARCH("on-grid",LOWER(C16))),"ON",IF(ISNUMBER(SEARCH("standby",LOWER(C16)))+ISNUMBER(SEARCH("no sunlight",LOWER(C16))),"TRANSITIONAL","UNKNOWN")))</f>
        <v/>
      </c>
      <c r="E16" s="17">
        <f>MEDIAN(Raw_Data!D16:H16)</f>
        <v/>
      </c>
      <c r="F16" s="5">
        <f>COUNTIF(Raw_Data!D16:H16, "&gt;"&amp;cfg_pstr_zero_threshold_kw)</f>
        <v/>
      </c>
      <c r="G16" s="18">
        <f>100*F16/cfg_n_pv_total_in_workbook</f>
        <v/>
      </c>
      <c r="H16" s="5">
        <f>IF(AND(E16&gt;=cfg_sibling_median_active_kw, G16&gt;=cfg_min_active_siblings_pct),1,0)</f>
        <v/>
      </c>
      <c r="I16" s="5">
        <f>IF(D16="ON",1,0)</f>
        <v/>
      </c>
      <c r="J16" s="5">
        <f>IF(AND(I16=1, H16=1, Raw_Data!D16&lt;cfg_pstr_zero_threshold_kw),1,0)</f>
        <v/>
      </c>
      <c r="K16" s="5">
        <f>IF(A16&lt;&gt;A15,IF(J16=1, MAX($K$5:K15)+1, 0),IF(AND(J16=1, J15=0), K15+1,IF(J16=1, K15, K15)))</f>
        <v/>
      </c>
      <c r="L16" s="5">
        <f>IF(J16=1,COUNTIFS($A$5:$A$28,A16,$K$5:$K$28,K16,$J$5:$J$28,1),0)</f>
        <v/>
      </c>
      <c r="M16" s="5">
        <f>IF(AND(J16=1, L16&gt;=cfg_debounce_consecutive_steps),1,0)</f>
        <v/>
      </c>
      <c r="N16" s="5">
        <f>IF(AND(I16=1, H16=1, Raw_Data!E16&lt;cfg_pstr_zero_threshold_kw),1,0)</f>
        <v/>
      </c>
      <c r="O16" s="5">
        <f>IF(A16&lt;&gt;A15,IF(N16=1, MAX($O$5:O15)+1, 0),IF(AND(N16=1, N15=0), O15+1,IF(N16=1, O15, O15)))</f>
        <v/>
      </c>
      <c r="P16" s="5">
        <f>IF(N16=1,COUNTIFS($A$5:$A$28,A16,$O$5:$O$28,O16,$N$5:$N$28,1),0)</f>
        <v/>
      </c>
      <c r="Q16" s="5">
        <f>IF(AND(N16=1, P16&gt;=cfg_debounce_consecutive_steps),1,0)</f>
        <v/>
      </c>
      <c r="R16" s="5">
        <f>IF(AND(I16=1, H16=1, Raw_Data!F16&lt;cfg_pstr_zero_threshold_kw),1,0)</f>
        <v/>
      </c>
      <c r="S16" s="5">
        <f>IF(A16&lt;&gt;A15,IF(R16=1, MAX($S$5:S15)+1, 0),IF(AND(R16=1, R15=0), S15+1,IF(R16=1, S15, S15)))</f>
        <v/>
      </c>
      <c r="T16" s="5">
        <f>IF(R16=1,COUNTIFS($A$5:$A$28,A16,$S$5:$S$28,S16,$R$5:$R$28,1),0)</f>
        <v/>
      </c>
      <c r="U16" s="5">
        <f>IF(AND(R16=1, T16&gt;=cfg_debounce_consecutive_steps),1,0)</f>
        <v/>
      </c>
      <c r="V16" s="5">
        <f>IF(AND(I16=1, H16=1, Raw_Data!G16&lt;cfg_pstr_zero_threshold_kw),1,0)</f>
        <v/>
      </c>
      <c r="W16" s="5">
        <f>IF(A16&lt;&gt;A15,IF(V16=1, MAX($W$5:W15)+1, 0),IF(AND(V16=1, V15=0), W15+1,IF(V16=1, W15, W15)))</f>
        <v/>
      </c>
      <c r="X16" s="5">
        <f>IF(V16=1,COUNTIFS($A$5:$A$28,A16,$W$5:$W$28,W16,$V$5:$V$28,1),0)</f>
        <v/>
      </c>
      <c r="Y16" s="5">
        <f>IF(AND(V16=1, X16&gt;=cfg_debounce_consecutive_steps),1,0)</f>
        <v/>
      </c>
      <c r="Z16" s="5">
        <f>IF(AND(I16=1, H16=1, Raw_Data!H16&lt;cfg_pstr_zero_threshold_kw),1,0)</f>
        <v/>
      </c>
      <c r="AA16" s="5">
        <f>IF(A16&lt;&gt;A15,IF(Z16=1, MAX($AA$5:AA15)+1, 0),IF(AND(Z16=1, Z15=0), AA15+1,IF(Z16=1, AA15, AA15)))</f>
        <v/>
      </c>
      <c r="AB16" s="5">
        <f>IF(Z16=1,COUNTIFS($A$5:$A$28,A16,$AA$5:$AA$28,AA16,$Z$5:$Z$28,1),0)</f>
        <v/>
      </c>
      <c r="AC16" s="5">
        <f>IF(AND(Z16=1, AB16&gt;=cfg_debounce_consecutive_steps),1,0)</f>
        <v/>
      </c>
    </row>
    <row r="17">
      <c r="A17" s="5">
        <f>Raw_Data!A17</f>
        <v/>
      </c>
      <c r="B17" s="16">
        <f>Raw_Data!B17</f>
        <v/>
      </c>
      <c r="C17" s="5">
        <f>Raw_Data!C17</f>
        <v/>
      </c>
      <c r="D17" s="5">
        <f>IF(ISNUMBER(SEARCH("shutdown",LOWER(C17)))+ISNUMBER(SEARCH("fault",LOWER(C17))),"DOWN",IF(ISNUMBER(SEARCH("grid connected",LOWER(C17)))+ISNUMBER(SEARCH("on-grid",LOWER(C17))),"ON",IF(ISNUMBER(SEARCH("standby",LOWER(C17)))+ISNUMBER(SEARCH("no sunlight",LOWER(C17))),"TRANSITIONAL","UNKNOWN")))</f>
        <v/>
      </c>
      <c r="E17" s="17">
        <f>MEDIAN(Raw_Data!D17:H17)</f>
        <v/>
      </c>
      <c r="F17" s="5">
        <f>COUNTIF(Raw_Data!D17:H17, "&gt;"&amp;cfg_pstr_zero_threshold_kw)</f>
        <v/>
      </c>
      <c r="G17" s="18">
        <f>100*F17/cfg_n_pv_total_in_workbook</f>
        <v/>
      </c>
      <c r="H17" s="5">
        <f>IF(AND(E17&gt;=cfg_sibling_median_active_kw, G17&gt;=cfg_min_active_siblings_pct),1,0)</f>
        <v/>
      </c>
      <c r="I17" s="5">
        <f>IF(D17="ON",1,0)</f>
        <v/>
      </c>
      <c r="J17" s="5">
        <f>IF(AND(I17=1, H17=1, Raw_Data!D17&lt;cfg_pstr_zero_threshold_kw),1,0)</f>
        <v/>
      </c>
      <c r="K17" s="5">
        <f>IF(A17&lt;&gt;A16,IF(J17=1, MAX($K$5:K16)+1, 0),IF(AND(J17=1, J16=0), K16+1,IF(J17=1, K16, K16)))</f>
        <v/>
      </c>
      <c r="L17" s="5">
        <f>IF(J17=1,COUNTIFS($A$5:$A$28,A17,$K$5:$K$28,K17,$J$5:$J$28,1),0)</f>
        <v/>
      </c>
      <c r="M17" s="5">
        <f>IF(AND(J17=1, L17&gt;=cfg_debounce_consecutive_steps),1,0)</f>
        <v/>
      </c>
      <c r="N17" s="5">
        <f>IF(AND(I17=1, H17=1, Raw_Data!E17&lt;cfg_pstr_zero_threshold_kw),1,0)</f>
        <v/>
      </c>
      <c r="O17" s="5">
        <f>IF(A17&lt;&gt;A16,IF(N17=1, MAX($O$5:O16)+1, 0),IF(AND(N17=1, N16=0), O16+1,IF(N17=1, O16, O16)))</f>
        <v/>
      </c>
      <c r="P17" s="5">
        <f>IF(N17=1,COUNTIFS($A$5:$A$28,A17,$O$5:$O$28,O17,$N$5:$N$28,1),0)</f>
        <v/>
      </c>
      <c r="Q17" s="5">
        <f>IF(AND(N17=1, P17&gt;=cfg_debounce_consecutive_steps),1,0)</f>
        <v/>
      </c>
      <c r="R17" s="5">
        <f>IF(AND(I17=1, H17=1, Raw_Data!F17&lt;cfg_pstr_zero_threshold_kw),1,0)</f>
        <v/>
      </c>
      <c r="S17" s="5">
        <f>IF(A17&lt;&gt;A16,IF(R17=1, MAX($S$5:S16)+1, 0),IF(AND(R17=1, R16=0), S16+1,IF(R17=1, S16, S16)))</f>
        <v/>
      </c>
      <c r="T17" s="5">
        <f>IF(R17=1,COUNTIFS($A$5:$A$28,A17,$S$5:$S$28,S17,$R$5:$R$28,1),0)</f>
        <v/>
      </c>
      <c r="U17" s="5">
        <f>IF(AND(R17=1, T17&gt;=cfg_debounce_consecutive_steps),1,0)</f>
        <v/>
      </c>
      <c r="V17" s="5">
        <f>IF(AND(I17=1, H17=1, Raw_Data!G17&lt;cfg_pstr_zero_threshold_kw),1,0)</f>
        <v/>
      </c>
      <c r="W17" s="5">
        <f>IF(A17&lt;&gt;A16,IF(V17=1, MAX($W$5:W16)+1, 0),IF(AND(V17=1, V16=0), W16+1,IF(V17=1, W16, W16)))</f>
        <v/>
      </c>
      <c r="X17" s="5">
        <f>IF(V17=1,COUNTIFS($A$5:$A$28,A17,$W$5:$W$28,W17,$V$5:$V$28,1),0)</f>
        <v/>
      </c>
      <c r="Y17" s="5">
        <f>IF(AND(V17=1, X17&gt;=cfg_debounce_consecutive_steps),1,0)</f>
        <v/>
      </c>
      <c r="Z17" s="5">
        <f>IF(AND(I17=1, H17=1, Raw_Data!H17&lt;cfg_pstr_zero_threshold_kw),1,0)</f>
        <v/>
      </c>
      <c r="AA17" s="5">
        <f>IF(A17&lt;&gt;A16,IF(Z17=1, MAX($AA$5:AA16)+1, 0),IF(AND(Z17=1, Z16=0), AA16+1,IF(Z17=1, AA16, AA16)))</f>
        <v/>
      </c>
      <c r="AB17" s="5">
        <f>IF(Z17=1,COUNTIFS($A$5:$A$28,A17,$AA$5:$AA$28,AA17,$Z$5:$Z$28,1),0)</f>
        <v/>
      </c>
      <c r="AC17" s="5">
        <f>IF(AND(Z17=1, AB17&gt;=cfg_debounce_consecutive_steps),1,0)</f>
        <v/>
      </c>
    </row>
    <row r="18">
      <c r="A18" s="5">
        <f>Raw_Data!A18</f>
        <v/>
      </c>
      <c r="B18" s="16">
        <f>Raw_Data!B18</f>
        <v/>
      </c>
      <c r="C18" s="5">
        <f>Raw_Data!C18</f>
        <v/>
      </c>
      <c r="D18" s="5">
        <f>IF(ISNUMBER(SEARCH("shutdown",LOWER(C18)))+ISNUMBER(SEARCH("fault",LOWER(C18))),"DOWN",IF(ISNUMBER(SEARCH("grid connected",LOWER(C18)))+ISNUMBER(SEARCH("on-grid",LOWER(C18))),"ON",IF(ISNUMBER(SEARCH("standby",LOWER(C18)))+ISNUMBER(SEARCH("no sunlight",LOWER(C18))),"TRANSITIONAL","UNKNOWN")))</f>
        <v/>
      </c>
      <c r="E18" s="17">
        <f>MEDIAN(Raw_Data!D18:H18)</f>
        <v/>
      </c>
      <c r="F18" s="5">
        <f>COUNTIF(Raw_Data!D18:H18, "&gt;"&amp;cfg_pstr_zero_threshold_kw)</f>
        <v/>
      </c>
      <c r="G18" s="18">
        <f>100*F18/cfg_n_pv_total_in_workbook</f>
        <v/>
      </c>
      <c r="H18" s="5">
        <f>IF(AND(E18&gt;=cfg_sibling_median_active_kw, G18&gt;=cfg_min_active_siblings_pct),1,0)</f>
        <v/>
      </c>
      <c r="I18" s="5">
        <f>IF(D18="ON",1,0)</f>
        <v/>
      </c>
      <c r="J18" s="5">
        <f>IF(AND(I18=1, H18=1, Raw_Data!D18&lt;cfg_pstr_zero_threshold_kw),1,0)</f>
        <v/>
      </c>
      <c r="K18" s="5">
        <f>IF(A18&lt;&gt;A17,IF(J18=1, MAX($K$5:K17)+1, 0),IF(AND(J18=1, J17=0), K17+1,IF(J18=1, K17, K17)))</f>
        <v/>
      </c>
      <c r="L18" s="5">
        <f>IF(J18=1,COUNTIFS($A$5:$A$28,A18,$K$5:$K$28,K18,$J$5:$J$28,1),0)</f>
        <v/>
      </c>
      <c r="M18" s="5">
        <f>IF(AND(J18=1, L18&gt;=cfg_debounce_consecutive_steps),1,0)</f>
        <v/>
      </c>
      <c r="N18" s="5">
        <f>IF(AND(I18=1, H18=1, Raw_Data!E18&lt;cfg_pstr_zero_threshold_kw),1,0)</f>
        <v/>
      </c>
      <c r="O18" s="5">
        <f>IF(A18&lt;&gt;A17,IF(N18=1, MAX($O$5:O17)+1, 0),IF(AND(N18=1, N17=0), O17+1,IF(N18=1, O17, O17)))</f>
        <v/>
      </c>
      <c r="P18" s="5">
        <f>IF(N18=1,COUNTIFS($A$5:$A$28,A18,$O$5:$O$28,O18,$N$5:$N$28,1),0)</f>
        <v/>
      </c>
      <c r="Q18" s="5">
        <f>IF(AND(N18=1, P18&gt;=cfg_debounce_consecutive_steps),1,0)</f>
        <v/>
      </c>
      <c r="R18" s="5">
        <f>IF(AND(I18=1, H18=1, Raw_Data!F18&lt;cfg_pstr_zero_threshold_kw),1,0)</f>
        <v/>
      </c>
      <c r="S18" s="5">
        <f>IF(A18&lt;&gt;A17,IF(R18=1, MAX($S$5:S17)+1, 0),IF(AND(R18=1, R17=0), S17+1,IF(R18=1, S17, S17)))</f>
        <v/>
      </c>
      <c r="T18" s="5">
        <f>IF(R18=1,COUNTIFS($A$5:$A$28,A18,$S$5:$S$28,S18,$R$5:$R$28,1),0)</f>
        <v/>
      </c>
      <c r="U18" s="5">
        <f>IF(AND(R18=1, T18&gt;=cfg_debounce_consecutive_steps),1,0)</f>
        <v/>
      </c>
      <c r="V18" s="5">
        <f>IF(AND(I18=1, H18=1, Raw_Data!G18&lt;cfg_pstr_zero_threshold_kw),1,0)</f>
        <v/>
      </c>
      <c r="W18" s="5">
        <f>IF(A18&lt;&gt;A17,IF(V18=1, MAX($W$5:W17)+1, 0),IF(AND(V18=1, V17=0), W17+1,IF(V18=1, W17, W17)))</f>
        <v/>
      </c>
      <c r="X18" s="5">
        <f>IF(V18=1,COUNTIFS($A$5:$A$28,A18,$W$5:$W$28,W18,$V$5:$V$28,1),0)</f>
        <v/>
      </c>
      <c r="Y18" s="5">
        <f>IF(AND(V18=1, X18&gt;=cfg_debounce_consecutive_steps),1,0)</f>
        <v/>
      </c>
      <c r="Z18" s="5">
        <f>IF(AND(I18=1, H18=1, Raw_Data!H18&lt;cfg_pstr_zero_threshold_kw),1,0)</f>
        <v/>
      </c>
      <c r="AA18" s="5">
        <f>IF(A18&lt;&gt;A17,IF(Z18=1, MAX($AA$5:AA17)+1, 0),IF(AND(Z18=1, Z17=0), AA17+1,IF(Z18=1, AA17, AA17)))</f>
        <v/>
      </c>
      <c r="AB18" s="5">
        <f>IF(Z18=1,COUNTIFS($A$5:$A$28,A18,$AA$5:$AA$28,AA18,$Z$5:$Z$28,1),0)</f>
        <v/>
      </c>
      <c r="AC18" s="5">
        <f>IF(AND(Z18=1, AB18&gt;=cfg_debounce_consecutive_steps),1,0)</f>
        <v/>
      </c>
    </row>
    <row r="19">
      <c r="A19" s="5">
        <f>Raw_Data!A19</f>
        <v/>
      </c>
      <c r="B19" s="16">
        <f>Raw_Data!B19</f>
        <v/>
      </c>
      <c r="C19" s="5">
        <f>Raw_Data!C19</f>
        <v/>
      </c>
      <c r="D19" s="5">
        <f>IF(ISNUMBER(SEARCH("shutdown",LOWER(C19)))+ISNUMBER(SEARCH("fault",LOWER(C19))),"DOWN",IF(ISNUMBER(SEARCH("grid connected",LOWER(C19)))+ISNUMBER(SEARCH("on-grid",LOWER(C19))),"ON",IF(ISNUMBER(SEARCH("standby",LOWER(C19)))+ISNUMBER(SEARCH("no sunlight",LOWER(C19))),"TRANSITIONAL","UNKNOWN")))</f>
        <v/>
      </c>
      <c r="E19" s="17">
        <f>MEDIAN(Raw_Data!D19:H19)</f>
        <v/>
      </c>
      <c r="F19" s="5">
        <f>COUNTIF(Raw_Data!D19:H19, "&gt;"&amp;cfg_pstr_zero_threshold_kw)</f>
        <v/>
      </c>
      <c r="G19" s="18">
        <f>100*F19/cfg_n_pv_total_in_workbook</f>
        <v/>
      </c>
      <c r="H19" s="5">
        <f>IF(AND(E19&gt;=cfg_sibling_median_active_kw, G19&gt;=cfg_min_active_siblings_pct),1,0)</f>
        <v/>
      </c>
      <c r="I19" s="5">
        <f>IF(D19="ON",1,0)</f>
        <v/>
      </c>
      <c r="J19" s="5">
        <f>IF(AND(I19=1, H19=1, Raw_Data!D19&lt;cfg_pstr_zero_threshold_kw),1,0)</f>
        <v/>
      </c>
      <c r="K19" s="5">
        <f>IF(A19&lt;&gt;A18,IF(J19=1, MAX($K$5:K18)+1, 0),IF(AND(J19=1, J18=0), K18+1,IF(J19=1, K18, K18)))</f>
        <v/>
      </c>
      <c r="L19" s="5">
        <f>IF(J19=1,COUNTIFS($A$5:$A$28,A19,$K$5:$K$28,K19,$J$5:$J$28,1),0)</f>
        <v/>
      </c>
      <c r="M19" s="5">
        <f>IF(AND(J19=1, L19&gt;=cfg_debounce_consecutive_steps),1,0)</f>
        <v/>
      </c>
      <c r="N19" s="5">
        <f>IF(AND(I19=1, H19=1, Raw_Data!E19&lt;cfg_pstr_zero_threshold_kw),1,0)</f>
        <v/>
      </c>
      <c r="O19" s="5">
        <f>IF(A19&lt;&gt;A18,IF(N19=1, MAX($O$5:O18)+1, 0),IF(AND(N19=1, N18=0), O18+1,IF(N19=1, O18, O18)))</f>
        <v/>
      </c>
      <c r="P19" s="5">
        <f>IF(N19=1,COUNTIFS($A$5:$A$28,A19,$O$5:$O$28,O19,$N$5:$N$28,1),0)</f>
        <v/>
      </c>
      <c r="Q19" s="5">
        <f>IF(AND(N19=1, P19&gt;=cfg_debounce_consecutive_steps),1,0)</f>
        <v/>
      </c>
      <c r="R19" s="5">
        <f>IF(AND(I19=1, H19=1, Raw_Data!F19&lt;cfg_pstr_zero_threshold_kw),1,0)</f>
        <v/>
      </c>
      <c r="S19" s="5">
        <f>IF(A19&lt;&gt;A18,IF(R19=1, MAX($S$5:S18)+1, 0),IF(AND(R19=1, R18=0), S18+1,IF(R19=1, S18, S18)))</f>
        <v/>
      </c>
      <c r="T19" s="5">
        <f>IF(R19=1,COUNTIFS($A$5:$A$28,A19,$S$5:$S$28,S19,$R$5:$R$28,1),0)</f>
        <v/>
      </c>
      <c r="U19" s="5">
        <f>IF(AND(R19=1, T19&gt;=cfg_debounce_consecutive_steps),1,0)</f>
        <v/>
      </c>
      <c r="V19" s="5">
        <f>IF(AND(I19=1, H19=1, Raw_Data!G19&lt;cfg_pstr_zero_threshold_kw),1,0)</f>
        <v/>
      </c>
      <c r="W19" s="5">
        <f>IF(A19&lt;&gt;A18,IF(V19=1, MAX($W$5:W18)+1, 0),IF(AND(V19=1, V18=0), W18+1,IF(V19=1, W18, W18)))</f>
        <v/>
      </c>
      <c r="X19" s="5">
        <f>IF(V19=1,COUNTIFS($A$5:$A$28,A19,$W$5:$W$28,W19,$V$5:$V$28,1),0)</f>
        <v/>
      </c>
      <c r="Y19" s="5">
        <f>IF(AND(V19=1, X19&gt;=cfg_debounce_consecutive_steps),1,0)</f>
        <v/>
      </c>
      <c r="Z19" s="5">
        <f>IF(AND(I19=1, H19=1, Raw_Data!H19&lt;cfg_pstr_zero_threshold_kw),1,0)</f>
        <v/>
      </c>
      <c r="AA19" s="5">
        <f>IF(A19&lt;&gt;A18,IF(Z19=1, MAX($AA$5:AA18)+1, 0),IF(AND(Z19=1, Z18=0), AA18+1,IF(Z19=1, AA18, AA18)))</f>
        <v/>
      </c>
      <c r="AB19" s="5">
        <f>IF(Z19=1,COUNTIFS($A$5:$A$28,A19,$AA$5:$AA$28,AA19,$Z$5:$Z$28,1),0)</f>
        <v/>
      </c>
      <c r="AC19" s="5">
        <f>IF(AND(Z19=1, AB19&gt;=cfg_debounce_consecutive_steps),1,0)</f>
        <v/>
      </c>
    </row>
    <row r="20">
      <c r="A20" s="5">
        <f>Raw_Data!A20</f>
        <v/>
      </c>
      <c r="B20" s="16">
        <f>Raw_Data!B20</f>
        <v/>
      </c>
      <c r="C20" s="5">
        <f>Raw_Data!C20</f>
        <v/>
      </c>
      <c r="D20" s="5">
        <f>IF(ISNUMBER(SEARCH("shutdown",LOWER(C20)))+ISNUMBER(SEARCH("fault",LOWER(C20))),"DOWN",IF(ISNUMBER(SEARCH("grid connected",LOWER(C20)))+ISNUMBER(SEARCH("on-grid",LOWER(C20))),"ON",IF(ISNUMBER(SEARCH("standby",LOWER(C20)))+ISNUMBER(SEARCH("no sunlight",LOWER(C20))),"TRANSITIONAL","UNKNOWN")))</f>
        <v/>
      </c>
      <c r="E20" s="17">
        <f>MEDIAN(Raw_Data!D20:H20)</f>
        <v/>
      </c>
      <c r="F20" s="5">
        <f>COUNTIF(Raw_Data!D20:H20, "&gt;"&amp;cfg_pstr_zero_threshold_kw)</f>
        <v/>
      </c>
      <c r="G20" s="18">
        <f>100*F20/cfg_n_pv_total_in_workbook</f>
        <v/>
      </c>
      <c r="H20" s="5">
        <f>IF(AND(E20&gt;=cfg_sibling_median_active_kw, G20&gt;=cfg_min_active_siblings_pct),1,0)</f>
        <v/>
      </c>
      <c r="I20" s="5">
        <f>IF(D20="ON",1,0)</f>
        <v/>
      </c>
      <c r="J20" s="5">
        <f>IF(AND(I20=1, H20=1, Raw_Data!D20&lt;cfg_pstr_zero_threshold_kw),1,0)</f>
        <v/>
      </c>
      <c r="K20" s="5">
        <f>IF(A20&lt;&gt;A19,IF(J20=1, MAX($K$5:K19)+1, 0),IF(AND(J20=1, J19=0), K19+1,IF(J20=1, K19, K19)))</f>
        <v/>
      </c>
      <c r="L20" s="5">
        <f>IF(J20=1,COUNTIFS($A$5:$A$28,A20,$K$5:$K$28,K20,$J$5:$J$28,1),0)</f>
        <v/>
      </c>
      <c r="M20" s="5">
        <f>IF(AND(J20=1, L20&gt;=cfg_debounce_consecutive_steps),1,0)</f>
        <v/>
      </c>
      <c r="N20" s="5">
        <f>IF(AND(I20=1, H20=1, Raw_Data!E20&lt;cfg_pstr_zero_threshold_kw),1,0)</f>
        <v/>
      </c>
      <c r="O20" s="5">
        <f>IF(A20&lt;&gt;A19,IF(N20=1, MAX($O$5:O19)+1, 0),IF(AND(N20=1, N19=0), O19+1,IF(N20=1, O19, O19)))</f>
        <v/>
      </c>
      <c r="P20" s="5">
        <f>IF(N20=1,COUNTIFS($A$5:$A$28,A20,$O$5:$O$28,O20,$N$5:$N$28,1),0)</f>
        <v/>
      </c>
      <c r="Q20" s="5">
        <f>IF(AND(N20=1, P20&gt;=cfg_debounce_consecutive_steps),1,0)</f>
        <v/>
      </c>
      <c r="R20" s="5">
        <f>IF(AND(I20=1, H20=1, Raw_Data!F20&lt;cfg_pstr_zero_threshold_kw),1,0)</f>
        <v/>
      </c>
      <c r="S20" s="5">
        <f>IF(A20&lt;&gt;A19,IF(R20=1, MAX($S$5:S19)+1, 0),IF(AND(R20=1, R19=0), S19+1,IF(R20=1, S19, S19)))</f>
        <v/>
      </c>
      <c r="T20" s="5">
        <f>IF(R20=1,COUNTIFS($A$5:$A$28,A20,$S$5:$S$28,S20,$R$5:$R$28,1),0)</f>
        <v/>
      </c>
      <c r="U20" s="5">
        <f>IF(AND(R20=1, T20&gt;=cfg_debounce_consecutive_steps),1,0)</f>
        <v/>
      </c>
      <c r="V20" s="5">
        <f>IF(AND(I20=1, H20=1, Raw_Data!G20&lt;cfg_pstr_zero_threshold_kw),1,0)</f>
        <v/>
      </c>
      <c r="W20" s="5">
        <f>IF(A20&lt;&gt;A19,IF(V20=1, MAX($W$5:W19)+1, 0),IF(AND(V20=1, V19=0), W19+1,IF(V20=1, W19, W19)))</f>
        <v/>
      </c>
      <c r="X20" s="5">
        <f>IF(V20=1,COUNTIFS($A$5:$A$28,A20,$W$5:$W$28,W20,$V$5:$V$28,1),0)</f>
        <v/>
      </c>
      <c r="Y20" s="5">
        <f>IF(AND(V20=1, X20&gt;=cfg_debounce_consecutive_steps),1,0)</f>
        <v/>
      </c>
      <c r="Z20" s="5">
        <f>IF(AND(I20=1, H20=1, Raw_Data!H20&lt;cfg_pstr_zero_threshold_kw),1,0)</f>
        <v/>
      </c>
      <c r="AA20" s="5">
        <f>IF(A20&lt;&gt;A19,IF(Z20=1, MAX($AA$5:AA19)+1, 0),IF(AND(Z20=1, Z19=0), AA19+1,IF(Z20=1, AA19, AA19)))</f>
        <v/>
      </c>
      <c r="AB20" s="5">
        <f>IF(Z20=1,COUNTIFS($A$5:$A$28,A20,$AA$5:$AA$28,AA20,$Z$5:$Z$28,1),0)</f>
        <v/>
      </c>
      <c r="AC20" s="5">
        <f>IF(AND(Z20=1, AB20&gt;=cfg_debounce_consecutive_steps),1,0)</f>
        <v/>
      </c>
    </row>
    <row r="21">
      <c r="A21" s="5">
        <f>Raw_Data!A21</f>
        <v/>
      </c>
      <c r="B21" s="16">
        <f>Raw_Data!B21</f>
        <v/>
      </c>
      <c r="C21" s="5">
        <f>Raw_Data!C21</f>
        <v/>
      </c>
      <c r="D21" s="5">
        <f>IF(ISNUMBER(SEARCH("shutdown",LOWER(C21)))+ISNUMBER(SEARCH("fault",LOWER(C21))),"DOWN",IF(ISNUMBER(SEARCH("grid connected",LOWER(C21)))+ISNUMBER(SEARCH("on-grid",LOWER(C21))),"ON",IF(ISNUMBER(SEARCH("standby",LOWER(C21)))+ISNUMBER(SEARCH("no sunlight",LOWER(C21))),"TRANSITIONAL","UNKNOWN")))</f>
        <v/>
      </c>
      <c r="E21" s="17">
        <f>MEDIAN(Raw_Data!D21:H21)</f>
        <v/>
      </c>
      <c r="F21" s="5">
        <f>COUNTIF(Raw_Data!D21:H21, "&gt;"&amp;cfg_pstr_zero_threshold_kw)</f>
        <v/>
      </c>
      <c r="G21" s="18">
        <f>100*F21/cfg_n_pv_total_in_workbook</f>
        <v/>
      </c>
      <c r="H21" s="5">
        <f>IF(AND(E21&gt;=cfg_sibling_median_active_kw, G21&gt;=cfg_min_active_siblings_pct),1,0)</f>
        <v/>
      </c>
      <c r="I21" s="5">
        <f>IF(D21="ON",1,0)</f>
        <v/>
      </c>
      <c r="J21" s="5">
        <f>IF(AND(I21=1, H21=1, Raw_Data!D21&lt;cfg_pstr_zero_threshold_kw),1,0)</f>
        <v/>
      </c>
      <c r="K21" s="5">
        <f>IF(A21&lt;&gt;A20,IF(J21=1, MAX($K$5:K20)+1, 0),IF(AND(J21=1, J20=0), K20+1,IF(J21=1, K20, K20)))</f>
        <v/>
      </c>
      <c r="L21" s="5">
        <f>IF(J21=1,COUNTIFS($A$5:$A$28,A21,$K$5:$K$28,K21,$J$5:$J$28,1),0)</f>
        <v/>
      </c>
      <c r="M21" s="5">
        <f>IF(AND(J21=1, L21&gt;=cfg_debounce_consecutive_steps),1,0)</f>
        <v/>
      </c>
      <c r="N21" s="5">
        <f>IF(AND(I21=1, H21=1, Raw_Data!E21&lt;cfg_pstr_zero_threshold_kw),1,0)</f>
        <v/>
      </c>
      <c r="O21" s="5">
        <f>IF(A21&lt;&gt;A20,IF(N21=1, MAX($O$5:O20)+1, 0),IF(AND(N21=1, N20=0), O20+1,IF(N21=1, O20, O20)))</f>
        <v/>
      </c>
      <c r="P21" s="5">
        <f>IF(N21=1,COUNTIFS($A$5:$A$28,A21,$O$5:$O$28,O21,$N$5:$N$28,1),0)</f>
        <v/>
      </c>
      <c r="Q21" s="5">
        <f>IF(AND(N21=1, P21&gt;=cfg_debounce_consecutive_steps),1,0)</f>
        <v/>
      </c>
      <c r="R21" s="5">
        <f>IF(AND(I21=1, H21=1, Raw_Data!F21&lt;cfg_pstr_zero_threshold_kw),1,0)</f>
        <v/>
      </c>
      <c r="S21" s="5">
        <f>IF(A21&lt;&gt;A20,IF(R21=1, MAX($S$5:S20)+1, 0),IF(AND(R21=1, R20=0), S20+1,IF(R21=1, S20, S20)))</f>
        <v/>
      </c>
      <c r="T21" s="5">
        <f>IF(R21=1,COUNTIFS($A$5:$A$28,A21,$S$5:$S$28,S21,$R$5:$R$28,1),0)</f>
        <v/>
      </c>
      <c r="U21" s="5">
        <f>IF(AND(R21=1, T21&gt;=cfg_debounce_consecutive_steps),1,0)</f>
        <v/>
      </c>
      <c r="V21" s="5">
        <f>IF(AND(I21=1, H21=1, Raw_Data!G21&lt;cfg_pstr_zero_threshold_kw),1,0)</f>
        <v/>
      </c>
      <c r="W21" s="5">
        <f>IF(A21&lt;&gt;A20,IF(V21=1, MAX($W$5:W20)+1, 0),IF(AND(V21=1, V20=0), W20+1,IF(V21=1, W20, W20)))</f>
        <v/>
      </c>
      <c r="X21" s="5">
        <f>IF(V21=1,COUNTIFS($A$5:$A$28,A21,$W$5:$W$28,W21,$V$5:$V$28,1),0)</f>
        <v/>
      </c>
      <c r="Y21" s="5">
        <f>IF(AND(V21=1, X21&gt;=cfg_debounce_consecutive_steps),1,0)</f>
        <v/>
      </c>
      <c r="Z21" s="5">
        <f>IF(AND(I21=1, H21=1, Raw_Data!H21&lt;cfg_pstr_zero_threshold_kw),1,0)</f>
        <v/>
      </c>
      <c r="AA21" s="5">
        <f>IF(A21&lt;&gt;A20,IF(Z21=1, MAX($AA$5:AA20)+1, 0),IF(AND(Z21=1, Z20=0), AA20+1,IF(Z21=1, AA20, AA20)))</f>
        <v/>
      </c>
      <c r="AB21" s="5">
        <f>IF(Z21=1,COUNTIFS($A$5:$A$28,A21,$AA$5:$AA$28,AA21,$Z$5:$Z$28,1),0)</f>
        <v/>
      </c>
      <c r="AC21" s="5">
        <f>IF(AND(Z21=1, AB21&gt;=cfg_debounce_consecutive_steps),1,0)</f>
        <v/>
      </c>
    </row>
    <row r="22">
      <c r="A22" s="5">
        <f>Raw_Data!A22</f>
        <v/>
      </c>
      <c r="B22" s="16">
        <f>Raw_Data!B22</f>
        <v/>
      </c>
      <c r="C22" s="5">
        <f>Raw_Data!C22</f>
        <v/>
      </c>
      <c r="D22" s="5">
        <f>IF(ISNUMBER(SEARCH("shutdown",LOWER(C22)))+ISNUMBER(SEARCH("fault",LOWER(C22))),"DOWN",IF(ISNUMBER(SEARCH("grid connected",LOWER(C22)))+ISNUMBER(SEARCH("on-grid",LOWER(C22))),"ON",IF(ISNUMBER(SEARCH("standby",LOWER(C22)))+ISNUMBER(SEARCH("no sunlight",LOWER(C22))),"TRANSITIONAL","UNKNOWN")))</f>
        <v/>
      </c>
      <c r="E22" s="17">
        <f>MEDIAN(Raw_Data!D22:H22)</f>
        <v/>
      </c>
      <c r="F22" s="5">
        <f>COUNTIF(Raw_Data!D22:H22, "&gt;"&amp;cfg_pstr_zero_threshold_kw)</f>
        <v/>
      </c>
      <c r="G22" s="18">
        <f>100*F22/cfg_n_pv_total_in_workbook</f>
        <v/>
      </c>
      <c r="H22" s="5">
        <f>IF(AND(E22&gt;=cfg_sibling_median_active_kw, G22&gt;=cfg_min_active_siblings_pct),1,0)</f>
        <v/>
      </c>
      <c r="I22" s="5">
        <f>IF(D22="ON",1,0)</f>
        <v/>
      </c>
      <c r="J22" s="5">
        <f>IF(AND(I22=1, H22=1, Raw_Data!D22&lt;cfg_pstr_zero_threshold_kw),1,0)</f>
        <v/>
      </c>
      <c r="K22" s="5">
        <f>IF(A22&lt;&gt;A21,IF(J22=1, MAX($K$5:K21)+1, 0),IF(AND(J22=1, J21=0), K21+1,IF(J22=1, K21, K21)))</f>
        <v/>
      </c>
      <c r="L22" s="5">
        <f>IF(J22=1,COUNTIFS($A$5:$A$28,A22,$K$5:$K$28,K22,$J$5:$J$28,1),0)</f>
        <v/>
      </c>
      <c r="M22" s="5">
        <f>IF(AND(J22=1, L22&gt;=cfg_debounce_consecutive_steps),1,0)</f>
        <v/>
      </c>
      <c r="N22" s="5">
        <f>IF(AND(I22=1, H22=1, Raw_Data!E22&lt;cfg_pstr_zero_threshold_kw),1,0)</f>
        <v/>
      </c>
      <c r="O22" s="5">
        <f>IF(A22&lt;&gt;A21,IF(N22=1, MAX($O$5:O21)+1, 0),IF(AND(N22=1, N21=0), O21+1,IF(N22=1, O21, O21)))</f>
        <v/>
      </c>
      <c r="P22" s="5">
        <f>IF(N22=1,COUNTIFS($A$5:$A$28,A22,$O$5:$O$28,O22,$N$5:$N$28,1),0)</f>
        <v/>
      </c>
      <c r="Q22" s="5">
        <f>IF(AND(N22=1, P22&gt;=cfg_debounce_consecutive_steps),1,0)</f>
        <v/>
      </c>
      <c r="R22" s="5">
        <f>IF(AND(I22=1, H22=1, Raw_Data!F22&lt;cfg_pstr_zero_threshold_kw),1,0)</f>
        <v/>
      </c>
      <c r="S22" s="5">
        <f>IF(A22&lt;&gt;A21,IF(R22=1, MAX($S$5:S21)+1, 0),IF(AND(R22=1, R21=0), S21+1,IF(R22=1, S21, S21)))</f>
        <v/>
      </c>
      <c r="T22" s="5">
        <f>IF(R22=1,COUNTIFS($A$5:$A$28,A22,$S$5:$S$28,S22,$R$5:$R$28,1),0)</f>
        <v/>
      </c>
      <c r="U22" s="5">
        <f>IF(AND(R22=1, T22&gt;=cfg_debounce_consecutive_steps),1,0)</f>
        <v/>
      </c>
      <c r="V22" s="5">
        <f>IF(AND(I22=1, H22=1, Raw_Data!G22&lt;cfg_pstr_zero_threshold_kw),1,0)</f>
        <v/>
      </c>
      <c r="W22" s="5">
        <f>IF(A22&lt;&gt;A21,IF(V22=1, MAX($W$5:W21)+1, 0),IF(AND(V22=1, V21=0), W21+1,IF(V22=1, W21, W21)))</f>
        <v/>
      </c>
      <c r="X22" s="5">
        <f>IF(V22=1,COUNTIFS($A$5:$A$28,A22,$W$5:$W$28,W22,$V$5:$V$28,1),0)</f>
        <v/>
      </c>
      <c r="Y22" s="5">
        <f>IF(AND(V22=1, X22&gt;=cfg_debounce_consecutive_steps),1,0)</f>
        <v/>
      </c>
      <c r="Z22" s="5">
        <f>IF(AND(I22=1, H22=1, Raw_Data!H22&lt;cfg_pstr_zero_threshold_kw),1,0)</f>
        <v/>
      </c>
      <c r="AA22" s="5">
        <f>IF(A22&lt;&gt;A21,IF(Z22=1, MAX($AA$5:AA21)+1, 0),IF(AND(Z22=1, Z21=0), AA21+1,IF(Z22=1, AA21, AA21)))</f>
        <v/>
      </c>
      <c r="AB22" s="5">
        <f>IF(Z22=1,COUNTIFS($A$5:$A$28,A22,$AA$5:$AA$28,AA22,$Z$5:$Z$28,1),0)</f>
        <v/>
      </c>
      <c r="AC22" s="5">
        <f>IF(AND(Z22=1, AB22&gt;=cfg_debounce_consecutive_steps),1,0)</f>
        <v/>
      </c>
    </row>
    <row r="23">
      <c r="A23" s="5">
        <f>Raw_Data!A23</f>
        <v/>
      </c>
      <c r="B23" s="16">
        <f>Raw_Data!B23</f>
        <v/>
      </c>
      <c r="C23" s="5">
        <f>Raw_Data!C23</f>
        <v/>
      </c>
      <c r="D23" s="5">
        <f>IF(ISNUMBER(SEARCH("shutdown",LOWER(C23)))+ISNUMBER(SEARCH("fault",LOWER(C23))),"DOWN",IF(ISNUMBER(SEARCH("grid connected",LOWER(C23)))+ISNUMBER(SEARCH("on-grid",LOWER(C23))),"ON",IF(ISNUMBER(SEARCH("standby",LOWER(C23)))+ISNUMBER(SEARCH("no sunlight",LOWER(C23))),"TRANSITIONAL","UNKNOWN")))</f>
        <v/>
      </c>
      <c r="E23" s="17">
        <f>MEDIAN(Raw_Data!D23:H23)</f>
        <v/>
      </c>
      <c r="F23" s="5">
        <f>COUNTIF(Raw_Data!D23:H23, "&gt;"&amp;cfg_pstr_zero_threshold_kw)</f>
        <v/>
      </c>
      <c r="G23" s="18">
        <f>100*F23/cfg_n_pv_total_in_workbook</f>
        <v/>
      </c>
      <c r="H23" s="5">
        <f>IF(AND(E23&gt;=cfg_sibling_median_active_kw, G23&gt;=cfg_min_active_siblings_pct),1,0)</f>
        <v/>
      </c>
      <c r="I23" s="5">
        <f>IF(D23="ON",1,0)</f>
        <v/>
      </c>
      <c r="J23" s="5">
        <f>IF(AND(I23=1, H23=1, Raw_Data!D23&lt;cfg_pstr_zero_threshold_kw),1,0)</f>
        <v/>
      </c>
      <c r="K23" s="5">
        <f>IF(A23&lt;&gt;A22,IF(J23=1, MAX($K$5:K22)+1, 0),IF(AND(J23=1, J22=0), K22+1,IF(J23=1, K22, K22)))</f>
        <v/>
      </c>
      <c r="L23" s="5">
        <f>IF(J23=1,COUNTIFS($A$5:$A$28,A23,$K$5:$K$28,K23,$J$5:$J$28,1),0)</f>
        <v/>
      </c>
      <c r="M23" s="5">
        <f>IF(AND(J23=1, L23&gt;=cfg_debounce_consecutive_steps),1,0)</f>
        <v/>
      </c>
      <c r="N23" s="5">
        <f>IF(AND(I23=1, H23=1, Raw_Data!E23&lt;cfg_pstr_zero_threshold_kw),1,0)</f>
        <v/>
      </c>
      <c r="O23" s="5">
        <f>IF(A23&lt;&gt;A22,IF(N23=1, MAX($O$5:O22)+1, 0),IF(AND(N23=1, N22=0), O22+1,IF(N23=1, O22, O22)))</f>
        <v/>
      </c>
      <c r="P23" s="5">
        <f>IF(N23=1,COUNTIFS($A$5:$A$28,A23,$O$5:$O$28,O23,$N$5:$N$28,1),0)</f>
        <v/>
      </c>
      <c r="Q23" s="5">
        <f>IF(AND(N23=1, P23&gt;=cfg_debounce_consecutive_steps),1,0)</f>
        <v/>
      </c>
      <c r="R23" s="5">
        <f>IF(AND(I23=1, H23=1, Raw_Data!F23&lt;cfg_pstr_zero_threshold_kw),1,0)</f>
        <v/>
      </c>
      <c r="S23" s="5">
        <f>IF(A23&lt;&gt;A22,IF(R23=1, MAX($S$5:S22)+1, 0),IF(AND(R23=1, R22=0), S22+1,IF(R23=1, S22, S22)))</f>
        <v/>
      </c>
      <c r="T23" s="5">
        <f>IF(R23=1,COUNTIFS($A$5:$A$28,A23,$S$5:$S$28,S23,$R$5:$R$28,1),0)</f>
        <v/>
      </c>
      <c r="U23" s="5">
        <f>IF(AND(R23=1, T23&gt;=cfg_debounce_consecutive_steps),1,0)</f>
        <v/>
      </c>
      <c r="V23" s="5">
        <f>IF(AND(I23=1, H23=1, Raw_Data!G23&lt;cfg_pstr_zero_threshold_kw),1,0)</f>
        <v/>
      </c>
      <c r="W23" s="5">
        <f>IF(A23&lt;&gt;A22,IF(V23=1, MAX($W$5:W22)+1, 0),IF(AND(V23=1, V22=0), W22+1,IF(V23=1, W22, W22)))</f>
        <v/>
      </c>
      <c r="X23" s="5">
        <f>IF(V23=1,COUNTIFS($A$5:$A$28,A23,$W$5:$W$28,W23,$V$5:$V$28,1),0)</f>
        <v/>
      </c>
      <c r="Y23" s="5">
        <f>IF(AND(V23=1, X23&gt;=cfg_debounce_consecutive_steps),1,0)</f>
        <v/>
      </c>
      <c r="Z23" s="5">
        <f>IF(AND(I23=1, H23=1, Raw_Data!H23&lt;cfg_pstr_zero_threshold_kw),1,0)</f>
        <v/>
      </c>
      <c r="AA23" s="5">
        <f>IF(A23&lt;&gt;A22,IF(Z23=1, MAX($AA$5:AA22)+1, 0),IF(AND(Z23=1, Z22=0), AA22+1,IF(Z23=1, AA22, AA22)))</f>
        <v/>
      </c>
      <c r="AB23" s="5">
        <f>IF(Z23=1,COUNTIFS($A$5:$A$28,A23,$AA$5:$AA$28,AA23,$Z$5:$Z$28,1),0)</f>
        <v/>
      </c>
      <c r="AC23" s="5">
        <f>IF(AND(Z23=1, AB23&gt;=cfg_debounce_consecutive_steps),1,0)</f>
        <v/>
      </c>
    </row>
    <row r="24">
      <c r="A24" s="5">
        <f>Raw_Data!A24</f>
        <v/>
      </c>
      <c r="B24" s="16">
        <f>Raw_Data!B24</f>
        <v/>
      </c>
      <c r="C24" s="5">
        <f>Raw_Data!C24</f>
        <v/>
      </c>
      <c r="D24" s="5">
        <f>IF(ISNUMBER(SEARCH("shutdown",LOWER(C24)))+ISNUMBER(SEARCH("fault",LOWER(C24))),"DOWN",IF(ISNUMBER(SEARCH("grid connected",LOWER(C24)))+ISNUMBER(SEARCH("on-grid",LOWER(C24))),"ON",IF(ISNUMBER(SEARCH("standby",LOWER(C24)))+ISNUMBER(SEARCH("no sunlight",LOWER(C24))),"TRANSITIONAL","UNKNOWN")))</f>
        <v/>
      </c>
      <c r="E24" s="17">
        <f>MEDIAN(Raw_Data!D24:H24)</f>
        <v/>
      </c>
      <c r="F24" s="5">
        <f>COUNTIF(Raw_Data!D24:H24, "&gt;"&amp;cfg_pstr_zero_threshold_kw)</f>
        <v/>
      </c>
      <c r="G24" s="18">
        <f>100*F24/cfg_n_pv_total_in_workbook</f>
        <v/>
      </c>
      <c r="H24" s="5">
        <f>IF(AND(E24&gt;=cfg_sibling_median_active_kw, G24&gt;=cfg_min_active_siblings_pct),1,0)</f>
        <v/>
      </c>
      <c r="I24" s="5">
        <f>IF(D24="ON",1,0)</f>
        <v/>
      </c>
      <c r="J24" s="5">
        <f>IF(AND(I24=1, H24=1, Raw_Data!D24&lt;cfg_pstr_zero_threshold_kw),1,0)</f>
        <v/>
      </c>
      <c r="K24" s="5">
        <f>IF(A24&lt;&gt;A23,IF(J24=1, MAX($K$5:K23)+1, 0),IF(AND(J24=1, J23=0), K23+1,IF(J24=1, K23, K23)))</f>
        <v/>
      </c>
      <c r="L24" s="5">
        <f>IF(J24=1,COUNTIFS($A$5:$A$28,A24,$K$5:$K$28,K24,$J$5:$J$28,1),0)</f>
        <v/>
      </c>
      <c r="M24" s="5">
        <f>IF(AND(J24=1, L24&gt;=cfg_debounce_consecutive_steps),1,0)</f>
        <v/>
      </c>
      <c r="N24" s="5">
        <f>IF(AND(I24=1, H24=1, Raw_Data!E24&lt;cfg_pstr_zero_threshold_kw),1,0)</f>
        <v/>
      </c>
      <c r="O24" s="5">
        <f>IF(A24&lt;&gt;A23,IF(N24=1, MAX($O$5:O23)+1, 0),IF(AND(N24=1, N23=0), O23+1,IF(N24=1, O23, O23)))</f>
        <v/>
      </c>
      <c r="P24" s="5">
        <f>IF(N24=1,COUNTIFS($A$5:$A$28,A24,$O$5:$O$28,O24,$N$5:$N$28,1),0)</f>
        <v/>
      </c>
      <c r="Q24" s="5">
        <f>IF(AND(N24=1, P24&gt;=cfg_debounce_consecutive_steps),1,0)</f>
        <v/>
      </c>
      <c r="R24" s="5">
        <f>IF(AND(I24=1, H24=1, Raw_Data!F24&lt;cfg_pstr_zero_threshold_kw),1,0)</f>
        <v/>
      </c>
      <c r="S24" s="5">
        <f>IF(A24&lt;&gt;A23,IF(R24=1, MAX($S$5:S23)+1, 0),IF(AND(R24=1, R23=0), S23+1,IF(R24=1, S23, S23)))</f>
        <v/>
      </c>
      <c r="T24" s="5">
        <f>IF(R24=1,COUNTIFS($A$5:$A$28,A24,$S$5:$S$28,S24,$R$5:$R$28,1),0)</f>
        <v/>
      </c>
      <c r="U24" s="5">
        <f>IF(AND(R24=1, T24&gt;=cfg_debounce_consecutive_steps),1,0)</f>
        <v/>
      </c>
      <c r="V24" s="5">
        <f>IF(AND(I24=1, H24=1, Raw_Data!G24&lt;cfg_pstr_zero_threshold_kw),1,0)</f>
        <v/>
      </c>
      <c r="W24" s="5">
        <f>IF(A24&lt;&gt;A23,IF(V24=1, MAX($W$5:W23)+1, 0),IF(AND(V24=1, V23=0), W23+1,IF(V24=1, W23, W23)))</f>
        <v/>
      </c>
      <c r="X24" s="5">
        <f>IF(V24=1,COUNTIFS($A$5:$A$28,A24,$W$5:$W$28,W24,$V$5:$V$28,1),0)</f>
        <v/>
      </c>
      <c r="Y24" s="5">
        <f>IF(AND(V24=1, X24&gt;=cfg_debounce_consecutive_steps),1,0)</f>
        <v/>
      </c>
      <c r="Z24" s="5">
        <f>IF(AND(I24=1, H24=1, Raw_Data!H24&lt;cfg_pstr_zero_threshold_kw),1,0)</f>
        <v/>
      </c>
      <c r="AA24" s="5">
        <f>IF(A24&lt;&gt;A23,IF(Z24=1, MAX($AA$5:AA23)+1, 0),IF(AND(Z24=1, Z23=0), AA23+1,IF(Z24=1, AA23, AA23)))</f>
        <v/>
      </c>
      <c r="AB24" s="5">
        <f>IF(Z24=1,COUNTIFS($A$5:$A$28,A24,$AA$5:$AA$28,AA24,$Z$5:$Z$28,1),0)</f>
        <v/>
      </c>
      <c r="AC24" s="5">
        <f>IF(AND(Z24=1, AB24&gt;=cfg_debounce_consecutive_steps),1,0)</f>
        <v/>
      </c>
    </row>
    <row r="25">
      <c r="A25" s="5">
        <f>Raw_Data!A25</f>
        <v/>
      </c>
      <c r="B25" s="16">
        <f>Raw_Data!B25</f>
        <v/>
      </c>
      <c r="C25" s="5">
        <f>Raw_Data!C25</f>
        <v/>
      </c>
      <c r="D25" s="5">
        <f>IF(ISNUMBER(SEARCH("shutdown",LOWER(C25)))+ISNUMBER(SEARCH("fault",LOWER(C25))),"DOWN",IF(ISNUMBER(SEARCH("grid connected",LOWER(C25)))+ISNUMBER(SEARCH("on-grid",LOWER(C25))),"ON",IF(ISNUMBER(SEARCH("standby",LOWER(C25)))+ISNUMBER(SEARCH("no sunlight",LOWER(C25))),"TRANSITIONAL","UNKNOWN")))</f>
        <v/>
      </c>
      <c r="E25" s="17">
        <f>MEDIAN(Raw_Data!D25:H25)</f>
        <v/>
      </c>
      <c r="F25" s="5">
        <f>COUNTIF(Raw_Data!D25:H25, "&gt;"&amp;cfg_pstr_zero_threshold_kw)</f>
        <v/>
      </c>
      <c r="G25" s="18">
        <f>100*F25/cfg_n_pv_total_in_workbook</f>
        <v/>
      </c>
      <c r="H25" s="5">
        <f>IF(AND(E25&gt;=cfg_sibling_median_active_kw, G25&gt;=cfg_min_active_siblings_pct),1,0)</f>
        <v/>
      </c>
      <c r="I25" s="5">
        <f>IF(D25="ON",1,0)</f>
        <v/>
      </c>
      <c r="J25" s="5">
        <f>IF(AND(I25=1, H25=1, Raw_Data!D25&lt;cfg_pstr_zero_threshold_kw),1,0)</f>
        <v/>
      </c>
      <c r="K25" s="5">
        <f>IF(A25&lt;&gt;A24,IF(J25=1, MAX($K$5:K24)+1, 0),IF(AND(J25=1, J24=0), K24+1,IF(J25=1, K24, K24)))</f>
        <v/>
      </c>
      <c r="L25" s="5">
        <f>IF(J25=1,COUNTIFS($A$5:$A$28,A25,$K$5:$K$28,K25,$J$5:$J$28,1),0)</f>
        <v/>
      </c>
      <c r="M25" s="5">
        <f>IF(AND(J25=1, L25&gt;=cfg_debounce_consecutive_steps),1,0)</f>
        <v/>
      </c>
      <c r="N25" s="5">
        <f>IF(AND(I25=1, H25=1, Raw_Data!E25&lt;cfg_pstr_zero_threshold_kw),1,0)</f>
        <v/>
      </c>
      <c r="O25" s="5">
        <f>IF(A25&lt;&gt;A24,IF(N25=1, MAX($O$5:O24)+1, 0),IF(AND(N25=1, N24=0), O24+1,IF(N25=1, O24, O24)))</f>
        <v/>
      </c>
      <c r="P25" s="5">
        <f>IF(N25=1,COUNTIFS($A$5:$A$28,A25,$O$5:$O$28,O25,$N$5:$N$28,1),0)</f>
        <v/>
      </c>
      <c r="Q25" s="5">
        <f>IF(AND(N25=1, P25&gt;=cfg_debounce_consecutive_steps),1,0)</f>
        <v/>
      </c>
      <c r="R25" s="5">
        <f>IF(AND(I25=1, H25=1, Raw_Data!F25&lt;cfg_pstr_zero_threshold_kw),1,0)</f>
        <v/>
      </c>
      <c r="S25" s="5">
        <f>IF(A25&lt;&gt;A24,IF(R25=1, MAX($S$5:S24)+1, 0),IF(AND(R25=1, R24=0), S24+1,IF(R25=1, S24, S24)))</f>
        <v/>
      </c>
      <c r="T25" s="5">
        <f>IF(R25=1,COUNTIFS($A$5:$A$28,A25,$S$5:$S$28,S25,$R$5:$R$28,1),0)</f>
        <v/>
      </c>
      <c r="U25" s="5">
        <f>IF(AND(R25=1, T25&gt;=cfg_debounce_consecutive_steps),1,0)</f>
        <v/>
      </c>
      <c r="V25" s="5">
        <f>IF(AND(I25=1, H25=1, Raw_Data!G25&lt;cfg_pstr_zero_threshold_kw),1,0)</f>
        <v/>
      </c>
      <c r="W25" s="5">
        <f>IF(A25&lt;&gt;A24,IF(V25=1, MAX($W$5:W24)+1, 0),IF(AND(V25=1, V24=0), W24+1,IF(V25=1, W24, W24)))</f>
        <v/>
      </c>
      <c r="X25" s="5">
        <f>IF(V25=1,COUNTIFS($A$5:$A$28,A25,$W$5:$W$28,W25,$V$5:$V$28,1),0)</f>
        <v/>
      </c>
      <c r="Y25" s="5">
        <f>IF(AND(V25=1, X25&gt;=cfg_debounce_consecutive_steps),1,0)</f>
        <v/>
      </c>
      <c r="Z25" s="5">
        <f>IF(AND(I25=1, H25=1, Raw_Data!H25&lt;cfg_pstr_zero_threshold_kw),1,0)</f>
        <v/>
      </c>
      <c r="AA25" s="5">
        <f>IF(A25&lt;&gt;A24,IF(Z25=1, MAX($AA$5:AA24)+1, 0),IF(AND(Z25=1, Z24=0), AA24+1,IF(Z25=1, AA24, AA24)))</f>
        <v/>
      </c>
      <c r="AB25" s="5">
        <f>IF(Z25=1,COUNTIFS($A$5:$A$28,A25,$AA$5:$AA$28,AA25,$Z$5:$Z$28,1),0)</f>
        <v/>
      </c>
      <c r="AC25" s="5">
        <f>IF(AND(Z25=1, AB25&gt;=cfg_debounce_consecutive_steps),1,0)</f>
        <v/>
      </c>
    </row>
    <row r="26">
      <c r="A26" s="5">
        <f>Raw_Data!A26</f>
        <v/>
      </c>
      <c r="B26" s="16">
        <f>Raw_Data!B26</f>
        <v/>
      </c>
      <c r="C26" s="5">
        <f>Raw_Data!C26</f>
        <v/>
      </c>
      <c r="D26" s="5">
        <f>IF(ISNUMBER(SEARCH("shutdown",LOWER(C26)))+ISNUMBER(SEARCH("fault",LOWER(C26))),"DOWN",IF(ISNUMBER(SEARCH("grid connected",LOWER(C26)))+ISNUMBER(SEARCH("on-grid",LOWER(C26))),"ON",IF(ISNUMBER(SEARCH("standby",LOWER(C26)))+ISNUMBER(SEARCH("no sunlight",LOWER(C26))),"TRANSITIONAL","UNKNOWN")))</f>
        <v/>
      </c>
      <c r="E26" s="17">
        <f>MEDIAN(Raw_Data!D26:H26)</f>
        <v/>
      </c>
      <c r="F26" s="5">
        <f>COUNTIF(Raw_Data!D26:H26, "&gt;"&amp;cfg_pstr_zero_threshold_kw)</f>
        <v/>
      </c>
      <c r="G26" s="18">
        <f>100*F26/cfg_n_pv_total_in_workbook</f>
        <v/>
      </c>
      <c r="H26" s="5">
        <f>IF(AND(E26&gt;=cfg_sibling_median_active_kw, G26&gt;=cfg_min_active_siblings_pct),1,0)</f>
        <v/>
      </c>
      <c r="I26" s="5">
        <f>IF(D26="ON",1,0)</f>
        <v/>
      </c>
      <c r="J26" s="5">
        <f>IF(AND(I26=1, H26=1, Raw_Data!D26&lt;cfg_pstr_zero_threshold_kw),1,0)</f>
        <v/>
      </c>
      <c r="K26" s="5">
        <f>IF(A26&lt;&gt;A25,IF(J26=1, MAX($K$5:K25)+1, 0),IF(AND(J26=1, J25=0), K25+1,IF(J26=1, K25, K25)))</f>
        <v/>
      </c>
      <c r="L26" s="5">
        <f>IF(J26=1,COUNTIFS($A$5:$A$28,A26,$K$5:$K$28,K26,$J$5:$J$28,1),0)</f>
        <v/>
      </c>
      <c r="M26" s="5">
        <f>IF(AND(J26=1, L26&gt;=cfg_debounce_consecutive_steps),1,0)</f>
        <v/>
      </c>
      <c r="N26" s="5">
        <f>IF(AND(I26=1, H26=1, Raw_Data!E26&lt;cfg_pstr_zero_threshold_kw),1,0)</f>
        <v/>
      </c>
      <c r="O26" s="5">
        <f>IF(A26&lt;&gt;A25,IF(N26=1, MAX($O$5:O25)+1, 0),IF(AND(N26=1, N25=0), O25+1,IF(N26=1, O25, O25)))</f>
        <v/>
      </c>
      <c r="P26" s="5">
        <f>IF(N26=1,COUNTIFS($A$5:$A$28,A26,$O$5:$O$28,O26,$N$5:$N$28,1),0)</f>
        <v/>
      </c>
      <c r="Q26" s="5">
        <f>IF(AND(N26=1, P26&gt;=cfg_debounce_consecutive_steps),1,0)</f>
        <v/>
      </c>
      <c r="R26" s="5">
        <f>IF(AND(I26=1, H26=1, Raw_Data!F26&lt;cfg_pstr_zero_threshold_kw),1,0)</f>
        <v/>
      </c>
      <c r="S26" s="5">
        <f>IF(A26&lt;&gt;A25,IF(R26=1, MAX($S$5:S25)+1, 0),IF(AND(R26=1, R25=0), S25+1,IF(R26=1, S25, S25)))</f>
        <v/>
      </c>
      <c r="T26" s="5">
        <f>IF(R26=1,COUNTIFS($A$5:$A$28,A26,$S$5:$S$28,S26,$R$5:$R$28,1),0)</f>
        <v/>
      </c>
      <c r="U26" s="5">
        <f>IF(AND(R26=1, T26&gt;=cfg_debounce_consecutive_steps),1,0)</f>
        <v/>
      </c>
      <c r="V26" s="5">
        <f>IF(AND(I26=1, H26=1, Raw_Data!G26&lt;cfg_pstr_zero_threshold_kw),1,0)</f>
        <v/>
      </c>
      <c r="W26" s="5">
        <f>IF(A26&lt;&gt;A25,IF(V26=1, MAX($W$5:W25)+1, 0),IF(AND(V26=1, V25=0), W25+1,IF(V26=1, W25, W25)))</f>
        <v/>
      </c>
      <c r="X26" s="5">
        <f>IF(V26=1,COUNTIFS($A$5:$A$28,A26,$W$5:$W$28,W26,$V$5:$V$28,1),0)</f>
        <v/>
      </c>
      <c r="Y26" s="5">
        <f>IF(AND(V26=1, X26&gt;=cfg_debounce_consecutive_steps),1,0)</f>
        <v/>
      </c>
      <c r="Z26" s="5">
        <f>IF(AND(I26=1, H26=1, Raw_Data!H26&lt;cfg_pstr_zero_threshold_kw),1,0)</f>
        <v/>
      </c>
      <c r="AA26" s="5">
        <f>IF(A26&lt;&gt;A25,IF(Z26=1, MAX($AA$5:AA25)+1, 0),IF(AND(Z26=1, Z25=0), AA25+1,IF(Z26=1, AA25, AA25)))</f>
        <v/>
      </c>
      <c r="AB26" s="5">
        <f>IF(Z26=1,COUNTIFS($A$5:$A$28,A26,$AA$5:$AA$28,AA26,$Z$5:$Z$28,1),0)</f>
        <v/>
      </c>
      <c r="AC26" s="5">
        <f>IF(AND(Z26=1, AB26&gt;=cfg_debounce_consecutive_steps),1,0)</f>
        <v/>
      </c>
    </row>
    <row r="27">
      <c r="A27" s="5">
        <f>Raw_Data!A27</f>
        <v/>
      </c>
      <c r="B27" s="16">
        <f>Raw_Data!B27</f>
        <v/>
      </c>
      <c r="C27" s="5">
        <f>Raw_Data!C27</f>
        <v/>
      </c>
      <c r="D27" s="5">
        <f>IF(ISNUMBER(SEARCH("shutdown",LOWER(C27)))+ISNUMBER(SEARCH("fault",LOWER(C27))),"DOWN",IF(ISNUMBER(SEARCH("grid connected",LOWER(C27)))+ISNUMBER(SEARCH("on-grid",LOWER(C27))),"ON",IF(ISNUMBER(SEARCH("standby",LOWER(C27)))+ISNUMBER(SEARCH("no sunlight",LOWER(C27))),"TRANSITIONAL","UNKNOWN")))</f>
        <v/>
      </c>
      <c r="E27" s="17">
        <f>MEDIAN(Raw_Data!D27:H27)</f>
        <v/>
      </c>
      <c r="F27" s="5">
        <f>COUNTIF(Raw_Data!D27:H27, "&gt;"&amp;cfg_pstr_zero_threshold_kw)</f>
        <v/>
      </c>
      <c r="G27" s="18">
        <f>100*F27/cfg_n_pv_total_in_workbook</f>
        <v/>
      </c>
      <c r="H27" s="5">
        <f>IF(AND(E27&gt;=cfg_sibling_median_active_kw, G27&gt;=cfg_min_active_siblings_pct),1,0)</f>
        <v/>
      </c>
      <c r="I27" s="5">
        <f>IF(D27="ON",1,0)</f>
        <v/>
      </c>
      <c r="J27" s="5">
        <f>IF(AND(I27=1, H27=1, Raw_Data!D27&lt;cfg_pstr_zero_threshold_kw),1,0)</f>
        <v/>
      </c>
      <c r="K27" s="5">
        <f>IF(A27&lt;&gt;A26,IF(J27=1, MAX($K$5:K26)+1, 0),IF(AND(J27=1, J26=0), K26+1,IF(J27=1, K26, K26)))</f>
        <v/>
      </c>
      <c r="L27" s="5">
        <f>IF(J27=1,COUNTIFS($A$5:$A$28,A27,$K$5:$K$28,K27,$J$5:$J$28,1),0)</f>
        <v/>
      </c>
      <c r="M27" s="5">
        <f>IF(AND(J27=1, L27&gt;=cfg_debounce_consecutive_steps),1,0)</f>
        <v/>
      </c>
      <c r="N27" s="5">
        <f>IF(AND(I27=1, H27=1, Raw_Data!E27&lt;cfg_pstr_zero_threshold_kw),1,0)</f>
        <v/>
      </c>
      <c r="O27" s="5">
        <f>IF(A27&lt;&gt;A26,IF(N27=1, MAX($O$5:O26)+1, 0),IF(AND(N27=1, N26=0), O26+1,IF(N27=1, O26, O26)))</f>
        <v/>
      </c>
      <c r="P27" s="5">
        <f>IF(N27=1,COUNTIFS($A$5:$A$28,A27,$O$5:$O$28,O27,$N$5:$N$28,1),0)</f>
        <v/>
      </c>
      <c r="Q27" s="5">
        <f>IF(AND(N27=1, P27&gt;=cfg_debounce_consecutive_steps),1,0)</f>
        <v/>
      </c>
      <c r="R27" s="5">
        <f>IF(AND(I27=1, H27=1, Raw_Data!F27&lt;cfg_pstr_zero_threshold_kw),1,0)</f>
        <v/>
      </c>
      <c r="S27" s="5">
        <f>IF(A27&lt;&gt;A26,IF(R27=1, MAX($S$5:S26)+1, 0),IF(AND(R27=1, R26=0), S26+1,IF(R27=1, S26, S26)))</f>
        <v/>
      </c>
      <c r="T27" s="5">
        <f>IF(R27=1,COUNTIFS($A$5:$A$28,A27,$S$5:$S$28,S27,$R$5:$R$28,1),0)</f>
        <v/>
      </c>
      <c r="U27" s="5">
        <f>IF(AND(R27=1, T27&gt;=cfg_debounce_consecutive_steps),1,0)</f>
        <v/>
      </c>
      <c r="V27" s="5">
        <f>IF(AND(I27=1, H27=1, Raw_Data!G27&lt;cfg_pstr_zero_threshold_kw),1,0)</f>
        <v/>
      </c>
      <c r="W27" s="5">
        <f>IF(A27&lt;&gt;A26,IF(V27=1, MAX($W$5:W26)+1, 0),IF(AND(V27=1, V26=0), W26+1,IF(V27=1, W26, W26)))</f>
        <v/>
      </c>
      <c r="X27" s="5">
        <f>IF(V27=1,COUNTIFS($A$5:$A$28,A27,$W$5:$W$28,W27,$V$5:$V$28,1),0)</f>
        <v/>
      </c>
      <c r="Y27" s="5">
        <f>IF(AND(V27=1, X27&gt;=cfg_debounce_consecutive_steps),1,0)</f>
        <v/>
      </c>
      <c r="Z27" s="5">
        <f>IF(AND(I27=1, H27=1, Raw_Data!H27&lt;cfg_pstr_zero_threshold_kw),1,0)</f>
        <v/>
      </c>
      <c r="AA27" s="5">
        <f>IF(A27&lt;&gt;A26,IF(Z27=1, MAX($AA$5:AA26)+1, 0),IF(AND(Z27=1, Z26=0), AA26+1,IF(Z27=1, AA26, AA26)))</f>
        <v/>
      </c>
      <c r="AB27" s="5">
        <f>IF(Z27=1,COUNTIFS($A$5:$A$28,A27,$AA$5:$AA$28,AA27,$Z$5:$Z$28,1),0)</f>
        <v/>
      </c>
      <c r="AC27" s="5">
        <f>IF(AND(Z27=1, AB27&gt;=cfg_debounce_consecutive_steps),1,0)</f>
        <v/>
      </c>
    </row>
    <row r="28">
      <c r="A28" s="5">
        <f>Raw_Data!A28</f>
        <v/>
      </c>
      <c r="B28" s="16">
        <f>Raw_Data!B28</f>
        <v/>
      </c>
      <c r="C28" s="5">
        <f>Raw_Data!C28</f>
        <v/>
      </c>
      <c r="D28" s="5">
        <f>IF(ISNUMBER(SEARCH("shutdown",LOWER(C28)))+ISNUMBER(SEARCH("fault",LOWER(C28))),"DOWN",IF(ISNUMBER(SEARCH("grid connected",LOWER(C28)))+ISNUMBER(SEARCH("on-grid",LOWER(C28))),"ON",IF(ISNUMBER(SEARCH("standby",LOWER(C28)))+ISNUMBER(SEARCH("no sunlight",LOWER(C28))),"TRANSITIONAL","UNKNOWN")))</f>
        <v/>
      </c>
      <c r="E28" s="17">
        <f>MEDIAN(Raw_Data!D28:H28)</f>
        <v/>
      </c>
      <c r="F28" s="5">
        <f>COUNTIF(Raw_Data!D28:H28, "&gt;"&amp;cfg_pstr_zero_threshold_kw)</f>
        <v/>
      </c>
      <c r="G28" s="18">
        <f>100*F28/cfg_n_pv_total_in_workbook</f>
        <v/>
      </c>
      <c r="H28" s="5">
        <f>IF(AND(E28&gt;=cfg_sibling_median_active_kw, G28&gt;=cfg_min_active_siblings_pct),1,0)</f>
        <v/>
      </c>
      <c r="I28" s="5">
        <f>IF(D28="ON",1,0)</f>
        <v/>
      </c>
      <c r="J28" s="5">
        <f>IF(AND(I28=1, H28=1, Raw_Data!D28&lt;cfg_pstr_zero_threshold_kw),1,0)</f>
        <v/>
      </c>
      <c r="K28" s="5">
        <f>IF(A28&lt;&gt;A27,IF(J28=1, MAX($K$5:K27)+1, 0),IF(AND(J28=1, J27=0), K27+1,IF(J28=1, K27, K27)))</f>
        <v/>
      </c>
      <c r="L28" s="5">
        <f>IF(J28=1,COUNTIFS($A$5:$A$28,A28,$K$5:$K$28,K28,$J$5:$J$28,1),0)</f>
        <v/>
      </c>
      <c r="M28" s="5">
        <f>IF(AND(J28=1, L28&gt;=cfg_debounce_consecutive_steps),1,0)</f>
        <v/>
      </c>
      <c r="N28" s="5">
        <f>IF(AND(I28=1, H28=1, Raw_Data!E28&lt;cfg_pstr_zero_threshold_kw),1,0)</f>
        <v/>
      </c>
      <c r="O28" s="5">
        <f>IF(A28&lt;&gt;A27,IF(N28=1, MAX($O$5:O27)+1, 0),IF(AND(N28=1, N27=0), O27+1,IF(N28=1, O27, O27)))</f>
        <v/>
      </c>
      <c r="P28" s="5">
        <f>IF(N28=1,COUNTIFS($A$5:$A$28,A28,$O$5:$O$28,O28,$N$5:$N$28,1),0)</f>
        <v/>
      </c>
      <c r="Q28" s="5">
        <f>IF(AND(N28=1, P28&gt;=cfg_debounce_consecutive_steps),1,0)</f>
        <v/>
      </c>
      <c r="R28" s="5">
        <f>IF(AND(I28=1, H28=1, Raw_Data!F28&lt;cfg_pstr_zero_threshold_kw),1,0)</f>
        <v/>
      </c>
      <c r="S28" s="5">
        <f>IF(A28&lt;&gt;A27,IF(R28=1, MAX($S$5:S27)+1, 0),IF(AND(R28=1, R27=0), S27+1,IF(R28=1, S27, S27)))</f>
        <v/>
      </c>
      <c r="T28" s="5">
        <f>IF(R28=1,COUNTIFS($A$5:$A$28,A28,$S$5:$S$28,S28,$R$5:$R$28,1),0)</f>
        <v/>
      </c>
      <c r="U28" s="5">
        <f>IF(AND(R28=1, T28&gt;=cfg_debounce_consecutive_steps),1,0)</f>
        <v/>
      </c>
      <c r="V28" s="5">
        <f>IF(AND(I28=1, H28=1, Raw_Data!G28&lt;cfg_pstr_zero_threshold_kw),1,0)</f>
        <v/>
      </c>
      <c r="W28" s="5">
        <f>IF(A28&lt;&gt;A27,IF(V28=1, MAX($W$5:W27)+1, 0),IF(AND(V28=1, V27=0), W27+1,IF(V28=1, W27, W27)))</f>
        <v/>
      </c>
      <c r="X28" s="5">
        <f>IF(V28=1,COUNTIFS($A$5:$A$28,A28,$W$5:$W$28,W28,$V$5:$V$28,1),0)</f>
        <v/>
      </c>
      <c r="Y28" s="5">
        <f>IF(AND(V28=1, X28&gt;=cfg_debounce_consecutive_steps),1,0)</f>
        <v/>
      </c>
      <c r="Z28" s="5">
        <f>IF(AND(I28=1, H28=1, Raw_Data!H28&lt;cfg_pstr_zero_threshold_kw),1,0)</f>
        <v/>
      </c>
      <c r="AA28" s="5">
        <f>IF(A28&lt;&gt;A27,IF(Z28=1, MAX($AA$5:AA27)+1, 0),IF(AND(Z28=1, Z27=0), AA27+1,IF(Z28=1, AA27, AA27)))</f>
        <v/>
      </c>
      <c r="AB28" s="5">
        <f>IF(Z28=1,COUNTIFS($A$5:$A$28,A28,$AA$5:$AA$28,AA28,$Z$5:$Z$28,1),0)</f>
        <v/>
      </c>
      <c r="AC28" s="5">
        <f>IF(AND(Z28=1, AB28&gt;=cfg_debounce_consecutive_steps),1,0)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14" customWidth="1" min="4" max="4"/>
    <col width="10" customWidth="1" min="5" max="5"/>
    <col width="16" customWidth="1" min="6" max="6"/>
    <col width="14" customWidth="1" min="7" max="7"/>
    <col width="9" customWidth="1" min="8" max="8"/>
    <col width="70" customWidth="1" min="9" max="9"/>
  </cols>
  <sheetData>
    <row r="1">
      <c r="A1" s="7" t="inlineStr">
        <is>
          <t>M2e Availability — output finding per inverter &amp; per string</t>
        </is>
      </c>
    </row>
    <row r="2">
      <c r="A2" s="2" t="inlineStr">
        <is>
          <t>Section A: per-inverter uptime%. Section B: per-string proxy down. Severity di-derive dari uptime_pct vs threshold di Config.</t>
        </is>
      </c>
    </row>
    <row r="4">
      <c r="A4" s="14" t="inlineStr">
        <is>
          <t>A. Per-inverter daily uptime</t>
        </is>
      </c>
    </row>
    <row r="5">
      <c r="A5" s="10" t="inlineStr">
        <is>
          <t>Inverter_ID</t>
        </is>
      </c>
      <c r="B5" s="10" t="inlineStr">
        <is>
          <t>n_on</t>
        </is>
      </c>
      <c r="C5" s="10" t="inlineStr">
        <is>
          <t>n_down</t>
        </is>
      </c>
      <c r="D5" s="10" t="inlineStr">
        <is>
          <t>denom</t>
        </is>
      </c>
      <c r="E5" s="10" t="inlineStr">
        <is>
          <t>uptime_pct</t>
        </is>
      </c>
      <c r="F5" s="10" t="inlineStr">
        <is>
          <t>downtime_min</t>
        </is>
      </c>
      <c r="G5" s="10" t="inlineStr">
        <is>
          <t>severity</t>
        </is>
      </c>
      <c r="H5" s="10" t="inlineStr">
        <is>
          <t>threshold_breached</t>
        </is>
      </c>
      <c r="I5" s="10" t="inlineStr">
        <is>
          <t>message</t>
        </is>
      </c>
    </row>
    <row r="6">
      <c r="A6" s="5" t="inlineStr">
        <is>
          <t>WB02-INV01</t>
        </is>
      </c>
      <c r="B6" s="5">
        <f>COUNTIFS(Helpers_M2e!$A$5:$A$28, A6, Helpers_M2e!$D$5:$D$28, "ON")</f>
        <v/>
      </c>
      <c r="C6" s="5">
        <f>COUNTIFS(Helpers_M2e!$A$5:$A$28, A6, Helpers_M2e!$D$5:$D$28, "DOWN")</f>
        <v/>
      </c>
      <c r="D6" s="5">
        <f>B6+C6</f>
        <v/>
      </c>
      <c r="E6" s="15">
        <f>IF(D6=0, NA(), 100*B6/D6)</f>
        <v/>
      </c>
      <c r="F6" s="5">
        <f>C6*cfg_interval_minutes</f>
        <v/>
      </c>
      <c r="G6" s="5">
        <f>IF(ISNA(E6),"NO_DATA",IF(E6&lt;cfg_critical_below,"CRITICAL",IF(E6&lt;cfg_high_below,"HIGH",IF(E6&lt;cfg_medium_below,"MEDIUM",IF(E6&lt;cfg_info_below,"INFO","NORMAL")))))</f>
        <v/>
      </c>
      <c r="H6" s="5">
        <f>IF(ISNA(E6),"",IF(E6&lt;cfg_critical_below,cfg_critical_below,IF(E6&lt;cfg_high_below,cfg_high_below,IF(E6&lt;cfg_medium_below,cfg_medium_below,IF(E6&lt;cfg_info_below,cfg_info_below,cfg_info_below)))))</f>
        <v/>
      </c>
      <c r="I6" s="5">
        <f>"inverter uptime "&amp;TEXT(E6,"0.00")&amp;"% (n_on="&amp;B6&amp;", n_down="&amp;C6&amp;")"</f>
        <v/>
      </c>
    </row>
    <row r="7">
      <c r="A7" s="5" t="inlineStr">
        <is>
          <t>WB02-INV02</t>
        </is>
      </c>
      <c r="B7" s="5">
        <f>COUNTIFS(Helpers_M2e!$A$5:$A$28, A7, Helpers_M2e!$D$5:$D$28, "ON")</f>
        <v/>
      </c>
      <c r="C7" s="5">
        <f>COUNTIFS(Helpers_M2e!$A$5:$A$28, A7, Helpers_M2e!$D$5:$D$28, "DOWN")</f>
        <v/>
      </c>
      <c r="D7" s="5">
        <f>B7+C7</f>
        <v/>
      </c>
      <c r="E7" s="15">
        <f>IF(D7=0, NA(), 100*B7/D7)</f>
        <v/>
      </c>
      <c r="F7" s="5">
        <f>C7*cfg_interval_minutes</f>
        <v/>
      </c>
      <c r="G7" s="5">
        <f>IF(ISNA(E7),"NO_DATA",IF(E7&lt;cfg_critical_below,"CRITICAL",IF(E7&lt;cfg_high_below,"HIGH",IF(E7&lt;cfg_medium_below,"MEDIUM",IF(E7&lt;cfg_info_below,"INFO","NORMAL")))))</f>
        <v/>
      </c>
      <c r="H7" s="5">
        <f>IF(ISNA(E7),"",IF(E7&lt;cfg_critical_below,cfg_critical_below,IF(E7&lt;cfg_high_below,cfg_high_below,IF(E7&lt;cfg_medium_below,cfg_medium_below,IF(E7&lt;cfg_info_below,cfg_info_below,cfg_info_below)))))</f>
        <v/>
      </c>
      <c r="I7" s="5">
        <f>"inverter uptime "&amp;TEXT(E7,"0.00")&amp;"% (n_on="&amp;B7&amp;", n_down="&amp;C7&amp;")"</f>
        <v/>
      </c>
    </row>
    <row r="11">
      <c r="A11" s="14" t="inlineStr">
        <is>
          <t>B. Per-string proxy down (event_minutes_total + uptime_pct + severity)</t>
        </is>
      </c>
    </row>
    <row r="12">
      <c r="A12" s="10" t="inlineStr">
        <is>
          <t>Inverter_ID</t>
        </is>
      </c>
      <c r="B12" s="10" t="inlineStr">
        <is>
          <t>PV_string</t>
        </is>
      </c>
      <c r="C12" s="10" t="inlineStr">
        <is>
          <t>daylight_minutes_inv</t>
        </is>
      </c>
      <c r="D12" s="10" t="inlineStr">
        <is>
          <t>event_minutes</t>
        </is>
      </c>
      <c r="E12" s="10" t="inlineStr">
        <is>
          <t>n_events</t>
        </is>
      </c>
      <c r="F12" s="10" t="inlineStr">
        <is>
          <t>string_uptime_pct</t>
        </is>
      </c>
      <c r="G12" s="10" t="inlineStr">
        <is>
          <t>severity</t>
        </is>
      </c>
      <c r="H12" s="10" t="inlineStr">
        <is>
          <t>is_empty</t>
        </is>
      </c>
      <c r="I12" s="10" t="inlineStr">
        <is>
          <t>message</t>
        </is>
      </c>
    </row>
    <row r="13">
      <c r="A13" s="5" t="inlineStr">
        <is>
          <t>WB02-INV01</t>
        </is>
      </c>
      <c r="B13" s="5" t="inlineStr">
        <is>
          <t>PV1</t>
        </is>
      </c>
      <c r="C13" s="5">
        <f>COUNTIFS(Helpers_M2e!$A$5:$A$28, A13, Helpers_M2e!$I$5:$I$28, 1) * cfg_interval_minutes</f>
        <v/>
      </c>
      <c r="D13" s="5">
        <f>COUNTIFS(Helpers_M2e!$A$5:$A$28, A13, Helpers_M2e!$M$5:$M$28, 1) * cfg_interval_minutes</f>
        <v/>
      </c>
      <c r="E13" s="5">
        <f>SUMPRODUCT((Helpers_M2e!$A$5:$A$28=A13)*(Helpers_M2e!$M$5:$M$28=1)*((Helpers_M2e!$M$4:$M$27=0)+(Helpers_M2e!$A$5:$A$28&lt;&gt;Helpers_M2e!$A$4:$A$27)&gt;=1))</f>
        <v/>
      </c>
      <c r="F13" s="15">
        <f>IF(C13=0, NA(), MAX(0, 100 - 100*D13/C13))</f>
        <v/>
      </c>
      <c r="G13" s="5">
        <f>IF(H13=1,"EMPTY",IF(C13=0,"NO_DAYLIGHT",IF(F13&lt;cfg_critical_below,"CRITICAL",IF(F13&lt;cfg_high_below,"HIGH",IF(F13&lt;cfg_medium_below,"MEDIUM",IF(F13&lt;cfg_info_below,"INFO","NORMAL"))))))</f>
        <v/>
      </c>
      <c r="H13" s="5">
        <f>IFERROR(IF(ISNUMBER(SEARCH(","&amp;1&amp;",", ","&amp;VLOOKUP(A13, EmptyPVMap!$A$5:$B$8, 2, FALSE)&amp;",")), 1, 0), 0)</f>
        <v/>
      </c>
      <c r="I13" s="5">
        <f>IF(H13=1, "EMPTY (skip)", IF(F13&gt;=cfg_info_below, "NORMAL", A13&amp;" "&amp;B13&amp;" proxy-down "&amp;D13&amp;"min/"&amp;C13&amp;"min daylight ("&amp;TEXT(F13,"0.00")&amp;"% uptime)"))</f>
        <v/>
      </c>
    </row>
    <row r="14">
      <c r="A14" s="5" t="inlineStr">
        <is>
          <t>WB02-INV01</t>
        </is>
      </c>
      <c r="B14" s="5" t="inlineStr">
        <is>
          <t>PV2</t>
        </is>
      </c>
      <c r="C14" s="5">
        <f>COUNTIFS(Helpers_M2e!$A$5:$A$28, A14, Helpers_M2e!$I$5:$I$28, 1) * cfg_interval_minutes</f>
        <v/>
      </c>
      <c r="D14" s="5">
        <f>COUNTIFS(Helpers_M2e!$A$5:$A$28, A14, Helpers_M2e!$Q$5:$Q$28, 1) * cfg_interval_minutes</f>
        <v/>
      </c>
      <c r="E14" s="5">
        <f>SUMPRODUCT((Helpers_M2e!$A$5:$A$28=A14)*(Helpers_M2e!$Q$5:$Q$28=1)*((Helpers_M2e!$Q$4:$Q$27=0)+(Helpers_M2e!$A$5:$A$28&lt;&gt;Helpers_M2e!$A$4:$A$27)&gt;=1))</f>
        <v/>
      </c>
      <c r="F14" s="15">
        <f>IF(C14=0, NA(), MAX(0, 100 - 100*D14/C14))</f>
        <v/>
      </c>
      <c r="G14" s="5">
        <f>IF(H14=1,"EMPTY",IF(C14=0,"NO_DAYLIGHT",IF(F14&lt;cfg_critical_below,"CRITICAL",IF(F14&lt;cfg_high_below,"HIGH",IF(F14&lt;cfg_medium_below,"MEDIUM",IF(F14&lt;cfg_info_below,"INFO","NORMAL"))))))</f>
        <v/>
      </c>
      <c r="H14" s="5">
        <f>IFERROR(IF(ISNUMBER(SEARCH(","&amp;2&amp;",", ","&amp;VLOOKUP(A14, EmptyPVMap!$A$5:$B$8, 2, FALSE)&amp;",")), 1, 0), 0)</f>
        <v/>
      </c>
      <c r="I14" s="5">
        <f>IF(H14=1, "EMPTY (skip)", IF(F14&gt;=cfg_info_below, "NORMAL", A14&amp;" "&amp;B14&amp;" proxy-down "&amp;D14&amp;"min/"&amp;C14&amp;"min daylight ("&amp;TEXT(F14,"0.00")&amp;"% uptime)"))</f>
        <v/>
      </c>
    </row>
    <row r="15">
      <c r="A15" s="5" t="inlineStr">
        <is>
          <t>WB02-INV01</t>
        </is>
      </c>
      <c r="B15" s="5" t="inlineStr">
        <is>
          <t>PV3</t>
        </is>
      </c>
      <c r="C15" s="5">
        <f>COUNTIFS(Helpers_M2e!$A$5:$A$28, A15, Helpers_M2e!$I$5:$I$28, 1) * cfg_interval_minutes</f>
        <v/>
      </c>
      <c r="D15" s="5">
        <f>COUNTIFS(Helpers_M2e!$A$5:$A$28, A15, Helpers_M2e!$U$5:$U$28, 1) * cfg_interval_minutes</f>
        <v/>
      </c>
      <c r="E15" s="5">
        <f>SUMPRODUCT((Helpers_M2e!$A$5:$A$28=A15)*(Helpers_M2e!$U$5:$U$28=1)*((Helpers_M2e!$U$4:$U$27=0)+(Helpers_M2e!$A$5:$A$28&lt;&gt;Helpers_M2e!$A$4:$A$27)&gt;=1))</f>
        <v/>
      </c>
      <c r="F15" s="15">
        <f>IF(C15=0, NA(), MAX(0, 100 - 100*D15/C15))</f>
        <v/>
      </c>
      <c r="G15" s="5">
        <f>IF(H15=1,"EMPTY",IF(C15=0,"NO_DAYLIGHT",IF(F15&lt;cfg_critical_below,"CRITICAL",IF(F15&lt;cfg_high_below,"HIGH",IF(F15&lt;cfg_medium_below,"MEDIUM",IF(F15&lt;cfg_info_below,"INFO","NORMAL"))))))</f>
        <v/>
      </c>
      <c r="H15" s="5">
        <f>IFERROR(IF(ISNUMBER(SEARCH(","&amp;3&amp;",", ","&amp;VLOOKUP(A15, EmptyPVMap!$A$5:$B$8, 2, FALSE)&amp;",")), 1, 0), 0)</f>
        <v/>
      </c>
      <c r="I15" s="5">
        <f>IF(H15=1, "EMPTY (skip)", IF(F15&gt;=cfg_info_below, "NORMAL", A15&amp;" "&amp;B15&amp;" proxy-down "&amp;D15&amp;"min/"&amp;C15&amp;"min daylight ("&amp;TEXT(F15,"0.00")&amp;"% uptime)"))</f>
        <v/>
      </c>
    </row>
    <row r="16">
      <c r="A16" s="5" t="inlineStr">
        <is>
          <t>WB02-INV01</t>
        </is>
      </c>
      <c r="B16" s="5" t="inlineStr">
        <is>
          <t>PV4</t>
        </is>
      </c>
      <c r="C16" s="5">
        <f>COUNTIFS(Helpers_M2e!$A$5:$A$28, A16, Helpers_M2e!$I$5:$I$28, 1) * cfg_interval_minutes</f>
        <v/>
      </c>
      <c r="D16" s="5">
        <f>COUNTIFS(Helpers_M2e!$A$5:$A$28, A16, Helpers_M2e!$Y$5:$Y$28, 1) * cfg_interval_minutes</f>
        <v/>
      </c>
      <c r="E16" s="5">
        <f>SUMPRODUCT((Helpers_M2e!$A$5:$A$28=A16)*(Helpers_M2e!$Y$5:$Y$28=1)*((Helpers_M2e!$Y$4:$Y$27=0)+(Helpers_M2e!$A$5:$A$28&lt;&gt;Helpers_M2e!$A$4:$A$27)&gt;=1))</f>
        <v/>
      </c>
      <c r="F16" s="15">
        <f>IF(C16=0, NA(), MAX(0, 100 - 100*D16/C16))</f>
        <v/>
      </c>
      <c r="G16" s="5">
        <f>IF(H16=1,"EMPTY",IF(C16=0,"NO_DAYLIGHT",IF(F16&lt;cfg_critical_below,"CRITICAL",IF(F16&lt;cfg_high_below,"HIGH",IF(F16&lt;cfg_medium_below,"MEDIUM",IF(F16&lt;cfg_info_below,"INFO","NORMAL"))))))</f>
        <v/>
      </c>
      <c r="H16" s="5">
        <f>IFERROR(IF(ISNUMBER(SEARCH(","&amp;4&amp;",", ","&amp;VLOOKUP(A16, EmptyPVMap!$A$5:$B$8, 2, FALSE)&amp;",")), 1, 0), 0)</f>
        <v/>
      </c>
      <c r="I16" s="5">
        <f>IF(H16=1, "EMPTY (skip)", IF(F16&gt;=cfg_info_below, "NORMAL", A16&amp;" "&amp;B16&amp;" proxy-down "&amp;D16&amp;"min/"&amp;C16&amp;"min daylight ("&amp;TEXT(F16,"0.00")&amp;"% uptime)"))</f>
        <v/>
      </c>
    </row>
    <row r="17">
      <c r="A17" s="5" t="inlineStr">
        <is>
          <t>WB02-INV01</t>
        </is>
      </c>
      <c r="B17" s="5" t="inlineStr">
        <is>
          <t>PV5</t>
        </is>
      </c>
      <c r="C17" s="5">
        <f>COUNTIFS(Helpers_M2e!$A$5:$A$28, A17, Helpers_M2e!$I$5:$I$28, 1) * cfg_interval_minutes</f>
        <v/>
      </c>
      <c r="D17" s="5">
        <f>COUNTIFS(Helpers_M2e!$A$5:$A$28, A17, Helpers_M2e!$AC$5:$AC$28, 1) * cfg_interval_minutes</f>
        <v/>
      </c>
      <c r="E17" s="5">
        <f>SUMPRODUCT((Helpers_M2e!$A$5:$A$28=A17)*(Helpers_M2e!$AC$5:$AC$28=1)*((Helpers_M2e!$AC$4:$AC$27=0)+(Helpers_M2e!$A$5:$A$28&lt;&gt;Helpers_M2e!$A$4:$A$27)&gt;=1))</f>
        <v/>
      </c>
      <c r="F17" s="15">
        <f>IF(C17=0, NA(), MAX(0, 100 - 100*D17/C17))</f>
        <v/>
      </c>
      <c r="G17" s="5">
        <f>IF(H17=1,"EMPTY",IF(C17=0,"NO_DAYLIGHT",IF(F17&lt;cfg_critical_below,"CRITICAL",IF(F17&lt;cfg_high_below,"HIGH",IF(F17&lt;cfg_medium_below,"MEDIUM",IF(F17&lt;cfg_info_below,"INFO","NORMAL"))))))</f>
        <v/>
      </c>
      <c r="H17" s="5">
        <f>IFERROR(IF(ISNUMBER(SEARCH(","&amp;5&amp;",", ","&amp;VLOOKUP(A17, EmptyPVMap!$A$5:$B$8, 2, FALSE)&amp;",")), 1, 0), 0)</f>
        <v/>
      </c>
      <c r="I17" s="5">
        <f>IF(H17=1, "EMPTY (skip)", IF(F17&gt;=cfg_info_below, "NORMAL", A17&amp;" "&amp;B17&amp;" proxy-down "&amp;D17&amp;"min/"&amp;C17&amp;"min daylight ("&amp;TEXT(F17,"0.00")&amp;"% uptime)"))</f>
        <v/>
      </c>
    </row>
    <row r="18">
      <c r="A18" s="5" t="inlineStr">
        <is>
          <t>WB02-INV02</t>
        </is>
      </c>
      <c r="B18" s="5" t="inlineStr">
        <is>
          <t>PV1</t>
        </is>
      </c>
      <c r="C18" s="5">
        <f>COUNTIFS(Helpers_M2e!$A$5:$A$28, A18, Helpers_M2e!$I$5:$I$28, 1) * cfg_interval_minutes</f>
        <v/>
      </c>
      <c r="D18" s="5">
        <f>COUNTIFS(Helpers_M2e!$A$5:$A$28, A18, Helpers_M2e!$M$5:$M$28, 1) * cfg_interval_minutes</f>
        <v/>
      </c>
      <c r="E18" s="5">
        <f>SUMPRODUCT((Helpers_M2e!$A$5:$A$28=A18)*(Helpers_M2e!$M$5:$M$28=1)*((Helpers_M2e!$M$4:$M$27=0)+(Helpers_M2e!$A$5:$A$28&lt;&gt;Helpers_M2e!$A$4:$A$27)&gt;=1))</f>
        <v/>
      </c>
      <c r="F18" s="15">
        <f>IF(C18=0, NA(), MAX(0, 100 - 100*D18/C18))</f>
        <v/>
      </c>
      <c r="G18" s="5">
        <f>IF(H18=1,"EMPTY",IF(C18=0,"NO_DAYLIGHT",IF(F18&lt;cfg_critical_below,"CRITICAL",IF(F18&lt;cfg_high_below,"HIGH",IF(F18&lt;cfg_medium_below,"MEDIUM",IF(F18&lt;cfg_info_below,"INFO","NORMAL"))))))</f>
        <v/>
      </c>
      <c r="H18" s="5">
        <f>IFERROR(IF(ISNUMBER(SEARCH(","&amp;1&amp;",", ","&amp;VLOOKUP(A18, EmptyPVMap!$A$5:$B$8, 2, FALSE)&amp;",")), 1, 0), 0)</f>
        <v/>
      </c>
      <c r="I18" s="5">
        <f>IF(H18=1, "EMPTY (skip)", IF(F18&gt;=cfg_info_below, "NORMAL", A18&amp;" "&amp;B18&amp;" proxy-down "&amp;D18&amp;"min/"&amp;C18&amp;"min daylight ("&amp;TEXT(F18,"0.00")&amp;"% uptime)"))</f>
        <v/>
      </c>
    </row>
    <row r="19">
      <c r="A19" s="5" t="inlineStr">
        <is>
          <t>WB02-INV02</t>
        </is>
      </c>
      <c r="B19" s="5" t="inlineStr">
        <is>
          <t>PV2</t>
        </is>
      </c>
      <c r="C19" s="5">
        <f>COUNTIFS(Helpers_M2e!$A$5:$A$28, A19, Helpers_M2e!$I$5:$I$28, 1) * cfg_interval_minutes</f>
        <v/>
      </c>
      <c r="D19" s="5">
        <f>COUNTIFS(Helpers_M2e!$A$5:$A$28, A19, Helpers_M2e!$Q$5:$Q$28, 1) * cfg_interval_minutes</f>
        <v/>
      </c>
      <c r="E19" s="5">
        <f>SUMPRODUCT((Helpers_M2e!$A$5:$A$28=A19)*(Helpers_M2e!$Q$5:$Q$28=1)*((Helpers_M2e!$Q$4:$Q$27=0)+(Helpers_M2e!$A$5:$A$28&lt;&gt;Helpers_M2e!$A$4:$A$27)&gt;=1))</f>
        <v/>
      </c>
      <c r="F19" s="15">
        <f>IF(C19=0, NA(), MAX(0, 100 - 100*D19/C19))</f>
        <v/>
      </c>
      <c r="G19" s="5">
        <f>IF(H19=1,"EMPTY",IF(C19=0,"NO_DAYLIGHT",IF(F19&lt;cfg_critical_below,"CRITICAL",IF(F19&lt;cfg_high_below,"HIGH",IF(F19&lt;cfg_medium_below,"MEDIUM",IF(F19&lt;cfg_info_below,"INFO","NORMAL"))))))</f>
        <v/>
      </c>
      <c r="H19" s="5">
        <f>IFERROR(IF(ISNUMBER(SEARCH(","&amp;2&amp;",", ","&amp;VLOOKUP(A19, EmptyPVMap!$A$5:$B$8, 2, FALSE)&amp;",")), 1, 0), 0)</f>
        <v/>
      </c>
      <c r="I19" s="5">
        <f>IF(H19=1, "EMPTY (skip)", IF(F19&gt;=cfg_info_below, "NORMAL", A19&amp;" "&amp;B19&amp;" proxy-down "&amp;D19&amp;"min/"&amp;C19&amp;"min daylight ("&amp;TEXT(F19,"0.00")&amp;"% uptime)"))</f>
        <v/>
      </c>
    </row>
    <row r="20">
      <c r="A20" s="5" t="inlineStr">
        <is>
          <t>WB02-INV02</t>
        </is>
      </c>
      <c r="B20" s="5" t="inlineStr">
        <is>
          <t>PV3</t>
        </is>
      </c>
      <c r="C20" s="5">
        <f>COUNTIFS(Helpers_M2e!$A$5:$A$28, A20, Helpers_M2e!$I$5:$I$28, 1) * cfg_interval_minutes</f>
        <v/>
      </c>
      <c r="D20" s="5">
        <f>COUNTIFS(Helpers_M2e!$A$5:$A$28, A20, Helpers_M2e!$U$5:$U$28, 1) * cfg_interval_minutes</f>
        <v/>
      </c>
      <c r="E20" s="5">
        <f>SUMPRODUCT((Helpers_M2e!$A$5:$A$28=A20)*(Helpers_M2e!$U$5:$U$28=1)*((Helpers_M2e!$U$4:$U$27=0)+(Helpers_M2e!$A$5:$A$28&lt;&gt;Helpers_M2e!$A$4:$A$27)&gt;=1))</f>
        <v/>
      </c>
      <c r="F20" s="15">
        <f>IF(C20=0, NA(), MAX(0, 100 - 100*D20/C20))</f>
        <v/>
      </c>
      <c r="G20" s="5">
        <f>IF(H20=1,"EMPTY",IF(C20=0,"NO_DAYLIGHT",IF(F20&lt;cfg_critical_below,"CRITICAL",IF(F20&lt;cfg_high_below,"HIGH",IF(F20&lt;cfg_medium_below,"MEDIUM",IF(F20&lt;cfg_info_below,"INFO","NORMAL"))))))</f>
        <v/>
      </c>
      <c r="H20" s="5">
        <f>IFERROR(IF(ISNUMBER(SEARCH(","&amp;3&amp;",", ","&amp;VLOOKUP(A20, EmptyPVMap!$A$5:$B$8, 2, FALSE)&amp;",")), 1, 0), 0)</f>
        <v/>
      </c>
      <c r="I20" s="5">
        <f>IF(H20=1, "EMPTY (skip)", IF(F20&gt;=cfg_info_below, "NORMAL", A20&amp;" "&amp;B20&amp;" proxy-down "&amp;D20&amp;"min/"&amp;C20&amp;"min daylight ("&amp;TEXT(F20,"0.00")&amp;"% uptime)"))</f>
        <v/>
      </c>
    </row>
    <row r="21">
      <c r="A21" s="5" t="inlineStr">
        <is>
          <t>WB02-INV02</t>
        </is>
      </c>
      <c r="B21" s="5" t="inlineStr">
        <is>
          <t>PV4</t>
        </is>
      </c>
      <c r="C21" s="5">
        <f>COUNTIFS(Helpers_M2e!$A$5:$A$28, A21, Helpers_M2e!$I$5:$I$28, 1) * cfg_interval_minutes</f>
        <v/>
      </c>
      <c r="D21" s="5">
        <f>COUNTIFS(Helpers_M2e!$A$5:$A$28, A21, Helpers_M2e!$Y$5:$Y$28, 1) * cfg_interval_minutes</f>
        <v/>
      </c>
      <c r="E21" s="5">
        <f>SUMPRODUCT((Helpers_M2e!$A$5:$A$28=A21)*(Helpers_M2e!$Y$5:$Y$28=1)*((Helpers_M2e!$Y$4:$Y$27=0)+(Helpers_M2e!$A$5:$A$28&lt;&gt;Helpers_M2e!$A$4:$A$27)&gt;=1))</f>
        <v/>
      </c>
      <c r="F21" s="15">
        <f>IF(C21=0, NA(), MAX(0, 100 - 100*D21/C21))</f>
        <v/>
      </c>
      <c r="G21" s="5">
        <f>IF(H21=1,"EMPTY",IF(C21=0,"NO_DAYLIGHT",IF(F21&lt;cfg_critical_below,"CRITICAL",IF(F21&lt;cfg_high_below,"HIGH",IF(F21&lt;cfg_medium_below,"MEDIUM",IF(F21&lt;cfg_info_below,"INFO","NORMAL"))))))</f>
        <v/>
      </c>
      <c r="H21" s="5">
        <f>IFERROR(IF(ISNUMBER(SEARCH(","&amp;4&amp;",", ","&amp;VLOOKUP(A21, EmptyPVMap!$A$5:$B$8, 2, FALSE)&amp;",")), 1, 0), 0)</f>
        <v/>
      </c>
      <c r="I21" s="5">
        <f>IF(H21=1, "EMPTY (skip)", IF(F21&gt;=cfg_info_below, "NORMAL", A21&amp;" "&amp;B21&amp;" proxy-down "&amp;D21&amp;"min/"&amp;C21&amp;"min daylight ("&amp;TEXT(F21,"0.00")&amp;"% uptime)"))</f>
        <v/>
      </c>
    </row>
    <row r="22">
      <c r="A22" s="5" t="inlineStr">
        <is>
          <t>WB02-INV02</t>
        </is>
      </c>
      <c r="B22" s="5" t="inlineStr">
        <is>
          <t>PV5</t>
        </is>
      </c>
      <c r="C22" s="5">
        <f>COUNTIFS(Helpers_M2e!$A$5:$A$28, A22, Helpers_M2e!$I$5:$I$28, 1) * cfg_interval_minutes</f>
        <v/>
      </c>
      <c r="D22" s="5">
        <f>COUNTIFS(Helpers_M2e!$A$5:$A$28, A22, Helpers_M2e!$AC$5:$AC$28, 1) * cfg_interval_minutes</f>
        <v/>
      </c>
      <c r="E22" s="5">
        <f>SUMPRODUCT((Helpers_M2e!$A$5:$A$28=A22)*(Helpers_M2e!$AC$5:$AC$28=1)*((Helpers_M2e!$AC$4:$AC$27=0)+(Helpers_M2e!$A$5:$A$28&lt;&gt;Helpers_M2e!$A$4:$A$27)&gt;=1))</f>
        <v/>
      </c>
      <c r="F22" s="15">
        <f>IF(C22=0, NA(), MAX(0, 100 - 100*D22/C22))</f>
        <v/>
      </c>
      <c r="G22" s="5">
        <f>IF(H22=1,"EMPTY",IF(C22=0,"NO_DAYLIGHT",IF(F22&lt;cfg_critical_below,"CRITICAL",IF(F22&lt;cfg_high_below,"HIGH",IF(F22&lt;cfg_medium_below,"MEDIUM",IF(F22&lt;cfg_info_below,"INFO","NORMAL"))))))</f>
        <v/>
      </c>
      <c r="H22" s="5">
        <f>IFERROR(IF(ISNUMBER(SEARCH(","&amp;5&amp;",", ","&amp;VLOOKUP(A22, EmptyPVMap!$A$5:$B$8, 2, FALSE)&amp;",")), 1, 0), 0)</f>
        <v/>
      </c>
      <c r="I22" s="5">
        <f>IF(H22=1, "EMPTY (skip)", IF(F22&gt;=cfg_info_below, "NORMAL", A22&amp;" "&amp;B22&amp;" proxy-down "&amp;D22&amp;"min/"&amp;C22&amp;"min daylight ("&amp;TEXT(F22,"0.00")&amp;"% uptime)"))</f>
        <v/>
      </c>
    </row>
  </sheetData>
  <conditionalFormatting sqref="G6:G7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6">
      <formula>"NO_DAYLIGHT"</formula>
    </cfRule>
  </conditionalFormatting>
  <conditionalFormatting sqref="G13:G22">
    <cfRule type="cellIs" priority="8" operator="equal" dxfId="0">
      <formula>"CRITICAL"</formula>
    </cfRule>
    <cfRule type="cellIs" priority="9" operator="equal" dxfId="1">
      <formula>"HIGH"</formula>
    </cfRule>
    <cfRule type="cellIs" priority="10" operator="equal" dxfId="2">
      <formula>"MEDIUM"</formula>
    </cfRule>
    <cfRule type="cellIs" priority="11" operator="equal" dxfId="3">
      <formula>"INFO"</formula>
    </cfRule>
    <cfRule type="cellIs" priority="12" operator="equal" dxfId="4">
      <formula>"NORMAL"</formula>
    </cfRule>
    <cfRule type="cellIs" priority="13" operator="equal" dxfId="5">
      <formula>"EMPTY"</formula>
    </cfRule>
    <cfRule type="cellIs" priority="14" operator="equal" dxfId="6">
      <formula>"NO_DAYLIGHT"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6" customWidth="1" min="5" max="5"/>
    <col width="14" customWidth="1" min="6" max="6"/>
    <col width="10" customWidth="1" min="7" max="7"/>
    <col width="17" customWidth="1" min="8" max="8"/>
  </cols>
  <sheetData>
    <row r="1">
      <c r="A1" s="7" t="inlineStr">
        <is>
          <t>M2e_AllStrings — tabel rapi per (inverter × PV string) — replika output Python</t>
        </is>
      </c>
    </row>
    <row r="2">
      <c r="A2" s="2" t="inlineStr">
        <is>
          <t>Setiap baris = 1 PV slot. status ∈ {EMPTY, NO_DAYLIGHT, NORMAL, INFO, MEDIUM, HIGH, CRITICAL}. Pull dari M2e_Availability Section B.</t>
        </is>
      </c>
    </row>
    <row r="4">
      <c r="A4" s="10" t="inlineStr">
        <is>
          <t>inverter_id</t>
        </is>
      </c>
      <c r="B4" s="10" t="inlineStr">
        <is>
          <t>pv_string</t>
        </is>
      </c>
      <c r="C4" s="10" t="inlineStr">
        <is>
          <t>status</t>
        </is>
      </c>
      <c r="D4" s="10" t="inlineStr">
        <is>
          <t>uptime_pct</t>
        </is>
      </c>
      <c r="E4" s="10" t="inlineStr">
        <is>
          <t>downtime_minutes</t>
        </is>
      </c>
      <c r="F4" s="10" t="inlineStr">
        <is>
          <t>event_minutes</t>
        </is>
      </c>
      <c r="G4" s="10" t="inlineStr">
        <is>
          <t>n_events</t>
        </is>
      </c>
      <c r="H4" s="10" t="inlineStr">
        <is>
          <t>daylight_minutes</t>
        </is>
      </c>
    </row>
    <row r="5">
      <c r="A5" s="5">
        <f>M2e_Availability!A13</f>
        <v/>
      </c>
      <c r="B5" s="5">
        <f>M2e_Availability!B13</f>
        <v/>
      </c>
      <c r="C5" s="5">
        <f>M2e_Availability!G13</f>
        <v/>
      </c>
      <c r="D5" s="15">
        <f>IF(OR(M2e_Availability!G13="EMPTY",M2e_Availability!G13="NO_DAYLIGHT"),"",M2e_Availability!F13)</f>
        <v/>
      </c>
      <c r="E5" s="5">
        <f>IF(OR(M2e_Availability!G13="EMPTY",M2e_Availability!G13="NO_DAYLIGHT"),"",M2e_Availability!D13)</f>
        <v/>
      </c>
      <c r="F5" s="5">
        <f>IF(OR(M2e_Availability!G13="EMPTY",M2e_Availability!G13="NO_DAYLIGHT"),"",M2e_Availability!D13)</f>
        <v/>
      </c>
      <c r="G5" s="5">
        <f>IF(M2e_Availability!G13="EMPTY",0,M2e_Availability!E13)</f>
        <v/>
      </c>
      <c r="H5" s="5">
        <f>M2e_Availability!C13</f>
        <v/>
      </c>
    </row>
    <row r="6">
      <c r="A6" s="5">
        <f>M2e_Availability!A14</f>
        <v/>
      </c>
      <c r="B6" s="5">
        <f>M2e_Availability!B14</f>
        <v/>
      </c>
      <c r="C6" s="5">
        <f>M2e_Availability!G14</f>
        <v/>
      </c>
      <c r="D6" s="15">
        <f>IF(OR(M2e_Availability!G14="EMPTY",M2e_Availability!G14="NO_DAYLIGHT"),"",M2e_Availability!F14)</f>
        <v/>
      </c>
      <c r="E6" s="5">
        <f>IF(OR(M2e_Availability!G14="EMPTY",M2e_Availability!G14="NO_DAYLIGHT"),"",M2e_Availability!D14)</f>
        <v/>
      </c>
      <c r="F6" s="5">
        <f>IF(OR(M2e_Availability!G14="EMPTY",M2e_Availability!G14="NO_DAYLIGHT"),"",M2e_Availability!D14)</f>
        <v/>
      </c>
      <c r="G6" s="5">
        <f>IF(M2e_Availability!G14="EMPTY",0,M2e_Availability!E14)</f>
        <v/>
      </c>
      <c r="H6" s="5">
        <f>M2e_Availability!C14</f>
        <v/>
      </c>
    </row>
    <row r="7">
      <c r="A7" s="5">
        <f>M2e_Availability!A15</f>
        <v/>
      </c>
      <c r="B7" s="5">
        <f>M2e_Availability!B15</f>
        <v/>
      </c>
      <c r="C7" s="5">
        <f>M2e_Availability!G15</f>
        <v/>
      </c>
      <c r="D7" s="15">
        <f>IF(OR(M2e_Availability!G15="EMPTY",M2e_Availability!G15="NO_DAYLIGHT"),"",M2e_Availability!F15)</f>
        <v/>
      </c>
      <c r="E7" s="5">
        <f>IF(OR(M2e_Availability!G15="EMPTY",M2e_Availability!G15="NO_DAYLIGHT"),"",M2e_Availability!D15)</f>
        <v/>
      </c>
      <c r="F7" s="5">
        <f>IF(OR(M2e_Availability!G15="EMPTY",M2e_Availability!G15="NO_DAYLIGHT"),"",M2e_Availability!D15)</f>
        <v/>
      </c>
      <c r="G7" s="5">
        <f>IF(M2e_Availability!G15="EMPTY",0,M2e_Availability!E15)</f>
        <v/>
      </c>
      <c r="H7" s="5">
        <f>M2e_Availability!C15</f>
        <v/>
      </c>
    </row>
    <row r="8">
      <c r="A8" s="5">
        <f>M2e_Availability!A16</f>
        <v/>
      </c>
      <c r="B8" s="5">
        <f>M2e_Availability!B16</f>
        <v/>
      </c>
      <c r="C8" s="5">
        <f>M2e_Availability!G16</f>
        <v/>
      </c>
      <c r="D8" s="15">
        <f>IF(OR(M2e_Availability!G16="EMPTY",M2e_Availability!G16="NO_DAYLIGHT"),"",M2e_Availability!F16)</f>
        <v/>
      </c>
      <c r="E8" s="5">
        <f>IF(OR(M2e_Availability!G16="EMPTY",M2e_Availability!G16="NO_DAYLIGHT"),"",M2e_Availability!D16)</f>
        <v/>
      </c>
      <c r="F8" s="5">
        <f>IF(OR(M2e_Availability!G16="EMPTY",M2e_Availability!G16="NO_DAYLIGHT"),"",M2e_Availability!D16)</f>
        <v/>
      </c>
      <c r="G8" s="5">
        <f>IF(M2e_Availability!G16="EMPTY",0,M2e_Availability!E16)</f>
        <v/>
      </c>
      <c r="H8" s="5">
        <f>M2e_Availability!C16</f>
        <v/>
      </c>
    </row>
    <row r="9">
      <c r="A9" s="5">
        <f>M2e_Availability!A17</f>
        <v/>
      </c>
      <c r="B9" s="5">
        <f>M2e_Availability!B17</f>
        <v/>
      </c>
      <c r="C9" s="5">
        <f>M2e_Availability!G17</f>
        <v/>
      </c>
      <c r="D9" s="15">
        <f>IF(OR(M2e_Availability!G17="EMPTY",M2e_Availability!G17="NO_DAYLIGHT"),"",M2e_Availability!F17)</f>
        <v/>
      </c>
      <c r="E9" s="5">
        <f>IF(OR(M2e_Availability!G17="EMPTY",M2e_Availability!G17="NO_DAYLIGHT"),"",M2e_Availability!D17)</f>
        <v/>
      </c>
      <c r="F9" s="5">
        <f>IF(OR(M2e_Availability!G17="EMPTY",M2e_Availability!G17="NO_DAYLIGHT"),"",M2e_Availability!D17)</f>
        <v/>
      </c>
      <c r="G9" s="5">
        <f>IF(M2e_Availability!G17="EMPTY",0,M2e_Availability!E17)</f>
        <v/>
      </c>
      <c r="H9" s="5">
        <f>M2e_Availability!C17</f>
        <v/>
      </c>
    </row>
    <row r="10">
      <c r="A10" s="5">
        <f>M2e_Availability!A18</f>
        <v/>
      </c>
      <c r="B10" s="5">
        <f>M2e_Availability!B18</f>
        <v/>
      </c>
      <c r="C10" s="5">
        <f>M2e_Availability!G18</f>
        <v/>
      </c>
      <c r="D10" s="15">
        <f>IF(OR(M2e_Availability!G18="EMPTY",M2e_Availability!G18="NO_DAYLIGHT"),"",M2e_Availability!F18)</f>
        <v/>
      </c>
      <c r="E10" s="5">
        <f>IF(OR(M2e_Availability!G18="EMPTY",M2e_Availability!G18="NO_DAYLIGHT"),"",M2e_Availability!D18)</f>
        <v/>
      </c>
      <c r="F10" s="5">
        <f>IF(OR(M2e_Availability!G18="EMPTY",M2e_Availability!G18="NO_DAYLIGHT"),"",M2e_Availability!D18)</f>
        <v/>
      </c>
      <c r="G10" s="5">
        <f>IF(M2e_Availability!G18="EMPTY",0,M2e_Availability!E18)</f>
        <v/>
      </c>
      <c r="H10" s="5">
        <f>M2e_Availability!C18</f>
        <v/>
      </c>
    </row>
    <row r="11">
      <c r="A11" s="5">
        <f>M2e_Availability!A19</f>
        <v/>
      </c>
      <c r="B11" s="5">
        <f>M2e_Availability!B19</f>
        <v/>
      </c>
      <c r="C11" s="5">
        <f>M2e_Availability!G19</f>
        <v/>
      </c>
      <c r="D11" s="15">
        <f>IF(OR(M2e_Availability!G19="EMPTY",M2e_Availability!G19="NO_DAYLIGHT"),"",M2e_Availability!F19)</f>
        <v/>
      </c>
      <c r="E11" s="5">
        <f>IF(OR(M2e_Availability!G19="EMPTY",M2e_Availability!G19="NO_DAYLIGHT"),"",M2e_Availability!D19)</f>
        <v/>
      </c>
      <c r="F11" s="5">
        <f>IF(OR(M2e_Availability!G19="EMPTY",M2e_Availability!G19="NO_DAYLIGHT"),"",M2e_Availability!D19)</f>
        <v/>
      </c>
      <c r="G11" s="5">
        <f>IF(M2e_Availability!G19="EMPTY",0,M2e_Availability!E19)</f>
        <v/>
      </c>
      <c r="H11" s="5">
        <f>M2e_Availability!C19</f>
        <v/>
      </c>
    </row>
    <row r="12">
      <c r="A12" s="5">
        <f>M2e_Availability!A20</f>
        <v/>
      </c>
      <c r="B12" s="5">
        <f>M2e_Availability!B20</f>
        <v/>
      </c>
      <c r="C12" s="5">
        <f>M2e_Availability!G20</f>
        <v/>
      </c>
      <c r="D12" s="15">
        <f>IF(OR(M2e_Availability!G20="EMPTY",M2e_Availability!G20="NO_DAYLIGHT"),"",M2e_Availability!F20)</f>
        <v/>
      </c>
      <c r="E12" s="5">
        <f>IF(OR(M2e_Availability!G20="EMPTY",M2e_Availability!G20="NO_DAYLIGHT"),"",M2e_Availability!D20)</f>
        <v/>
      </c>
      <c r="F12" s="5">
        <f>IF(OR(M2e_Availability!G20="EMPTY",M2e_Availability!G20="NO_DAYLIGHT"),"",M2e_Availability!D20)</f>
        <v/>
      </c>
      <c r="G12" s="5">
        <f>IF(M2e_Availability!G20="EMPTY",0,M2e_Availability!E20)</f>
        <v/>
      </c>
      <c r="H12" s="5">
        <f>M2e_Availability!C20</f>
        <v/>
      </c>
    </row>
    <row r="13">
      <c r="A13" s="5">
        <f>M2e_Availability!A21</f>
        <v/>
      </c>
      <c r="B13" s="5">
        <f>M2e_Availability!B21</f>
        <v/>
      </c>
      <c r="C13" s="5">
        <f>M2e_Availability!G21</f>
        <v/>
      </c>
      <c r="D13" s="15">
        <f>IF(OR(M2e_Availability!G21="EMPTY",M2e_Availability!G21="NO_DAYLIGHT"),"",M2e_Availability!F21)</f>
        <v/>
      </c>
      <c r="E13" s="5">
        <f>IF(OR(M2e_Availability!G21="EMPTY",M2e_Availability!G21="NO_DAYLIGHT"),"",M2e_Availability!D21)</f>
        <v/>
      </c>
      <c r="F13" s="5">
        <f>IF(OR(M2e_Availability!G21="EMPTY",M2e_Availability!G21="NO_DAYLIGHT"),"",M2e_Availability!D21)</f>
        <v/>
      </c>
      <c r="G13" s="5">
        <f>IF(M2e_Availability!G21="EMPTY",0,M2e_Availability!E21)</f>
        <v/>
      </c>
      <c r="H13" s="5">
        <f>M2e_Availability!C21</f>
        <v/>
      </c>
    </row>
    <row r="14">
      <c r="A14" s="5">
        <f>M2e_Availability!A22</f>
        <v/>
      </c>
      <c r="B14" s="5">
        <f>M2e_Availability!B22</f>
        <v/>
      </c>
      <c r="C14" s="5">
        <f>M2e_Availability!G22</f>
        <v/>
      </c>
      <c r="D14" s="15">
        <f>IF(OR(M2e_Availability!G22="EMPTY",M2e_Availability!G22="NO_DAYLIGHT"),"",M2e_Availability!F22)</f>
        <v/>
      </c>
      <c r="E14" s="5">
        <f>IF(OR(M2e_Availability!G22="EMPTY",M2e_Availability!G22="NO_DAYLIGHT"),"",M2e_Availability!D22)</f>
        <v/>
      </c>
      <c r="F14" s="5">
        <f>IF(OR(M2e_Availability!G22="EMPTY",M2e_Availability!G22="NO_DAYLIGHT"),"",M2e_Availability!D22)</f>
        <v/>
      </c>
      <c r="G14" s="5">
        <f>IF(M2e_Availability!G22="EMPTY",0,M2e_Availability!E22)</f>
        <v/>
      </c>
      <c r="H14" s="5">
        <f>M2e_Availability!C22</f>
        <v/>
      </c>
    </row>
  </sheetData>
  <conditionalFormatting sqref="C5:C14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6">
      <formula>"NO_DAYLIGHT"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0" customWidth="1" min="4" max="4"/>
    <col width="13" customWidth="1" min="5" max="5"/>
    <col width="18" customWidth="1" min="6" max="6"/>
    <col width="12" customWidth="1" min="7" max="7"/>
    <col width="70" customWidth="1" min="8" max="8"/>
  </cols>
  <sheetData>
    <row r="1">
      <c r="A1" s="7" t="inlineStr">
        <is>
          <t>Findings_Summary — agregat semua finding NON-NORMAL &amp; NON-EMPTY</t>
        </is>
      </c>
    </row>
    <row r="2">
      <c r="A2" s="2" t="inlineStr">
        <is>
          <t>Saat ini hanya M2e. Akan tumbuh: M2b, M2a, IsolationForest, dst. Setiap iterasi tambah sheet detector → tambah baris di sini.</t>
        </is>
      </c>
    </row>
    <row r="4">
      <c r="A4" s="10" t="inlineStr">
        <is>
          <t>Source Sheet</t>
        </is>
      </c>
      <c r="B4" s="10" t="inlineStr">
        <is>
          <t>sub_module</t>
        </is>
      </c>
      <c r="C4" s="10" t="inlineStr">
        <is>
          <t>inverter_id</t>
        </is>
      </c>
      <c r="D4" s="10" t="inlineStr">
        <is>
          <t>pv_string</t>
        </is>
      </c>
      <c r="E4" s="10" t="inlineStr">
        <is>
          <t>severity</t>
        </is>
      </c>
      <c r="F4" s="10" t="inlineStr">
        <is>
          <t>value (uptime_pct)</t>
        </is>
      </c>
      <c r="G4" s="10" t="inlineStr">
        <is>
          <t>threshold</t>
        </is>
      </c>
      <c r="H4" s="10" t="inlineStr">
        <is>
          <t>message</t>
        </is>
      </c>
    </row>
    <row r="5">
      <c r="A5" s="5" t="inlineStr">
        <is>
          <t>M2e_Availability!A (inverter)</t>
        </is>
      </c>
      <c r="B5" s="5" t="inlineStr">
        <is>
          <t>M2e_inverter</t>
        </is>
      </c>
      <c r="C5" s="5">
        <f>M2e_Availability!A6</f>
        <v/>
      </c>
      <c r="D5" s="5" t="inlineStr"/>
      <c r="E5" s="5">
        <f>M2e_Availability!G6</f>
        <v/>
      </c>
      <c r="F5" s="15">
        <f>M2e_Availability!E6</f>
        <v/>
      </c>
      <c r="G5" s="5">
        <f>M2e_Availability!H6</f>
        <v/>
      </c>
      <c r="H5" s="5">
        <f>M2e_Availability!I6</f>
        <v/>
      </c>
    </row>
    <row r="6">
      <c r="A6" s="5" t="inlineStr">
        <is>
          <t>M2e_Availability!A (inverter)</t>
        </is>
      </c>
      <c r="B6" s="5" t="inlineStr">
        <is>
          <t>M2e_inverter</t>
        </is>
      </c>
      <c r="C6" s="5">
        <f>M2e_Availability!A7</f>
        <v/>
      </c>
      <c r="D6" s="5" t="inlineStr"/>
      <c r="E6" s="5">
        <f>M2e_Availability!G7</f>
        <v/>
      </c>
      <c r="F6" s="15">
        <f>M2e_Availability!E7</f>
        <v/>
      </c>
      <c r="G6" s="5">
        <f>M2e_Availability!H7</f>
        <v/>
      </c>
      <c r="H6" s="5">
        <f>M2e_Availability!I7</f>
        <v/>
      </c>
    </row>
    <row r="7">
      <c r="A7" s="5" t="inlineStr">
        <is>
          <t>M2e_Availability!B (string proxy)</t>
        </is>
      </c>
      <c r="B7" s="5" t="inlineStr">
        <is>
          <t>M2e_string_proxy</t>
        </is>
      </c>
      <c r="C7" s="5">
        <f>M2e_Availability!A13</f>
        <v/>
      </c>
      <c r="D7" s="5">
        <f>M2e_Availability!B13</f>
        <v/>
      </c>
      <c r="E7" s="5">
        <f>M2e_Availability!G13</f>
        <v/>
      </c>
      <c r="F7" s="15">
        <f>M2e_Availability!F13</f>
        <v/>
      </c>
      <c r="G7" s="5" t="inlineStr">
        <is>
          <t>(see Config)</t>
        </is>
      </c>
      <c r="H7" s="5">
        <f>M2e_Availability!I13</f>
        <v/>
      </c>
    </row>
    <row r="8">
      <c r="A8" s="5" t="inlineStr">
        <is>
          <t>M2e_Availability!B (string proxy)</t>
        </is>
      </c>
      <c r="B8" s="5" t="inlineStr">
        <is>
          <t>M2e_string_proxy</t>
        </is>
      </c>
      <c r="C8" s="5">
        <f>M2e_Availability!A14</f>
        <v/>
      </c>
      <c r="D8" s="5">
        <f>M2e_Availability!B14</f>
        <v/>
      </c>
      <c r="E8" s="5">
        <f>M2e_Availability!G14</f>
        <v/>
      </c>
      <c r="F8" s="15">
        <f>M2e_Availability!F14</f>
        <v/>
      </c>
      <c r="G8" s="5" t="inlineStr">
        <is>
          <t>(see Config)</t>
        </is>
      </c>
      <c r="H8" s="5">
        <f>M2e_Availability!I14</f>
        <v/>
      </c>
    </row>
    <row r="9">
      <c r="A9" s="5" t="inlineStr">
        <is>
          <t>M2e_Availability!B (string proxy)</t>
        </is>
      </c>
      <c r="B9" s="5" t="inlineStr">
        <is>
          <t>M2e_string_proxy</t>
        </is>
      </c>
      <c r="C9" s="5">
        <f>M2e_Availability!A15</f>
        <v/>
      </c>
      <c r="D9" s="5">
        <f>M2e_Availability!B15</f>
        <v/>
      </c>
      <c r="E9" s="5">
        <f>M2e_Availability!G15</f>
        <v/>
      </c>
      <c r="F9" s="15">
        <f>M2e_Availability!F15</f>
        <v/>
      </c>
      <c r="G9" s="5" t="inlineStr">
        <is>
          <t>(see Config)</t>
        </is>
      </c>
      <c r="H9" s="5">
        <f>M2e_Availability!I15</f>
        <v/>
      </c>
    </row>
    <row r="10">
      <c r="A10" s="5" t="inlineStr">
        <is>
          <t>M2e_Availability!B (string proxy)</t>
        </is>
      </c>
      <c r="B10" s="5" t="inlineStr">
        <is>
          <t>M2e_string_proxy</t>
        </is>
      </c>
      <c r="C10" s="5">
        <f>M2e_Availability!A16</f>
        <v/>
      </c>
      <c r="D10" s="5">
        <f>M2e_Availability!B16</f>
        <v/>
      </c>
      <c r="E10" s="5">
        <f>M2e_Availability!G16</f>
        <v/>
      </c>
      <c r="F10" s="15">
        <f>M2e_Availability!F16</f>
        <v/>
      </c>
      <c r="G10" s="5" t="inlineStr">
        <is>
          <t>(see Config)</t>
        </is>
      </c>
      <c r="H10" s="5">
        <f>M2e_Availability!I16</f>
        <v/>
      </c>
    </row>
    <row r="11">
      <c r="A11" s="5" t="inlineStr">
        <is>
          <t>M2e_Availability!B (string proxy)</t>
        </is>
      </c>
      <c r="B11" s="5" t="inlineStr">
        <is>
          <t>M2e_string_proxy</t>
        </is>
      </c>
      <c r="C11" s="5">
        <f>M2e_Availability!A17</f>
        <v/>
      </c>
      <c r="D11" s="5">
        <f>M2e_Availability!B17</f>
        <v/>
      </c>
      <c r="E11" s="5">
        <f>M2e_Availability!G17</f>
        <v/>
      </c>
      <c r="F11" s="15">
        <f>M2e_Availability!F17</f>
        <v/>
      </c>
      <c r="G11" s="5" t="inlineStr">
        <is>
          <t>(see Config)</t>
        </is>
      </c>
      <c r="H11" s="5">
        <f>M2e_Availability!I17</f>
        <v/>
      </c>
    </row>
    <row r="12">
      <c r="A12" s="5" t="inlineStr">
        <is>
          <t>M2e_Availability!B (string proxy)</t>
        </is>
      </c>
      <c r="B12" s="5" t="inlineStr">
        <is>
          <t>M2e_string_proxy</t>
        </is>
      </c>
      <c r="C12" s="5">
        <f>M2e_Availability!A18</f>
        <v/>
      </c>
      <c r="D12" s="5">
        <f>M2e_Availability!B18</f>
        <v/>
      </c>
      <c r="E12" s="5">
        <f>M2e_Availability!G18</f>
        <v/>
      </c>
      <c r="F12" s="15">
        <f>M2e_Availability!F18</f>
        <v/>
      </c>
      <c r="G12" s="5" t="inlineStr">
        <is>
          <t>(see Config)</t>
        </is>
      </c>
      <c r="H12" s="5">
        <f>M2e_Availability!I18</f>
        <v/>
      </c>
    </row>
    <row r="13">
      <c r="A13" s="5" t="inlineStr">
        <is>
          <t>M2e_Availability!B (string proxy)</t>
        </is>
      </c>
      <c r="B13" s="5" t="inlineStr">
        <is>
          <t>M2e_string_proxy</t>
        </is>
      </c>
      <c r="C13" s="5">
        <f>M2e_Availability!A19</f>
        <v/>
      </c>
      <c r="D13" s="5">
        <f>M2e_Availability!B19</f>
        <v/>
      </c>
      <c r="E13" s="5">
        <f>M2e_Availability!G19</f>
        <v/>
      </c>
      <c r="F13" s="15">
        <f>M2e_Availability!F19</f>
        <v/>
      </c>
      <c r="G13" s="5" t="inlineStr">
        <is>
          <t>(see Config)</t>
        </is>
      </c>
      <c r="H13" s="5">
        <f>M2e_Availability!I19</f>
        <v/>
      </c>
    </row>
    <row r="14">
      <c r="A14" s="5" t="inlineStr">
        <is>
          <t>M2e_Availability!B (string proxy)</t>
        </is>
      </c>
      <c r="B14" s="5" t="inlineStr">
        <is>
          <t>M2e_string_proxy</t>
        </is>
      </c>
      <c r="C14" s="5">
        <f>M2e_Availability!A20</f>
        <v/>
      </c>
      <c r="D14" s="5">
        <f>M2e_Availability!B20</f>
        <v/>
      </c>
      <c r="E14" s="5">
        <f>M2e_Availability!G20</f>
        <v/>
      </c>
      <c r="F14" s="15">
        <f>M2e_Availability!F20</f>
        <v/>
      </c>
      <c r="G14" s="5" t="inlineStr">
        <is>
          <t>(see Config)</t>
        </is>
      </c>
      <c r="H14" s="5">
        <f>M2e_Availability!I20</f>
        <v/>
      </c>
    </row>
    <row r="15">
      <c r="A15" s="5" t="inlineStr">
        <is>
          <t>M2e_Availability!B (string proxy)</t>
        </is>
      </c>
      <c r="B15" s="5" t="inlineStr">
        <is>
          <t>M2e_string_proxy</t>
        </is>
      </c>
      <c r="C15" s="5">
        <f>M2e_Availability!A21</f>
        <v/>
      </c>
      <c r="D15" s="5">
        <f>M2e_Availability!B21</f>
        <v/>
      </c>
      <c r="E15" s="5">
        <f>M2e_Availability!G21</f>
        <v/>
      </c>
      <c r="F15" s="15">
        <f>M2e_Availability!F21</f>
        <v/>
      </c>
      <c r="G15" s="5" t="inlineStr">
        <is>
          <t>(see Config)</t>
        </is>
      </c>
      <c r="H15" s="5">
        <f>M2e_Availability!I21</f>
        <v/>
      </c>
    </row>
    <row r="16">
      <c r="A16" s="5" t="inlineStr">
        <is>
          <t>M2e_Availability!B (string proxy)</t>
        </is>
      </c>
      <c r="B16" s="5" t="inlineStr">
        <is>
          <t>M2e_string_proxy</t>
        </is>
      </c>
      <c r="C16" s="5">
        <f>M2e_Availability!A22</f>
        <v/>
      </c>
      <c r="D16" s="5">
        <f>M2e_Availability!B22</f>
        <v/>
      </c>
      <c r="E16" s="5">
        <f>M2e_Availability!G22</f>
        <v/>
      </c>
      <c r="F16" s="15">
        <f>M2e_Availability!F22</f>
        <v/>
      </c>
      <c r="G16" s="5" t="inlineStr">
        <is>
          <t>(see Config)</t>
        </is>
      </c>
      <c r="H16" s="5">
        <f>M2e_Availability!I22</f>
        <v/>
      </c>
    </row>
    <row r="17">
      <c r="A17" s="14" t="inlineStr">
        <is>
          <t>--- M2b PeerZScore ---</t>
        </is>
      </c>
    </row>
    <row r="18">
      <c r="A18" s="5" t="inlineStr">
        <is>
          <t>M2b_PeerZScore!C</t>
        </is>
      </c>
      <c r="B18" s="5" t="inlineStr">
        <is>
          <t>M2b_peer_zscore</t>
        </is>
      </c>
      <c r="C18" s="5" t="inlineStr">
        <is>
          <t>WB05-INV05</t>
        </is>
      </c>
      <c r="D18" s="5" t="inlineStr">
        <is>
          <t>PV1</t>
        </is>
      </c>
      <c r="E18" s="5">
        <f>M2b_PeerZScore!I22</f>
        <v/>
      </c>
      <c r="F18" s="15">
        <f>M2b_PeerZScore!D22</f>
        <v/>
      </c>
      <c r="G18" s="5">
        <f>cfg_z_threshold</f>
        <v/>
      </c>
      <c r="H18" s="5">
        <f>M2b_PeerZScore!K22</f>
        <v/>
      </c>
    </row>
    <row r="19">
      <c r="A19" s="5" t="inlineStr">
        <is>
          <t>M2b_PeerZScore!C</t>
        </is>
      </c>
      <c r="B19" s="5" t="inlineStr">
        <is>
          <t>M2b_peer_zscore</t>
        </is>
      </c>
      <c r="C19" s="5" t="inlineStr">
        <is>
          <t>WB05-INV05</t>
        </is>
      </c>
      <c r="D19" s="5" t="inlineStr">
        <is>
          <t>PV2</t>
        </is>
      </c>
      <c r="E19" s="5">
        <f>M2b_PeerZScore!I23</f>
        <v/>
      </c>
      <c r="F19" s="15">
        <f>M2b_PeerZScore!D23</f>
        <v/>
      </c>
      <c r="G19" s="5">
        <f>cfg_z_threshold</f>
        <v/>
      </c>
      <c r="H19" s="5">
        <f>M2b_PeerZScore!K23</f>
        <v/>
      </c>
    </row>
    <row r="20">
      <c r="A20" s="5" t="inlineStr">
        <is>
          <t>M2b_PeerZScore!C</t>
        </is>
      </c>
      <c r="B20" s="5" t="inlineStr">
        <is>
          <t>M2b_peer_zscore</t>
        </is>
      </c>
      <c r="C20" s="5" t="inlineStr">
        <is>
          <t>WB05-INV05</t>
        </is>
      </c>
      <c r="D20" s="5" t="inlineStr">
        <is>
          <t>PV3</t>
        </is>
      </c>
      <c r="E20" s="5">
        <f>M2b_PeerZScore!I24</f>
        <v/>
      </c>
      <c r="F20" s="15">
        <f>M2b_PeerZScore!D24</f>
        <v/>
      </c>
      <c r="G20" s="5">
        <f>cfg_z_threshold</f>
        <v/>
      </c>
      <c r="H20" s="5">
        <f>M2b_PeerZScore!K24</f>
        <v/>
      </c>
    </row>
    <row r="21">
      <c r="A21" s="5" t="inlineStr">
        <is>
          <t>M2b_PeerZScore!C</t>
        </is>
      </c>
      <c r="B21" s="5" t="inlineStr">
        <is>
          <t>M2b_peer_zscore</t>
        </is>
      </c>
      <c r="C21" s="5" t="inlineStr">
        <is>
          <t>WB05-INV05</t>
        </is>
      </c>
      <c r="D21" s="5" t="inlineStr">
        <is>
          <t>PV4</t>
        </is>
      </c>
      <c r="E21" s="5">
        <f>M2b_PeerZScore!I25</f>
        <v/>
      </c>
      <c r="F21" s="15">
        <f>M2b_PeerZScore!D25</f>
        <v/>
      </c>
      <c r="G21" s="5">
        <f>cfg_z_threshold</f>
        <v/>
      </c>
      <c r="H21" s="5">
        <f>M2b_PeerZScore!K25</f>
        <v/>
      </c>
    </row>
    <row r="22">
      <c r="A22" s="5" t="inlineStr">
        <is>
          <t>M2b_PeerZScore!C</t>
        </is>
      </c>
      <c r="B22" s="5" t="inlineStr">
        <is>
          <t>M2b_peer_zscore</t>
        </is>
      </c>
      <c r="C22" s="5" t="inlineStr">
        <is>
          <t>WB05-INV05</t>
        </is>
      </c>
      <c r="D22" s="5" t="inlineStr">
        <is>
          <t>PV5</t>
        </is>
      </c>
      <c r="E22" s="5" t="inlineStr">
        <is>
          <t>EMPTY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</row>
  </sheetData>
  <autoFilter ref="A4:H22"/>
  <conditionalFormatting sqref="E5:E1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6">
      <formula>"NO_DAYLIGHT"</formula>
    </cfRule>
  </conditionalFormatting>
  <conditionalFormatting sqref="E5:E22">
    <cfRule type="cellIs" priority="8" operator="equal" dxfId="0">
      <formula>"CRITICAL"</formula>
    </cfRule>
    <cfRule type="cellIs" priority="9" operator="equal" dxfId="1">
      <formula>"HIGH"</formula>
    </cfRule>
    <cfRule type="cellIs" priority="10" operator="equal" dxfId="2">
      <formula>"MEDIUM"</formula>
    </cfRule>
    <cfRule type="cellIs" priority="11" operator="equal" dxfId="3">
      <formula>"INFO"</formula>
    </cfRule>
    <cfRule type="cellIs" priority="12" operator="equal" dxfId="4">
      <formula>"NORMAL"</formula>
    </cfRule>
    <cfRule type="cellIs" priority="13" operator="equal" dxfId="5">
      <formula>"EMPTY"</formula>
    </cfRule>
    <cfRule type="cellIs" priority="14" operator="equal" dxfId="0">
      <formula>"high_R"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60" customWidth="1" min="4" max="4"/>
  </cols>
  <sheetData>
    <row r="1">
      <c r="A1" s="7" t="inlineStr">
        <is>
          <t>PanelSpec — Jinko JKM625N 78HL4-BDV (mirror config/panel_spec.yaml)</t>
        </is>
      </c>
    </row>
    <row r="2">
      <c r="A2" s="2" t="inlineStr">
        <is>
          <t>Konsumen: PanelSpec.voc_at_cell_temp + voc_string_nominal di peer_zscore.py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Notes</t>
        </is>
      </c>
    </row>
    <row r="5">
      <c r="A5" s="5" t="inlineStr">
        <is>
          <t>panel_model</t>
        </is>
      </c>
      <c r="B5" s="9" t="inlineStr">
        <is>
          <t>Jinko JKM625N 78HL4-BDV</t>
        </is>
      </c>
      <c r="C5" s="5" t="inlineStr"/>
      <c r="D5" s="5" t="inlineStr">
        <is>
          <t>Bifacial Tiger Neo dual-glass</t>
        </is>
      </c>
    </row>
    <row r="6">
      <c r="A6" s="5" t="inlineStr">
        <is>
          <t>voc_stc_v</t>
        </is>
      </c>
      <c r="B6" s="9" t="n">
        <v>55.72</v>
      </c>
      <c r="C6" s="5" t="inlineStr">
        <is>
          <t>V</t>
        </is>
      </c>
      <c r="D6" s="5" t="inlineStr">
        <is>
          <t>Open-circuit voltage @ STC (1000 W/m², 25°C cell)</t>
        </is>
      </c>
    </row>
    <row r="7">
      <c r="A7" s="5" t="inlineStr">
        <is>
          <t>vmp_stc_v</t>
        </is>
      </c>
      <c r="B7" s="9" t="n">
        <v>46.1</v>
      </c>
      <c r="C7" s="5" t="inlineStr">
        <is>
          <t>V</t>
        </is>
      </c>
      <c r="D7" s="5" t="inlineStr">
        <is>
          <t>Max-power voltage @ STC</t>
        </is>
      </c>
    </row>
    <row r="8">
      <c r="A8" s="5" t="inlineStr">
        <is>
          <t>imp_stc_a</t>
        </is>
      </c>
      <c r="B8" s="9" t="n">
        <v>13.56</v>
      </c>
      <c r="C8" s="5" t="inlineStr">
        <is>
          <t>A</t>
        </is>
      </c>
      <c r="D8" s="5" t="inlineStr">
        <is>
          <t>Max-power current @ STC</t>
        </is>
      </c>
    </row>
    <row r="9">
      <c r="A9" s="5" t="inlineStr">
        <is>
          <t>isc_stc_a</t>
        </is>
      </c>
      <c r="B9" s="9" t="n">
        <v>14.27</v>
      </c>
      <c r="C9" s="5" t="inlineStr">
        <is>
          <t>A</t>
        </is>
      </c>
      <c r="D9" s="5" t="inlineStr">
        <is>
          <t>Short-circuit current @ STC</t>
        </is>
      </c>
    </row>
    <row r="10">
      <c r="A10" s="5" t="inlineStr">
        <is>
          <t>pmax_stc_w</t>
        </is>
      </c>
      <c r="B10" s="9" t="n">
        <v>625</v>
      </c>
      <c r="C10" s="5" t="inlineStr">
        <is>
          <t>W</t>
        </is>
      </c>
      <c r="D10" s="5" t="inlineStr">
        <is>
          <t>Max power @ STC</t>
        </is>
      </c>
    </row>
    <row r="11">
      <c r="A11" s="5" t="inlineStr">
        <is>
          <t>voc_noct_v</t>
        </is>
      </c>
      <c r="B11" s="9" t="n">
        <v>52.93</v>
      </c>
      <c r="C11" s="5" t="inlineStr">
        <is>
          <t>V</t>
        </is>
      </c>
      <c r="D11" s="5" t="inlineStr">
        <is>
          <t>Voc @ NOCT (800 W/m², 20°C ambient)</t>
        </is>
      </c>
    </row>
    <row r="12">
      <c r="A12" s="5" t="inlineStr">
        <is>
          <t>temp_coef_voc_pct_per_c</t>
        </is>
      </c>
      <c r="B12" s="9" t="n">
        <v>-0.25</v>
      </c>
      <c r="C12" s="5" t="inlineStr">
        <is>
          <t>%/°C</t>
        </is>
      </c>
      <c r="D12" s="5" t="inlineStr">
        <is>
          <t>Voc decreases when Tcell rises</t>
        </is>
      </c>
    </row>
    <row r="13">
      <c r="A13" s="5" t="inlineStr">
        <is>
          <t>temp_coef_pmax_pct_per_c</t>
        </is>
      </c>
      <c r="B13" s="9" t="n">
        <v>-0.29</v>
      </c>
      <c r="C13" s="5" t="inlineStr">
        <is>
          <t>%/°C</t>
        </is>
      </c>
      <c r="D13" s="5" t="inlineStr">
        <is>
          <t>Pmax temperature coefficient</t>
        </is>
      </c>
    </row>
    <row r="14">
      <c r="A14" s="5" t="inlineStr">
        <is>
          <t>temp_coef_isc_pct_per_c</t>
        </is>
      </c>
      <c r="B14" s="9" t="n">
        <v>0.045</v>
      </c>
      <c r="C14" s="5" t="inlineStr">
        <is>
          <t>%/°C</t>
        </is>
      </c>
      <c r="D14" s="5" t="inlineStr">
        <is>
          <t>Isc temperature coefficient (small +)</t>
        </is>
      </c>
    </row>
    <row r="15">
      <c r="A15" s="5" t="inlineStr">
        <is>
          <t>t_stc_c</t>
        </is>
      </c>
      <c r="B15" s="9" t="n">
        <v>25</v>
      </c>
      <c r="C15" s="5" t="inlineStr">
        <is>
          <t>°C</t>
        </is>
      </c>
      <c r="D15" s="5" t="inlineStr">
        <is>
          <t>STC reference temperature</t>
        </is>
      </c>
    </row>
    <row r="16">
      <c r="A16" s="5" t="inlineStr">
        <is>
          <t>max_system_voltage_v</t>
        </is>
      </c>
      <c r="B16" s="9" t="n">
        <v>1500</v>
      </c>
      <c r="C16" s="5" t="inlineStr">
        <is>
          <t>V</t>
        </is>
      </c>
      <c r="D16" s="5" t="inlineStr">
        <is>
          <t>IEC limit</t>
        </is>
      </c>
    </row>
    <row r="17">
      <c r="A17" s="5" t="inlineStr">
        <is>
          <t>default_modules_per_string</t>
        </is>
      </c>
      <c r="B17" s="9" t="n">
        <v>26</v>
      </c>
      <c r="C17" s="5" t="inlineStr">
        <is>
          <t>modules</t>
        </is>
      </c>
      <c r="D17" s="5" t="inlineStr">
        <is>
          <t>Fallback (WB03-10)</t>
        </is>
      </c>
    </row>
    <row r="18">
      <c r="A18" s="5" t="inlineStr">
        <is>
          <t>modules_per_string_WB01</t>
        </is>
      </c>
      <c r="B18" s="9" t="n">
        <v>24</v>
      </c>
      <c r="C18" s="5" t="inlineStr">
        <is>
          <t>modules</t>
        </is>
      </c>
      <c r="D18" s="5" t="inlineStr">
        <is>
          <t>PLTS-IKN WB01 layout</t>
        </is>
      </c>
    </row>
    <row r="19">
      <c r="A19" s="5" t="inlineStr">
        <is>
          <t>modules_per_string_WB02</t>
        </is>
      </c>
      <c r="B19" s="9" t="n">
        <v>24</v>
      </c>
      <c r="C19" s="5" t="inlineStr">
        <is>
          <t>modules</t>
        </is>
      </c>
      <c r="D19" s="5" t="inlineStr">
        <is>
          <t>PLTS-IKN WB02 layout</t>
        </is>
      </c>
    </row>
    <row r="20">
      <c r="A20" s="5" t="inlineStr">
        <is>
          <t>modules_per_string_WB03_10</t>
        </is>
      </c>
      <c r="B20" s="9" t="n">
        <v>26</v>
      </c>
      <c r="C20" s="5" t="inlineStr">
        <is>
          <t>modules</t>
        </is>
      </c>
      <c r="D20" s="5" t="inlineStr">
        <is>
          <t>PLTS-IKN WB03-10 layout</t>
        </is>
      </c>
    </row>
    <row r="22">
      <c r="A22" s="14" t="inlineStr">
        <is>
          <t>voc_at_cell_temp(T_cell) — Excel formula</t>
        </is>
      </c>
    </row>
    <row r="23">
      <c r="A23" t="inlineStr">
        <is>
          <t>Input: cell_temp_c →</t>
        </is>
      </c>
      <c r="B23" s="19" t="n">
        <v>30</v>
      </c>
      <c r="C23" t="inlineStr">
        <is>
          <t>°C (edit untuk recalc)</t>
        </is>
      </c>
    </row>
    <row r="24">
      <c r="A24" t="inlineStr">
        <is>
          <t>voc_per_module = voc_stc × (1 + temp_coef_voc/100 × (T - 25))</t>
        </is>
      </c>
      <c r="B24" s="20">
        <f>panel_voc_stc_v*(1+panel_temp_coef_voc_pct_per_c/100*(B23-panel_t_stc_c))</f>
        <v/>
      </c>
      <c r="C24" t="inlineStr">
        <is>
          <t>V per modul</t>
        </is>
      </c>
    </row>
    <row r="25">
      <c r="A25" t="inlineStr">
        <is>
          <t>voc_string_WB01_WB02 (24 modules)</t>
        </is>
      </c>
      <c r="B25" s="20">
        <f>B24*panel_modules_per_string_WB01</f>
        <v/>
      </c>
      <c r="C25" t="inlineStr">
        <is>
          <t>V per string (cold Voc skenario)</t>
        </is>
      </c>
    </row>
    <row r="26">
      <c r="A26" t="inlineStr">
        <is>
          <t>voc_string_WB03_WB10 (26 modules)</t>
        </is>
      </c>
      <c r="B26" s="20">
        <f>B24*panel_default_modules_per_string</f>
        <v/>
      </c>
      <c r="C26" t="inlineStr">
        <is>
          <t>V per string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7" t="inlineStr">
        <is>
          <t>Raw_Data_M2b — extended dummy data (WB05-INV05, 24 timestep)</t>
        </is>
      </c>
    </row>
    <row r="2">
      <c r="A2" s="2" t="inlineStr">
        <is>
          <t>Skenario: 06:00-06:55 sunrise (I≈0, V≈Voc), 12:00-13:55 noon (full sun). PV3 punya HIGH-R fault (I drop 60%, V naik sedikit) → expected flag.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Inverter status</t>
        </is>
      </c>
      <c r="D4" s="10" t="inlineStr">
        <is>
          <t>PV1 input voltage(V)</t>
        </is>
      </c>
      <c r="E4" s="10" t="inlineStr">
        <is>
          <t>PV1 input current(A)</t>
        </is>
      </c>
      <c r="F4" s="10" t="inlineStr">
        <is>
          <t>PV2 input voltage(V)</t>
        </is>
      </c>
      <c r="G4" s="10" t="inlineStr">
        <is>
          <t>PV2 input current(A)</t>
        </is>
      </c>
      <c r="H4" s="10" t="inlineStr">
        <is>
          <t>PV3 input voltage(V)</t>
        </is>
      </c>
      <c r="I4" s="10" t="inlineStr">
        <is>
          <t>PV3 input current(A)</t>
        </is>
      </c>
      <c r="J4" s="10" t="inlineStr">
        <is>
          <t>PV4 input voltage(V)</t>
        </is>
      </c>
      <c r="K4" s="10" t="inlineStr">
        <is>
          <t>PV4 input current(A)</t>
        </is>
      </c>
      <c r="L4" s="10" t="inlineStr">
        <is>
          <t>PV5 input voltage(V)</t>
        </is>
      </c>
      <c r="M4" s="10" t="inlineStr">
        <is>
          <t>PV5 input current(A)</t>
        </is>
      </c>
    </row>
    <row r="5">
      <c r="A5" s="5" t="inlineStr">
        <is>
          <t>WB05-INV05</t>
        </is>
      </c>
      <c r="B5" s="16" t="n">
        <v>46156.25</v>
      </c>
      <c r="C5" s="5" t="inlineStr">
        <is>
          <t>Grid connected</t>
        </is>
      </c>
      <c r="D5" s="5" t="n">
        <v>1467.49</v>
      </c>
      <c r="E5" s="5" t="n">
        <v>-0.023</v>
      </c>
      <c r="F5" s="5" t="n">
        <v>1469.34</v>
      </c>
      <c r="G5" s="5" t="n">
        <v>0.023</v>
      </c>
      <c r="H5" s="5" t="n">
        <v>1469.96</v>
      </c>
      <c r="I5" s="5" t="n">
        <v>-0.036</v>
      </c>
      <c r="J5" s="5" t="n">
        <v>1468.08</v>
      </c>
      <c r="K5" s="5" t="n">
        <v>-0.042</v>
      </c>
      <c r="L5" s="5" t="n">
        <v>0</v>
      </c>
      <c r="M5" s="5" t="n">
        <v>0</v>
      </c>
    </row>
    <row r="6">
      <c r="A6" s="5" t="inlineStr">
        <is>
          <t>WB05-INV05</t>
        </is>
      </c>
      <c r="B6" s="16" t="n">
        <v>46156.25347222222</v>
      </c>
      <c r="C6" s="5" t="inlineStr">
        <is>
          <t>Grid connected</t>
        </is>
      </c>
      <c r="D6" s="5" t="n">
        <v>1462.29</v>
      </c>
      <c r="E6" s="5" t="n">
        <v>0.07099999999999999</v>
      </c>
      <c r="F6" s="5" t="n">
        <v>1464.79</v>
      </c>
      <c r="G6" s="5" t="n">
        <v>0.106</v>
      </c>
      <c r="H6" s="5" t="n">
        <v>1463.07</v>
      </c>
      <c r="I6" s="5" t="n">
        <v>0.11</v>
      </c>
      <c r="J6" s="5" t="n">
        <v>1465.42</v>
      </c>
      <c r="K6" s="5" t="n">
        <v>0.052</v>
      </c>
      <c r="L6" s="5" t="n">
        <v>0</v>
      </c>
      <c r="M6" s="5" t="n">
        <v>0</v>
      </c>
    </row>
    <row r="7">
      <c r="A7" s="5" t="inlineStr">
        <is>
          <t>WB05-INV05</t>
        </is>
      </c>
      <c r="B7" s="16" t="n">
        <v>46156.25694444445</v>
      </c>
      <c r="C7" s="5" t="inlineStr">
        <is>
          <t>Grid connected</t>
        </is>
      </c>
      <c r="D7" s="5" t="n">
        <v>1469.42</v>
      </c>
      <c r="E7" s="5" t="n">
        <v>0.105</v>
      </c>
      <c r="F7" s="5" t="n">
        <v>1471.89</v>
      </c>
      <c r="G7" s="5" t="n">
        <v>0.123</v>
      </c>
      <c r="H7" s="5" t="n">
        <v>1468.43</v>
      </c>
      <c r="I7" s="5" t="n">
        <v>0.099</v>
      </c>
      <c r="J7" s="5" t="n">
        <v>1471.45</v>
      </c>
      <c r="K7" s="5" t="n">
        <v>0.15</v>
      </c>
      <c r="L7" s="5" t="n">
        <v>0</v>
      </c>
      <c r="M7" s="5" t="n">
        <v>0</v>
      </c>
    </row>
    <row r="8">
      <c r="A8" s="5" t="inlineStr">
        <is>
          <t>WB05-INV05</t>
        </is>
      </c>
      <c r="B8" s="16" t="n">
        <v>46156.26041666666</v>
      </c>
      <c r="C8" s="5" t="inlineStr">
        <is>
          <t>Grid connected</t>
        </is>
      </c>
      <c r="D8" s="5" t="n">
        <v>1470.22</v>
      </c>
      <c r="E8" s="5" t="n">
        <v>0.193</v>
      </c>
      <c r="F8" s="5" t="n">
        <v>1469.59</v>
      </c>
      <c r="G8" s="5" t="n">
        <v>0.151</v>
      </c>
      <c r="H8" s="5" t="n">
        <v>1471.39</v>
      </c>
      <c r="I8" s="5" t="n">
        <v>0.158</v>
      </c>
      <c r="J8" s="5" t="n">
        <v>1471.52</v>
      </c>
      <c r="K8" s="5" t="n">
        <v>0.154</v>
      </c>
      <c r="L8" s="5" t="n">
        <v>0</v>
      </c>
      <c r="M8" s="5" t="n">
        <v>0</v>
      </c>
    </row>
    <row r="9">
      <c r="A9" s="5" t="inlineStr">
        <is>
          <t>WB05-INV05</t>
        </is>
      </c>
      <c r="B9" s="16" t="n">
        <v>46156.26388888889</v>
      </c>
      <c r="C9" s="5" t="inlineStr">
        <is>
          <t>Grid connected</t>
        </is>
      </c>
      <c r="D9" s="5" t="n">
        <v>1467.96</v>
      </c>
      <c r="E9" s="5" t="n">
        <v>-0.012</v>
      </c>
      <c r="F9" s="5" t="n">
        <v>1467.36</v>
      </c>
      <c r="G9" s="5" t="n">
        <v>-0.018</v>
      </c>
      <c r="H9" s="5" t="n">
        <v>1467.45</v>
      </c>
      <c r="I9" s="5" t="n">
        <v>-0.013</v>
      </c>
      <c r="J9" s="5" t="n">
        <v>1469.59</v>
      </c>
      <c r="K9" s="5" t="n">
        <v>-0.004</v>
      </c>
      <c r="L9" s="5" t="n">
        <v>0</v>
      </c>
      <c r="M9" s="5" t="n">
        <v>0</v>
      </c>
    </row>
    <row r="10">
      <c r="A10" s="5" t="inlineStr">
        <is>
          <t>WB05-INV05</t>
        </is>
      </c>
      <c r="B10" s="16" t="n">
        <v>46156.26736111111</v>
      </c>
      <c r="C10" s="5" t="inlineStr">
        <is>
          <t>Grid connected</t>
        </is>
      </c>
      <c r="D10" s="5" t="n">
        <v>1464.77</v>
      </c>
      <c r="E10" s="5" t="n">
        <v>0.08599999999999999</v>
      </c>
      <c r="F10" s="5" t="n">
        <v>1466.29</v>
      </c>
      <c r="G10" s="5" t="n">
        <v>0.053</v>
      </c>
      <c r="H10" s="5" t="n">
        <v>1464.39</v>
      </c>
      <c r="I10" s="5" t="n">
        <v>0.065</v>
      </c>
      <c r="J10" s="5" t="n">
        <v>1464.36</v>
      </c>
      <c r="K10" s="5" t="n">
        <v>0.03</v>
      </c>
      <c r="L10" s="5" t="n">
        <v>0</v>
      </c>
      <c r="M10" s="5" t="n">
        <v>0</v>
      </c>
    </row>
    <row r="11">
      <c r="A11" s="5" t="inlineStr">
        <is>
          <t>WB05-INV05</t>
        </is>
      </c>
      <c r="B11" s="16" t="n">
        <v>46156.27083333334</v>
      </c>
      <c r="C11" s="5" t="inlineStr">
        <is>
          <t>Grid connected</t>
        </is>
      </c>
      <c r="D11" s="5" t="n">
        <v>1472.12</v>
      </c>
      <c r="E11" s="5" t="n">
        <v>0.146</v>
      </c>
      <c r="F11" s="5" t="n">
        <v>1473.27</v>
      </c>
      <c r="G11" s="5" t="n">
        <v>0.156</v>
      </c>
      <c r="H11" s="5" t="n">
        <v>1470.81</v>
      </c>
      <c r="I11" s="5" t="n">
        <v>0.081</v>
      </c>
      <c r="J11" s="5" t="n">
        <v>1471.16</v>
      </c>
      <c r="K11" s="5" t="n">
        <v>0.105</v>
      </c>
      <c r="L11" s="5" t="n">
        <v>0</v>
      </c>
      <c r="M11" s="5" t="n">
        <v>0</v>
      </c>
    </row>
    <row r="12">
      <c r="A12" s="5" t="inlineStr">
        <is>
          <t>WB05-INV05</t>
        </is>
      </c>
      <c r="B12" s="16" t="n">
        <v>46156.27430555555</v>
      </c>
      <c r="C12" s="5" t="inlineStr">
        <is>
          <t>Grid connected</t>
        </is>
      </c>
      <c r="D12" s="5" t="n">
        <v>1465.62</v>
      </c>
      <c r="E12" s="5" t="n">
        <v>0.17</v>
      </c>
      <c r="F12" s="5" t="n">
        <v>1464.73</v>
      </c>
      <c r="G12" s="5" t="n">
        <v>0.178</v>
      </c>
      <c r="H12" s="5" t="n">
        <v>1465.77</v>
      </c>
      <c r="I12" s="5" t="n">
        <v>0.184</v>
      </c>
      <c r="J12" s="5" t="n">
        <v>1463.17</v>
      </c>
      <c r="K12" s="5" t="n">
        <v>0.163</v>
      </c>
      <c r="L12" s="5" t="n">
        <v>0</v>
      </c>
      <c r="M12" s="5" t="n">
        <v>0</v>
      </c>
    </row>
    <row r="13">
      <c r="A13" s="5" t="inlineStr">
        <is>
          <t>WB05-INV05</t>
        </is>
      </c>
      <c r="B13" s="16" t="n">
        <v>46156.27777777778</v>
      </c>
      <c r="C13" s="5" t="inlineStr">
        <is>
          <t>Grid connected</t>
        </is>
      </c>
      <c r="D13" s="5" t="n">
        <v>1467.95</v>
      </c>
      <c r="E13" s="5" t="n">
        <v>0.092</v>
      </c>
      <c r="F13" s="5" t="n">
        <v>1467.21</v>
      </c>
      <c r="G13" s="5" t="n">
        <v>0.024</v>
      </c>
      <c r="H13" s="5" t="n">
        <v>1469.6</v>
      </c>
      <c r="I13" s="5" t="n">
        <v>0.054</v>
      </c>
      <c r="J13" s="5" t="n">
        <v>1465.98</v>
      </c>
      <c r="K13" s="5" t="n">
        <v>0.007</v>
      </c>
      <c r="L13" s="5" t="n">
        <v>0</v>
      </c>
      <c r="M13" s="5" t="n">
        <v>0</v>
      </c>
    </row>
    <row r="14">
      <c r="A14" s="5" t="inlineStr">
        <is>
          <t>WB05-INV05</t>
        </is>
      </c>
      <c r="B14" s="16" t="n">
        <v>46156.28125</v>
      </c>
      <c r="C14" s="5" t="inlineStr">
        <is>
          <t>Grid connected</t>
        </is>
      </c>
      <c r="D14" s="5" t="n">
        <v>1464.26</v>
      </c>
      <c r="E14" s="5" t="n">
        <v>0.118</v>
      </c>
      <c r="F14" s="5" t="n">
        <v>1461.35</v>
      </c>
      <c r="G14" s="5" t="n">
        <v>0.114</v>
      </c>
      <c r="H14" s="5" t="n">
        <v>1465.08</v>
      </c>
      <c r="I14" s="5" t="n">
        <v>0.128</v>
      </c>
      <c r="J14" s="5" t="n">
        <v>1464.98</v>
      </c>
      <c r="K14" s="5" t="n">
        <v>0.162</v>
      </c>
      <c r="L14" s="5" t="n">
        <v>0</v>
      </c>
      <c r="M14" s="5" t="n">
        <v>0</v>
      </c>
    </row>
    <row r="15">
      <c r="A15" s="5" t="inlineStr">
        <is>
          <t>WB05-INV05</t>
        </is>
      </c>
      <c r="B15" s="16" t="n">
        <v>46156.28472222222</v>
      </c>
      <c r="C15" s="5" t="inlineStr">
        <is>
          <t>Grid connected</t>
        </is>
      </c>
      <c r="D15" s="5" t="n">
        <v>1462.84</v>
      </c>
      <c r="E15" s="5" t="n">
        <v>0.148</v>
      </c>
      <c r="F15" s="5" t="n">
        <v>1461.18</v>
      </c>
      <c r="G15" s="5" t="n">
        <v>0.158</v>
      </c>
      <c r="H15" s="5" t="n">
        <v>1460.56</v>
      </c>
      <c r="I15" s="5" t="n">
        <v>0.138</v>
      </c>
      <c r="J15" s="5" t="n">
        <v>1461.93</v>
      </c>
      <c r="K15" s="5" t="n">
        <v>0.19</v>
      </c>
      <c r="L15" s="5" t="n">
        <v>0</v>
      </c>
      <c r="M15" s="5" t="n">
        <v>0</v>
      </c>
    </row>
    <row r="16">
      <c r="A16" s="5" t="inlineStr">
        <is>
          <t>WB05-INV05</t>
        </is>
      </c>
      <c r="B16" s="16" t="n">
        <v>46156.28819444445</v>
      </c>
      <c r="C16" s="5" t="inlineStr">
        <is>
          <t>Grid connected</t>
        </is>
      </c>
      <c r="D16" s="5" t="n">
        <v>1470.76</v>
      </c>
      <c r="E16" s="5" t="n">
        <v>0.021</v>
      </c>
      <c r="F16" s="5" t="n">
        <v>1472.41</v>
      </c>
      <c r="G16" s="5" t="n">
        <v>0.09</v>
      </c>
      <c r="H16" s="5" t="n">
        <v>1469.95</v>
      </c>
      <c r="I16" s="5" t="n">
        <v>0.067</v>
      </c>
      <c r="J16" s="5" t="n">
        <v>1471.19</v>
      </c>
      <c r="K16" s="5" t="n">
        <v>0.018</v>
      </c>
      <c r="L16" s="5" t="n">
        <v>0</v>
      </c>
      <c r="M16" s="5" t="n">
        <v>0</v>
      </c>
    </row>
    <row r="17">
      <c r="A17" s="5" t="inlineStr">
        <is>
          <t>WB05-INV05</t>
        </is>
      </c>
      <c r="B17" s="16" t="n">
        <v>46156.5</v>
      </c>
      <c r="C17" s="5" t="inlineStr">
        <is>
          <t>Grid connected</t>
        </is>
      </c>
      <c r="D17" s="5" t="n">
        <v>1205.31</v>
      </c>
      <c r="E17" s="5" t="n">
        <v>13.015</v>
      </c>
      <c r="F17" s="5" t="n">
        <v>1202.2</v>
      </c>
      <c r="G17" s="5" t="n">
        <v>12.994</v>
      </c>
      <c r="H17" s="5" t="n">
        <v>1238.4</v>
      </c>
      <c r="I17" s="5" t="n">
        <v>5.248</v>
      </c>
      <c r="J17" s="5" t="n">
        <v>1205.72</v>
      </c>
      <c r="K17" s="5" t="n">
        <v>13.045</v>
      </c>
      <c r="L17" s="5" t="n">
        <v>0</v>
      </c>
      <c r="M17" s="5" t="n">
        <v>0</v>
      </c>
    </row>
    <row r="18">
      <c r="A18" s="5" t="inlineStr">
        <is>
          <t>WB05-INV05</t>
        </is>
      </c>
      <c r="B18" s="16" t="n">
        <v>46156.50347222222</v>
      </c>
      <c r="C18" s="5" t="inlineStr">
        <is>
          <t>Grid connected</t>
        </is>
      </c>
      <c r="D18" s="5" t="n">
        <v>1198.43</v>
      </c>
      <c r="E18" s="5" t="n">
        <v>12.912</v>
      </c>
      <c r="F18" s="5" t="n">
        <v>1195.26</v>
      </c>
      <c r="G18" s="5" t="n">
        <v>12.866</v>
      </c>
      <c r="H18" s="5" t="n">
        <v>1231.1</v>
      </c>
      <c r="I18" s="5" t="n">
        <v>5.173</v>
      </c>
      <c r="J18" s="5" t="n">
        <v>1197.98</v>
      </c>
      <c r="K18" s="5" t="n">
        <v>12.83</v>
      </c>
      <c r="L18" s="5" t="n">
        <v>0</v>
      </c>
      <c r="M18" s="5" t="n">
        <v>0</v>
      </c>
    </row>
    <row r="19">
      <c r="A19" s="5" t="inlineStr">
        <is>
          <t>WB05-INV05</t>
        </is>
      </c>
      <c r="B19" s="16" t="n">
        <v>46156.50694444445</v>
      </c>
      <c r="C19" s="5" t="inlineStr">
        <is>
          <t>Grid connected</t>
        </is>
      </c>
      <c r="D19" s="5" t="n">
        <v>1198.66</v>
      </c>
      <c r="E19" s="5" t="n">
        <v>13.052</v>
      </c>
      <c r="F19" s="5" t="n">
        <v>1199.3</v>
      </c>
      <c r="G19" s="5" t="n">
        <v>12.986</v>
      </c>
      <c r="H19" s="5" t="n">
        <v>1235.75</v>
      </c>
      <c r="I19" s="5" t="n">
        <v>5.229</v>
      </c>
      <c r="J19" s="5" t="n">
        <v>1198.41</v>
      </c>
      <c r="K19" s="5" t="n">
        <v>12.996</v>
      </c>
      <c r="L19" s="5" t="n">
        <v>0</v>
      </c>
      <c r="M19" s="5" t="n">
        <v>0</v>
      </c>
    </row>
    <row r="20">
      <c r="A20" s="5" t="inlineStr">
        <is>
          <t>WB05-INV05</t>
        </is>
      </c>
      <c r="B20" s="16" t="n">
        <v>46156.51041666666</v>
      </c>
      <c r="C20" s="5" t="inlineStr">
        <is>
          <t>Grid connected</t>
        </is>
      </c>
      <c r="D20" s="5" t="n">
        <v>1207.67</v>
      </c>
      <c r="E20" s="5" t="n">
        <v>13.047</v>
      </c>
      <c r="F20" s="5" t="n">
        <v>1206.41</v>
      </c>
      <c r="G20" s="5" t="n">
        <v>13.017</v>
      </c>
      <c r="H20" s="5" t="n">
        <v>1243.51</v>
      </c>
      <c r="I20" s="5" t="n">
        <v>5.227</v>
      </c>
      <c r="J20" s="5" t="n">
        <v>1206.84</v>
      </c>
      <c r="K20" s="5" t="n">
        <v>13.017</v>
      </c>
      <c r="L20" s="5" t="n">
        <v>0</v>
      </c>
      <c r="M20" s="5" t="n">
        <v>0</v>
      </c>
    </row>
    <row r="21">
      <c r="A21" s="5" t="inlineStr">
        <is>
          <t>WB05-INV05</t>
        </is>
      </c>
      <c r="B21" s="16" t="n">
        <v>46156.51388888889</v>
      </c>
      <c r="C21" s="5" t="inlineStr">
        <is>
          <t>Grid connected</t>
        </is>
      </c>
      <c r="D21" s="5" t="n">
        <v>1192.05</v>
      </c>
      <c r="E21" s="5" t="n">
        <v>13.08</v>
      </c>
      <c r="F21" s="5" t="n">
        <v>1194.57</v>
      </c>
      <c r="G21" s="5" t="n">
        <v>12.996</v>
      </c>
      <c r="H21" s="5" t="n">
        <v>1227.88</v>
      </c>
      <c r="I21" s="5" t="n">
        <v>5.233</v>
      </c>
      <c r="J21" s="5" t="n">
        <v>1191.99</v>
      </c>
      <c r="K21" s="5" t="n">
        <v>13.003</v>
      </c>
      <c r="L21" s="5" t="n">
        <v>0</v>
      </c>
      <c r="M21" s="5" t="n">
        <v>0</v>
      </c>
    </row>
    <row r="22">
      <c r="A22" s="5" t="inlineStr">
        <is>
          <t>WB05-INV05</t>
        </is>
      </c>
      <c r="B22" s="16" t="n">
        <v>46156.51736111111</v>
      </c>
      <c r="C22" s="5" t="inlineStr">
        <is>
          <t>Grid connected</t>
        </is>
      </c>
      <c r="D22" s="5" t="n">
        <v>1206.86</v>
      </c>
      <c r="E22" s="5" t="n">
        <v>13.05</v>
      </c>
      <c r="F22" s="5" t="n">
        <v>1208.2</v>
      </c>
      <c r="G22" s="5" t="n">
        <v>12.99</v>
      </c>
      <c r="H22" s="5" t="n">
        <v>1241.56</v>
      </c>
      <c r="I22" s="5" t="n">
        <v>5.202</v>
      </c>
      <c r="J22" s="5" t="n">
        <v>1206.66</v>
      </c>
      <c r="K22" s="5" t="n">
        <v>13.018</v>
      </c>
      <c r="L22" s="5" t="n">
        <v>0</v>
      </c>
      <c r="M22" s="5" t="n">
        <v>0</v>
      </c>
    </row>
    <row r="23">
      <c r="A23" s="5" t="inlineStr">
        <is>
          <t>WB05-INV05</t>
        </is>
      </c>
      <c r="B23" s="16" t="n">
        <v>46156.52083333334</v>
      </c>
      <c r="C23" s="5" t="inlineStr">
        <is>
          <t>Grid connected</t>
        </is>
      </c>
      <c r="D23" s="5" t="n">
        <v>1205.6</v>
      </c>
      <c r="E23" s="5" t="n">
        <v>13.012</v>
      </c>
      <c r="F23" s="5" t="n">
        <v>1203.28</v>
      </c>
      <c r="G23" s="5" t="n">
        <v>13.036</v>
      </c>
      <c r="H23" s="5" t="n">
        <v>1241.22</v>
      </c>
      <c r="I23" s="5" t="n">
        <v>5.196</v>
      </c>
      <c r="J23" s="5" t="n">
        <v>1202.43</v>
      </c>
      <c r="K23" s="5" t="n">
        <v>13.047</v>
      </c>
      <c r="L23" s="5" t="n">
        <v>0</v>
      </c>
      <c r="M23" s="5" t="n">
        <v>0</v>
      </c>
    </row>
    <row r="24">
      <c r="A24" s="5" t="inlineStr">
        <is>
          <t>WB05-INV05</t>
        </is>
      </c>
      <c r="B24" s="16" t="n">
        <v>46156.52430555555</v>
      </c>
      <c r="C24" s="5" t="inlineStr">
        <is>
          <t>Grid connected</t>
        </is>
      </c>
      <c r="D24" s="5" t="n">
        <v>1197.75</v>
      </c>
      <c r="E24" s="5" t="n">
        <v>12.976</v>
      </c>
      <c r="F24" s="5" t="n">
        <v>1198.52</v>
      </c>
      <c r="G24" s="5" t="n">
        <v>12.97</v>
      </c>
      <c r="H24" s="5" t="n">
        <v>1234.91</v>
      </c>
      <c r="I24" s="5" t="n">
        <v>5.128</v>
      </c>
      <c r="J24" s="5" t="n">
        <v>1200.75</v>
      </c>
      <c r="K24" s="5" t="n">
        <v>12.967</v>
      </c>
      <c r="L24" s="5" t="n">
        <v>0</v>
      </c>
      <c r="M24" s="5" t="n">
        <v>0</v>
      </c>
    </row>
    <row r="25">
      <c r="A25" s="5" t="inlineStr">
        <is>
          <t>WB05-INV05</t>
        </is>
      </c>
      <c r="B25" s="16" t="n">
        <v>46156.52777777778</v>
      </c>
      <c r="C25" s="5" t="inlineStr">
        <is>
          <t>Grid connected</t>
        </is>
      </c>
      <c r="D25" s="5" t="n">
        <v>1208.9</v>
      </c>
      <c r="E25" s="5" t="n">
        <v>13.095</v>
      </c>
      <c r="F25" s="5" t="n">
        <v>1207.45</v>
      </c>
      <c r="G25" s="5" t="n">
        <v>13.099</v>
      </c>
      <c r="H25" s="5" t="n">
        <v>1243.33</v>
      </c>
      <c r="I25" s="5" t="n">
        <v>5.207</v>
      </c>
      <c r="J25" s="5" t="n">
        <v>1207.02</v>
      </c>
      <c r="K25" s="5" t="n">
        <v>13.176</v>
      </c>
      <c r="L25" s="5" t="n">
        <v>0</v>
      </c>
      <c r="M25" s="5" t="n">
        <v>0</v>
      </c>
    </row>
    <row r="26">
      <c r="A26" s="5" t="inlineStr">
        <is>
          <t>WB05-INV05</t>
        </is>
      </c>
      <c r="B26" s="16" t="n">
        <v>46156.53125</v>
      </c>
      <c r="C26" s="5" t="inlineStr">
        <is>
          <t>Grid connected</t>
        </is>
      </c>
      <c r="D26" s="5" t="n">
        <v>1196.06</v>
      </c>
      <c r="E26" s="5" t="n">
        <v>13.078</v>
      </c>
      <c r="F26" s="5" t="n">
        <v>1198.07</v>
      </c>
      <c r="G26" s="5" t="n">
        <v>13.135</v>
      </c>
      <c r="H26" s="5" t="n">
        <v>1232.35</v>
      </c>
      <c r="I26" s="5" t="n">
        <v>5.256</v>
      </c>
      <c r="J26" s="5" t="n">
        <v>1194.86</v>
      </c>
      <c r="K26" s="5" t="n">
        <v>13.065</v>
      </c>
      <c r="L26" s="5" t="n">
        <v>0</v>
      </c>
      <c r="M26" s="5" t="n">
        <v>0</v>
      </c>
    </row>
    <row r="27">
      <c r="A27" s="5" t="inlineStr">
        <is>
          <t>WB05-INV05</t>
        </is>
      </c>
      <c r="B27" s="16" t="n">
        <v>46156.53472222222</v>
      </c>
      <c r="C27" s="5" t="inlineStr">
        <is>
          <t>Grid connected</t>
        </is>
      </c>
      <c r="D27" s="5" t="n">
        <v>1207.67</v>
      </c>
      <c r="E27" s="5" t="n">
        <v>13.049</v>
      </c>
      <c r="F27" s="5" t="n">
        <v>1205.73</v>
      </c>
      <c r="G27" s="5" t="n">
        <v>13.032</v>
      </c>
      <c r="H27" s="5" t="n">
        <v>1243.74</v>
      </c>
      <c r="I27" s="5" t="n">
        <v>5.245</v>
      </c>
      <c r="J27" s="5" t="n">
        <v>1206.13</v>
      </c>
      <c r="K27" s="5" t="n">
        <v>13.07</v>
      </c>
      <c r="L27" s="5" t="n">
        <v>0</v>
      </c>
      <c r="M27" s="5" t="n">
        <v>0</v>
      </c>
    </row>
    <row r="28">
      <c r="A28" s="5" t="inlineStr">
        <is>
          <t>WB05-INV05</t>
        </is>
      </c>
      <c r="B28" s="16" t="n">
        <v>46156.53819444445</v>
      </c>
      <c r="C28" s="5" t="inlineStr">
        <is>
          <t>Grid connected</t>
        </is>
      </c>
      <c r="D28" s="5" t="n">
        <v>1193.66</v>
      </c>
      <c r="E28" s="5" t="n">
        <v>12.923</v>
      </c>
      <c r="F28" s="5" t="n">
        <v>1192.22</v>
      </c>
      <c r="G28" s="5" t="n">
        <v>12.868</v>
      </c>
      <c r="H28" s="5" t="n">
        <v>1230.64</v>
      </c>
      <c r="I28" s="5" t="n">
        <v>5.137</v>
      </c>
      <c r="J28" s="5" t="n">
        <v>1193.66</v>
      </c>
      <c r="K28" s="5" t="n">
        <v>12.918</v>
      </c>
      <c r="L28" s="5" t="n">
        <v>0</v>
      </c>
      <c r="M2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</cols>
  <sheetData>
    <row r="1">
      <c r="A1" s="7" t="inlineStr">
        <is>
          <t>Meteo_Dummy — POA (Plane-of-Array) per timestamp</t>
        </is>
      </c>
    </row>
    <row r="2">
      <c r="A2" s="2" t="inlineStr">
        <is>
          <t>Single source 'pyranometer_avg' (dummy). Produksi: 5 source fan-out (pyranometer_per_ws, pyranometer_avg, pvlib_clearsky_ineichen/simplified_solis/haurwitz).</t>
        </is>
      </c>
    </row>
    <row r="4">
      <c r="A4" s="10" t="inlineStr">
        <is>
          <t>Start Time</t>
        </is>
      </c>
      <c r="B4" s="10" t="inlineStr">
        <is>
          <t>POA pyranometer_avg (W/m²)</t>
        </is>
      </c>
      <c r="C4" s="10" t="inlineStr">
        <is>
          <t>Notes</t>
        </is>
      </c>
    </row>
    <row r="5">
      <c r="A5" s="16" t="n">
        <v>46156.25</v>
      </c>
      <c r="B5" s="18" t="n">
        <v>30</v>
      </c>
      <c r="C5" s="5" t="inlineStr">
        <is>
          <t>sunrise (below gate)</t>
        </is>
      </c>
    </row>
    <row r="6">
      <c r="A6" s="16" t="n">
        <v>46156.25347222222</v>
      </c>
      <c r="B6" s="18" t="n">
        <v>34.5</v>
      </c>
      <c r="C6" s="5" t="inlineStr">
        <is>
          <t>sunrise (below gate)</t>
        </is>
      </c>
    </row>
    <row r="7">
      <c r="A7" s="16" t="n">
        <v>46156.25694444445</v>
      </c>
      <c r="B7" s="18" t="n">
        <v>39.1</v>
      </c>
      <c r="C7" s="5" t="inlineStr">
        <is>
          <t>sunrise (below gate)</t>
        </is>
      </c>
    </row>
    <row r="8">
      <c r="A8" s="16" t="n">
        <v>46156.26041666666</v>
      </c>
      <c r="B8" s="18" t="n">
        <v>43.6</v>
      </c>
      <c r="C8" s="5" t="inlineStr">
        <is>
          <t>sunrise (below gate)</t>
        </is>
      </c>
    </row>
    <row r="9">
      <c r="A9" s="16" t="n">
        <v>46156.26388888889</v>
      </c>
      <c r="B9" s="18" t="n">
        <v>48.2</v>
      </c>
      <c r="C9" s="5" t="inlineStr">
        <is>
          <t>sunrise (below gate)</t>
        </is>
      </c>
    </row>
    <row r="10">
      <c r="A10" s="16" t="n">
        <v>46156.26736111111</v>
      </c>
      <c r="B10" s="18" t="n">
        <v>52.7</v>
      </c>
      <c r="C10" s="5" t="inlineStr">
        <is>
          <t>sunrise (below gate)</t>
        </is>
      </c>
    </row>
    <row r="11">
      <c r="A11" s="16" t="n">
        <v>46156.27083333334</v>
      </c>
      <c r="B11" s="18" t="n">
        <v>57.3</v>
      </c>
      <c r="C11" s="5" t="inlineStr">
        <is>
          <t>sunrise (below gate)</t>
        </is>
      </c>
    </row>
    <row r="12">
      <c r="A12" s="16" t="n">
        <v>46156.27430555555</v>
      </c>
      <c r="B12" s="18" t="n">
        <v>61.8</v>
      </c>
      <c r="C12" s="5" t="inlineStr">
        <is>
          <t>sunrise (below gate)</t>
        </is>
      </c>
    </row>
    <row r="13">
      <c r="A13" s="16" t="n">
        <v>46156.27777777778</v>
      </c>
      <c r="B13" s="18" t="n">
        <v>66.40000000000001</v>
      </c>
      <c r="C13" s="5" t="inlineStr">
        <is>
          <t>sunrise (below gate)</t>
        </is>
      </c>
    </row>
    <row r="14">
      <c r="A14" s="16" t="n">
        <v>46156.28125</v>
      </c>
      <c r="B14" s="18" t="n">
        <v>70.90000000000001</v>
      </c>
      <c r="C14" s="5" t="inlineStr">
        <is>
          <t>sunrise (below gate)</t>
        </is>
      </c>
    </row>
    <row r="15">
      <c r="A15" s="16" t="n">
        <v>46156.28472222222</v>
      </c>
      <c r="B15" s="18" t="n">
        <v>75.5</v>
      </c>
      <c r="C15" s="5" t="inlineStr">
        <is>
          <t>sunrise (below gate)</t>
        </is>
      </c>
    </row>
    <row r="16">
      <c r="A16" s="16" t="n">
        <v>46156.28819444445</v>
      </c>
      <c r="B16" s="18" t="n">
        <v>80</v>
      </c>
      <c r="C16" s="5" t="inlineStr">
        <is>
          <t>sunrise (below gate)</t>
        </is>
      </c>
    </row>
    <row r="17">
      <c r="A17" s="16" t="n">
        <v>46156.5</v>
      </c>
      <c r="B17" s="18" t="n">
        <v>847.6</v>
      </c>
      <c r="C17" s="5" t="inlineStr">
        <is>
          <t>noon (above gate)</t>
        </is>
      </c>
    </row>
    <row r="18">
      <c r="A18" s="16" t="n">
        <v>46156.50347222222</v>
      </c>
      <c r="B18" s="18" t="n">
        <v>857.5</v>
      </c>
      <c r="C18" s="5" t="inlineStr">
        <is>
          <t>noon (above gate)</t>
        </is>
      </c>
    </row>
    <row r="19">
      <c r="A19" s="16" t="n">
        <v>46156.50694444445</v>
      </c>
      <c r="B19" s="18" t="n">
        <v>860.7</v>
      </c>
      <c r="C19" s="5" t="inlineStr">
        <is>
          <t>noon (above gate)</t>
        </is>
      </c>
    </row>
    <row r="20">
      <c r="A20" s="16" t="n">
        <v>46156.51041666666</v>
      </c>
      <c r="B20" s="18" t="n">
        <v>878</v>
      </c>
      <c r="C20" s="5" t="inlineStr">
        <is>
          <t>noon (above gate)</t>
        </is>
      </c>
    </row>
    <row r="21">
      <c r="A21" s="16" t="n">
        <v>46156.51388888889</v>
      </c>
      <c r="B21" s="18" t="n">
        <v>861.1</v>
      </c>
      <c r="C21" s="5" t="inlineStr">
        <is>
          <t>noon (above gate)</t>
        </is>
      </c>
    </row>
    <row r="22">
      <c r="A22" s="16" t="n">
        <v>46156.51736111111</v>
      </c>
      <c r="B22" s="18" t="n">
        <v>881.5</v>
      </c>
      <c r="C22" s="5" t="inlineStr">
        <is>
          <t>noon (above gate)</t>
        </is>
      </c>
    </row>
    <row r="23">
      <c r="A23" s="16" t="n">
        <v>46156.52083333334</v>
      </c>
      <c r="B23" s="18" t="n">
        <v>872.2</v>
      </c>
      <c r="C23" s="5" t="inlineStr">
        <is>
          <t>noon (above gate)</t>
        </is>
      </c>
    </row>
    <row r="24">
      <c r="A24" s="16" t="n">
        <v>46156.52430555555</v>
      </c>
      <c r="B24" s="18" t="n">
        <v>881.9</v>
      </c>
      <c r="C24" s="5" t="inlineStr">
        <is>
          <t>noon (above gate)</t>
        </is>
      </c>
    </row>
    <row r="25">
      <c r="A25" s="16" t="n">
        <v>46156.52777777778</v>
      </c>
      <c r="B25" s="18" t="n">
        <v>895.2</v>
      </c>
      <c r="C25" s="5" t="inlineStr">
        <is>
          <t>noon (above gate)</t>
        </is>
      </c>
    </row>
    <row r="26">
      <c r="A26" s="16" t="n">
        <v>46156.53125</v>
      </c>
      <c r="B26" s="18" t="n">
        <v>889</v>
      </c>
      <c r="C26" s="5" t="inlineStr">
        <is>
          <t>noon (above gate)</t>
        </is>
      </c>
    </row>
    <row r="27">
      <c r="A27" s="16" t="n">
        <v>46156.53472222222</v>
      </c>
      <c r="B27" s="18" t="n">
        <v>894.5</v>
      </c>
      <c r="C27" s="5" t="inlineStr">
        <is>
          <t>noon (above gate)</t>
        </is>
      </c>
    </row>
    <row r="28">
      <c r="A28" s="16" t="n">
        <v>46156.53819444445</v>
      </c>
      <c r="B28" s="18" t="n">
        <v>912.6</v>
      </c>
      <c r="C28" s="5" t="inlineStr">
        <is>
          <t>noon (above gate)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7" t="inlineStr">
        <is>
          <t>Helpers_M2b — derived columns per row dari Raw_Data_M2b</t>
        </is>
      </c>
    </row>
    <row r="2">
      <c r="A2" s="2" t="inlineStr">
        <is>
          <t>Per-row: POA value (VLOOKUP dari Meteo_Dummy), mask_poa, R_str per PV. Aggregate (R_str median per PV, fleet stats) ada di sheet M2b_PeerZScore.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status</t>
        </is>
      </c>
      <c r="D4" s="10" t="inlineStr">
        <is>
          <t>POA_Wm2</t>
        </is>
      </c>
      <c r="E4" s="10" t="inlineStr">
        <is>
          <t>mask_poa</t>
        </is>
      </c>
      <c r="F4" s="10" t="inlineStr">
        <is>
          <t>is_on</t>
        </is>
      </c>
      <c r="G4" s="10" t="inlineStr">
        <is>
          <t>PV1_V</t>
        </is>
      </c>
      <c r="H4" s="10" t="inlineStr">
        <is>
          <t>PV1_I</t>
        </is>
      </c>
      <c r="I4" s="10" t="inlineStr">
        <is>
          <t>PV1_R</t>
        </is>
      </c>
      <c r="J4" s="10" t="inlineStr">
        <is>
          <t>PV1_voc_cand</t>
        </is>
      </c>
      <c r="K4" s="10" t="inlineStr">
        <is>
          <t>PV2_V</t>
        </is>
      </c>
      <c r="L4" s="10" t="inlineStr">
        <is>
          <t>PV2_I</t>
        </is>
      </c>
      <c r="M4" s="10" t="inlineStr">
        <is>
          <t>PV2_R</t>
        </is>
      </c>
      <c r="N4" s="10" t="inlineStr">
        <is>
          <t>PV2_voc_cand</t>
        </is>
      </c>
      <c r="O4" s="10" t="inlineStr">
        <is>
          <t>PV3_V</t>
        </is>
      </c>
      <c r="P4" s="10" t="inlineStr">
        <is>
          <t>PV3_I</t>
        </is>
      </c>
      <c r="Q4" s="10" t="inlineStr">
        <is>
          <t>PV3_R</t>
        </is>
      </c>
      <c r="R4" s="10" t="inlineStr">
        <is>
          <t>PV3_voc_cand</t>
        </is>
      </c>
      <c r="S4" s="10" t="inlineStr">
        <is>
          <t>PV4_V</t>
        </is>
      </c>
      <c r="T4" s="10" t="inlineStr">
        <is>
          <t>PV4_I</t>
        </is>
      </c>
      <c r="U4" s="10" t="inlineStr">
        <is>
          <t>PV4_R</t>
        </is>
      </c>
      <c r="V4" s="10" t="inlineStr">
        <is>
          <t>PV4_voc_cand</t>
        </is>
      </c>
      <c r="W4" s="10" t="inlineStr">
        <is>
          <t>PV5_V</t>
        </is>
      </c>
      <c r="X4" s="10" t="inlineStr">
        <is>
          <t>PV5_I</t>
        </is>
      </c>
      <c r="Y4" s="10" t="inlineStr">
        <is>
          <t>PV5_R</t>
        </is>
      </c>
      <c r="Z4" s="10" t="inlineStr">
        <is>
          <t>PV5_voc_cand</t>
        </is>
      </c>
    </row>
    <row r="5">
      <c r="A5" s="5">
        <f>Raw_Data_M2b!A5</f>
        <v/>
      </c>
      <c r="B5" s="16">
        <f>Raw_Data_M2b!B5</f>
        <v/>
      </c>
      <c r="C5" s="5">
        <f>Raw_Data_M2b!C5</f>
        <v/>
      </c>
      <c r="D5" s="18">
        <f>IFERROR(VLOOKUP(B5,Meteo_Dummy!$A$5:$B$28,2,FALSE),0)</f>
        <v/>
      </c>
      <c r="E5" s="5">
        <f>IF(AND(D5&gt;cfg_poa_threshold_wm2,D5&gt;cfg_poa_floor_wm2),1,0)</f>
        <v/>
      </c>
      <c r="F5" s="5">
        <f>IF(ISNUMBER(SEARCH("grid connected",LOWER(C5))),1,0)</f>
        <v/>
      </c>
      <c r="G5" s="15">
        <f>Raw_Data_M2b!D5</f>
        <v/>
      </c>
      <c r="H5" s="17">
        <f>Raw_Data_M2b!E5</f>
        <v/>
      </c>
      <c r="I5" s="18">
        <f>IF(E5=1, G5/MAX(H5,cfg_i_clip_floor_a), "")</f>
        <v/>
      </c>
      <c r="J5" s="15">
        <f>IF(AND(ABS(H5)&lt;cfg_i_threshold_a, G5&gt;cfg_min_voc_v), G5, "")</f>
        <v/>
      </c>
      <c r="K5" s="15">
        <f>Raw_Data_M2b!F5</f>
        <v/>
      </c>
      <c r="L5" s="17">
        <f>Raw_Data_M2b!G5</f>
        <v/>
      </c>
      <c r="M5" s="18">
        <f>IF(E5=1, K5/MAX(L5,cfg_i_clip_floor_a), "")</f>
        <v/>
      </c>
      <c r="N5" s="15">
        <f>IF(AND(ABS(L5)&lt;cfg_i_threshold_a, K5&gt;cfg_min_voc_v), K5, "")</f>
        <v/>
      </c>
      <c r="O5" s="15">
        <f>Raw_Data_M2b!H5</f>
        <v/>
      </c>
      <c r="P5" s="17">
        <f>Raw_Data_M2b!I5</f>
        <v/>
      </c>
      <c r="Q5" s="18">
        <f>IF(E5=1, O5/MAX(P5,cfg_i_clip_floor_a), "")</f>
        <v/>
      </c>
      <c r="R5" s="15">
        <f>IF(AND(ABS(P5)&lt;cfg_i_threshold_a, O5&gt;cfg_min_voc_v), O5, "")</f>
        <v/>
      </c>
      <c r="S5" s="15">
        <f>Raw_Data_M2b!J5</f>
        <v/>
      </c>
      <c r="T5" s="17">
        <f>Raw_Data_M2b!K5</f>
        <v/>
      </c>
      <c r="U5" s="18">
        <f>IF(E5=1, S5/MAX(T5,cfg_i_clip_floor_a), "")</f>
        <v/>
      </c>
      <c r="V5" s="15">
        <f>IF(AND(ABS(T5)&lt;cfg_i_threshold_a, S5&gt;cfg_min_voc_v), S5, "")</f>
        <v/>
      </c>
      <c r="W5" s="15">
        <f>Raw_Data_M2b!L5</f>
        <v/>
      </c>
      <c r="X5" s="17">
        <f>Raw_Data_M2b!M5</f>
        <v/>
      </c>
      <c r="Y5" s="18">
        <f>IF(E5=1, W5/MAX(X5,cfg_i_clip_floor_a), "")</f>
        <v/>
      </c>
      <c r="Z5" s="15">
        <f>IF(AND(ABS(X5)&lt;cfg_i_threshold_a, W5&gt;cfg_min_voc_v), W5, "")</f>
        <v/>
      </c>
    </row>
    <row r="6">
      <c r="A6" s="5">
        <f>Raw_Data_M2b!A6</f>
        <v/>
      </c>
      <c r="B6" s="16">
        <f>Raw_Data_M2b!B6</f>
        <v/>
      </c>
      <c r="C6" s="5">
        <f>Raw_Data_M2b!C6</f>
        <v/>
      </c>
      <c r="D6" s="18">
        <f>IFERROR(VLOOKUP(B6,Meteo_Dummy!$A$5:$B$28,2,FALSE),0)</f>
        <v/>
      </c>
      <c r="E6" s="5">
        <f>IF(AND(D6&gt;cfg_poa_threshold_wm2,D6&gt;cfg_poa_floor_wm2),1,0)</f>
        <v/>
      </c>
      <c r="F6" s="5">
        <f>IF(ISNUMBER(SEARCH("grid connected",LOWER(C6))),1,0)</f>
        <v/>
      </c>
      <c r="G6" s="15">
        <f>Raw_Data_M2b!D6</f>
        <v/>
      </c>
      <c r="H6" s="17">
        <f>Raw_Data_M2b!E6</f>
        <v/>
      </c>
      <c r="I6" s="18">
        <f>IF(E6=1, G6/MAX(H6,cfg_i_clip_floor_a), "")</f>
        <v/>
      </c>
      <c r="J6" s="15">
        <f>IF(AND(ABS(H6)&lt;cfg_i_threshold_a, G6&gt;cfg_min_voc_v), G6, "")</f>
        <v/>
      </c>
      <c r="K6" s="15">
        <f>Raw_Data_M2b!F6</f>
        <v/>
      </c>
      <c r="L6" s="17">
        <f>Raw_Data_M2b!G6</f>
        <v/>
      </c>
      <c r="M6" s="18">
        <f>IF(E6=1, K6/MAX(L6,cfg_i_clip_floor_a), "")</f>
        <v/>
      </c>
      <c r="N6" s="15">
        <f>IF(AND(ABS(L6)&lt;cfg_i_threshold_a, K6&gt;cfg_min_voc_v), K6, "")</f>
        <v/>
      </c>
      <c r="O6" s="15">
        <f>Raw_Data_M2b!H6</f>
        <v/>
      </c>
      <c r="P6" s="17">
        <f>Raw_Data_M2b!I6</f>
        <v/>
      </c>
      <c r="Q6" s="18">
        <f>IF(E6=1, O6/MAX(P6,cfg_i_clip_floor_a), "")</f>
        <v/>
      </c>
      <c r="R6" s="15">
        <f>IF(AND(ABS(P6)&lt;cfg_i_threshold_a, O6&gt;cfg_min_voc_v), O6, "")</f>
        <v/>
      </c>
      <c r="S6" s="15">
        <f>Raw_Data_M2b!J6</f>
        <v/>
      </c>
      <c r="T6" s="17">
        <f>Raw_Data_M2b!K6</f>
        <v/>
      </c>
      <c r="U6" s="18">
        <f>IF(E6=1, S6/MAX(T6,cfg_i_clip_floor_a), "")</f>
        <v/>
      </c>
      <c r="V6" s="15">
        <f>IF(AND(ABS(T6)&lt;cfg_i_threshold_a, S6&gt;cfg_min_voc_v), S6, "")</f>
        <v/>
      </c>
      <c r="W6" s="15">
        <f>Raw_Data_M2b!L6</f>
        <v/>
      </c>
      <c r="X6" s="17">
        <f>Raw_Data_M2b!M6</f>
        <v/>
      </c>
      <c r="Y6" s="18">
        <f>IF(E6=1, W6/MAX(X6,cfg_i_clip_floor_a), "")</f>
        <v/>
      </c>
      <c r="Z6" s="15">
        <f>IF(AND(ABS(X6)&lt;cfg_i_threshold_a, W6&gt;cfg_min_voc_v), W6, "")</f>
        <v/>
      </c>
    </row>
    <row r="7">
      <c r="A7" s="5">
        <f>Raw_Data_M2b!A7</f>
        <v/>
      </c>
      <c r="B7" s="16">
        <f>Raw_Data_M2b!B7</f>
        <v/>
      </c>
      <c r="C7" s="5">
        <f>Raw_Data_M2b!C7</f>
        <v/>
      </c>
      <c r="D7" s="18">
        <f>IFERROR(VLOOKUP(B7,Meteo_Dummy!$A$5:$B$28,2,FALSE),0)</f>
        <v/>
      </c>
      <c r="E7" s="5">
        <f>IF(AND(D7&gt;cfg_poa_threshold_wm2,D7&gt;cfg_poa_floor_wm2),1,0)</f>
        <v/>
      </c>
      <c r="F7" s="5">
        <f>IF(ISNUMBER(SEARCH("grid connected",LOWER(C7))),1,0)</f>
        <v/>
      </c>
      <c r="G7" s="15">
        <f>Raw_Data_M2b!D7</f>
        <v/>
      </c>
      <c r="H7" s="17">
        <f>Raw_Data_M2b!E7</f>
        <v/>
      </c>
      <c r="I7" s="18">
        <f>IF(E7=1, G7/MAX(H7,cfg_i_clip_floor_a), "")</f>
        <v/>
      </c>
      <c r="J7" s="15">
        <f>IF(AND(ABS(H7)&lt;cfg_i_threshold_a, G7&gt;cfg_min_voc_v), G7, "")</f>
        <v/>
      </c>
      <c r="K7" s="15">
        <f>Raw_Data_M2b!F7</f>
        <v/>
      </c>
      <c r="L7" s="17">
        <f>Raw_Data_M2b!G7</f>
        <v/>
      </c>
      <c r="M7" s="18">
        <f>IF(E7=1, K7/MAX(L7,cfg_i_clip_floor_a), "")</f>
        <v/>
      </c>
      <c r="N7" s="15">
        <f>IF(AND(ABS(L7)&lt;cfg_i_threshold_a, K7&gt;cfg_min_voc_v), K7, "")</f>
        <v/>
      </c>
      <c r="O7" s="15">
        <f>Raw_Data_M2b!H7</f>
        <v/>
      </c>
      <c r="P7" s="17">
        <f>Raw_Data_M2b!I7</f>
        <v/>
      </c>
      <c r="Q7" s="18">
        <f>IF(E7=1, O7/MAX(P7,cfg_i_clip_floor_a), "")</f>
        <v/>
      </c>
      <c r="R7" s="15">
        <f>IF(AND(ABS(P7)&lt;cfg_i_threshold_a, O7&gt;cfg_min_voc_v), O7, "")</f>
        <v/>
      </c>
      <c r="S7" s="15">
        <f>Raw_Data_M2b!J7</f>
        <v/>
      </c>
      <c r="T7" s="17">
        <f>Raw_Data_M2b!K7</f>
        <v/>
      </c>
      <c r="U7" s="18">
        <f>IF(E7=1, S7/MAX(T7,cfg_i_clip_floor_a), "")</f>
        <v/>
      </c>
      <c r="V7" s="15">
        <f>IF(AND(ABS(T7)&lt;cfg_i_threshold_a, S7&gt;cfg_min_voc_v), S7, "")</f>
        <v/>
      </c>
      <c r="W7" s="15">
        <f>Raw_Data_M2b!L7</f>
        <v/>
      </c>
      <c r="X7" s="17">
        <f>Raw_Data_M2b!M7</f>
        <v/>
      </c>
      <c r="Y7" s="18">
        <f>IF(E7=1, W7/MAX(X7,cfg_i_clip_floor_a), "")</f>
        <v/>
      </c>
      <c r="Z7" s="15">
        <f>IF(AND(ABS(X7)&lt;cfg_i_threshold_a, W7&gt;cfg_min_voc_v), W7, "")</f>
        <v/>
      </c>
    </row>
    <row r="8">
      <c r="A8" s="5">
        <f>Raw_Data_M2b!A8</f>
        <v/>
      </c>
      <c r="B8" s="16">
        <f>Raw_Data_M2b!B8</f>
        <v/>
      </c>
      <c r="C8" s="5">
        <f>Raw_Data_M2b!C8</f>
        <v/>
      </c>
      <c r="D8" s="18">
        <f>IFERROR(VLOOKUP(B8,Meteo_Dummy!$A$5:$B$28,2,FALSE),0)</f>
        <v/>
      </c>
      <c r="E8" s="5">
        <f>IF(AND(D8&gt;cfg_poa_threshold_wm2,D8&gt;cfg_poa_floor_wm2),1,0)</f>
        <v/>
      </c>
      <c r="F8" s="5">
        <f>IF(ISNUMBER(SEARCH("grid connected",LOWER(C8))),1,0)</f>
        <v/>
      </c>
      <c r="G8" s="15">
        <f>Raw_Data_M2b!D8</f>
        <v/>
      </c>
      <c r="H8" s="17">
        <f>Raw_Data_M2b!E8</f>
        <v/>
      </c>
      <c r="I8" s="18">
        <f>IF(E8=1, G8/MAX(H8,cfg_i_clip_floor_a), "")</f>
        <v/>
      </c>
      <c r="J8" s="15">
        <f>IF(AND(ABS(H8)&lt;cfg_i_threshold_a, G8&gt;cfg_min_voc_v), G8, "")</f>
        <v/>
      </c>
      <c r="K8" s="15">
        <f>Raw_Data_M2b!F8</f>
        <v/>
      </c>
      <c r="L8" s="17">
        <f>Raw_Data_M2b!G8</f>
        <v/>
      </c>
      <c r="M8" s="18">
        <f>IF(E8=1, K8/MAX(L8,cfg_i_clip_floor_a), "")</f>
        <v/>
      </c>
      <c r="N8" s="15">
        <f>IF(AND(ABS(L8)&lt;cfg_i_threshold_a, K8&gt;cfg_min_voc_v), K8, "")</f>
        <v/>
      </c>
      <c r="O8" s="15">
        <f>Raw_Data_M2b!H8</f>
        <v/>
      </c>
      <c r="P8" s="17">
        <f>Raw_Data_M2b!I8</f>
        <v/>
      </c>
      <c r="Q8" s="18">
        <f>IF(E8=1, O8/MAX(P8,cfg_i_clip_floor_a), "")</f>
        <v/>
      </c>
      <c r="R8" s="15">
        <f>IF(AND(ABS(P8)&lt;cfg_i_threshold_a, O8&gt;cfg_min_voc_v), O8, "")</f>
        <v/>
      </c>
      <c r="S8" s="15">
        <f>Raw_Data_M2b!J8</f>
        <v/>
      </c>
      <c r="T8" s="17">
        <f>Raw_Data_M2b!K8</f>
        <v/>
      </c>
      <c r="U8" s="18">
        <f>IF(E8=1, S8/MAX(T8,cfg_i_clip_floor_a), "")</f>
        <v/>
      </c>
      <c r="V8" s="15">
        <f>IF(AND(ABS(T8)&lt;cfg_i_threshold_a, S8&gt;cfg_min_voc_v), S8, "")</f>
        <v/>
      </c>
      <c r="W8" s="15">
        <f>Raw_Data_M2b!L8</f>
        <v/>
      </c>
      <c r="X8" s="17">
        <f>Raw_Data_M2b!M8</f>
        <v/>
      </c>
      <c r="Y8" s="18">
        <f>IF(E8=1, W8/MAX(X8,cfg_i_clip_floor_a), "")</f>
        <v/>
      </c>
      <c r="Z8" s="15">
        <f>IF(AND(ABS(X8)&lt;cfg_i_threshold_a, W8&gt;cfg_min_voc_v), W8, "")</f>
        <v/>
      </c>
    </row>
    <row r="9">
      <c r="A9" s="5">
        <f>Raw_Data_M2b!A9</f>
        <v/>
      </c>
      <c r="B9" s="16">
        <f>Raw_Data_M2b!B9</f>
        <v/>
      </c>
      <c r="C9" s="5">
        <f>Raw_Data_M2b!C9</f>
        <v/>
      </c>
      <c r="D9" s="18">
        <f>IFERROR(VLOOKUP(B9,Meteo_Dummy!$A$5:$B$28,2,FALSE),0)</f>
        <v/>
      </c>
      <c r="E9" s="5">
        <f>IF(AND(D9&gt;cfg_poa_threshold_wm2,D9&gt;cfg_poa_floor_wm2),1,0)</f>
        <v/>
      </c>
      <c r="F9" s="5">
        <f>IF(ISNUMBER(SEARCH("grid connected",LOWER(C9))),1,0)</f>
        <v/>
      </c>
      <c r="G9" s="15">
        <f>Raw_Data_M2b!D9</f>
        <v/>
      </c>
      <c r="H9" s="17">
        <f>Raw_Data_M2b!E9</f>
        <v/>
      </c>
      <c r="I9" s="18">
        <f>IF(E9=1, G9/MAX(H9,cfg_i_clip_floor_a), "")</f>
        <v/>
      </c>
      <c r="J9" s="15">
        <f>IF(AND(ABS(H9)&lt;cfg_i_threshold_a, G9&gt;cfg_min_voc_v), G9, "")</f>
        <v/>
      </c>
      <c r="K9" s="15">
        <f>Raw_Data_M2b!F9</f>
        <v/>
      </c>
      <c r="L9" s="17">
        <f>Raw_Data_M2b!G9</f>
        <v/>
      </c>
      <c r="M9" s="18">
        <f>IF(E9=1, K9/MAX(L9,cfg_i_clip_floor_a), "")</f>
        <v/>
      </c>
      <c r="N9" s="15">
        <f>IF(AND(ABS(L9)&lt;cfg_i_threshold_a, K9&gt;cfg_min_voc_v), K9, "")</f>
        <v/>
      </c>
      <c r="O9" s="15">
        <f>Raw_Data_M2b!H9</f>
        <v/>
      </c>
      <c r="P9" s="17">
        <f>Raw_Data_M2b!I9</f>
        <v/>
      </c>
      <c r="Q9" s="18">
        <f>IF(E9=1, O9/MAX(P9,cfg_i_clip_floor_a), "")</f>
        <v/>
      </c>
      <c r="R9" s="15">
        <f>IF(AND(ABS(P9)&lt;cfg_i_threshold_a, O9&gt;cfg_min_voc_v), O9, "")</f>
        <v/>
      </c>
      <c r="S9" s="15">
        <f>Raw_Data_M2b!J9</f>
        <v/>
      </c>
      <c r="T9" s="17">
        <f>Raw_Data_M2b!K9</f>
        <v/>
      </c>
      <c r="U9" s="18">
        <f>IF(E9=1, S9/MAX(T9,cfg_i_clip_floor_a), "")</f>
        <v/>
      </c>
      <c r="V9" s="15">
        <f>IF(AND(ABS(T9)&lt;cfg_i_threshold_a, S9&gt;cfg_min_voc_v), S9, "")</f>
        <v/>
      </c>
      <c r="W9" s="15">
        <f>Raw_Data_M2b!L9</f>
        <v/>
      </c>
      <c r="X9" s="17">
        <f>Raw_Data_M2b!M9</f>
        <v/>
      </c>
      <c r="Y9" s="18">
        <f>IF(E9=1, W9/MAX(X9,cfg_i_clip_floor_a), "")</f>
        <v/>
      </c>
      <c r="Z9" s="15">
        <f>IF(AND(ABS(X9)&lt;cfg_i_threshold_a, W9&gt;cfg_min_voc_v), W9, "")</f>
        <v/>
      </c>
    </row>
    <row r="10">
      <c r="A10" s="5">
        <f>Raw_Data_M2b!A10</f>
        <v/>
      </c>
      <c r="B10" s="16">
        <f>Raw_Data_M2b!B10</f>
        <v/>
      </c>
      <c r="C10" s="5">
        <f>Raw_Data_M2b!C10</f>
        <v/>
      </c>
      <c r="D10" s="18">
        <f>IFERROR(VLOOKUP(B10,Meteo_Dummy!$A$5:$B$28,2,FALSE),0)</f>
        <v/>
      </c>
      <c r="E10" s="5">
        <f>IF(AND(D10&gt;cfg_poa_threshold_wm2,D10&gt;cfg_poa_floor_wm2),1,0)</f>
        <v/>
      </c>
      <c r="F10" s="5">
        <f>IF(ISNUMBER(SEARCH("grid connected",LOWER(C10))),1,0)</f>
        <v/>
      </c>
      <c r="G10" s="15">
        <f>Raw_Data_M2b!D10</f>
        <v/>
      </c>
      <c r="H10" s="17">
        <f>Raw_Data_M2b!E10</f>
        <v/>
      </c>
      <c r="I10" s="18">
        <f>IF(E10=1, G10/MAX(H10,cfg_i_clip_floor_a), "")</f>
        <v/>
      </c>
      <c r="J10" s="15">
        <f>IF(AND(ABS(H10)&lt;cfg_i_threshold_a, G10&gt;cfg_min_voc_v), G10, "")</f>
        <v/>
      </c>
      <c r="K10" s="15">
        <f>Raw_Data_M2b!F10</f>
        <v/>
      </c>
      <c r="L10" s="17">
        <f>Raw_Data_M2b!G10</f>
        <v/>
      </c>
      <c r="M10" s="18">
        <f>IF(E10=1, K10/MAX(L10,cfg_i_clip_floor_a), "")</f>
        <v/>
      </c>
      <c r="N10" s="15">
        <f>IF(AND(ABS(L10)&lt;cfg_i_threshold_a, K10&gt;cfg_min_voc_v), K10, "")</f>
        <v/>
      </c>
      <c r="O10" s="15">
        <f>Raw_Data_M2b!H10</f>
        <v/>
      </c>
      <c r="P10" s="17">
        <f>Raw_Data_M2b!I10</f>
        <v/>
      </c>
      <c r="Q10" s="18">
        <f>IF(E10=1, O10/MAX(P10,cfg_i_clip_floor_a), "")</f>
        <v/>
      </c>
      <c r="R10" s="15">
        <f>IF(AND(ABS(P10)&lt;cfg_i_threshold_a, O10&gt;cfg_min_voc_v), O10, "")</f>
        <v/>
      </c>
      <c r="S10" s="15">
        <f>Raw_Data_M2b!J10</f>
        <v/>
      </c>
      <c r="T10" s="17">
        <f>Raw_Data_M2b!K10</f>
        <v/>
      </c>
      <c r="U10" s="18">
        <f>IF(E10=1, S10/MAX(T10,cfg_i_clip_floor_a), "")</f>
        <v/>
      </c>
      <c r="V10" s="15">
        <f>IF(AND(ABS(T10)&lt;cfg_i_threshold_a, S10&gt;cfg_min_voc_v), S10, "")</f>
        <v/>
      </c>
      <c r="W10" s="15">
        <f>Raw_Data_M2b!L10</f>
        <v/>
      </c>
      <c r="X10" s="17">
        <f>Raw_Data_M2b!M10</f>
        <v/>
      </c>
      <c r="Y10" s="18">
        <f>IF(E10=1, W10/MAX(X10,cfg_i_clip_floor_a), "")</f>
        <v/>
      </c>
      <c r="Z10" s="15">
        <f>IF(AND(ABS(X10)&lt;cfg_i_threshold_a, W10&gt;cfg_min_voc_v), W10, "")</f>
        <v/>
      </c>
    </row>
    <row r="11">
      <c r="A11" s="5">
        <f>Raw_Data_M2b!A11</f>
        <v/>
      </c>
      <c r="B11" s="16">
        <f>Raw_Data_M2b!B11</f>
        <v/>
      </c>
      <c r="C11" s="5">
        <f>Raw_Data_M2b!C11</f>
        <v/>
      </c>
      <c r="D11" s="18">
        <f>IFERROR(VLOOKUP(B11,Meteo_Dummy!$A$5:$B$28,2,FALSE),0)</f>
        <v/>
      </c>
      <c r="E11" s="5">
        <f>IF(AND(D11&gt;cfg_poa_threshold_wm2,D11&gt;cfg_poa_floor_wm2),1,0)</f>
        <v/>
      </c>
      <c r="F11" s="5">
        <f>IF(ISNUMBER(SEARCH("grid connected",LOWER(C11))),1,0)</f>
        <v/>
      </c>
      <c r="G11" s="15">
        <f>Raw_Data_M2b!D11</f>
        <v/>
      </c>
      <c r="H11" s="17">
        <f>Raw_Data_M2b!E11</f>
        <v/>
      </c>
      <c r="I11" s="18">
        <f>IF(E11=1, G11/MAX(H11,cfg_i_clip_floor_a), "")</f>
        <v/>
      </c>
      <c r="J11" s="15">
        <f>IF(AND(ABS(H11)&lt;cfg_i_threshold_a, G11&gt;cfg_min_voc_v), G11, "")</f>
        <v/>
      </c>
      <c r="K11" s="15">
        <f>Raw_Data_M2b!F11</f>
        <v/>
      </c>
      <c r="L11" s="17">
        <f>Raw_Data_M2b!G11</f>
        <v/>
      </c>
      <c r="M11" s="18">
        <f>IF(E11=1, K11/MAX(L11,cfg_i_clip_floor_a), "")</f>
        <v/>
      </c>
      <c r="N11" s="15">
        <f>IF(AND(ABS(L11)&lt;cfg_i_threshold_a, K11&gt;cfg_min_voc_v), K11, "")</f>
        <v/>
      </c>
      <c r="O11" s="15">
        <f>Raw_Data_M2b!H11</f>
        <v/>
      </c>
      <c r="P11" s="17">
        <f>Raw_Data_M2b!I11</f>
        <v/>
      </c>
      <c r="Q11" s="18">
        <f>IF(E11=1, O11/MAX(P11,cfg_i_clip_floor_a), "")</f>
        <v/>
      </c>
      <c r="R11" s="15">
        <f>IF(AND(ABS(P11)&lt;cfg_i_threshold_a, O11&gt;cfg_min_voc_v), O11, "")</f>
        <v/>
      </c>
      <c r="S11" s="15">
        <f>Raw_Data_M2b!J11</f>
        <v/>
      </c>
      <c r="T11" s="17">
        <f>Raw_Data_M2b!K11</f>
        <v/>
      </c>
      <c r="U11" s="18">
        <f>IF(E11=1, S11/MAX(T11,cfg_i_clip_floor_a), "")</f>
        <v/>
      </c>
      <c r="V11" s="15">
        <f>IF(AND(ABS(T11)&lt;cfg_i_threshold_a, S11&gt;cfg_min_voc_v), S11, "")</f>
        <v/>
      </c>
      <c r="W11" s="15">
        <f>Raw_Data_M2b!L11</f>
        <v/>
      </c>
      <c r="X11" s="17">
        <f>Raw_Data_M2b!M11</f>
        <v/>
      </c>
      <c r="Y11" s="18">
        <f>IF(E11=1, W11/MAX(X11,cfg_i_clip_floor_a), "")</f>
        <v/>
      </c>
      <c r="Z11" s="15">
        <f>IF(AND(ABS(X11)&lt;cfg_i_threshold_a, W11&gt;cfg_min_voc_v), W11, "")</f>
        <v/>
      </c>
    </row>
    <row r="12">
      <c r="A12" s="5">
        <f>Raw_Data_M2b!A12</f>
        <v/>
      </c>
      <c r="B12" s="16">
        <f>Raw_Data_M2b!B12</f>
        <v/>
      </c>
      <c r="C12" s="5">
        <f>Raw_Data_M2b!C12</f>
        <v/>
      </c>
      <c r="D12" s="18">
        <f>IFERROR(VLOOKUP(B12,Meteo_Dummy!$A$5:$B$28,2,FALSE),0)</f>
        <v/>
      </c>
      <c r="E12" s="5">
        <f>IF(AND(D12&gt;cfg_poa_threshold_wm2,D12&gt;cfg_poa_floor_wm2),1,0)</f>
        <v/>
      </c>
      <c r="F12" s="5">
        <f>IF(ISNUMBER(SEARCH("grid connected",LOWER(C12))),1,0)</f>
        <v/>
      </c>
      <c r="G12" s="15">
        <f>Raw_Data_M2b!D12</f>
        <v/>
      </c>
      <c r="H12" s="17">
        <f>Raw_Data_M2b!E12</f>
        <v/>
      </c>
      <c r="I12" s="18">
        <f>IF(E12=1, G12/MAX(H12,cfg_i_clip_floor_a), "")</f>
        <v/>
      </c>
      <c r="J12" s="15">
        <f>IF(AND(ABS(H12)&lt;cfg_i_threshold_a, G12&gt;cfg_min_voc_v), G12, "")</f>
        <v/>
      </c>
      <c r="K12" s="15">
        <f>Raw_Data_M2b!F12</f>
        <v/>
      </c>
      <c r="L12" s="17">
        <f>Raw_Data_M2b!G12</f>
        <v/>
      </c>
      <c r="M12" s="18">
        <f>IF(E12=1, K12/MAX(L12,cfg_i_clip_floor_a), "")</f>
        <v/>
      </c>
      <c r="N12" s="15">
        <f>IF(AND(ABS(L12)&lt;cfg_i_threshold_a, K12&gt;cfg_min_voc_v), K12, "")</f>
        <v/>
      </c>
      <c r="O12" s="15">
        <f>Raw_Data_M2b!H12</f>
        <v/>
      </c>
      <c r="P12" s="17">
        <f>Raw_Data_M2b!I12</f>
        <v/>
      </c>
      <c r="Q12" s="18">
        <f>IF(E12=1, O12/MAX(P12,cfg_i_clip_floor_a), "")</f>
        <v/>
      </c>
      <c r="R12" s="15">
        <f>IF(AND(ABS(P12)&lt;cfg_i_threshold_a, O12&gt;cfg_min_voc_v), O12, "")</f>
        <v/>
      </c>
      <c r="S12" s="15">
        <f>Raw_Data_M2b!J12</f>
        <v/>
      </c>
      <c r="T12" s="17">
        <f>Raw_Data_M2b!K12</f>
        <v/>
      </c>
      <c r="U12" s="18">
        <f>IF(E12=1, S12/MAX(T12,cfg_i_clip_floor_a), "")</f>
        <v/>
      </c>
      <c r="V12" s="15">
        <f>IF(AND(ABS(T12)&lt;cfg_i_threshold_a, S12&gt;cfg_min_voc_v), S12, "")</f>
        <v/>
      </c>
      <c r="W12" s="15">
        <f>Raw_Data_M2b!L12</f>
        <v/>
      </c>
      <c r="X12" s="17">
        <f>Raw_Data_M2b!M12</f>
        <v/>
      </c>
      <c r="Y12" s="18">
        <f>IF(E12=1, W12/MAX(X12,cfg_i_clip_floor_a), "")</f>
        <v/>
      </c>
      <c r="Z12" s="15">
        <f>IF(AND(ABS(X12)&lt;cfg_i_threshold_a, W12&gt;cfg_min_voc_v), W12, "")</f>
        <v/>
      </c>
    </row>
    <row r="13">
      <c r="A13" s="5">
        <f>Raw_Data_M2b!A13</f>
        <v/>
      </c>
      <c r="B13" s="16">
        <f>Raw_Data_M2b!B13</f>
        <v/>
      </c>
      <c r="C13" s="5">
        <f>Raw_Data_M2b!C13</f>
        <v/>
      </c>
      <c r="D13" s="18">
        <f>IFERROR(VLOOKUP(B13,Meteo_Dummy!$A$5:$B$28,2,FALSE),0)</f>
        <v/>
      </c>
      <c r="E13" s="5">
        <f>IF(AND(D13&gt;cfg_poa_threshold_wm2,D13&gt;cfg_poa_floor_wm2),1,0)</f>
        <v/>
      </c>
      <c r="F13" s="5">
        <f>IF(ISNUMBER(SEARCH("grid connected",LOWER(C13))),1,0)</f>
        <v/>
      </c>
      <c r="G13" s="15">
        <f>Raw_Data_M2b!D13</f>
        <v/>
      </c>
      <c r="H13" s="17">
        <f>Raw_Data_M2b!E13</f>
        <v/>
      </c>
      <c r="I13" s="18">
        <f>IF(E13=1, G13/MAX(H13,cfg_i_clip_floor_a), "")</f>
        <v/>
      </c>
      <c r="J13" s="15">
        <f>IF(AND(ABS(H13)&lt;cfg_i_threshold_a, G13&gt;cfg_min_voc_v), G13, "")</f>
        <v/>
      </c>
      <c r="K13" s="15">
        <f>Raw_Data_M2b!F13</f>
        <v/>
      </c>
      <c r="L13" s="17">
        <f>Raw_Data_M2b!G13</f>
        <v/>
      </c>
      <c r="M13" s="18">
        <f>IF(E13=1, K13/MAX(L13,cfg_i_clip_floor_a), "")</f>
        <v/>
      </c>
      <c r="N13" s="15">
        <f>IF(AND(ABS(L13)&lt;cfg_i_threshold_a, K13&gt;cfg_min_voc_v), K13, "")</f>
        <v/>
      </c>
      <c r="O13" s="15">
        <f>Raw_Data_M2b!H13</f>
        <v/>
      </c>
      <c r="P13" s="17">
        <f>Raw_Data_M2b!I13</f>
        <v/>
      </c>
      <c r="Q13" s="18">
        <f>IF(E13=1, O13/MAX(P13,cfg_i_clip_floor_a), "")</f>
        <v/>
      </c>
      <c r="R13" s="15">
        <f>IF(AND(ABS(P13)&lt;cfg_i_threshold_a, O13&gt;cfg_min_voc_v), O13, "")</f>
        <v/>
      </c>
      <c r="S13" s="15">
        <f>Raw_Data_M2b!J13</f>
        <v/>
      </c>
      <c r="T13" s="17">
        <f>Raw_Data_M2b!K13</f>
        <v/>
      </c>
      <c r="U13" s="18">
        <f>IF(E13=1, S13/MAX(T13,cfg_i_clip_floor_a), "")</f>
        <v/>
      </c>
      <c r="V13" s="15">
        <f>IF(AND(ABS(T13)&lt;cfg_i_threshold_a, S13&gt;cfg_min_voc_v), S13, "")</f>
        <v/>
      </c>
      <c r="W13" s="15">
        <f>Raw_Data_M2b!L13</f>
        <v/>
      </c>
      <c r="X13" s="17">
        <f>Raw_Data_M2b!M13</f>
        <v/>
      </c>
      <c r="Y13" s="18">
        <f>IF(E13=1, W13/MAX(X13,cfg_i_clip_floor_a), "")</f>
        <v/>
      </c>
      <c r="Z13" s="15">
        <f>IF(AND(ABS(X13)&lt;cfg_i_threshold_a, W13&gt;cfg_min_voc_v), W13, "")</f>
        <v/>
      </c>
    </row>
    <row r="14">
      <c r="A14" s="5">
        <f>Raw_Data_M2b!A14</f>
        <v/>
      </c>
      <c r="B14" s="16">
        <f>Raw_Data_M2b!B14</f>
        <v/>
      </c>
      <c r="C14" s="5">
        <f>Raw_Data_M2b!C14</f>
        <v/>
      </c>
      <c r="D14" s="18">
        <f>IFERROR(VLOOKUP(B14,Meteo_Dummy!$A$5:$B$28,2,FALSE),0)</f>
        <v/>
      </c>
      <c r="E14" s="5">
        <f>IF(AND(D14&gt;cfg_poa_threshold_wm2,D14&gt;cfg_poa_floor_wm2),1,0)</f>
        <v/>
      </c>
      <c r="F14" s="5">
        <f>IF(ISNUMBER(SEARCH("grid connected",LOWER(C14))),1,0)</f>
        <v/>
      </c>
      <c r="G14" s="15">
        <f>Raw_Data_M2b!D14</f>
        <v/>
      </c>
      <c r="H14" s="17">
        <f>Raw_Data_M2b!E14</f>
        <v/>
      </c>
      <c r="I14" s="18">
        <f>IF(E14=1, G14/MAX(H14,cfg_i_clip_floor_a), "")</f>
        <v/>
      </c>
      <c r="J14" s="15">
        <f>IF(AND(ABS(H14)&lt;cfg_i_threshold_a, G14&gt;cfg_min_voc_v), G14, "")</f>
        <v/>
      </c>
      <c r="K14" s="15">
        <f>Raw_Data_M2b!F14</f>
        <v/>
      </c>
      <c r="L14" s="17">
        <f>Raw_Data_M2b!G14</f>
        <v/>
      </c>
      <c r="M14" s="18">
        <f>IF(E14=1, K14/MAX(L14,cfg_i_clip_floor_a), "")</f>
        <v/>
      </c>
      <c r="N14" s="15">
        <f>IF(AND(ABS(L14)&lt;cfg_i_threshold_a, K14&gt;cfg_min_voc_v), K14, "")</f>
        <v/>
      </c>
      <c r="O14" s="15">
        <f>Raw_Data_M2b!H14</f>
        <v/>
      </c>
      <c r="P14" s="17">
        <f>Raw_Data_M2b!I14</f>
        <v/>
      </c>
      <c r="Q14" s="18">
        <f>IF(E14=1, O14/MAX(P14,cfg_i_clip_floor_a), "")</f>
        <v/>
      </c>
      <c r="R14" s="15">
        <f>IF(AND(ABS(P14)&lt;cfg_i_threshold_a, O14&gt;cfg_min_voc_v), O14, "")</f>
        <v/>
      </c>
      <c r="S14" s="15">
        <f>Raw_Data_M2b!J14</f>
        <v/>
      </c>
      <c r="T14" s="17">
        <f>Raw_Data_M2b!K14</f>
        <v/>
      </c>
      <c r="U14" s="18">
        <f>IF(E14=1, S14/MAX(T14,cfg_i_clip_floor_a), "")</f>
        <v/>
      </c>
      <c r="V14" s="15">
        <f>IF(AND(ABS(T14)&lt;cfg_i_threshold_a, S14&gt;cfg_min_voc_v), S14, "")</f>
        <v/>
      </c>
      <c r="W14" s="15">
        <f>Raw_Data_M2b!L14</f>
        <v/>
      </c>
      <c r="X14" s="17">
        <f>Raw_Data_M2b!M14</f>
        <v/>
      </c>
      <c r="Y14" s="18">
        <f>IF(E14=1, W14/MAX(X14,cfg_i_clip_floor_a), "")</f>
        <v/>
      </c>
      <c r="Z14" s="15">
        <f>IF(AND(ABS(X14)&lt;cfg_i_threshold_a, W14&gt;cfg_min_voc_v), W14, "")</f>
        <v/>
      </c>
    </row>
    <row r="15">
      <c r="A15" s="5">
        <f>Raw_Data_M2b!A15</f>
        <v/>
      </c>
      <c r="B15" s="16">
        <f>Raw_Data_M2b!B15</f>
        <v/>
      </c>
      <c r="C15" s="5">
        <f>Raw_Data_M2b!C15</f>
        <v/>
      </c>
      <c r="D15" s="18">
        <f>IFERROR(VLOOKUP(B15,Meteo_Dummy!$A$5:$B$28,2,FALSE),0)</f>
        <v/>
      </c>
      <c r="E15" s="5">
        <f>IF(AND(D15&gt;cfg_poa_threshold_wm2,D15&gt;cfg_poa_floor_wm2),1,0)</f>
        <v/>
      </c>
      <c r="F15" s="5">
        <f>IF(ISNUMBER(SEARCH("grid connected",LOWER(C15))),1,0)</f>
        <v/>
      </c>
      <c r="G15" s="15">
        <f>Raw_Data_M2b!D15</f>
        <v/>
      </c>
      <c r="H15" s="17">
        <f>Raw_Data_M2b!E15</f>
        <v/>
      </c>
      <c r="I15" s="18">
        <f>IF(E15=1, G15/MAX(H15,cfg_i_clip_floor_a), "")</f>
        <v/>
      </c>
      <c r="J15" s="15">
        <f>IF(AND(ABS(H15)&lt;cfg_i_threshold_a, G15&gt;cfg_min_voc_v), G15, "")</f>
        <v/>
      </c>
      <c r="K15" s="15">
        <f>Raw_Data_M2b!F15</f>
        <v/>
      </c>
      <c r="L15" s="17">
        <f>Raw_Data_M2b!G15</f>
        <v/>
      </c>
      <c r="M15" s="18">
        <f>IF(E15=1, K15/MAX(L15,cfg_i_clip_floor_a), "")</f>
        <v/>
      </c>
      <c r="N15" s="15">
        <f>IF(AND(ABS(L15)&lt;cfg_i_threshold_a, K15&gt;cfg_min_voc_v), K15, "")</f>
        <v/>
      </c>
      <c r="O15" s="15">
        <f>Raw_Data_M2b!H15</f>
        <v/>
      </c>
      <c r="P15" s="17">
        <f>Raw_Data_M2b!I15</f>
        <v/>
      </c>
      <c r="Q15" s="18">
        <f>IF(E15=1, O15/MAX(P15,cfg_i_clip_floor_a), "")</f>
        <v/>
      </c>
      <c r="R15" s="15">
        <f>IF(AND(ABS(P15)&lt;cfg_i_threshold_a, O15&gt;cfg_min_voc_v), O15, "")</f>
        <v/>
      </c>
      <c r="S15" s="15">
        <f>Raw_Data_M2b!J15</f>
        <v/>
      </c>
      <c r="T15" s="17">
        <f>Raw_Data_M2b!K15</f>
        <v/>
      </c>
      <c r="U15" s="18">
        <f>IF(E15=1, S15/MAX(T15,cfg_i_clip_floor_a), "")</f>
        <v/>
      </c>
      <c r="V15" s="15">
        <f>IF(AND(ABS(T15)&lt;cfg_i_threshold_a, S15&gt;cfg_min_voc_v), S15, "")</f>
        <v/>
      </c>
      <c r="W15" s="15">
        <f>Raw_Data_M2b!L15</f>
        <v/>
      </c>
      <c r="X15" s="17">
        <f>Raw_Data_M2b!M15</f>
        <v/>
      </c>
      <c r="Y15" s="18">
        <f>IF(E15=1, W15/MAX(X15,cfg_i_clip_floor_a), "")</f>
        <v/>
      </c>
      <c r="Z15" s="15">
        <f>IF(AND(ABS(X15)&lt;cfg_i_threshold_a, W15&gt;cfg_min_voc_v), W15, "")</f>
        <v/>
      </c>
    </row>
    <row r="16">
      <c r="A16" s="5">
        <f>Raw_Data_M2b!A16</f>
        <v/>
      </c>
      <c r="B16" s="16">
        <f>Raw_Data_M2b!B16</f>
        <v/>
      </c>
      <c r="C16" s="5">
        <f>Raw_Data_M2b!C16</f>
        <v/>
      </c>
      <c r="D16" s="18">
        <f>IFERROR(VLOOKUP(B16,Meteo_Dummy!$A$5:$B$28,2,FALSE),0)</f>
        <v/>
      </c>
      <c r="E16" s="5">
        <f>IF(AND(D16&gt;cfg_poa_threshold_wm2,D16&gt;cfg_poa_floor_wm2),1,0)</f>
        <v/>
      </c>
      <c r="F16" s="5">
        <f>IF(ISNUMBER(SEARCH("grid connected",LOWER(C16))),1,0)</f>
        <v/>
      </c>
      <c r="G16" s="15">
        <f>Raw_Data_M2b!D16</f>
        <v/>
      </c>
      <c r="H16" s="17">
        <f>Raw_Data_M2b!E16</f>
        <v/>
      </c>
      <c r="I16" s="18">
        <f>IF(E16=1, G16/MAX(H16,cfg_i_clip_floor_a), "")</f>
        <v/>
      </c>
      <c r="J16" s="15">
        <f>IF(AND(ABS(H16)&lt;cfg_i_threshold_a, G16&gt;cfg_min_voc_v), G16, "")</f>
        <v/>
      </c>
      <c r="K16" s="15">
        <f>Raw_Data_M2b!F16</f>
        <v/>
      </c>
      <c r="L16" s="17">
        <f>Raw_Data_M2b!G16</f>
        <v/>
      </c>
      <c r="M16" s="18">
        <f>IF(E16=1, K16/MAX(L16,cfg_i_clip_floor_a), "")</f>
        <v/>
      </c>
      <c r="N16" s="15">
        <f>IF(AND(ABS(L16)&lt;cfg_i_threshold_a, K16&gt;cfg_min_voc_v), K16, "")</f>
        <v/>
      </c>
      <c r="O16" s="15">
        <f>Raw_Data_M2b!H16</f>
        <v/>
      </c>
      <c r="P16" s="17">
        <f>Raw_Data_M2b!I16</f>
        <v/>
      </c>
      <c r="Q16" s="18">
        <f>IF(E16=1, O16/MAX(P16,cfg_i_clip_floor_a), "")</f>
        <v/>
      </c>
      <c r="R16" s="15">
        <f>IF(AND(ABS(P16)&lt;cfg_i_threshold_a, O16&gt;cfg_min_voc_v), O16, "")</f>
        <v/>
      </c>
      <c r="S16" s="15">
        <f>Raw_Data_M2b!J16</f>
        <v/>
      </c>
      <c r="T16" s="17">
        <f>Raw_Data_M2b!K16</f>
        <v/>
      </c>
      <c r="U16" s="18">
        <f>IF(E16=1, S16/MAX(T16,cfg_i_clip_floor_a), "")</f>
        <v/>
      </c>
      <c r="V16" s="15">
        <f>IF(AND(ABS(T16)&lt;cfg_i_threshold_a, S16&gt;cfg_min_voc_v), S16, "")</f>
        <v/>
      </c>
      <c r="W16" s="15">
        <f>Raw_Data_M2b!L16</f>
        <v/>
      </c>
      <c r="X16" s="17">
        <f>Raw_Data_M2b!M16</f>
        <v/>
      </c>
      <c r="Y16" s="18">
        <f>IF(E16=1, W16/MAX(X16,cfg_i_clip_floor_a), "")</f>
        <v/>
      </c>
      <c r="Z16" s="15">
        <f>IF(AND(ABS(X16)&lt;cfg_i_threshold_a, W16&gt;cfg_min_voc_v), W16, "")</f>
        <v/>
      </c>
    </row>
    <row r="17">
      <c r="A17" s="5">
        <f>Raw_Data_M2b!A17</f>
        <v/>
      </c>
      <c r="B17" s="16">
        <f>Raw_Data_M2b!B17</f>
        <v/>
      </c>
      <c r="C17" s="5">
        <f>Raw_Data_M2b!C17</f>
        <v/>
      </c>
      <c r="D17" s="18">
        <f>IFERROR(VLOOKUP(B17,Meteo_Dummy!$A$5:$B$28,2,FALSE),0)</f>
        <v/>
      </c>
      <c r="E17" s="5">
        <f>IF(AND(D17&gt;cfg_poa_threshold_wm2,D17&gt;cfg_poa_floor_wm2),1,0)</f>
        <v/>
      </c>
      <c r="F17" s="5">
        <f>IF(ISNUMBER(SEARCH("grid connected",LOWER(C17))),1,0)</f>
        <v/>
      </c>
      <c r="G17" s="15">
        <f>Raw_Data_M2b!D17</f>
        <v/>
      </c>
      <c r="H17" s="17">
        <f>Raw_Data_M2b!E17</f>
        <v/>
      </c>
      <c r="I17" s="18">
        <f>IF(E17=1, G17/MAX(H17,cfg_i_clip_floor_a), "")</f>
        <v/>
      </c>
      <c r="J17" s="15">
        <f>IF(AND(ABS(H17)&lt;cfg_i_threshold_a, G17&gt;cfg_min_voc_v), G17, "")</f>
        <v/>
      </c>
      <c r="K17" s="15">
        <f>Raw_Data_M2b!F17</f>
        <v/>
      </c>
      <c r="L17" s="17">
        <f>Raw_Data_M2b!G17</f>
        <v/>
      </c>
      <c r="M17" s="18">
        <f>IF(E17=1, K17/MAX(L17,cfg_i_clip_floor_a), "")</f>
        <v/>
      </c>
      <c r="N17" s="15">
        <f>IF(AND(ABS(L17)&lt;cfg_i_threshold_a, K17&gt;cfg_min_voc_v), K17, "")</f>
        <v/>
      </c>
      <c r="O17" s="15">
        <f>Raw_Data_M2b!H17</f>
        <v/>
      </c>
      <c r="P17" s="17">
        <f>Raw_Data_M2b!I17</f>
        <v/>
      </c>
      <c r="Q17" s="18">
        <f>IF(E17=1, O17/MAX(P17,cfg_i_clip_floor_a), "")</f>
        <v/>
      </c>
      <c r="R17" s="15">
        <f>IF(AND(ABS(P17)&lt;cfg_i_threshold_a, O17&gt;cfg_min_voc_v), O17, "")</f>
        <v/>
      </c>
      <c r="S17" s="15">
        <f>Raw_Data_M2b!J17</f>
        <v/>
      </c>
      <c r="T17" s="17">
        <f>Raw_Data_M2b!K17</f>
        <v/>
      </c>
      <c r="U17" s="18">
        <f>IF(E17=1, S17/MAX(T17,cfg_i_clip_floor_a), "")</f>
        <v/>
      </c>
      <c r="V17" s="15">
        <f>IF(AND(ABS(T17)&lt;cfg_i_threshold_a, S17&gt;cfg_min_voc_v), S17, "")</f>
        <v/>
      </c>
      <c r="W17" s="15">
        <f>Raw_Data_M2b!L17</f>
        <v/>
      </c>
      <c r="X17" s="17">
        <f>Raw_Data_M2b!M17</f>
        <v/>
      </c>
      <c r="Y17" s="18">
        <f>IF(E17=1, W17/MAX(X17,cfg_i_clip_floor_a), "")</f>
        <v/>
      </c>
      <c r="Z17" s="15">
        <f>IF(AND(ABS(X17)&lt;cfg_i_threshold_a, W17&gt;cfg_min_voc_v), W17, "")</f>
        <v/>
      </c>
    </row>
    <row r="18">
      <c r="A18" s="5">
        <f>Raw_Data_M2b!A18</f>
        <v/>
      </c>
      <c r="B18" s="16">
        <f>Raw_Data_M2b!B18</f>
        <v/>
      </c>
      <c r="C18" s="5">
        <f>Raw_Data_M2b!C18</f>
        <v/>
      </c>
      <c r="D18" s="18">
        <f>IFERROR(VLOOKUP(B18,Meteo_Dummy!$A$5:$B$28,2,FALSE),0)</f>
        <v/>
      </c>
      <c r="E18" s="5">
        <f>IF(AND(D18&gt;cfg_poa_threshold_wm2,D18&gt;cfg_poa_floor_wm2),1,0)</f>
        <v/>
      </c>
      <c r="F18" s="5">
        <f>IF(ISNUMBER(SEARCH("grid connected",LOWER(C18))),1,0)</f>
        <v/>
      </c>
      <c r="G18" s="15">
        <f>Raw_Data_M2b!D18</f>
        <v/>
      </c>
      <c r="H18" s="17">
        <f>Raw_Data_M2b!E18</f>
        <v/>
      </c>
      <c r="I18" s="18">
        <f>IF(E18=1, G18/MAX(H18,cfg_i_clip_floor_a), "")</f>
        <v/>
      </c>
      <c r="J18" s="15">
        <f>IF(AND(ABS(H18)&lt;cfg_i_threshold_a, G18&gt;cfg_min_voc_v), G18, "")</f>
        <v/>
      </c>
      <c r="K18" s="15">
        <f>Raw_Data_M2b!F18</f>
        <v/>
      </c>
      <c r="L18" s="17">
        <f>Raw_Data_M2b!G18</f>
        <v/>
      </c>
      <c r="M18" s="18">
        <f>IF(E18=1, K18/MAX(L18,cfg_i_clip_floor_a), "")</f>
        <v/>
      </c>
      <c r="N18" s="15">
        <f>IF(AND(ABS(L18)&lt;cfg_i_threshold_a, K18&gt;cfg_min_voc_v), K18, "")</f>
        <v/>
      </c>
      <c r="O18" s="15">
        <f>Raw_Data_M2b!H18</f>
        <v/>
      </c>
      <c r="P18" s="17">
        <f>Raw_Data_M2b!I18</f>
        <v/>
      </c>
      <c r="Q18" s="18">
        <f>IF(E18=1, O18/MAX(P18,cfg_i_clip_floor_a), "")</f>
        <v/>
      </c>
      <c r="R18" s="15">
        <f>IF(AND(ABS(P18)&lt;cfg_i_threshold_a, O18&gt;cfg_min_voc_v), O18, "")</f>
        <v/>
      </c>
      <c r="S18" s="15">
        <f>Raw_Data_M2b!J18</f>
        <v/>
      </c>
      <c r="T18" s="17">
        <f>Raw_Data_M2b!K18</f>
        <v/>
      </c>
      <c r="U18" s="18">
        <f>IF(E18=1, S18/MAX(T18,cfg_i_clip_floor_a), "")</f>
        <v/>
      </c>
      <c r="V18" s="15">
        <f>IF(AND(ABS(T18)&lt;cfg_i_threshold_a, S18&gt;cfg_min_voc_v), S18, "")</f>
        <v/>
      </c>
      <c r="W18" s="15">
        <f>Raw_Data_M2b!L18</f>
        <v/>
      </c>
      <c r="X18" s="17">
        <f>Raw_Data_M2b!M18</f>
        <v/>
      </c>
      <c r="Y18" s="18">
        <f>IF(E18=1, W18/MAX(X18,cfg_i_clip_floor_a), "")</f>
        <v/>
      </c>
      <c r="Z18" s="15">
        <f>IF(AND(ABS(X18)&lt;cfg_i_threshold_a, W18&gt;cfg_min_voc_v), W18, "")</f>
        <v/>
      </c>
    </row>
    <row r="19">
      <c r="A19" s="5">
        <f>Raw_Data_M2b!A19</f>
        <v/>
      </c>
      <c r="B19" s="16">
        <f>Raw_Data_M2b!B19</f>
        <v/>
      </c>
      <c r="C19" s="5">
        <f>Raw_Data_M2b!C19</f>
        <v/>
      </c>
      <c r="D19" s="18">
        <f>IFERROR(VLOOKUP(B19,Meteo_Dummy!$A$5:$B$28,2,FALSE),0)</f>
        <v/>
      </c>
      <c r="E19" s="5">
        <f>IF(AND(D19&gt;cfg_poa_threshold_wm2,D19&gt;cfg_poa_floor_wm2),1,0)</f>
        <v/>
      </c>
      <c r="F19" s="5">
        <f>IF(ISNUMBER(SEARCH("grid connected",LOWER(C19))),1,0)</f>
        <v/>
      </c>
      <c r="G19" s="15">
        <f>Raw_Data_M2b!D19</f>
        <v/>
      </c>
      <c r="H19" s="17">
        <f>Raw_Data_M2b!E19</f>
        <v/>
      </c>
      <c r="I19" s="18">
        <f>IF(E19=1, G19/MAX(H19,cfg_i_clip_floor_a), "")</f>
        <v/>
      </c>
      <c r="J19" s="15">
        <f>IF(AND(ABS(H19)&lt;cfg_i_threshold_a, G19&gt;cfg_min_voc_v), G19, "")</f>
        <v/>
      </c>
      <c r="K19" s="15">
        <f>Raw_Data_M2b!F19</f>
        <v/>
      </c>
      <c r="L19" s="17">
        <f>Raw_Data_M2b!G19</f>
        <v/>
      </c>
      <c r="M19" s="18">
        <f>IF(E19=1, K19/MAX(L19,cfg_i_clip_floor_a), "")</f>
        <v/>
      </c>
      <c r="N19" s="15">
        <f>IF(AND(ABS(L19)&lt;cfg_i_threshold_a, K19&gt;cfg_min_voc_v), K19, "")</f>
        <v/>
      </c>
      <c r="O19" s="15">
        <f>Raw_Data_M2b!H19</f>
        <v/>
      </c>
      <c r="P19" s="17">
        <f>Raw_Data_M2b!I19</f>
        <v/>
      </c>
      <c r="Q19" s="18">
        <f>IF(E19=1, O19/MAX(P19,cfg_i_clip_floor_a), "")</f>
        <v/>
      </c>
      <c r="R19" s="15">
        <f>IF(AND(ABS(P19)&lt;cfg_i_threshold_a, O19&gt;cfg_min_voc_v), O19, "")</f>
        <v/>
      </c>
      <c r="S19" s="15">
        <f>Raw_Data_M2b!J19</f>
        <v/>
      </c>
      <c r="T19" s="17">
        <f>Raw_Data_M2b!K19</f>
        <v/>
      </c>
      <c r="U19" s="18">
        <f>IF(E19=1, S19/MAX(T19,cfg_i_clip_floor_a), "")</f>
        <v/>
      </c>
      <c r="V19" s="15">
        <f>IF(AND(ABS(T19)&lt;cfg_i_threshold_a, S19&gt;cfg_min_voc_v), S19, "")</f>
        <v/>
      </c>
      <c r="W19" s="15">
        <f>Raw_Data_M2b!L19</f>
        <v/>
      </c>
      <c r="X19" s="17">
        <f>Raw_Data_M2b!M19</f>
        <v/>
      </c>
      <c r="Y19" s="18">
        <f>IF(E19=1, W19/MAX(X19,cfg_i_clip_floor_a), "")</f>
        <v/>
      </c>
      <c r="Z19" s="15">
        <f>IF(AND(ABS(X19)&lt;cfg_i_threshold_a, W19&gt;cfg_min_voc_v), W19, "")</f>
        <v/>
      </c>
    </row>
    <row r="20">
      <c r="A20" s="5">
        <f>Raw_Data_M2b!A20</f>
        <v/>
      </c>
      <c r="B20" s="16">
        <f>Raw_Data_M2b!B20</f>
        <v/>
      </c>
      <c r="C20" s="5">
        <f>Raw_Data_M2b!C20</f>
        <v/>
      </c>
      <c r="D20" s="18">
        <f>IFERROR(VLOOKUP(B20,Meteo_Dummy!$A$5:$B$28,2,FALSE),0)</f>
        <v/>
      </c>
      <c r="E20" s="5">
        <f>IF(AND(D20&gt;cfg_poa_threshold_wm2,D20&gt;cfg_poa_floor_wm2),1,0)</f>
        <v/>
      </c>
      <c r="F20" s="5">
        <f>IF(ISNUMBER(SEARCH("grid connected",LOWER(C20))),1,0)</f>
        <v/>
      </c>
      <c r="G20" s="15">
        <f>Raw_Data_M2b!D20</f>
        <v/>
      </c>
      <c r="H20" s="17">
        <f>Raw_Data_M2b!E20</f>
        <v/>
      </c>
      <c r="I20" s="18">
        <f>IF(E20=1, G20/MAX(H20,cfg_i_clip_floor_a), "")</f>
        <v/>
      </c>
      <c r="J20" s="15">
        <f>IF(AND(ABS(H20)&lt;cfg_i_threshold_a, G20&gt;cfg_min_voc_v), G20, "")</f>
        <v/>
      </c>
      <c r="K20" s="15">
        <f>Raw_Data_M2b!F20</f>
        <v/>
      </c>
      <c r="L20" s="17">
        <f>Raw_Data_M2b!G20</f>
        <v/>
      </c>
      <c r="M20" s="18">
        <f>IF(E20=1, K20/MAX(L20,cfg_i_clip_floor_a), "")</f>
        <v/>
      </c>
      <c r="N20" s="15">
        <f>IF(AND(ABS(L20)&lt;cfg_i_threshold_a, K20&gt;cfg_min_voc_v), K20, "")</f>
        <v/>
      </c>
      <c r="O20" s="15">
        <f>Raw_Data_M2b!H20</f>
        <v/>
      </c>
      <c r="P20" s="17">
        <f>Raw_Data_M2b!I20</f>
        <v/>
      </c>
      <c r="Q20" s="18">
        <f>IF(E20=1, O20/MAX(P20,cfg_i_clip_floor_a), "")</f>
        <v/>
      </c>
      <c r="R20" s="15">
        <f>IF(AND(ABS(P20)&lt;cfg_i_threshold_a, O20&gt;cfg_min_voc_v), O20, "")</f>
        <v/>
      </c>
      <c r="S20" s="15">
        <f>Raw_Data_M2b!J20</f>
        <v/>
      </c>
      <c r="T20" s="17">
        <f>Raw_Data_M2b!K20</f>
        <v/>
      </c>
      <c r="U20" s="18">
        <f>IF(E20=1, S20/MAX(T20,cfg_i_clip_floor_a), "")</f>
        <v/>
      </c>
      <c r="V20" s="15">
        <f>IF(AND(ABS(T20)&lt;cfg_i_threshold_a, S20&gt;cfg_min_voc_v), S20, "")</f>
        <v/>
      </c>
      <c r="W20" s="15">
        <f>Raw_Data_M2b!L20</f>
        <v/>
      </c>
      <c r="X20" s="17">
        <f>Raw_Data_M2b!M20</f>
        <v/>
      </c>
      <c r="Y20" s="18">
        <f>IF(E20=1, W20/MAX(X20,cfg_i_clip_floor_a), "")</f>
        <v/>
      </c>
      <c r="Z20" s="15">
        <f>IF(AND(ABS(X20)&lt;cfg_i_threshold_a, W20&gt;cfg_min_voc_v), W20, "")</f>
        <v/>
      </c>
    </row>
    <row r="21">
      <c r="A21" s="5">
        <f>Raw_Data_M2b!A21</f>
        <v/>
      </c>
      <c r="B21" s="16">
        <f>Raw_Data_M2b!B21</f>
        <v/>
      </c>
      <c r="C21" s="5">
        <f>Raw_Data_M2b!C21</f>
        <v/>
      </c>
      <c r="D21" s="18">
        <f>IFERROR(VLOOKUP(B21,Meteo_Dummy!$A$5:$B$28,2,FALSE),0)</f>
        <v/>
      </c>
      <c r="E21" s="5">
        <f>IF(AND(D21&gt;cfg_poa_threshold_wm2,D21&gt;cfg_poa_floor_wm2),1,0)</f>
        <v/>
      </c>
      <c r="F21" s="5">
        <f>IF(ISNUMBER(SEARCH("grid connected",LOWER(C21))),1,0)</f>
        <v/>
      </c>
      <c r="G21" s="15">
        <f>Raw_Data_M2b!D21</f>
        <v/>
      </c>
      <c r="H21" s="17">
        <f>Raw_Data_M2b!E21</f>
        <v/>
      </c>
      <c r="I21" s="18">
        <f>IF(E21=1, G21/MAX(H21,cfg_i_clip_floor_a), "")</f>
        <v/>
      </c>
      <c r="J21" s="15">
        <f>IF(AND(ABS(H21)&lt;cfg_i_threshold_a, G21&gt;cfg_min_voc_v), G21, "")</f>
        <v/>
      </c>
      <c r="K21" s="15">
        <f>Raw_Data_M2b!F21</f>
        <v/>
      </c>
      <c r="L21" s="17">
        <f>Raw_Data_M2b!G21</f>
        <v/>
      </c>
      <c r="M21" s="18">
        <f>IF(E21=1, K21/MAX(L21,cfg_i_clip_floor_a), "")</f>
        <v/>
      </c>
      <c r="N21" s="15">
        <f>IF(AND(ABS(L21)&lt;cfg_i_threshold_a, K21&gt;cfg_min_voc_v), K21, "")</f>
        <v/>
      </c>
      <c r="O21" s="15">
        <f>Raw_Data_M2b!H21</f>
        <v/>
      </c>
      <c r="P21" s="17">
        <f>Raw_Data_M2b!I21</f>
        <v/>
      </c>
      <c r="Q21" s="18">
        <f>IF(E21=1, O21/MAX(P21,cfg_i_clip_floor_a), "")</f>
        <v/>
      </c>
      <c r="R21" s="15">
        <f>IF(AND(ABS(P21)&lt;cfg_i_threshold_a, O21&gt;cfg_min_voc_v), O21, "")</f>
        <v/>
      </c>
      <c r="S21" s="15">
        <f>Raw_Data_M2b!J21</f>
        <v/>
      </c>
      <c r="T21" s="17">
        <f>Raw_Data_M2b!K21</f>
        <v/>
      </c>
      <c r="U21" s="18">
        <f>IF(E21=1, S21/MAX(T21,cfg_i_clip_floor_a), "")</f>
        <v/>
      </c>
      <c r="V21" s="15">
        <f>IF(AND(ABS(T21)&lt;cfg_i_threshold_a, S21&gt;cfg_min_voc_v), S21, "")</f>
        <v/>
      </c>
      <c r="W21" s="15">
        <f>Raw_Data_M2b!L21</f>
        <v/>
      </c>
      <c r="X21" s="17">
        <f>Raw_Data_M2b!M21</f>
        <v/>
      </c>
      <c r="Y21" s="18">
        <f>IF(E21=1, W21/MAX(X21,cfg_i_clip_floor_a), "")</f>
        <v/>
      </c>
      <c r="Z21" s="15">
        <f>IF(AND(ABS(X21)&lt;cfg_i_threshold_a, W21&gt;cfg_min_voc_v), W21, "")</f>
        <v/>
      </c>
    </row>
    <row r="22">
      <c r="A22" s="5">
        <f>Raw_Data_M2b!A22</f>
        <v/>
      </c>
      <c r="B22" s="16">
        <f>Raw_Data_M2b!B22</f>
        <v/>
      </c>
      <c r="C22" s="5">
        <f>Raw_Data_M2b!C22</f>
        <v/>
      </c>
      <c r="D22" s="18">
        <f>IFERROR(VLOOKUP(B22,Meteo_Dummy!$A$5:$B$28,2,FALSE),0)</f>
        <v/>
      </c>
      <c r="E22" s="5">
        <f>IF(AND(D22&gt;cfg_poa_threshold_wm2,D22&gt;cfg_poa_floor_wm2),1,0)</f>
        <v/>
      </c>
      <c r="F22" s="5">
        <f>IF(ISNUMBER(SEARCH("grid connected",LOWER(C22))),1,0)</f>
        <v/>
      </c>
      <c r="G22" s="15">
        <f>Raw_Data_M2b!D22</f>
        <v/>
      </c>
      <c r="H22" s="17">
        <f>Raw_Data_M2b!E22</f>
        <v/>
      </c>
      <c r="I22" s="18">
        <f>IF(E22=1, G22/MAX(H22,cfg_i_clip_floor_a), "")</f>
        <v/>
      </c>
      <c r="J22" s="15">
        <f>IF(AND(ABS(H22)&lt;cfg_i_threshold_a, G22&gt;cfg_min_voc_v), G22, "")</f>
        <v/>
      </c>
      <c r="K22" s="15">
        <f>Raw_Data_M2b!F22</f>
        <v/>
      </c>
      <c r="L22" s="17">
        <f>Raw_Data_M2b!G22</f>
        <v/>
      </c>
      <c r="M22" s="18">
        <f>IF(E22=1, K22/MAX(L22,cfg_i_clip_floor_a), "")</f>
        <v/>
      </c>
      <c r="N22" s="15">
        <f>IF(AND(ABS(L22)&lt;cfg_i_threshold_a, K22&gt;cfg_min_voc_v), K22, "")</f>
        <v/>
      </c>
      <c r="O22" s="15">
        <f>Raw_Data_M2b!H22</f>
        <v/>
      </c>
      <c r="P22" s="17">
        <f>Raw_Data_M2b!I22</f>
        <v/>
      </c>
      <c r="Q22" s="18">
        <f>IF(E22=1, O22/MAX(P22,cfg_i_clip_floor_a), "")</f>
        <v/>
      </c>
      <c r="R22" s="15">
        <f>IF(AND(ABS(P22)&lt;cfg_i_threshold_a, O22&gt;cfg_min_voc_v), O22, "")</f>
        <v/>
      </c>
      <c r="S22" s="15">
        <f>Raw_Data_M2b!J22</f>
        <v/>
      </c>
      <c r="T22" s="17">
        <f>Raw_Data_M2b!K22</f>
        <v/>
      </c>
      <c r="U22" s="18">
        <f>IF(E22=1, S22/MAX(T22,cfg_i_clip_floor_a), "")</f>
        <v/>
      </c>
      <c r="V22" s="15">
        <f>IF(AND(ABS(T22)&lt;cfg_i_threshold_a, S22&gt;cfg_min_voc_v), S22, "")</f>
        <v/>
      </c>
      <c r="W22" s="15">
        <f>Raw_Data_M2b!L22</f>
        <v/>
      </c>
      <c r="X22" s="17">
        <f>Raw_Data_M2b!M22</f>
        <v/>
      </c>
      <c r="Y22" s="18">
        <f>IF(E22=1, W22/MAX(X22,cfg_i_clip_floor_a), "")</f>
        <v/>
      </c>
      <c r="Z22" s="15">
        <f>IF(AND(ABS(X22)&lt;cfg_i_threshold_a, W22&gt;cfg_min_voc_v), W22, "")</f>
        <v/>
      </c>
    </row>
    <row r="23">
      <c r="A23" s="5">
        <f>Raw_Data_M2b!A23</f>
        <v/>
      </c>
      <c r="B23" s="16">
        <f>Raw_Data_M2b!B23</f>
        <v/>
      </c>
      <c r="C23" s="5">
        <f>Raw_Data_M2b!C23</f>
        <v/>
      </c>
      <c r="D23" s="18">
        <f>IFERROR(VLOOKUP(B23,Meteo_Dummy!$A$5:$B$28,2,FALSE),0)</f>
        <v/>
      </c>
      <c r="E23" s="5">
        <f>IF(AND(D23&gt;cfg_poa_threshold_wm2,D23&gt;cfg_poa_floor_wm2),1,0)</f>
        <v/>
      </c>
      <c r="F23" s="5">
        <f>IF(ISNUMBER(SEARCH("grid connected",LOWER(C23))),1,0)</f>
        <v/>
      </c>
      <c r="G23" s="15">
        <f>Raw_Data_M2b!D23</f>
        <v/>
      </c>
      <c r="H23" s="17">
        <f>Raw_Data_M2b!E23</f>
        <v/>
      </c>
      <c r="I23" s="18">
        <f>IF(E23=1, G23/MAX(H23,cfg_i_clip_floor_a), "")</f>
        <v/>
      </c>
      <c r="J23" s="15">
        <f>IF(AND(ABS(H23)&lt;cfg_i_threshold_a, G23&gt;cfg_min_voc_v), G23, "")</f>
        <v/>
      </c>
      <c r="K23" s="15">
        <f>Raw_Data_M2b!F23</f>
        <v/>
      </c>
      <c r="L23" s="17">
        <f>Raw_Data_M2b!G23</f>
        <v/>
      </c>
      <c r="M23" s="18">
        <f>IF(E23=1, K23/MAX(L23,cfg_i_clip_floor_a), "")</f>
        <v/>
      </c>
      <c r="N23" s="15">
        <f>IF(AND(ABS(L23)&lt;cfg_i_threshold_a, K23&gt;cfg_min_voc_v), K23, "")</f>
        <v/>
      </c>
      <c r="O23" s="15">
        <f>Raw_Data_M2b!H23</f>
        <v/>
      </c>
      <c r="P23" s="17">
        <f>Raw_Data_M2b!I23</f>
        <v/>
      </c>
      <c r="Q23" s="18">
        <f>IF(E23=1, O23/MAX(P23,cfg_i_clip_floor_a), "")</f>
        <v/>
      </c>
      <c r="R23" s="15">
        <f>IF(AND(ABS(P23)&lt;cfg_i_threshold_a, O23&gt;cfg_min_voc_v), O23, "")</f>
        <v/>
      </c>
      <c r="S23" s="15">
        <f>Raw_Data_M2b!J23</f>
        <v/>
      </c>
      <c r="T23" s="17">
        <f>Raw_Data_M2b!K23</f>
        <v/>
      </c>
      <c r="U23" s="18">
        <f>IF(E23=1, S23/MAX(T23,cfg_i_clip_floor_a), "")</f>
        <v/>
      </c>
      <c r="V23" s="15">
        <f>IF(AND(ABS(T23)&lt;cfg_i_threshold_a, S23&gt;cfg_min_voc_v), S23, "")</f>
        <v/>
      </c>
      <c r="W23" s="15">
        <f>Raw_Data_M2b!L23</f>
        <v/>
      </c>
      <c r="X23" s="17">
        <f>Raw_Data_M2b!M23</f>
        <v/>
      </c>
      <c r="Y23" s="18">
        <f>IF(E23=1, W23/MAX(X23,cfg_i_clip_floor_a), "")</f>
        <v/>
      </c>
      <c r="Z23" s="15">
        <f>IF(AND(ABS(X23)&lt;cfg_i_threshold_a, W23&gt;cfg_min_voc_v), W23, "")</f>
        <v/>
      </c>
    </row>
    <row r="24">
      <c r="A24" s="5">
        <f>Raw_Data_M2b!A24</f>
        <v/>
      </c>
      <c r="B24" s="16">
        <f>Raw_Data_M2b!B24</f>
        <v/>
      </c>
      <c r="C24" s="5">
        <f>Raw_Data_M2b!C24</f>
        <v/>
      </c>
      <c r="D24" s="18">
        <f>IFERROR(VLOOKUP(B24,Meteo_Dummy!$A$5:$B$28,2,FALSE),0)</f>
        <v/>
      </c>
      <c r="E24" s="5">
        <f>IF(AND(D24&gt;cfg_poa_threshold_wm2,D24&gt;cfg_poa_floor_wm2),1,0)</f>
        <v/>
      </c>
      <c r="F24" s="5">
        <f>IF(ISNUMBER(SEARCH("grid connected",LOWER(C24))),1,0)</f>
        <v/>
      </c>
      <c r="G24" s="15">
        <f>Raw_Data_M2b!D24</f>
        <v/>
      </c>
      <c r="H24" s="17">
        <f>Raw_Data_M2b!E24</f>
        <v/>
      </c>
      <c r="I24" s="18">
        <f>IF(E24=1, G24/MAX(H24,cfg_i_clip_floor_a), "")</f>
        <v/>
      </c>
      <c r="J24" s="15">
        <f>IF(AND(ABS(H24)&lt;cfg_i_threshold_a, G24&gt;cfg_min_voc_v), G24, "")</f>
        <v/>
      </c>
      <c r="K24" s="15">
        <f>Raw_Data_M2b!F24</f>
        <v/>
      </c>
      <c r="L24" s="17">
        <f>Raw_Data_M2b!G24</f>
        <v/>
      </c>
      <c r="M24" s="18">
        <f>IF(E24=1, K24/MAX(L24,cfg_i_clip_floor_a), "")</f>
        <v/>
      </c>
      <c r="N24" s="15">
        <f>IF(AND(ABS(L24)&lt;cfg_i_threshold_a, K24&gt;cfg_min_voc_v), K24, "")</f>
        <v/>
      </c>
      <c r="O24" s="15">
        <f>Raw_Data_M2b!H24</f>
        <v/>
      </c>
      <c r="P24" s="17">
        <f>Raw_Data_M2b!I24</f>
        <v/>
      </c>
      <c r="Q24" s="18">
        <f>IF(E24=1, O24/MAX(P24,cfg_i_clip_floor_a), "")</f>
        <v/>
      </c>
      <c r="R24" s="15">
        <f>IF(AND(ABS(P24)&lt;cfg_i_threshold_a, O24&gt;cfg_min_voc_v), O24, "")</f>
        <v/>
      </c>
      <c r="S24" s="15">
        <f>Raw_Data_M2b!J24</f>
        <v/>
      </c>
      <c r="T24" s="17">
        <f>Raw_Data_M2b!K24</f>
        <v/>
      </c>
      <c r="U24" s="18">
        <f>IF(E24=1, S24/MAX(T24,cfg_i_clip_floor_a), "")</f>
        <v/>
      </c>
      <c r="V24" s="15">
        <f>IF(AND(ABS(T24)&lt;cfg_i_threshold_a, S24&gt;cfg_min_voc_v), S24, "")</f>
        <v/>
      </c>
      <c r="W24" s="15">
        <f>Raw_Data_M2b!L24</f>
        <v/>
      </c>
      <c r="X24" s="17">
        <f>Raw_Data_M2b!M24</f>
        <v/>
      </c>
      <c r="Y24" s="18">
        <f>IF(E24=1, W24/MAX(X24,cfg_i_clip_floor_a), "")</f>
        <v/>
      </c>
      <c r="Z24" s="15">
        <f>IF(AND(ABS(X24)&lt;cfg_i_threshold_a, W24&gt;cfg_min_voc_v), W24, "")</f>
        <v/>
      </c>
    </row>
    <row r="25">
      <c r="A25" s="5">
        <f>Raw_Data_M2b!A25</f>
        <v/>
      </c>
      <c r="B25" s="16">
        <f>Raw_Data_M2b!B25</f>
        <v/>
      </c>
      <c r="C25" s="5">
        <f>Raw_Data_M2b!C25</f>
        <v/>
      </c>
      <c r="D25" s="18">
        <f>IFERROR(VLOOKUP(B25,Meteo_Dummy!$A$5:$B$28,2,FALSE),0)</f>
        <v/>
      </c>
      <c r="E25" s="5">
        <f>IF(AND(D25&gt;cfg_poa_threshold_wm2,D25&gt;cfg_poa_floor_wm2),1,0)</f>
        <v/>
      </c>
      <c r="F25" s="5">
        <f>IF(ISNUMBER(SEARCH("grid connected",LOWER(C25))),1,0)</f>
        <v/>
      </c>
      <c r="G25" s="15">
        <f>Raw_Data_M2b!D25</f>
        <v/>
      </c>
      <c r="H25" s="17">
        <f>Raw_Data_M2b!E25</f>
        <v/>
      </c>
      <c r="I25" s="18">
        <f>IF(E25=1, G25/MAX(H25,cfg_i_clip_floor_a), "")</f>
        <v/>
      </c>
      <c r="J25" s="15">
        <f>IF(AND(ABS(H25)&lt;cfg_i_threshold_a, G25&gt;cfg_min_voc_v), G25, "")</f>
        <v/>
      </c>
      <c r="K25" s="15">
        <f>Raw_Data_M2b!F25</f>
        <v/>
      </c>
      <c r="L25" s="17">
        <f>Raw_Data_M2b!G25</f>
        <v/>
      </c>
      <c r="M25" s="18">
        <f>IF(E25=1, K25/MAX(L25,cfg_i_clip_floor_a), "")</f>
        <v/>
      </c>
      <c r="N25" s="15">
        <f>IF(AND(ABS(L25)&lt;cfg_i_threshold_a, K25&gt;cfg_min_voc_v), K25, "")</f>
        <v/>
      </c>
      <c r="O25" s="15">
        <f>Raw_Data_M2b!H25</f>
        <v/>
      </c>
      <c r="P25" s="17">
        <f>Raw_Data_M2b!I25</f>
        <v/>
      </c>
      <c r="Q25" s="18">
        <f>IF(E25=1, O25/MAX(P25,cfg_i_clip_floor_a), "")</f>
        <v/>
      </c>
      <c r="R25" s="15">
        <f>IF(AND(ABS(P25)&lt;cfg_i_threshold_a, O25&gt;cfg_min_voc_v), O25, "")</f>
        <v/>
      </c>
      <c r="S25" s="15">
        <f>Raw_Data_M2b!J25</f>
        <v/>
      </c>
      <c r="T25" s="17">
        <f>Raw_Data_M2b!K25</f>
        <v/>
      </c>
      <c r="U25" s="18">
        <f>IF(E25=1, S25/MAX(T25,cfg_i_clip_floor_a), "")</f>
        <v/>
      </c>
      <c r="V25" s="15">
        <f>IF(AND(ABS(T25)&lt;cfg_i_threshold_a, S25&gt;cfg_min_voc_v), S25, "")</f>
        <v/>
      </c>
      <c r="W25" s="15">
        <f>Raw_Data_M2b!L25</f>
        <v/>
      </c>
      <c r="X25" s="17">
        <f>Raw_Data_M2b!M25</f>
        <v/>
      </c>
      <c r="Y25" s="18">
        <f>IF(E25=1, W25/MAX(X25,cfg_i_clip_floor_a), "")</f>
        <v/>
      </c>
      <c r="Z25" s="15">
        <f>IF(AND(ABS(X25)&lt;cfg_i_threshold_a, W25&gt;cfg_min_voc_v), W25, "")</f>
        <v/>
      </c>
    </row>
    <row r="26">
      <c r="A26" s="5">
        <f>Raw_Data_M2b!A26</f>
        <v/>
      </c>
      <c r="B26" s="16">
        <f>Raw_Data_M2b!B26</f>
        <v/>
      </c>
      <c r="C26" s="5">
        <f>Raw_Data_M2b!C26</f>
        <v/>
      </c>
      <c r="D26" s="18">
        <f>IFERROR(VLOOKUP(B26,Meteo_Dummy!$A$5:$B$28,2,FALSE),0)</f>
        <v/>
      </c>
      <c r="E26" s="5">
        <f>IF(AND(D26&gt;cfg_poa_threshold_wm2,D26&gt;cfg_poa_floor_wm2),1,0)</f>
        <v/>
      </c>
      <c r="F26" s="5">
        <f>IF(ISNUMBER(SEARCH("grid connected",LOWER(C26))),1,0)</f>
        <v/>
      </c>
      <c r="G26" s="15">
        <f>Raw_Data_M2b!D26</f>
        <v/>
      </c>
      <c r="H26" s="17">
        <f>Raw_Data_M2b!E26</f>
        <v/>
      </c>
      <c r="I26" s="18">
        <f>IF(E26=1, G26/MAX(H26,cfg_i_clip_floor_a), "")</f>
        <v/>
      </c>
      <c r="J26" s="15">
        <f>IF(AND(ABS(H26)&lt;cfg_i_threshold_a, G26&gt;cfg_min_voc_v), G26, "")</f>
        <v/>
      </c>
      <c r="K26" s="15">
        <f>Raw_Data_M2b!F26</f>
        <v/>
      </c>
      <c r="L26" s="17">
        <f>Raw_Data_M2b!G26</f>
        <v/>
      </c>
      <c r="M26" s="18">
        <f>IF(E26=1, K26/MAX(L26,cfg_i_clip_floor_a), "")</f>
        <v/>
      </c>
      <c r="N26" s="15">
        <f>IF(AND(ABS(L26)&lt;cfg_i_threshold_a, K26&gt;cfg_min_voc_v), K26, "")</f>
        <v/>
      </c>
      <c r="O26" s="15">
        <f>Raw_Data_M2b!H26</f>
        <v/>
      </c>
      <c r="P26" s="17">
        <f>Raw_Data_M2b!I26</f>
        <v/>
      </c>
      <c r="Q26" s="18">
        <f>IF(E26=1, O26/MAX(P26,cfg_i_clip_floor_a), "")</f>
        <v/>
      </c>
      <c r="R26" s="15">
        <f>IF(AND(ABS(P26)&lt;cfg_i_threshold_a, O26&gt;cfg_min_voc_v), O26, "")</f>
        <v/>
      </c>
      <c r="S26" s="15">
        <f>Raw_Data_M2b!J26</f>
        <v/>
      </c>
      <c r="T26" s="17">
        <f>Raw_Data_M2b!K26</f>
        <v/>
      </c>
      <c r="U26" s="18">
        <f>IF(E26=1, S26/MAX(T26,cfg_i_clip_floor_a), "")</f>
        <v/>
      </c>
      <c r="V26" s="15">
        <f>IF(AND(ABS(T26)&lt;cfg_i_threshold_a, S26&gt;cfg_min_voc_v), S26, "")</f>
        <v/>
      </c>
      <c r="W26" s="15">
        <f>Raw_Data_M2b!L26</f>
        <v/>
      </c>
      <c r="X26" s="17">
        <f>Raw_Data_M2b!M26</f>
        <v/>
      </c>
      <c r="Y26" s="18">
        <f>IF(E26=1, W26/MAX(X26,cfg_i_clip_floor_a), "")</f>
        <v/>
      </c>
      <c r="Z26" s="15">
        <f>IF(AND(ABS(X26)&lt;cfg_i_threshold_a, W26&gt;cfg_min_voc_v), W26, "")</f>
        <v/>
      </c>
    </row>
    <row r="27">
      <c r="A27" s="5">
        <f>Raw_Data_M2b!A27</f>
        <v/>
      </c>
      <c r="B27" s="16">
        <f>Raw_Data_M2b!B27</f>
        <v/>
      </c>
      <c r="C27" s="5">
        <f>Raw_Data_M2b!C27</f>
        <v/>
      </c>
      <c r="D27" s="18">
        <f>IFERROR(VLOOKUP(B27,Meteo_Dummy!$A$5:$B$28,2,FALSE),0)</f>
        <v/>
      </c>
      <c r="E27" s="5">
        <f>IF(AND(D27&gt;cfg_poa_threshold_wm2,D27&gt;cfg_poa_floor_wm2),1,0)</f>
        <v/>
      </c>
      <c r="F27" s="5">
        <f>IF(ISNUMBER(SEARCH("grid connected",LOWER(C27))),1,0)</f>
        <v/>
      </c>
      <c r="G27" s="15">
        <f>Raw_Data_M2b!D27</f>
        <v/>
      </c>
      <c r="H27" s="17">
        <f>Raw_Data_M2b!E27</f>
        <v/>
      </c>
      <c r="I27" s="18">
        <f>IF(E27=1, G27/MAX(H27,cfg_i_clip_floor_a), "")</f>
        <v/>
      </c>
      <c r="J27" s="15">
        <f>IF(AND(ABS(H27)&lt;cfg_i_threshold_a, G27&gt;cfg_min_voc_v), G27, "")</f>
        <v/>
      </c>
      <c r="K27" s="15">
        <f>Raw_Data_M2b!F27</f>
        <v/>
      </c>
      <c r="L27" s="17">
        <f>Raw_Data_M2b!G27</f>
        <v/>
      </c>
      <c r="M27" s="18">
        <f>IF(E27=1, K27/MAX(L27,cfg_i_clip_floor_a), "")</f>
        <v/>
      </c>
      <c r="N27" s="15">
        <f>IF(AND(ABS(L27)&lt;cfg_i_threshold_a, K27&gt;cfg_min_voc_v), K27, "")</f>
        <v/>
      </c>
      <c r="O27" s="15">
        <f>Raw_Data_M2b!H27</f>
        <v/>
      </c>
      <c r="P27" s="17">
        <f>Raw_Data_M2b!I27</f>
        <v/>
      </c>
      <c r="Q27" s="18">
        <f>IF(E27=1, O27/MAX(P27,cfg_i_clip_floor_a), "")</f>
        <v/>
      </c>
      <c r="R27" s="15">
        <f>IF(AND(ABS(P27)&lt;cfg_i_threshold_a, O27&gt;cfg_min_voc_v), O27, "")</f>
        <v/>
      </c>
      <c r="S27" s="15">
        <f>Raw_Data_M2b!J27</f>
        <v/>
      </c>
      <c r="T27" s="17">
        <f>Raw_Data_M2b!K27</f>
        <v/>
      </c>
      <c r="U27" s="18">
        <f>IF(E27=1, S27/MAX(T27,cfg_i_clip_floor_a), "")</f>
        <v/>
      </c>
      <c r="V27" s="15">
        <f>IF(AND(ABS(T27)&lt;cfg_i_threshold_a, S27&gt;cfg_min_voc_v), S27, "")</f>
        <v/>
      </c>
      <c r="W27" s="15">
        <f>Raw_Data_M2b!L27</f>
        <v/>
      </c>
      <c r="X27" s="17">
        <f>Raw_Data_M2b!M27</f>
        <v/>
      </c>
      <c r="Y27" s="18">
        <f>IF(E27=1, W27/MAX(X27,cfg_i_clip_floor_a), "")</f>
        <v/>
      </c>
      <c r="Z27" s="15">
        <f>IF(AND(ABS(X27)&lt;cfg_i_threshold_a, W27&gt;cfg_min_voc_v), W27, "")</f>
        <v/>
      </c>
    </row>
    <row r="28">
      <c r="A28" s="5">
        <f>Raw_Data_M2b!A28</f>
        <v/>
      </c>
      <c r="B28" s="16">
        <f>Raw_Data_M2b!B28</f>
        <v/>
      </c>
      <c r="C28" s="5">
        <f>Raw_Data_M2b!C28</f>
        <v/>
      </c>
      <c r="D28" s="18">
        <f>IFERROR(VLOOKUP(B28,Meteo_Dummy!$A$5:$B$28,2,FALSE),0)</f>
        <v/>
      </c>
      <c r="E28" s="5">
        <f>IF(AND(D28&gt;cfg_poa_threshold_wm2,D28&gt;cfg_poa_floor_wm2),1,0)</f>
        <v/>
      </c>
      <c r="F28" s="5">
        <f>IF(ISNUMBER(SEARCH("grid connected",LOWER(C28))),1,0)</f>
        <v/>
      </c>
      <c r="G28" s="15">
        <f>Raw_Data_M2b!D28</f>
        <v/>
      </c>
      <c r="H28" s="17">
        <f>Raw_Data_M2b!E28</f>
        <v/>
      </c>
      <c r="I28" s="18">
        <f>IF(E28=1, G28/MAX(H28,cfg_i_clip_floor_a), "")</f>
        <v/>
      </c>
      <c r="J28" s="15">
        <f>IF(AND(ABS(H28)&lt;cfg_i_threshold_a, G28&gt;cfg_min_voc_v), G28, "")</f>
        <v/>
      </c>
      <c r="K28" s="15">
        <f>Raw_Data_M2b!F28</f>
        <v/>
      </c>
      <c r="L28" s="17">
        <f>Raw_Data_M2b!G28</f>
        <v/>
      </c>
      <c r="M28" s="18">
        <f>IF(E28=1, K28/MAX(L28,cfg_i_clip_floor_a), "")</f>
        <v/>
      </c>
      <c r="N28" s="15">
        <f>IF(AND(ABS(L28)&lt;cfg_i_threshold_a, K28&gt;cfg_min_voc_v), K28, "")</f>
        <v/>
      </c>
      <c r="O28" s="15">
        <f>Raw_Data_M2b!H28</f>
        <v/>
      </c>
      <c r="P28" s="17">
        <f>Raw_Data_M2b!I28</f>
        <v/>
      </c>
      <c r="Q28" s="18">
        <f>IF(E28=1, O28/MAX(P28,cfg_i_clip_floor_a), "")</f>
        <v/>
      </c>
      <c r="R28" s="15">
        <f>IF(AND(ABS(P28)&lt;cfg_i_threshold_a, O28&gt;cfg_min_voc_v), O28, "")</f>
        <v/>
      </c>
      <c r="S28" s="15">
        <f>Raw_Data_M2b!J28</f>
        <v/>
      </c>
      <c r="T28" s="17">
        <f>Raw_Data_M2b!K28</f>
        <v/>
      </c>
      <c r="U28" s="18">
        <f>IF(E28=1, S28/MAX(T28,cfg_i_clip_floor_a), "")</f>
        <v/>
      </c>
      <c r="V28" s="15">
        <f>IF(AND(ABS(T28)&lt;cfg_i_threshold_a, S28&gt;cfg_min_voc_v), S28, "")</f>
        <v/>
      </c>
      <c r="W28" s="15">
        <f>Raw_Data_M2b!L28</f>
        <v/>
      </c>
      <c r="X28" s="17">
        <f>Raw_Data_M2b!M28</f>
        <v/>
      </c>
      <c r="Y28" s="18">
        <f>IF(E28=1, W28/MAX(X28,cfg_i_clip_floor_a), "")</f>
        <v/>
      </c>
      <c r="Z28" s="15">
        <f>IF(AND(ABS(X28)&lt;cfg_i_threshold_a, W28&gt;cfg_min_voc_v), W28, 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6" customWidth="1" min="4" max="4"/>
    <col width="14" customWidth="1" min="5" max="5"/>
    <col width="17" customWidth="1" min="6" max="6"/>
    <col width="17" customWidth="1" min="7" max="7"/>
    <col width="14" customWidth="1" min="8" max="8"/>
    <col width="11" customWidth="1" min="9" max="9"/>
    <col width="14" customWidth="1" min="10" max="10"/>
    <col width="70" customWidth="1" min="11" max="11"/>
  </cols>
  <sheetData>
    <row r="1">
      <c r="A1" s="7" t="inlineStr">
        <is>
          <t>M2b PeerZScore — agregat per PV (R_str median dari mask_poa samples) + Z-score + voc_ratio + fault decision</t>
        </is>
      </c>
    </row>
    <row r="2">
      <c r="A2" s="2" t="inlineStr">
        <is>
          <t>Spec 4.2.1: |z| &gt; 2.5 → flag. Spec 4.2.3 high_R: AND voc_ratio &gt; 0.95 → emit. Confidence = min(90, |z|/4*100). Severity: |z| &gt; 3.5 HIGH else MEDIUM.</t>
        </is>
      </c>
    </row>
    <row r="4">
      <c r="A4" s="14" t="inlineStr">
        <is>
          <t>A. Per-PV string metrics (WB05-INV05, 5 PV strings)</t>
        </is>
      </c>
    </row>
    <row r="5">
      <c r="A5" s="10" t="inlineStr">
        <is>
          <t>PV_string</t>
        </is>
      </c>
      <c r="B5" s="10" t="inlineStr">
        <is>
          <t>R_str (median)</t>
        </is>
      </c>
      <c r="C5" s="10" t="inlineStr">
        <is>
          <t>voc_actual_v (median I&lt;0.5A)</t>
        </is>
      </c>
      <c r="D5" s="10" t="inlineStr">
        <is>
          <t>voc_string_nominal_v</t>
        </is>
      </c>
      <c r="E5" s="10" t="inlineStr">
        <is>
          <t>voc_ratio</t>
        </is>
      </c>
      <c r="F5" s="10" t="inlineStr">
        <is>
          <t>n_R_samples</t>
        </is>
      </c>
      <c r="G5" s="10" t="inlineStr">
        <is>
          <t>n_voc_samples</t>
        </is>
      </c>
    </row>
    <row r="6">
      <c r="A6" s="5" t="inlineStr">
        <is>
          <t>PV1</t>
        </is>
      </c>
      <c r="B6" s="18">
        <f>IF(IFERROR(IF(ISNUMBER(SEARCH(","&amp;1&amp;",",","&amp;VLOOKUP("WB05-INV05",EmptyPVMap!$A$5:$B$9,2,FALSE)&amp;",")),1,0),0)=1,"EMPTY",IFERROR(MEDIAN(Helpers_M2b!$I$5:$I$28),""))</f>
        <v/>
      </c>
      <c r="C6" s="15">
        <f>IF(IFERROR(IF(ISNUMBER(SEARCH(","&amp;1&amp;",",","&amp;VLOOKUP("WB05-INV05",EmptyPVMap!$A$5:$B$9,2,FALSE)&amp;",")),1,0),0)=1,"EMPTY",IFERROR(MEDIAN(Helpers_M2b!$J$5:$J$28),""))</f>
        <v/>
      </c>
      <c r="D6" s="15">
        <f>voc_string_26_calc</f>
        <v/>
      </c>
      <c r="E6" s="17">
        <f>IFERROR(C6/D6,"")</f>
        <v/>
      </c>
      <c r="F6" s="5">
        <f>COUNT(Helpers_M2b!$I$5:$I$28)</f>
        <v/>
      </c>
      <c r="G6" s="5">
        <f>COUNT(Helpers_M2b!$J$5:$J$28)</f>
        <v/>
      </c>
    </row>
    <row r="7">
      <c r="A7" s="5" t="inlineStr">
        <is>
          <t>PV2</t>
        </is>
      </c>
      <c r="B7" s="18">
        <f>IF(IFERROR(IF(ISNUMBER(SEARCH(","&amp;2&amp;",",","&amp;VLOOKUP("WB05-INV05",EmptyPVMap!$A$5:$B$9,2,FALSE)&amp;",")),1,0),0)=1,"EMPTY",IFERROR(MEDIAN(Helpers_M2b!$M$5:$M$28),""))</f>
        <v/>
      </c>
      <c r="C7" s="15">
        <f>IF(IFERROR(IF(ISNUMBER(SEARCH(","&amp;2&amp;",",","&amp;VLOOKUP("WB05-INV05",EmptyPVMap!$A$5:$B$9,2,FALSE)&amp;",")),1,0),0)=1,"EMPTY",IFERROR(MEDIAN(Helpers_M2b!$N$5:$N$28),""))</f>
        <v/>
      </c>
      <c r="D7" s="15">
        <f>voc_string_26_calc</f>
        <v/>
      </c>
      <c r="E7" s="17">
        <f>IFERROR(C7/D7,"")</f>
        <v/>
      </c>
      <c r="F7" s="5">
        <f>COUNT(Helpers_M2b!$M$5:$M$28)</f>
        <v/>
      </c>
      <c r="G7" s="5">
        <f>COUNT(Helpers_M2b!$N$5:$N$28)</f>
        <v/>
      </c>
    </row>
    <row r="8">
      <c r="A8" s="5" t="inlineStr">
        <is>
          <t>PV3</t>
        </is>
      </c>
      <c r="B8" s="18">
        <f>IF(IFERROR(IF(ISNUMBER(SEARCH(","&amp;3&amp;",",","&amp;VLOOKUP("WB05-INV05",EmptyPVMap!$A$5:$B$9,2,FALSE)&amp;",")),1,0),0)=1,"EMPTY",IFERROR(MEDIAN(Helpers_M2b!$Q$5:$Q$28),""))</f>
        <v/>
      </c>
      <c r="C8" s="15">
        <f>IF(IFERROR(IF(ISNUMBER(SEARCH(","&amp;3&amp;",",","&amp;VLOOKUP("WB05-INV05",EmptyPVMap!$A$5:$B$9,2,FALSE)&amp;",")),1,0),0)=1,"EMPTY",IFERROR(MEDIAN(Helpers_M2b!$R$5:$R$28),""))</f>
        <v/>
      </c>
      <c r="D8" s="15">
        <f>voc_string_26_calc</f>
        <v/>
      </c>
      <c r="E8" s="17">
        <f>IFERROR(C8/D8,"")</f>
        <v/>
      </c>
      <c r="F8" s="5">
        <f>COUNT(Helpers_M2b!$Q$5:$Q$28)</f>
        <v/>
      </c>
      <c r="G8" s="5">
        <f>COUNT(Helpers_M2b!$R$5:$R$28)</f>
        <v/>
      </c>
    </row>
    <row r="9">
      <c r="A9" s="5" t="inlineStr">
        <is>
          <t>PV4</t>
        </is>
      </c>
      <c r="B9" s="18">
        <f>IF(IFERROR(IF(ISNUMBER(SEARCH(","&amp;4&amp;",",","&amp;VLOOKUP("WB05-INV05",EmptyPVMap!$A$5:$B$9,2,FALSE)&amp;",")),1,0),0)=1,"EMPTY",IFERROR(MEDIAN(Helpers_M2b!$U$5:$U$28),""))</f>
        <v/>
      </c>
      <c r="C9" s="15">
        <f>IF(IFERROR(IF(ISNUMBER(SEARCH(","&amp;4&amp;",",","&amp;VLOOKUP("WB05-INV05",EmptyPVMap!$A$5:$B$9,2,FALSE)&amp;",")),1,0),0)=1,"EMPTY",IFERROR(MEDIAN(Helpers_M2b!$V$5:$V$28),""))</f>
        <v/>
      </c>
      <c r="D9" s="15">
        <f>voc_string_26_calc</f>
        <v/>
      </c>
      <c r="E9" s="17">
        <f>IFERROR(C9/D9,"")</f>
        <v/>
      </c>
      <c r="F9" s="5">
        <f>COUNT(Helpers_M2b!$U$5:$U$28)</f>
        <v/>
      </c>
      <c r="G9" s="5">
        <f>COUNT(Helpers_M2b!$V$5:$V$28)</f>
        <v/>
      </c>
    </row>
    <row r="10">
      <c r="A10" s="5" t="inlineStr">
        <is>
          <t>PV5</t>
        </is>
      </c>
      <c r="B10" s="18">
        <f>IF(IFERROR(IF(ISNUMBER(SEARCH(","&amp;5&amp;",",","&amp;VLOOKUP("WB05-INV05",EmptyPVMap!$A$5:$B$9,2,FALSE)&amp;",")),1,0),0)=1,"EMPTY",IFERROR(MEDIAN(Helpers_M2b!$Y$5:$Y$28),""))</f>
        <v/>
      </c>
      <c r="C10" s="15">
        <f>IF(IFERROR(IF(ISNUMBER(SEARCH(","&amp;5&amp;",",","&amp;VLOOKUP("WB05-INV05",EmptyPVMap!$A$5:$B$9,2,FALSE)&amp;",")),1,0),0)=1,"EMPTY",IFERROR(MEDIAN(Helpers_M2b!$Z$5:$Z$28),""))</f>
        <v/>
      </c>
      <c r="D10" s="15">
        <f>voc_string_26_calc</f>
        <v/>
      </c>
      <c r="E10" s="17">
        <f>IFERROR(C10/D10,"")</f>
        <v/>
      </c>
      <c r="F10" s="5">
        <f>COUNT(Helpers_M2b!$Y$5:$Y$28)</f>
        <v/>
      </c>
      <c r="G10" s="5">
        <f>COUNT(Helpers_M2b!$Z$5:$Z$28)</f>
        <v/>
      </c>
    </row>
    <row r="13">
      <c r="A13" s="14" t="inlineStr">
        <is>
          <t>B. Fleet statistics across PV1..PV5 (skip blanks)</t>
        </is>
      </c>
    </row>
    <row r="14">
      <c r="A14" s="10" t="inlineStr">
        <is>
          <t>Metric</t>
        </is>
      </c>
      <c r="B14" s="10" t="inlineStr">
        <is>
          <t>Value</t>
        </is>
      </c>
      <c r="C14" s="10" t="inlineStr"/>
      <c r="D14" s="10" t="inlineStr"/>
      <c r="E14" s="10" t="inlineStr"/>
      <c r="F14" s="10" t="inlineStr"/>
      <c r="G14" s="10" t="inlineStr"/>
    </row>
    <row r="15">
      <c r="A15" s="5" t="inlineStr">
        <is>
          <t>R_str fleet mean</t>
        </is>
      </c>
      <c r="B15" s="15">
        <f>AVERAGE(B6:B10)</f>
        <v/>
      </c>
    </row>
    <row r="16">
      <c r="A16" s="5" t="inlineStr">
        <is>
          <t>R_str fleet median</t>
        </is>
      </c>
      <c r="B16" s="15">
        <f>MEDIAN(B6:B10)</f>
        <v/>
      </c>
    </row>
    <row r="17">
      <c r="A17" s="5" t="inlineStr">
        <is>
          <t>R_str fleet std (sample stdev)</t>
        </is>
      </c>
      <c r="B17" s="15">
        <f>STDEV(B6:B10)</f>
        <v/>
      </c>
    </row>
    <row r="20">
      <c r="A20" s="14" t="inlineStr">
        <is>
          <t>C. Z-score &amp; fault decision per PV</t>
        </is>
      </c>
    </row>
    <row r="21">
      <c r="A21" s="10" t="inlineStr">
        <is>
          <t>PV_string</t>
        </is>
      </c>
      <c r="B21" s="10" t="inlineStr">
        <is>
          <t>z_mean</t>
        </is>
      </c>
      <c r="C21" s="10" t="inlineStr">
        <is>
          <t>z_median</t>
        </is>
      </c>
      <c r="D21" s="10" t="inlineStr">
        <is>
          <t>z_primary (per stat_method)</t>
        </is>
      </c>
      <c r="E21" s="10" t="inlineStr">
        <is>
          <t>flagged_by_z (|z|&gt;2.5)</t>
        </is>
      </c>
      <c r="F21" s="10" t="inlineStr">
        <is>
          <t>voc_ok (voc_ratio&gt;0.95)</t>
        </is>
      </c>
      <c r="G21" s="10" t="inlineStr">
        <is>
          <t>emit_finding</t>
        </is>
      </c>
      <c r="H21" s="10" t="inlineStr">
        <is>
          <t>fault_type</t>
        </is>
      </c>
      <c r="I21" s="10" t="inlineStr">
        <is>
          <t>severity</t>
        </is>
      </c>
      <c r="J21" s="10" t="inlineStr">
        <is>
          <t>confidence_pct</t>
        </is>
      </c>
      <c r="K21" s="10" t="inlineStr">
        <is>
          <t>message</t>
        </is>
      </c>
    </row>
    <row r="22">
      <c r="A22" s="5" t="inlineStr">
        <is>
          <t>PV1</t>
        </is>
      </c>
      <c r="B22" s="15">
        <f>IFERROR((B6-rstr_fleet_mean)/rstr_fleet_std,"")</f>
        <v/>
      </c>
      <c r="C22" s="15">
        <f>IFERROR((B6-rstr_fleet_median)/rstr_fleet_std,"")</f>
        <v/>
      </c>
      <c r="D22" s="15">
        <f>IF(cfg_stat_method="median",C22,IF(cfg_stat_method="mean",B22,IF(ABS(B22)&gt;=ABS(C22),B22,C22)))</f>
        <v/>
      </c>
      <c r="E22" s="5">
        <f>IF(ABS(D22)&gt;cfg_z_threshold,1,0)</f>
        <v/>
      </c>
      <c r="F22" s="5">
        <f>IFERROR(IF(E6&gt;cfg_voc_ratio_threshold,1,0),0)</f>
        <v/>
      </c>
      <c r="G22" s="5">
        <f>IF(AND(E22=1,F22=1),1,0)</f>
        <v/>
      </c>
      <c r="H22" s="5">
        <f>IF(G22=1,"high_R","")</f>
        <v/>
      </c>
      <c r="I22" s="5">
        <f>IF(G22=1,IF(ABS(D22)&gt;cfg_z_high_threshold,"HIGH","MEDIUM"),"")</f>
        <v/>
      </c>
      <c r="J22" s="18">
        <f>IF(G22=1,MIN(90,ABS(D22)/4*100),"")</f>
        <v/>
      </c>
      <c r="K22" s="5">
        <f>IF(G22=1,"High-R suspect PV"&amp;1&amp;": |z|="&amp;TEXT(ABS(D22),"0.00")&amp;" voc_ratio="&amp;TEXT(E6,"0.000"),"")</f>
        <v/>
      </c>
    </row>
    <row r="23">
      <c r="A23" s="5" t="inlineStr">
        <is>
          <t>PV2</t>
        </is>
      </c>
      <c r="B23" s="15">
        <f>IFERROR((B7-rstr_fleet_mean)/rstr_fleet_std,"")</f>
        <v/>
      </c>
      <c r="C23" s="15">
        <f>IFERROR((B7-rstr_fleet_median)/rstr_fleet_std,"")</f>
        <v/>
      </c>
      <c r="D23" s="15">
        <f>IF(cfg_stat_method="median",C23,IF(cfg_stat_method="mean",B23,IF(ABS(B23)&gt;=ABS(C23),B23,C23)))</f>
        <v/>
      </c>
      <c r="E23" s="5">
        <f>IF(ABS(D23)&gt;cfg_z_threshold,1,0)</f>
        <v/>
      </c>
      <c r="F23" s="5">
        <f>IFERROR(IF(E7&gt;cfg_voc_ratio_threshold,1,0),0)</f>
        <v/>
      </c>
      <c r="G23" s="5">
        <f>IF(AND(E23=1,F23=1),1,0)</f>
        <v/>
      </c>
      <c r="H23" s="5">
        <f>IF(G23=1,"high_R","")</f>
        <v/>
      </c>
      <c r="I23" s="5">
        <f>IF(G23=1,IF(ABS(D23)&gt;cfg_z_high_threshold,"HIGH","MEDIUM"),"")</f>
        <v/>
      </c>
      <c r="J23" s="18">
        <f>IF(G23=1,MIN(90,ABS(D23)/4*100),"")</f>
        <v/>
      </c>
      <c r="K23" s="5">
        <f>IF(G23=1,"High-R suspect PV"&amp;2&amp;": |z|="&amp;TEXT(ABS(D23),"0.00")&amp;" voc_ratio="&amp;TEXT(E7,"0.000"),"")</f>
        <v/>
      </c>
    </row>
    <row r="24">
      <c r="A24" s="5" t="inlineStr">
        <is>
          <t>PV3</t>
        </is>
      </c>
      <c r="B24" s="15">
        <f>IFERROR((B8-rstr_fleet_mean)/rstr_fleet_std,"")</f>
        <v/>
      </c>
      <c r="C24" s="15">
        <f>IFERROR((B8-rstr_fleet_median)/rstr_fleet_std,"")</f>
        <v/>
      </c>
      <c r="D24" s="15">
        <f>IF(cfg_stat_method="median",C24,IF(cfg_stat_method="mean",B24,IF(ABS(B24)&gt;=ABS(C24),B24,C24)))</f>
        <v/>
      </c>
      <c r="E24" s="5">
        <f>IF(ABS(D24)&gt;cfg_z_threshold,1,0)</f>
        <v/>
      </c>
      <c r="F24" s="5">
        <f>IFERROR(IF(E8&gt;cfg_voc_ratio_threshold,1,0),0)</f>
        <v/>
      </c>
      <c r="G24" s="5">
        <f>IF(AND(E24=1,F24=1),1,0)</f>
        <v/>
      </c>
      <c r="H24" s="5">
        <f>IF(G24=1,"high_R","")</f>
        <v/>
      </c>
      <c r="I24" s="5">
        <f>IF(G24=1,IF(ABS(D24)&gt;cfg_z_high_threshold,"HIGH","MEDIUM"),"")</f>
        <v/>
      </c>
      <c r="J24" s="18">
        <f>IF(G24=1,MIN(90,ABS(D24)/4*100),"")</f>
        <v/>
      </c>
      <c r="K24" s="5">
        <f>IF(G24=1,"High-R suspect PV"&amp;3&amp;": |z|="&amp;TEXT(ABS(D24),"0.00")&amp;" voc_ratio="&amp;TEXT(E8,"0.000"),"")</f>
        <v/>
      </c>
    </row>
    <row r="25">
      <c r="A25" s="5" t="inlineStr">
        <is>
          <t>PV4</t>
        </is>
      </c>
      <c r="B25" s="15">
        <f>IFERROR((B9-rstr_fleet_mean)/rstr_fleet_std,"")</f>
        <v/>
      </c>
      <c r="C25" s="15">
        <f>IFERROR((B9-rstr_fleet_median)/rstr_fleet_std,"")</f>
        <v/>
      </c>
      <c r="D25" s="15">
        <f>IF(cfg_stat_method="median",C25,IF(cfg_stat_method="mean",B25,IF(ABS(B25)&gt;=ABS(C25),B25,C25)))</f>
        <v/>
      </c>
      <c r="E25" s="5">
        <f>IF(ABS(D25)&gt;cfg_z_threshold,1,0)</f>
        <v/>
      </c>
      <c r="F25" s="5">
        <f>IFERROR(IF(E9&gt;cfg_voc_ratio_threshold,1,0),0)</f>
        <v/>
      </c>
      <c r="G25" s="5">
        <f>IF(AND(E25=1,F25=1),1,0)</f>
        <v/>
      </c>
      <c r="H25" s="5">
        <f>IF(G25=1,"high_R","")</f>
        <v/>
      </c>
      <c r="I25" s="5">
        <f>IF(G25=1,IF(ABS(D25)&gt;cfg_z_high_threshold,"HIGH","MEDIUM"),"")</f>
        <v/>
      </c>
      <c r="J25" s="18">
        <f>IF(G25=1,MIN(90,ABS(D25)/4*100),"")</f>
        <v/>
      </c>
      <c r="K25" s="5">
        <f>IF(G25=1,"High-R suspect PV"&amp;4&amp;": |z|="&amp;TEXT(ABS(D25),"0.00")&amp;" voc_ratio="&amp;TEXT(E9,"0.000"),"")</f>
        <v/>
      </c>
    </row>
    <row r="26">
      <c r="A26" s="5" t="inlineStr">
        <is>
          <t>PV5</t>
        </is>
      </c>
      <c r="B26" s="15">
        <f>IFERROR((B10-rstr_fleet_mean)/rstr_fleet_std,"")</f>
        <v/>
      </c>
      <c r="C26" s="15">
        <f>IFERROR((B10-rstr_fleet_median)/rstr_fleet_std,"")</f>
        <v/>
      </c>
      <c r="D26" s="15">
        <f>IF(cfg_stat_method="median",C26,IF(cfg_stat_method="mean",B26,IF(ABS(B26)&gt;=ABS(C26),B26,C26)))</f>
        <v/>
      </c>
      <c r="E26" s="5">
        <f>IF(ABS(D26)&gt;cfg_z_threshold,1,0)</f>
        <v/>
      </c>
      <c r="F26" s="5">
        <f>IFERROR(IF(E10&gt;cfg_voc_ratio_threshold,1,0),0)</f>
        <v/>
      </c>
      <c r="G26" s="5">
        <f>IF(AND(E26=1,F26=1),1,0)</f>
        <v/>
      </c>
      <c r="H26" s="5">
        <f>IF(G26=1,"high_R","")</f>
        <v/>
      </c>
      <c r="I26" s="5">
        <f>IF(G26=1,IF(ABS(D26)&gt;cfg_z_high_threshold,"HIGH","MEDIUM"),"")</f>
        <v/>
      </c>
      <c r="J26" s="18">
        <f>IF(G26=1,MIN(90,ABS(D26)/4*100),"")</f>
        <v/>
      </c>
      <c r="K26" s="5">
        <f>IF(G26=1,"High-R suspect PV"&amp;5&amp;": |z|="&amp;TEXT(ABS(D26),"0.00")&amp;" voc_ratio="&amp;TEXT(E10,"0.000"),"")</f>
        <v/>
      </c>
    </row>
  </sheetData>
  <conditionalFormatting sqref="I22:I2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0">
      <formula>"high_R"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8" customWidth="1" min="3" max="3"/>
    <col width="11" customWidth="1" min="4" max="4"/>
    <col width="11" customWidth="1" min="5" max="5"/>
    <col width="9" customWidth="1" min="6" max="6"/>
    <col width="14" customWidth="1" min="7" max="7"/>
    <col width="12" customWidth="1" min="8" max="8"/>
    <col width="9" customWidth="1" min="9" max="9"/>
    <col width="10" customWidth="1" min="10" max="10"/>
    <col width="13" customWidth="1" min="11" max="11"/>
    <col width="17" customWidth="1" min="12" max="12"/>
    <col width="11" customWidth="1" min="13" max="13"/>
    <col width="9" customWidth="1" min="14" max="14"/>
    <col width="14" customWidth="1" min="15" max="15"/>
  </cols>
  <sheetData>
    <row r="1">
      <c r="A1" s="7" t="inlineStr">
        <is>
          <t>M2b_StringStatus — replika Python self.artifacts['StringStatus']</t>
        </is>
      </c>
    </row>
    <row r="2">
      <c r="A2" s="2" t="inlineStr">
        <is>
          <t>Pull dari M2b_PeerZScore sections A &amp; C.</t>
        </is>
      </c>
    </row>
    <row r="4">
      <c r="A4" s="10" t="inlineStr">
        <is>
          <t>poa_source</t>
        </is>
      </c>
      <c r="B4" s="10" t="inlineStr">
        <is>
          <t>inverter_id</t>
        </is>
      </c>
      <c r="C4" s="10" t="inlineStr">
        <is>
          <t>wb_id</t>
        </is>
      </c>
      <c r="D4" s="10" t="inlineStr">
        <is>
          <t>pv_string</t>
        </is>
      </c>
      <c r="E4" s="10" t="inlineStr">
        <is>
          <t>status</t>
        </is>
      </c>
      <c r="F4" s="10" t="inlineStr">
        <is>
          <t>rstr</t>
        </is>
      </c>
      <c r="G4" s="10" t="inlineStr">
        <is>
          <t>rstr_fleet_median</t>
        </is>
      </c>
      <c r="H4" s="10" t="inlineStr">
        <is>
          <t>rstr_fleet_std</t>
        </is>
      </c>
      <c r="I4" s="10" t="inlineStr">
        <is>
          <t>z_mean</t>
        </is>
      </c>
      <c r="J4" s="10" t="inlineStr">
        <is>
          <t>z_median</t>
        </is>
      </c>
      <c r="K4" s="10" t="inlineStr">
        <is>
          <t>voc_actual_v</t>
        </is>
      </c>
      <c r="L4" s="10" t="inlineStr">
        <is>
          <t>voc_string_nominal_v</t>
        </is>
      </c>
      <c r="M4" s="10" t="inlineStr">
        <is>
          <t>voc_ratio</t>
        </is>
      </c>
      <c r="N4" s="10" t="inlineStr">
        <is>
          <t>voc_ok</t>
        </is>
      </c>
      <c r="O4" s="10" t="inlineStr">
        <is>
          <t>emitted_finding</t>
        </is>
      </c>
    </row>
    <row r="5">
      <c r="A5" s="5" t="inlineStr">
        <is>
          <t>pyranometer_avg</t>
        </is>
      </c>
      <c r="B5" s="5" t="inlineStr">
        <is>
          <t>WB05-INV05</t>
        </is>
      </c>
      <c r="C5" s="5" t="inlineStr">
        <is>
          <t>WB05</t>
        </is>
      </c>
      <c r="D5" s="5" t="inlineStr">
        <is>
          <t>PV1</t>
        </is>
      </c>
      <c r="E5" s="5">
        <f>IF(M2b_PeerZScore!G22=1,"high_R","NORMAL")</f>
        <v/>
      </c>
      <c r="F5" s="18">
        <f>M2b_PeerZScore!B6</f>
        <v/>
      </c>
      <c r="G5" s="18">
        <f>rstr_fleet_median</f>
        <v/>
      </c>
      <c r="H5" s="18">
        <f>rstr_fleet_std</f>
        <v/>
      </c>
      <c r="I5" s="15">
        <f>M2b_PeerZScore!B22</f>
        <v/>
      </c>
      <c r="J5" s="15">
        <f>M2b_PeerZScore!C22</f>
        <v/>
      </c>
      <c r="K5" s="15">
        <f>M2b_PeerZScore!C6</f>
        <v/>
      </c>
      <c r="L5" s="15">
        <f>M2b_PeerZScore!D6</f>
        <v/>
      </c>
      <c r="M5" s="17">
        <f>M2b_PeerZScore!E6</f>
        <v/>
      </c>
      <c r="N5" s="5">
        <f>M2b_PeerZScore!F22</f>
        <v/>
      </c>
      <c r="O5" s="5">
        <f>M2b_PeerZScore!G22</f>
        <v/>
      </c>
    </row>
    <row r="6">
      <c r="A6" s="5" t="inlineStr">
        <is>
          <t>pyranometer_avg</t>
        </is>
      </c>
      <c r="B6" s="5" t="inlineStr">
        <is>
          <t>WB05-INV05</t>
        </is>
      </c>
      <c r="C6" s="5" t="inlineStr">
        <is>
          <t>WB05</t>
        </is>
      </c>
      <c r="D6" s="5" t="inlineStr">
        <is>
          <t>PV2</t>
        </is>
      </c>
      <c r="E6" s="5">
        <f>IF(M2b_PeerZScore!G23=1,"high_R","NORMAL")</f>
        <v/>
      </c>
      <c r="F6" s="18">
        <f>M2b_PeerZScore!B7</f>
        <v/>
      </c>
      <c r="G6" s="18">
        <f>rstr_fleet_median</f>
        <v/>
      </c>
      <c r="H6" s="18">
        <f>rstr_fleet_std</f>
        <v/>
      </c>
      <c r="I6" s="15">
        <f>M2b_PeerZScore!B23</f>
        <v/>
      </c>
      <c r="J6" s="15">
        <f>M2b_PeerZScore!C23</f>
        <v/>
      </c>
      <c r="K6" s="15">
        <f>M2b_PeerZScore!C7</f>
        <v/>
      </c>
      <c r="L6" s="15">
        <f>M2b_PeerZScore!D7</f>
        <v/>
      </c>
      <c r="M6" s="17">
        <f>M2b_PeerZScore!E7</f>
        <v/>
      </c>
      <c r="N6" s="5">
        <f>M2b_PeerZScore!F23</f>
        <v/>
      </c>
      <c r="O6" s="5">
        <f>M2b_PeerZScore!G23</f>
        <v/>
      </c>
    </row>
    <row r="7">
      <c r="A7" s="5" t="inlineStr">
        <is>
          <t>pyranometer_avg</t>
        </is>
      </c>
      <c r="B7" s="5" t="inlineStr">
        <is>
          <t>WB05-INV05</t>
        </is>
      </c>
      <c r="C7" s="5" t="inlineStr">
        <is>
          <t>WB05</t>
        </is>
      </c>
      <c r="D7" s="5" t="inlineStr">
        <is>
          <t>PV3</t>
        </is>
      </c>
      <c r="E7" s="5">
        <f>IF(M2b_PeerZScore!G24=1,"high_R","NORMAL")</f>
        <v/>
      </c>
      <c r="F7" s="18">
        <f>M2b_PeerZScore!B8</f>
        <v/>
      </c>
      <c r="G7" s="18">
        <f>rstr_fleet_median</f>
        <v/>
      </c>
      <c r="H7" s="18">
        <f>rstr_fleet_std</f>
        <v/>
      </c>
      <c r="I7" s="15">
        <f>M2b_PeerZScore!B24</f>
        <v/>
      </c>
      <c r="J7" s="15">
        <f>M2b_PeerZScore!C24</f>
        <v/>
      </c>
      <c r="K7" s="15">
        <f>M2b_PeerZScore!C8</f>
        <v/>
      </c>
      <c r="L7" s="15">
        <f>M2b_PeerZScore!D8</f>
        <v/>
      </c>
      <c r="M7" s="17">
        <f>M2b_PeerZScore!E8</f>
        <v/>
      </c>
      <c r="N7" s="5">
        <f>M2b_PeerZScore!F24</f>
        <v/>
      </c>
      <c r="O7" s="5">
        <f>M2b_PeerZScore!G24</f>
        <v/>
      </c>
    </row>
    <row r="8">
      <c r="A8" s="5" t="inlineStr">
        <is>
          <t>pyranometer_avg</t>
        </is>
      </c>
      <c r="B8" s="5" t="inlineStr">
        <is>
          <t>WB05-INV05</t>
        </is>
      </c>
      <c r="C8" s="5" t="inlineStr">
        <is>
          <t>WB05</t>
        </is>
      </c>
      <c r="D8" s="5" t="inlineStr">
        <is>
          <t>PV4</t>
        </is>
      </c>
      <c r="E8" s="5">
        <f>IF(M2b_PeerZScore!G25=1,"high_R","NORMAL")</f>
        <v/>
      </c>
      <c r="F8" s="18">
        <f>M2b_PeerZScore!B9</f>
        <v/>
      </c>
      <c r="G8" s="18">
        <f>rstr_fleet_median</f>
        <v/>
      </c>
      <c r="H8" s="18">
        <f>rstr_fleet_std</f>
        <v/>
      </c>
      <c r="I8" s="15">
        <f>M2b_PeerZScore!B25</f>
        <v/>
      </c>
      <c r="J8" s="15">
        <f>M2b_PeerZScore!C25</f>
        <v/>
      </c>
      <c r="K8" s="15">
        <f>M2b_PeerZScore!C9</f>
        <v/>
      </c>
      <c r="L8" s="15">
        <f>M2b_PeerZScore!D9</f>
        <v/>
      </c>
      <c r="M8" s="17">
        <f>M2b_PeerZScore!E9</f>
        <v/>
      </c>
      <c r="N8" s="5">
        <f>M2b_PeerZScore!F25</f>
        <v/>
      </c>
      <c r="O8" s="5">
        <f>M2b_PeerZScore!G25</f>
        <v/>
      </c>
    </row>
    <row r="9">
      <c r="A9" s="5" t="inlineStr">
        <is>
          <t>pyranometer_avg</t>
        </is>
      </c>
      <c r="B9" s="5" t="inlineStr">
        <is>
          <t>WB05-INV05</t>
        </is>
      </c>
      <c r="C9" s="5" t="inlineStr">
        <is>
          <t>WB05</t>
        </is>
      </c>
      <c r="D9" s="5" t="inlineStr">
        <is>
          <t>PV5</t>
        </is>
      </c>
      <c r="E9" s="5" t="inlineStr">
        <is>
          <t>EMPTY</t>
        </is>
      </c>
      <c r="F9" s="18">
        <f>M2b_PeerZScore!B10</f>
        <v/>
      </c>
      <c r="G9" s="18">
        <f>rstr_fleet_median</f>
        <v/>
      </c>
      <c r="H9" s="18">
        <f>rstr_fleet_std</f>
        <v/>
      </c>
      <c r="I9" s="15">
        <f>M2b_PeerZScore!B26</f>
        <v/>
      </c>
      <c r="J9" s="15">
        <f>M2b_PeerZScore!C26</f>
        <v/>
      </c>
      <c r="K9" s="15">
        <f>M2b_PeerZScore!C10</f>
        <v/>
      </c>
      <c r="L9" s="15">
        <f>M2b_PeerZScore!D10</f>
        <v/>
      </c>
      <c r="M9" s="17">
        <f>M2b_PeerZScore!E10</f>
        <v/>
      </c>
      <c r="N9" s="5">
        <f>M2b_PeerZScore!F26</f>
        <v/>
      </c>
      <c r="O9" s="5">
        <f>M2b_PeerZScore!G26</f>
        <v/>
      </c>
    </row>
  </sheetData>
  <conditionalFormatting sqref="E5:E9">
    <cfRule type="cellIs" priority="1" operator="equal" dxfId="0">
      <formula>"high_R"</formula>
    </cfRule>
    <cfRule type="cellIs" priority="2" operator="equal" dxfId="4">
      <formula>"NORMAL"</formula>
    </cfRule>
    <cfRule type="cellIs" priority="3" operator="equal" dxfId="5">
      <formula>"EMPTY"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  <col width="16" customWidth="1" min="5" max="5"/>
    <col width="17" customWidth="1" min="6" max="6"/>
    <col width="19" customWidth="1" min="7" max="7"/>
    <col width="22" customWidth="1" min="8" max="8"/>
  </cols>
  <sheetData>
    <row r="1">
      <c r="A1" s="7" t="inlineStr">
        <is>
          <t>M2b StatComparison — Z-score mean vs median cross-check</t>
        </is>
      </c>
    </row>
    <row r="2">
      <c r="A2" s="2" t="inlineStr">
        <is>
          <t>Spec dual-stat: |z_mean| dan |z_median| dievaluasi. flagged_by_mean / flagged_by_median. Median lebih robust ke outlier (PV3 fault tidak skew median sebanyak mean).</t>
        </is>
      </c>
    </row>
    <row r="4">
      <c r="A4" s="10" t="inlineStr">
        <is>
          <t>PV_string</t>
        </is>
      </c>
      <c r="B4" s="10" t="inlineStr">
        <is>
          <t>R_str</t>
        </is>
      </c>
      <c r="C4" s="10" t="inlineStr">
        <is>
          <t>z_mean (vs fleet_mean)</t>
        </is>
      </c>
      <c r="D4" s="10" t="inlineStr">
        <is>
          <t>z_median (vs fleet_median)</t>
        </is>
      </c>
      <c r="E4" s="10" t="inlineStr">
        <is>
          <t>|z_mean| &gt; 2.5?</t>
        </is>
      </c>
      <c r="F4" s="10" t="inlineStr">
        <is>
          <t>|z_median| &gt; 2.5?</t>
        </is>
      </c>
      <c r="G4" s="10" t="inlineStr">
        <is>
          <t>agree (both flagged)?</t>
        </is>
      </c>
      <c r="H4" s="10" t="inlineStr">
        <is>
          <t>diff |z_mean - z_median|</t>
        </is>
      </c>
    </row>
    <row r="5">
      <c r="A5" s="5" t="inlineStr">
        <is>
          <t>PV1</t>
        </is>
      </c>
      <c r="B5" s="18">
        <f>M2b_PeerZScore!B6</f>
        <v/>
      </c>
      <c r="C5" s="15">
        <f>M2b_PeerZScore!B22</f>
        <v/>
      </c>
      <c r="D5" s="15">
        <f>M2b_PeerZScore!C22</f>
        <v/>
      </c>
      <c r="E5" s="5">
        <f>IF(ABS(C5)&gt;cfg_z_threshold,1,0)</f>
        <v/>
      </c>
      <c r="F5" s="5">
        <f>IF(ABS(D5)&gt;cfg_z_threshold,1,0)</f>
        <v/>
      </c>
      <c r="G5" s="5">
        <f>IF(AND(E5=1,F5=1),1,IF(OR(E5=1,F5=1),"disagree",0))</f>
        <v/>
      </c>
      <c r="H5" s="15">
        <f>IFERROR(ABS(C5-D5),"")</f>
        <v/>
      </c>
    </row>
    <row r="6">
      <c r="A6" s="5" t="inlineStr">
        <is>
          <t>PV2</t>
        </is>
      </c>
      <c r="B6" s="18">
        <f>M2b_PeerZScore!B7</f>
        <v/>
      </c>
      <c r="C6" s="15">
        <f>M2b_PeerZScore!B23</f>
        <v/>
      </c>
      <c r="D6" s="15">
        <f>M2b_PeerZScore!C23</f>
        <v/>
      </c>
      <c r="E6" s="5">
        <f>IF(ABS(C6)&gt;cfg_z_threshold,1,0)</f>
        <v/>
      </c>
      <c r="F6" s="5">
        <f>IF(ABS(D6)&gt;cfg_z_threshold,1,0)</f>
        <v/>
      </c>
      <c r="G6" s="5">
        <f>IF(AND(E6=1,F6=1),1,IF(OR(E6=1,F6=1),"disagree",0))</f>
        <v/>
      </c>
      <c r="H6" s="15">
        <f>IFERROR(ABS(C6-D6),"")</f>
        <v/>
      </c>
    </row>
    <row r="7">
      <c r="A7" s="5" t="inlineStr">
        <is>
          <t>PV3</t>
        </is>
      </c>
      <c r="B7" s="18">
        <f>M2b_PeerZScore!B8</f>
        <v/>
      </c>
      <c r="C7" s="15">
        <f>M2b_PeerZScore!B24</f>
        <v/>
      </c>
      <c r="D7" s="15">
        <f>M2b_PeerZScore!C24</f>
        <v/>
      </c>
      <c r="E7" s="5">
        <f>IF(ABS(C7)&gt;cfg_z_threshold,1,0)</f>
        <v/>
      </c>
      <c r="F7" s="5">
        <f>IF(ABS(D7)&gt;cfg_z_threshold,1,0)</f>
        <v/>
      </c>
      <c r="G7" s="5">
        <f>IF(AND(E7=1,F7=1),1,IF(OR(E7=1,F7=1),"disagree",0))</f>
        <v/>
      </c>
      <c r="H7" s="15">
        <f>IFERROR(ABS(C7-D7),"")</f>
        <v/>
      </c>
    </row>
    <row r="8">
      <c r="A8" s="5" t="inlineStr">
        <is>
          <t>PV4</t>
        </is>
      </c>
      <c r="B8" s="18">
        <f>M2b_PeerZScore!B9</f>
        <v/>
      </c>
      <c r="C8" s="15">
        <f>M2b_PeerZScore!B25</f>
        <v/>
      </c>
      <c r="D8" s="15">
        <f>M2b_PeerZScore!C25</f>
        <v/>
      </c>
      <c r="E8" s="5">
        <f>IF(ABS(C8)&gt;cfg_z_threshold,1,0)</f>
        <v/>
      </c>
      <c r="F8" s="5">
        <f>IF(ABS(D8)&gt;cfg_z_threshold,1,0)</f>
        <v/>
      </c>
      <c r="G8" s="5">
        <f>IF(AND(E8=1,F8=1),1,IF(OR(E8=1,F8=1),"disagree",0))</f>
        <v/>
      </c>
      <c r="H8" s="15">
        <f>IFERROR(ABS(C8-D8),"")</f>
        <v/>
      </c>
    </row>
    <row r="9">
      <c r="A9" s="5" t="inlineStr">
        <is>
          <t>PV5</t>
        </is>
      </c>
      <c r="B9" s="18">
        <f>M2b_PeerZScore!B10</f>
        <v/>
      </c>
      <c r="C9" s="15">
        <f>M2b_PeerZScore!B26</f>
        <v/>
      </c>
      <c r="D9" s="15">
        <f>M2b_PeerZScore!C26</f>
        <v/>
      </c>
      <c r="E9" s="5">
        <f>IF(ABS(C9)&gt;cfg_z_threshold,1,0)</f>
        <v/>
      </c>
      <c r="F9" s="5">
        <f>IF(ABS(D9)&gt;cfg_z_threshold,1,0)</f>
        <v/>
      </c>
      <c r="G9" s="5">
        <f>IF(AND(E9=1,F9=1),1,IF(OR(E9=1,F9=1),"disagree",0))</f>
        <v/>
      </c>
      <c r="H9" s="15">
        <f>IFERROR(ABS(C9-D9),"")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8" customWidth="1" min="4" max="4"/>
    <col width="13" customWidth="1" min="5" max="5"/>
    <col width="22" customWidth="1" min="6" max="6"/>
    <col width="13" customWidth="1" min="7" max="7"/>
    <col width="17" customWidth="1" min="8" max="8"/>
  </cols>
  <sheetData>
    <row r="1">
      <c r="A1" s="7" t="inlineStr">
        <is>
          <t>Hampel Preprocessing — A/B comparison V series original vs Hampel-cleaned</t>
        </is>
      </c>
    </row>
    <row r="2">
      <c r="A2" s="2" t="inlineStr">
        <is>
          <t>Demo Wave 9: rolling median window 15 (75-min) + MAD-based outlier mask. Approximation of pvanalytics.quality.outliers.hampel(). Toggle via cfg_enabled.</t>
        </is>
      </c>
    </row>
    <row r="4">
      <c r="A4" s="21" t="inlineStr">
        <is>
          <t>Note: window 15 butuh ≥15 samples. Dummy 24 timestep cukup untuk demo.</t>
        </is>
      </c>
    </row>
    <row r="5">
      <c r="A5" s="10" t="inlineStr">
        <is>
          <t>Start Time</t>
        </is>
      </c>
      <c r="B5" s="10" t="inlineStr">
        <is>
          <t>PV3_V_original</t>
        </is>
      </c>
      <c r="C5" s="10" t="inlineStr">
        <is>
          <t>rolling_median (window 15)</t>
        </is>
      </c>
      <c r="D5" s="10" t="inlineStr">
        <is>
          <t>abs_dev_from_median</t>
        </is>
      </c>
      <c r="E5" s="10" t="inlineStr">
        <is>
          <t>rolling_MAD</t>
        </is>
      </c>
      <c r="F5" s="10" t="inlineStr">
        <is>
          <t>deviation_in_MAD_sigma</t>
        </is>
      </c>
      <c r="G5" s="10" t="inlineStr">
        <is>
          <t>is_outlier</t>
        </is>
      </c>
      <c r="H5" s="10" t="inlineStr">
        <is>
          <t>PV3_V_cleaned</t>
        </is>
      </c>
    </row>
    <row r="6">
      <c r="A6" s="16">
        <f>Helpers_M2b!B5</f>
        <v/>
      </c>
      <c r="B6" s="15">
        <f>Helpers_M2b!O5</f>
        <v/>
      </c>
      <c r="C6" s="15">
        <f>MEDIAN(B6:B6)</f>
        <v/>
      </c>
      <c r="D6" s="15">
        <f>ABS(B6-C6)</f>
        <v/>
      </c>
      <c r="E6" s="15">
        <f>MEDIAN(IF(B6:B6&gt;0,ABS(B6:B6-C6)))</f>
        <v/>
      </c>
      <c r="F6" s="15">
        <f>IFERROR(D6/(1.4826*E6),0)</f>
        <v/>
      </c>
      <c r="G6" s="5">
        <f>IF(F6&gt;cfg_hampel_max_deviation,1,0)</f>
        <v/>
      </c>
      <c r="H6" s="15">
        <f>IF(G6=1,"",B6)</f>
        <v/>
      </c>
    </row>
    <row r="7">
      <c r="A7" s="16">
        <f>Helpers_M2b!B6</f>
        <v/>
      </c>
      <c r="B7" s="15">
        <f>Helpers_M2b!O6</f>
        <v/>
      </c>
      <c r="C7" s="15">
        <f>MEDIAN(B6:B7)</f>
        <v/>
      </c>
      <c r="D7" s="15">
        <f>ABS(B7-C7)</f>
        <v/>
      </c>
      <c r="E7" s="15">
        <f>MEDIAN(IF(B6:B7&gt;0,ABS(B6:B7-C7)))</f>
        <v/>
      </c>
      <c r="F7" s="15">
        <f>IFERROR(D7/(1.4826*E7),0)</f>
        <v/>
      </c>
      <c r="G7" s="5">
        <f>IF(F7&gt;cfg_hampel_max_deviation,1,0)</f>
        <v/>
      </c>
      <c r="H7" s="15">
        <f>IF(G7=1,"",B7)</f>
        <v/>
      </c>
    </row>
    <row r="8">
      <c r="A8" s="16">
        <f>Helpers_M2b!B7</f>
        <v/>
      </c>
      <c r="B8" s="15">
        <f>Helpers_M2b!O7</f>
        <v/>
      </c>
      <c r="C8" s="15">
        <f>MEDIAN(B6:B8)</f>
        <v/>
      </c>
      <c r="D8" s="15">
        <f>ABS(B8-C8)</f>
        <v/>
      </c>
      <c r="E8" s="15">
        <f>MEDIAN(IF(B6:B8&gt;0,ABS(B6:B8-C8)))</f>
        <v/>
      </c>
      <c r="F8" s="15">
        <f>IFERROR(D8/(1.4826*E8),0)</f>
        <v/>
      </c>
      <c r="G8" s="5">
        <f>IF(F8&gt;cfg_hampel_max_deviation,1,0)</f>
        <v/>
      </c>
      <c r="H8" s="15">
        <f>IF(G8=1,"",B8)</f>
        <v/>
      </c>
    </row>
    <row r="9">
      <c r="A9" s="16">
        <f>Helpers_M2b!B8</f>
        <v/>
      </c>
      <c r="B9" s="15">
        <f>Helpers_M2b!O8</f>
        <v/>
      </c>
      <c r="C9" s="15">
        <f>MEDIAN(B6:B9)</f>
        <v/>
      </c>
      <c r="D9" s="15">
        <f>ABS(B9-C9)</f>
        <v/>
      </c>
      <c r="E9" s="15">
        <f>MEDIAN(IF(B6:B9&gt;0,ABS(B6:B9-C9)))</f>
        <v/>
      </c>
      <c r="F9" s="15">
        <f>IFERROR(D9/(1.4826*E9),0)</f>
        <v/>
      </c>
      <c r="G9" s="5">
        <f>IF(F9&gt;cfg_hampel_max_deviation,1,0)</f>
        <v/>
      </c>
      <c r="H9" s="15">
        <f>IF(G9=1,"",B9)</f>
        <v/>
      </c>
    </row>
    <row r="10">
      <c r="A10" s="16">
        <f>Helpers_M2b!B9</f>
        <v/>
      </c>
      <c r="B10" s="15">
        <f>Helpers_M2b!O9</f>
        <v/>
      </c>
      <c r="C10" s="15">
        <f>MEDIAN(B6:B10)</f>
        <v/>
      </c>
      <c r="D10" s="15">
        <f>ABS(B10-C10)</f>
        <v/>
      </c>
      <c r="E10" s="15">
        <f>MEDIAN(IF(B6:B10&gt;0,ABS(B6:B10-C10)))</f>
        <v/>
      </c>
      <c r="F10" s="15">
        <f>IFERROR(D10/(1.4826*E10),0)</f>
        <v/>
      </c>
      <c r="G10" s="5">
        <f>IF(F10&gt;cfg_hampel_max_deviation,1,0)</f>
        <v/>
      </c>
      <c r="H10" s="15">
        <f>IF(G10=1,"",B10)</f>
        <v/>
      </c>
    </row>
    <row r="11">
      <c r="A11" s="16">
        <f>Helpers_M2b!B10</f>
        <v/>
      </c>
      <c r="B11" s="15">
        <f>Helpers_M2b!O10</f>
        <v/>
      </c>
      <c r="C11" s="15">
        <f>MEDIAN(B6:B11)</f>
        <v/>
      </c>
      <c r="D11" s="15">
        <f>ABS(B11-C11)</f>
        <v/>
      </c>
      <c r="E11" s="15">
        <f>MEDIAN(IF(B6:B11&gt;0,ABS(B6:B11-C11)))</f>
        <v/>
      </c>
      <c r="F11" s="15">
        <f>IFERROR(D11/(1.4826*E11),0)</f>
        <v/>
      </c>
      <c r="G11" s="5">
        <f>IF(F11&gt;cfg_hampel_max_deviation,1,0)</f>
        <v/>
      </c>
      <c r="H11" s="15">
        <f>IF(G11=1,"",B11)</f>
        <v/>
      </c>
    </row>
    <row r="12">
      <c r="A12" s="16">
        <f>Helpers_M2b!B11</f>
        <v/>
      </c>
      <c r="B12" s="15">
        <f>Helpers_M2b!O11</f>
        <v/>
      </c>
      <c r="C12" s="15">
        <f>MEDIAN(B6:B12)</f>
        <v/>
      </c>
      <c r="D12" s="15">
        <f>ABS(B12-C12)</f>
        <v/>
      </c>
      <c r="E12" s="15">
        <f>MEDIAN(IF(B6:B12&gt;0,ABS(B6:B12-C12)))</f>
        <v/>
      </c>
      <c r="F12" s="15">
        <f>IFERROR(D12/(1.4826*E12),0)</f>
        <v/>
      </c>
      <c r="G12" s="5">
        <f>IF(F12&gt;cfg_hampel_max_deviation,1,0)</f>
        <v/>
      </c>
      <c r="H12" s="15">
        <f>IF(G12=1,"",B12)</f>
        <v/>
      </c>
    </row>
    <row r="13">
      <c r="A13" s="16">
        <f>Helpers_M2b!B12</f>
        <v/>
      </c>
      <c r="B13" s="15">
        <f>Helpers_M2b!O12</f>
        <v/>
      </c>
      <c r="C13" s="15">
        <f>MEDIAN(B6:B13)</f>
        <v/>
      </c>
      <c r="D13" s="15">
        <f>ABS(B13-C13)</f>
        <v/>
      </c>
      <c r="E13" s="15">
        <f>MEDIAN(IF(B6:B13&gt;0,ABS(B6:B13-C13)))</f>
        <v/>
      </c>
      <c r="F13" s="15">
        <f>IFERROR(D13/(1.4826*E13),0)</f>
        <v/>
      </c>
      <c r="G13" s="5">
        <f>IF(F13&gt;cfg_hampel_max_deviation,1,0)</f>
        <v/>
      </c>
      <c r="H13" s="15">
        <f>IF(G13=1,"",B13)</f>
        <v/>
      </c>
    </row>
    <row r="14">
      <c r="A14" s="16">
        <f>Helpers_M2b!B13</f>
        <v/>
      </c>
      <c r="B14" s="15">
        <f>Helpers_M2b!O13</f>
        <v/>
      </c>
      <c r="C14" s="15">
        <f>MEDIAN(B6:B14)</f>
        <v/>
      </c>
      <c r="D14" s="15">
        <f>ABS(B14-C14)</f>
        <v/>
      </c>
      <c r="E14" s="15">
        <f>MEDIAN(IF(B6:B14&gt;0,ABS(B6:B14-C14)))</f>
        <v/>
      </c>
      <c r="F14" s="15">
        <f>IFERROR(D14/(1.4826*E14),0)</f>
        <v/>
      </c>
      <c r="G14" s="5">
        <f>IF(F14&gt;cfg_hampel_max_deviation,1,0)</f>
        <v/>
      </c>
      <c r="H14" s="15">
        <f>IF(G14=1,"",B14)</f>
        <v/>
      </c>
    </row>
    <row r="15">
      <c r="A15" s="16">
        <f>Helpers_M2b!B14</f>
        <v/>
      </c>
      <c r="B15" s="15">
        <f>Helpers_M2b!O14</f>
        <v/>
      </c>
      <c r="C15" s="15">
        <f>MEDIAN(B6:B15)</f>
        <v/>
      </c>
      <c r="D15" s="15">
        <f>ABS(B15-C15)</f>
        <v/>
      </c>
      <c r="E15" s="15">
        <f>MEDIAN(IF(B6:B15&gt;0,ABS(B6:B15-C15)))</f>
        <v/>
      </c>
      <c r="F15" s="15">
        <f>IFERROR(D15/(1.4826*E15),0)</f>
        <v/>
      </c>
      <c r="G15" s="5">
        <f>IF(F15&gt;cfg_hampel_max_deviation,1,0)</f>
        <v/>
      </c>
      <c r="H15" s="15">
        <f>IF(G15=1,"",B15)</f>
        <v/>
      </c>
    </row>
    <row r="16">
      <c r="A16" s="16">
        <f>Helpers_M2b!B15</f>
        <v/>
      </c>
      <c r="B16" s="15">
        <f>Helpers_M2b!O15</f>
        <v/>
      </c>
      <c r="C16" s="15">
        <f>MEDIAN(B6:B16)</f>
        <v/>
      </c>
      <c r="D16" s="15">
        <f>ABS(B16-C16)</f>
        <v/>
      </c>
      <c r="E16" s="15">
        <f>MEDIAN(IF(B6:B16&gt;0,ABS(B6:B16-C16)))</f>
        <v/>
      </c>
      <c r="F16" s="15">
        <f>IFERROR(D16/(1.4826*E16),0)</f>
        <v/>
      </c>
      <c r="G16" s="5">
        <f>IF(F16&gt;cfg_hampel_max_deviation,1,0)</f>
        <v/>
      </c>
      <c r="H16" s="15">
        <f>IF(G16=1,"",B16)</f>
        <v/>
      </c>
    </row>
    <row r="17">
      <c r="A17" s="16">
        <f>Helpers_M2b!B16</f>
        <v/>
      </c>
      <c r="B17" s="15">
        <f>Helpers_M2b!O16</f>
        <v/>
      </c>
      <c r="C17" s="15">
        <f>MEDIAN(B6:B17)</f>
        <v/>
      </c>
      <c r="D17" s="15">
        <f>ABS(B17-C17)</f>
        <v/>
      </c>
      <c r="E17" s="15">
        <f>MEDIAN(IF(B6:B17&gt;0,ABS(B6:B17-C17)))</f>
        <v/>
      </c>
      <c r="F17" s="15">
        <f>IFERROR(D17/(1.4826*E17),0)</f>
        <v/>
      </c>
      <c r="G17" s="5">
        <f>IF(F17&gt;cfg_hampel_max_deviation,1,0)</f>
        <v/>
      </c>
      <c r="H17" s="15">
        <f>IF(G17=1,"",B17)</f>
        <v/>
      </c>
    </row>
    <row r="18">
      <c r="A18" s="16">
        <f>Helpers_M2b!B17</f>
        <v/>
      </c>
      <c r="B18" s="15">
        <f>Helpers_M2b!O17</f>
        <v/>
      </c>
      <c r="C18" s="15">
        <f>MEDIAN(B6:B18)</f>
        <v/>
      </c>
      <c r="D18" s="15">
        <f>ABS(B18-C18)</f>
        <v/>
      </c>
      <c r="E18" s="15">
        <f>MEDIAN(IF(B6:B18&gt;0,ABS(B6:B18-C18)))</f>
        <v/>
      </c>
      <c r="F18" s="15">
        <f>IFERROR(D18/(1.4826*E18),0)</f>
        <v/>
      </c>
      <c r="G18" s="5">
        <f>IF(F18&gt;cfg_hampel_max_deviation,1,0)</f>
        <v/>
      </c>
      <c r="H18" s="15">
        <f>IF(G18=1,"",B18)</f>
        <v/>
      </c>
    </row>
    <row r="19">
      <c r="A19" s="16">
        <f>Helpers_M2b!B18</f>
        <v/>
      </c>
      <c r="B19" s="15">
        <f>Helpers_M2b!O18</f>
        <v/>
      </c>
      <c r="C19" s="15">
        <f>MEDIAN(B6:B19)</f>
        <v/>
      </c>
      <c r="D19" s="15">
        <f>ABS(B19-C19)</f>
        <v/>
      </c>
      <c r="E19" s="15">
        <f>MEDIAN(IF(B6:B19&gt;0,ABS(B6:B19-C19)))</f>
        <v/>
      </c>
      <c r="F19" s="15">
        <f>IFERROR(D19/(1.4826*E19),0)</f>
        <v/>
      </c>
      <c r="G19" s="5">
        <f>IF(F19&gt;cfg_hampel_max_deviation,1,0)</f>
        <v/>
      </c>
      <c r="H19" s="15">
        <f>IF(G19=1,"",B19)</f>
        <v/>
      </c>
    </row>
    <row r="20">
      <c r="A20" s="16">
        <f>Helpers_M2b!B19</f>
        <v/>
      </c>
      <c r="B20" s="15">
        <f>Helpers_M2b!O19</f>
        <v/>
      </c>
      <c r="C20" s="15">
        <f>MEDIAN(B6:B20)</f>
        <v/>
      </c>
      <c r="D20" s="15">
        <f>ABS(B20-C20)</f>
        <v/>
      </c>
      <c r="E20" s="15">
        <f>MEDIAN(IF(B6:B20&gt;0,ABS(B6:B20-C20)))</f>
        <v/>
      </c>
      <c r="F20" s="15">
        <f>IFERROR(D20/(1.4826*E20),0)</f>
        <v/>
      </c>
      <c r="G20" s="5">
        <f>IF(F20&gt;cfg_hampel_max_deviation,1,0)</f>
        <v/>
      </c>
      <c r="H20" s="15">
        <f>IF(G20=1,"",B20)</f>
        <v/>
      </c>
    </row>
    <row r="21">
      <c r="A21" s="16">
        <f>Helpers_M2b!B20</f>
        <v/>
      </c>
      <c r="B21" s="15">
        <f>Helpers_M2b!O20</f>
        <v/>
      </c>
      <c r="C21" s="15">
        <f>MEDIAN(B7:B21)</f>
        <v/>
      </c>
      <c r="D21" s="15">
        <f>ABS(B21-C21)</f>
        <v/>
      </c>
      <c r="E21" s="15">
        <f>MEDIAN(IF(B7:B21&gt;0,ABS(B7:B21-C21)))</f>
        <v/>
      </c>
      <c r="F21" s="15">
        <f>IFERROR(D21/(1.4826*E21),0)</f>
        <v/>
      </c>
      <c r="G21" s="5">
        <f>IF(F21&gt;cfg_hampel_max_deviation,1,0)</f>
        <v/>
      </c>
      <c r="H21" s="15">
        <f>IF(G21=1,"",B21)</f>
        <v/>
      </c>
    </row>
    <row r="22">
      <c r="A22" s="16">
        <f>Helpers_M2b!B21</f>
        <v/>
      </c>
      <c r="B22" s="15">
        <f>Helpers_M2b!O21</f>
        <v/>
      </c>
      <c r="C22" s="15">
        <f>MEDIAN(B8:B22)</f>
        <v/>
      </c>
      <c r="D22" s="15">
        <f>ABS(B22-C22)</f>
        <v/>
      </c>
      <c r="E22" s="15">
        <f>MEDIAN(IF(B8:B22&gt;0,ABS(B8:B22-C22)))</f>
        <v/>
      </c>
      <c r="F22" s="15">
        <f>IFERROR(D22/(1.4826*E22),0)</f>
        <v/>
      </c>
      <c r="G22" s="5">
        <f>IF(F22&gt;cfg_hampel_max_deviation,1,0)</f>
        <v/>
      </c>
      <c r="H22" s="15">
        <f>IF(G22=1,"",B22)</f>
        <v/>
      </c>
    </row>
    <row r="23">
      <c r="A23" s="16">
        <f>Helpers_M2b!B22</f>
        <v/>
      </c>
      <c r="B23" s="15">
        <f>Helpers_M2b!O22</f>
        <v/>
      </c>
      <c r="C23" s="15">
        <f>MEDIAN(B9:B23)</f>
        <v/>
      </c>
      <c r="D23" s="15">
        <f>ABS(B23-C23)</f>
        <v/>
      </c>
      <c r="E23" s="15">
        <f>MEDIAN(IF(B9:B23&gt;0,ABS(B9:B23-C23)))</f>
        <v/>
      </c>
      <c r="F23" s="15">
        <f>IFERROR(D23/(1.4826*E23),0)</f>
        <v/>
      </c>
      <c r="G23" s="5">
        <f>IF(F23&gt;cfg_hampel_max_deviation,1,0)</f>
        <v/>
      </c>
      <c r="H23" s="15">
        <f>IF(G23=1,"",B23)</f>
        <v/>
      </c>
    </row>
    <row r="24">
      <c r="A24" s="16">
        <f>Helpers_M2b!B23</f>
        <v/>
      </c>
      <c r="B24" s="15">
        <f>Helpers_M2b!O23</f>
        <v/>
      </c>
      <c r="C24" s="15">
        <f>MEDIAN(B10:B24)</f>
        <v/>
      </c>
      <c r="D24" s="15">
        <f>ABS(B24-C24)</f>
        <v/>
      </c>
      <c r="E24" s="15">
        <f>MEDIAN(IF(B10:B24&gt;0,ABS(B10:B24-C24)))</f>
        <v/>
      </c>
      <c r="F24" s="15">
        <f>IFERROR(D24/(1.4826*E24),0)</f>
        <v/>
      </c>
      <c r="G24" s="5">
        <f>IF(F24&gt;cfg_hampel_max_deviation,1,0)</f>
        <v/>
      </c>
      <c r="H24" s="15">
        <f>IF(G24=1,"",B24)</f>
        <v/>
      </c>
    </row>
    <row r="25">
      <c r="A25" s="16">
        <f>Helpers_M2b!B24</f>
        <v/>
      </c>
      <c r="B25" s="15">
        <f>Helpers_M2b!O24</f>
        <v/>
      </c>
      <c r="C25" s="15">
        <f>MEDIAN(B11:B25)</f>
        <v/>
      </c>
      <c r="D25" s="15">
        <f>ABS(B25-C25)</f>
        <v/>
      </c>
      <c r="E25" s="15">
        <f>MEDIAN(IF(B11:B25&gt;0,ABS(B11:B25-C25)))</f>
        <v/>
      </c>
      <c r="F25" s="15">
        <f>IFERROR(D25/(1.4826*E25),0)</f>
        <v/>
      </c>
      <c r="G25" s="5">
        <f>IF(F25&gt;cfg_hampel_max_deviation,1,0)</f>
        <v/>
      </c>
      <c r="H25" s="15">
        <f>IF(G25=1,"",B25)</f>
        <v/>
      </c>
    </row>
    <row r="26">
      <c r="A26" s="16">
        <f>Helpers_M2b!B25</f>
        <v/>
      </c>
      <c r="B26" s="15">
        <f>Helpers_M2b!O25</f>
        <v/>
      </c>
      <c r="C26" s="15">
        <f>MEDIAN(B12:B26)</f>
        <v/>
      </c>
      <c r="D26" s="15">
        <f>ABS(B26-C26)</f>
        <v/>
      </c>
      <c r="E26" s="15">
        <f>MEDIAN(IF(B12:B26&gt;0,ABS(B12:B26-C26)))</f>
        <v/>
      </c>
      <c r="F26" s="15">
        <f>IFERROR(D26/(1.4826*E26),0)</f>
        <v/>
      </c>
      <c r="G26" s="5">
        <f>IF(F26&gt;cfg_hampel_max_deviation,1,0)</f>
        <v/>
      </c>
      <c r="H26" s="15">
        <f>IF(G26=1,"",B26)</f>
        <v/>
      </c>
    </row>
    <row r="27">
      <c r="A27" s="16">
        <f>Helpers_M2b!B26</f>
        <v/>
      </c>
      <c r="B27" s="15">
        <f>Helpers_M2b!O26</f>
        <v/>
      </c>
      <c r="C27" s="15">
        <f>MEDIAN(B13:B27)</f>
        <v/>
      </c>
      <c r="D27" s="15">
        <f>ABS(B27-C27)</f>
        <v/>
      </c>
      <c r="E27" s="15">
        <f>MEDIAN(IF(B13:B27&gt;0,ABS(B13:B27-C27)))</f>
        <v/>
      </c>
      <c r="F27" s="15">
        <f>IFERROR(D27/(1.4826*E27),0)</f>
        <v/>
      </c>
      <c r="G27" s="5">
        <f>IF(F27&gt;cfg_hampel_max_deviation,1,0)</f>
        <v/>
      </c>
      <c r="H27" s="15">
        <f>IF(G27=1,"",B27)</f>
        <v/>
      </c>
    </row>
    <row r="28">
      <c r="A28" s="16">
        <f>Helpers_M2b!B27</f>
        <v/>
      </c>
      <c r="B28" s="15">
        <f>Helpers_M2b!O27</f>
        <v/>
      </c>
      <c r="C28" s="15">
        <f>MEDIAN(B14:B28)</f>
        <v/>
      </c>
      <c r="D28" s="15">
        <f>ABS(B28-C28)</f>
        <v/>
      </c>
      <c r="E28" s="15">
        <f>MEDIAN(IF(B14:B28&gt;0,ABS(B14:B28-C28)))</f>
        <v/>
      </c>
      <c r="F28" s="15">
        <f>IFERROR(D28/(1.4826*E28),0)</f>
        <v/>
      </c>
      <c r="G28" s="5">
        <f>IF(F28&gt;cfg_hampel_max_deviation,1,0)</f>
        <v/>
      </c>
      <c r="H28" s="15">
        <f>IF(G28=1,"",B28)</f>
        <v/>
      </c>
    </row>
    <row r="29">
      <c r="A29" s="16">
        <f>Helpers_M2b!B28</f>
        <v/>
      </c>
      <c r="B29" s="15">
        <f>Helpers_M2b!O28</f>
        <v/>
      </c>
      <c r="C29" s="15">
        <f>MEDIAN(B15:B29)</f>
        <v/>
      </c>
      <c r="D29" s="15">
        <f>ABS(B29-C29)</f>
        <v/>
      </c>
      <c r="E29" s="15">
        <f>MEDIAN(IF(B15:B29&gt;0,ABS(B15:B29-C29)))</f>
        <v/>
      </c>
      <c r="F29" s="15">
        <f>IFERROR(D29/(1.4826*E29),0)</f>
        <v/>
      </c>
      <c r="G29" s="5">
        <f>IF(F29&gt;cfg_hampel_max_deviation,1,0)</f>
        <v/>
      </c>
      <c r="H29" s="15">
        <f>IF(G29=1,"",B29)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2026-05-28T12:43:28Z</dcterms:created>
  <dcterms:modified xmlns:dcterms="http://purl.org/dc/terms/" xmlns:xsi="http://www.w3.org/2001/XMLSchema-instance" xsi:type="dcterms:W3CDTF">2026-05-28T12:43:29Z</dcterms:modified>
</cp:coreProperties>
</file>